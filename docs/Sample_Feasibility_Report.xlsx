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3.xml" ContentType="application/vnd.openxmlformats-officedocument.drawing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P&amp;L &amp; Metrics" sheetId="3" state="visible" r:id="rId3"/>
    <sheet xmlns:r="http://schemas.openxmlformats.org/officeDocument/2006/relationships" name="Cash Flow" sheetId="4" state="visible" r:id="rId4"/>
    <sheet xmlns:r="http://schemas.openxmlformats.org/officeDocument/2006/relationships" name="Collections" sheetId="5" state="visible" r:id="rId5"/>
    <sheet xmlns:r="http://schemas.openxmlformats.org/officeDocument/2006/relationships" name="Timeline" sheetId="6" state="visible" r:id="rId6"/>
    <sheet xmlns:r="http://schemas.openxmlformats.org/officeDocument/2006/relationships" name="Stress Test" sheetId="7" state="visible" r:id="rId7"/>
    <sheet xmlns:r="http://schemas.openxmlformats.org/officeDocument/2006/relationships" name="Monte Carlo" sheetId="8" state="visible" r:id="rId8"/>
    <sheet xmlns:r="http://schemas.openxmlformats.org/officeDocument/2006/relationships" name="_project" sheetId="9" state="hidden" r:id="rId9"/>
  </sheets>
  <definedNames/>
  <calcPr calcId="124519" fullCalcOnLoad="1"/>
</workbook>
</file>

<file path=xl/styles.xml><?xml version="1.0" encoding="utf-8"?>
<styleSheet xmlns="http://schemas.openxmlformats.org/spreadsheetml/2006/main">
  <numFmts count="11">
    <numFmt numFmtId="164" formatCode="#,##0.00;(#,##0.00);&quot;-&quot;"/>
    <numFmt numFmtId="165" formatCode="#,##0;(#,##0);&quot;-&quot;"/>
    <numFmt numFmtId="166" formatCode="0.0%;(0.0%);&quot;-&quot;"/>
    <numFmt numFmtId="167" formatCode="yyyy-mm-dd"/>
    <numFmt numFmtId="168" formatCode="dd-mmm-yyyy"/>
    <numFmt numFmtId="169" formatCode="0.00&quot;x&quot;"/>
    <numFmt numFmtId="170" formatCode="&quot;Q&quot;0"/>
    <numFmt numFmtId="171" formatCode="#,##0.####"/>
    <numFmt numFmtId="172" formatCode="+0%;-0%;0%"/>
    <numFmt numFmtId="173" formatCode="&quot;+&quot;0&quot; Q&quot;"/>
    <numFmt numFmtId="174" formatCode="+0.0%;-0.0%"/>
  </numFmts>
  <fonts count="8">
    <font>
      <name val="Calibri"/>
      <family val="2"/>
      <color theme="1"/>
      <sz val="11"/>
      <scheme val="minor"/>
    </font>
    <font>
      <name val="Arial"/>
      <b val="1"/>
      <color rgb="001F3864"/>
      <sz val="16"/>
    </font>
    <font>
      <name val="Arial"/>
      <i val="1"/>
      <color rgb="007F7F7F"/>
      <sz val="9"/>
    </font>
    <font>
      <name val="Arial"/>
      <b val="1"/>
      <color rgb="00006100"/>
      <sz val="12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sz val="11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A9D08E"/>
      </patternFill>
    </fill>
    <fill>
      <patternFill patternType="solid">
        <fgColor rgb="008EA9DB"/>
      </patternFill>
    </fill>
    <fill>
      <patternFill patternType="solid">
        <fgColor rgb="009BC2E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0" fillId="2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7" fillId="0" borderId="1" pivotButton="0" quotePrefix="0" xfId="0"/>
    <xf numFmtId="0" fontId="7" fillId="4" borderId="1" pivotButton="0" quotePrefix="0" xfId="0"/>
    <xf numFmtId="0" fontId="7" fillId="5" borderId="1" pivotButton="0" quotePrefix="0" xfId="0"/>
    <xf numFmtId="0" fontId="0" fillId="0" borderId="0" applyAlignment="1" pivotButton="0" quotePrefix="0" xfId="0">
      <alignment vertical="top" wrapText="1"/>
    </xf>
    <xf numFmtId="0" fontId="5" fillId="0" borderId="1" pivotButton="0" quotePrefix="0" xfId="0"/>
    <xf numFmtId="164" fontId="5" fillId="0" borderId="1" pivotButton="0" quotePrefix="0" xfId="0"/>
    <xf numFmtId="165" fontId="5" fillId="0" borderId="1" pivotButton="0" quotePrefix="0" xfId="0"/>
    <xf numFmtId="166" fontId="5" fillId="0" borderId="1" pivotButton="0" quotePrefix="0" xfId="0"/>
    <xf numFmtId="164" fontId="6" fillId="0" borderId="1" pivotButton="0" quotePrefix="0" xfId="0"/>
    <xf numFmtId="165" fontId="6" fillId="0" borderId="1" pivotButton="0" quotePrefix="0" xfId="0"/>
    <xf numFmtId="166" fontId="6" fillId="0" borderId="1" pivotButton="0" quotePrefix="0" xfId="0"/>
    <xf numFmtId="168" fontId="6" fillId="0" borderId="1" pivotButton="0" quotePrefix="0" xfId="0"/>
    <xf numFmtId="10" fontId="6" fillId="0" borderId="1" pivotButton="0" quotePrefix="0" xfId="0"/>
    <xf numFmtId="1" fontId="6" fillId="0" borderId="1" pivotButton="0" quotePrefix="0" xfId="0"/>
    <xf numFmtId="169" fontId="6" fillId="0" borderId="1" pivotButton="0" quotePrefix="0" xfId="0"/>
    <xf numFmtId="170" fontId="6" fillId="0" borderId="1" pivotButton="0" quotePrefix="0" xfId="0"/>
    <xf numFmtId="171" fontId="6" fillId="0" borderId="1" pivotButton="0" quotePrefix="0" xfId="0"/>
    <xf numFmtId="0" fontId="5" fillId="6" borderId="1" pivotButton="0" quotePrefix="0" xfId="0"/>
    <xf numFmtId="164" fontId="5" fillId="6" borderId="1" pivotButton="0" quotePrefix="0" xfId="0"/>
    <xf numFmtId="165" fontId="5" fillId="6" borderId="1" pivotButton="0" quotePrefix="0" xfId="0"/>
    <xf numFmtId="10" fontId="5" fillId="6" borderId="1" pivotButton="0" quotePrefix="0" xfId="0"/>
    <xf numFmtId="166" fontId="5" fillId="6" borderId="1" pivotButton="0" quotePrefix="0" xfId="0"/>
    <xf numFmtId="9" fontId="6" fillId="0" borderId="1" pivotButton="0" quotePrefix="0" xfId="0"/>
    <xf numFmtId="0" fontId="6" fillId="4" borderId="1" pivotButton="0" quotePrefix="0" xfId="0"/>
    <xf numFmtId="0" fontId="6" fillId="5" borderId="1" pivotButton="0" quotePrefix="0" xfId="0"/>
    <xf numFmtId="17" fontId="6" fillId="0" borderId="1" pivotButton="0" quotePrefix="0" xfId="0"/>
    <xf numFmtId="0" fontId="6" fillId="7" borderId="1" pivotButton="0" quotePrefix="0" xfId="0"/>
    <xf numFmtId="0" fontId="6" fillId="8" borderId="1" pivotButton="0" quotePrefix="0" xfId="0"/>
    <xf numFmtId="0" fontId="6" fillId="9" borderId="1" pivotButton="0" quotePrefix="0" xfId="0"/>
    <xf numFmtId="172" fontId="6" fillId="0" borderId="1" pivotButton="0" quotePrefix="0" xfId="0"/>
    <xf numFmtId="173" fontId="6" fillId="0" borderId="1" pivotButton="0" quotePrefix="0" xfId="0"/>
    <xf numFmtId="0" fontId="5" fillId="3" borderId="1" pivotButton="0" quotePrefix="0" xfId="0"/>
    <xf numFmtId="172" fontId="5" fillId="3" borderId="1" pivotButton="0" quotePrefix="0" xfId="0"/>
    <xf numFmtId="173" fontId="5" fillId="3" borderId="1" pivotButton="0" quotePrefix="0" xfId="0"/>
    <xf numFmtId="174" fontId="6" fillId="0" borderId="1" pivotButton="0" quotePrefix="0" xfId="0"/>
    <xf numFmtId="2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Cost breakdown (₹ Cr)</a:t>
            </a:r>
          </a:p>
        </rich>
      </tx>
    </title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'Summary'!$A$32:$A$37</f>
            </numRef>
          </cat>
          <val>
            <numRef>
              <f>'Summary'!$B$32:$B$37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Developer cash flow (₹ Cr) and funding curve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'Cash Flow'!$B$4:$U$4</f>
            </numRef>
          </cat>
          <val>
            <numRef>
              <f>'Cash Flow'!$B$29:$U$29</f>
            </numRef>
          </val>
        </ser>
        <gapWidth val="150"/>
        <axId val="10"/>
        <axId val="100"/>
      </barChart>
      <lineChart>
        <grouping val="standard"/>
        <ser>
          <idx val="1"/>
          <order val="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'Cash Flow'!$B$30:$U$30</f>
            </numRef>
          </val>
        </ser>
        <axId val="10"/>
        <axId val="2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  <valAx>
        <axId val="200"/>
        <scaling>
          <orientation val="minMax"/>
        </scaling>
        <delete val="0"/>
        <axPos val="l"/>
        <majorGridlines/>
        <majorTickMark val="none"/>
        <minorTickMark val="none"/>
        <crossAx val="10"/>
        <crosses val="max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Probability IRR ≥ X</a:t>
            </a:r>
          </a:p>
        </rich>
      </tx>
    </title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'Monte Carlo'!$A$18:$A$26</f>
            </numRef>
          </cat>
          <val>
            <numRef>
              <f>'Monte Carlo'!$B$18:$B$26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30</row>
      <rowOff>0</rowOff>
    </from>
    <ext cx="57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42</row>
      <rowOff>0</rowOff>
    </from>
    <ext cx="100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3</col>
      <colOff>0</colOff>
      <row>16</row>
      <rowOff>0</rowOff>
    </from>
    <ext cx="504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37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46" customWidth="1" min="3" max="3"/>
    <col width="12" customWidth="1" min="4" max="4"/>
    <col width="30" customWidth="1" min="5" max="5"/>
    <col width="16" customWidth="1" min="6" max="6"/>
    <col width="46" customWidth="1" min="7" max="7"/>
    <col width="12" customWidth="1" min="8" max="8"/>
  </cols>
  <sheetData>
    <row r="1">
      <c r="A1" s="1" t="inlineStr">
        <is>
          <t>Project Aurora (Sample) — Feasibility report</t>
        </is>
      </c>
    </row>
    <row r="2">
      <c r="A2" s="2" t="inlineStr">
        <is>
          <t>Sample City, Rajasthan · Mixed Development · JV deal · scenario: Base Case · generated 26 Oct 2026 11:55 · values, not formulas</t>
        </is>
      </c>
    </row>
    <row r="4">
      <c r="A4" s="3" t="inlineStr">
        <is>
          <t>✔ ALL CHECKS PASSED</t>
        </is>
      </c>
    </row>
    <row r="6">
      <c r="A6" s="4" t="inlineStr">
        <is>
          <t>KEY PERFORMANCE INDICATORS (green = beats benchmark, amber = review)</t>
        </is>
      </c>
      <c r="B6" s="5" t="n"/>
      <c r="C6" s="5" t="n"/>
      <c r="D6" s="5" t="n"/>
      <c r="E6" s="5" t="n"/>
      <c r="F6" s="5" t="n"/>
      <c r="G6" s="5" t="n"/>
      <c r="H6" s="5" t="n"/>
    </row>
    <row r="7">
      <c r="A7" s="6" t="inlineStr">
        <is>
          <t>KPI</t>
        </is>
      </c>
      <c r="B7" s="6" t="inlineStr">
        <is>
          <t>Value</t>
        </is>
      </c>
      <c r="C7" s="6" t="inlineStr">
        <is>
          <t>Detail</t>
        </is>
      </c>
      <c r="D7" s="6" t="inlineStr"/>
      <c r="E7" s="6" t="inlineStr">
        <is>
          <t>KPI</t>
        </is>
      </c>
      <c r="F7" s="6" t="inlineStr">
        <is>
          <t>Value</t>
        </is>
      </c>
      <c r="G7" s="6" t="inlineStr">
        <is>
          <t>Detail</t>
        </is>
      </c>
      <c r="H7" s="6" t="inlineStr"/>
    </row>
    <row r="8">
      <c r="A8" s="7" t="inlineStr">
        <is>
          <t>GDV (total revenue)</t>
        </is>
      </c>
      <c r="B8" s="8" t="inlineStr">
        <is>
          <t>₹803.0 Cr</t>
        </is>
      </c>
      <c r="C8" s="7" t="inlineStr">
        <is>
          <t>₹8,728 per sq ft</t>
        </is>
      </c>
      <c r="D8" s="7" t="inlineStr"/>
      <c r="E8" s="7" t="inlineStr">
        <is>
          <t>Total cost</t>
        </is>
      </c>
      <c r="F8" s="8" t="inlineStr">
        <is>
          <t>₹630.6 Cr</t>
        </is>
      </c>
      <c r="G8" s="7" t="inlineStr">
        <is>
          <t>78.5% of GDV</t>
        </is>
      </c>
      <c r="H8" s="7" t="inlineStr"/>
    </row>
    <row r="9">
      <c r="A9" s="7" t="inlineStr">
        <is>
          <t>EBITDA</t>
        </is>
      </c>
      <c r="B9" s="9" t="inlineStr">
        <is>
          <t>₹172.4 Cr</t>
        </is>
      </c>
      <c r="C9" s="7" t="inlineStr">
        <is>
          <t>21.5% margin · target 20%</t>
        </is>
      </c>
      <c r="D9" s="7" t="inlineStr"/>
      <c r="E9" s="7" t="inlineStr">
        <is>
          <t>PAT</t>
        </is>
      </c>
      <c r="F9" s="9" t="inlineStr">
        <is>
          <t>₹127.6 Cr</t>
        </is>
      </c>
      <c r="G9" s="7" t="inlineStr">
        <is>
          <t>15.9% margin · tax 26.0%</t>
        </is>
      </c>
      <c r="H9" s="7" t="inlineStr"/>
    </row>
    <row r="10">
      <c r="A10" s="7" t="inlineStr">
        <is>
          <t>Developer IRR (pre-tax)</t>
        </is>
      </c>
      <c r="B10" s="9" t="inlineStr">
        <is>
          <t>110.2%</t>
        </is>
      </c>
      <c r="C10" s="7" t="inlineStr">
        <is>
          <t>target 18% · post-tax ≈ 84%</t>
        </is>
      </c>
      <c r="D10" s="7" t="inlineStr"/>
      <c r="E10" s="7" t="inlineStr">
        <is>
          <t>Project IRR</t>
        </is>
      </c>
      <c r="F10" s="9" t="inlineStr">
        <is>
          <t>449.1%</t>
        </is>
      </c>
      <c r="G10" s="7" t="inlineStr">
        <is>
          <t>target 22% · before landowner share</t>
        </is>
      </c>
      <c r="H10" s="7" t="inlineStr"/>
    </row>
    <row r="11">
      <c r="A11" s="7" t="inlineStr">
        <is>
          <t>Developer NPV</t>
        </is>
      </c>
      <c r="B11" s="9" t="inlineStr">
        <is>
          <t>₹90.6 Cr</t>
        </is>
      </c>
      <c r="C11" s="7" t="inlineStr">
        <is>
          <t>at 18% cost of equity</t>
        </is>
      </c>
      <c r="D11" s="7" t="inlineStr"/>
      <c r="E11" s="7" t="inlineStr">
        <is>
          <t>Equity multiple</t>
        </is>
      </c>
      <c r="F11" s="10" t="inlineStr">
        <is>
          <t>1.47x</t>
        </is>
      </c>
      <c r="G11" s="7" t="inlineStr">
        <is>
          <t>target 2.0x · cash multiple 4.4x</t>
        </is>
      </c>
      <c r="H11" s="7" t="inlineStr"/>
    </row>
    <row r="12">
      <c r="A12" s="7" t="inlineStr">
        <is>
          <t>Peak investment</t>
        </is>
      </c>
      <c r="B12" s="8" t="inlineStr">
        <is>
          <t>₹34.3 Cr</t>
        </is>
      </c>
      <c r="C12" s="7" t="inlineStr">
        <is>
          <t>reached in Q2 (Sep 2027)</t>
        </is>
      </c>
      <c r="D12" s="7" t="inlineStr"/>
      <c r="E12" s="7" t="inlineStr">
        <is>
          <t>Payback (developer)</t>
        </is>
      </c>
      <c r="F12" s="8" t="inlineStr">
        <is>
          <t>Q8</t>
        </is>
      </c>
      <c r="G12" s="7" t="inlineStr">
        <is>
          <t>Mar 2029 · first +ve quarter Q3</t>
        </is>
      </c>
      <c r="H12" s="7" t="inlineStr"/>
    </row>
    <row r="13">
      <c r="A13" s="7" t="inlineStr">
        <is>
          <t>ROCE (annualised)</t>
        </is>
      </c>
      <c r="B13" s="9" t="inlineStr">
        <is>
          <t>120.1%</t>
        </is>
      </c>
      <c r="C13" s="7" t="inlineStr">
        <is>
          <t>target 30% · on initial investment</t>
        </is>
      </c>
      <c r="D13" s="7" t="inlineStr"/>
      <c r="E13" s="7" t="inlineStr">
        <is>
          <t>CAGR</t>
        </is>
      </c>
      <c r="F13" s="9" t="inlineStr">
        <is>
          <t>40.3%</t>
        </is>
      </c>
      <c r="G13" s="7" t="inlineStr">
        <is>
          <t>target 30% · over 5.0 yrs</t>
        </is>
      </c>
      <c r="H13" s="7" t="inlineStr"/>
    </row>
    <row r="15">
      <c r="A15" s="4" t="inlineStr">
        <is>
          <t>KEY TAKEAWAYS</t>
        </is>
      </c>
      <c r="B15" s="5" t="n"/>
      <c r="C15" s="5" t="n"/>
      <c r="D15" s="5" t="n"/>
      <c r="E15" s="5" t="n"/>
      <c r="F15" s="5" t="n"/>
      <c r="G15" s="5" t="n"/>
      <c r="H15" s="5" t="n"/>
    </row>
    <row r="16" ht="30" customHeight="1">
      <c r="A16" s="11" t="inlineStr">
        <is>
          <t>1. The project generates ₹803 Cr of revenue against ₹631 Cr of cost – EBITDA ₹172 Cr (21.5%) and PAT ₹128 Cr (15.9%).</t>
        </is>
      </c>
    </row>
    <row r="17" ht="30" customHeight="1">
      <c r="A17" s="11" t="inlineStr">
        <is>
          <t>2. The developer earns a pre-tax IRR of 110% – comfortably above the 18% hurdle – with an NPV of ₹90.6 Cr at the 18% cost of equity.</t>
        </is>
      </c>
    </row>
    <row r="18" ht="30" customHeight="1">
      <c r="A18" s="11" t="inlineStr">
        <is>
          <t>3. Maximum funding needed is ₹34.3 Cr (Q2); the developer gets all of it back by Q8 (Mar 2029) – construction is largely funded by customer collections.</t>
        </is>
      </c>
    </row>
    <row r="19" ht="30" customHeight="1">
      <c r="A19" s="11" t="inlineStr">
        <is>
          <t>4. The landowner receives ₹257.0 Cr (32% revenue share) – about ₹85,653 per sq yd, +43% vs today's market rate – paid out of collections after his ₹18.0 Cr advance is recovered.</t>
        </is>
      </c>
    </row>
    <row r="20" ht="30" customHeight="1">
      <c r="A20" s="11" t="inlineStr">
        <is>
          <t>5. 6 of 7 benchmarks are beaten; review: equity multiple.</t>
        </is>
      </c>
    </row>
    <row r="21" ht="30" customHeight="1">
      <c r="A21" s="11" t="inlineStr">
        <is>
          <t>6. Half of all customer cash is in by Q12; the largest cost after land is 'APT Construction Cost' at ₹174.0 Cr (21.7% of GDV).</t>
        </is>
      </c>
    </row>
    <row r="23">
      <c r="A23" s="4" t="inlineStr">
        <is>
          <t>PROFIT &amp; LOSS (₹ Crore)</t>
        </is>
      </c>
      <c r="B23" s="5" t="n"/>
      <c r="C23" s="5" t="n"/>
      <c r="D23" s="5" t="n"/>
      <c r="E23" s="5" t="n"/>
      <c r="F23" s="5" t="n"/>
      <c r="G23" s="5" t="n"/>
      <c r="H23" s="5" t="n"/>
    </row>
    <row r="24">
      <c r="A24" s="6" t="inlineStr"/>
      <c r="B24" s="6" t="inlineStr">
        <is>
          <t>₹ Crore</t>
        </is>
      </c>
      <c r="C24" s="6" t="inlineStr">
        <is>
          <t>₹ / sq ft</t>
        </is>
      </c>
      <c r="D24" s="6" t="inlineStr">
        <is>
          <t>% of revenue</t>
        </is>
      </c>
    </row>
    <row r="25">
      <c r="A25" s="12" t="inlineStr">
        <is>
          <t>Total revenue (GDV)</t>
        </is>
      </c>
      <c r="B25" s="13" t="n">
        <v>803</v>
      </c>
      <c r="C25" s="14" t="n">
        <v>8728.260869565218</v>
      </c>
      <c r="D25" s="15" t="n">
        <v>1</v>
      </c>
    </row>
    <row r="26">
      <c r="A26" s="7" t="inlineStr">
        <is>
          <t>Total cost</t>
        </is>
      </c>
      <c r="B26" s="16" t="n">
        <v>630.6053209296</v>
      </c>
      <c r="C26" s="17" t="n">
        <v>6854.40566227826</v>
      </c>
      <c r="D26" s="18" t="n">
        <v>0.7853117321663761</v>
      </c>
    </row>
    <row r="27">
      <c r="A27" s="12" t="inlineStr">
        <is>
          <t>EBITDA</t>
        </is>
      </c>
      <c r="B27" s="13" t="n">
        <v>172.3946790704</v>
      </c>
      <c r="C27" s="14" t="n">
        <v>1873.855207286957</v>
      </c>
      <c r="D27" s="15" t="n">
        <v>0.2146882678336239</v>
      </c>
    </row>
    <row r="28">
      <c r="A28" s="7" t="inlineStr">
        <is>
          <t>Tax @ 26.0% (Company)</t>
        </is>
      </c>
      <c r="B28" s="16" t="n">
        <v>44.822616558304</v>
      </c>
      <c r="C28" s="17" t="n">
        <v>487.2023538946087</v>
      </c>
      <c r="D28" s="18" t="n">
        <v>0.05581894963674221</v>
      </c>
    </row>
    <row r="29">
      <c r="A29" s="12" t="inlineStr">
        <is>
          <t>PAT</t>
        </is>
      </c>
      <c r="B29" s="13" t="n">
        <v>127.572062512096</v>
      </c>
      <c r="C29" s="14" t="n">
        <v>1386.652853392348</v>
      </c>
      <c r="D29" s="15" t="n">
        <v>0.1588693181968817</v>
      </c>
    </row>
    <row r="31">
      <c r="A31" s="6" t="inlineStr">
        <is>
          <t>Cost group</t>
        </is>
      </c>
      <c r="B31" s="6" t="inlineStr">
        <is>
          <t>₹ Crore</t>
        </is>
      </c>
    </row>
    <row r="32">
      <c r="A32" s="7" t="inlineStr">
        <is>
          <t>Land / landowner</t>
        </is>
      </c>
      <c r="B32" s="16" t="n">
        <v>259.9807465936</v>
      </c>
    </row>
    <row r="33">
      <c r="A33" s="7" t="inlineStr">
        <is>
          <t>Construction</t>
        </is>
      </c>
      <c r="B33" s="16" t="n">
        <v>270.4</v>
      </c>
    </row>
    <row r="34">
      <c r="A34" s="7" t="inlineStr">
        <is>
          <t>Marketing</t>
        </is>
      </c>
      <c r="B34" s="16" t="n">
        <v>56.21000000000001</v>
      </c>
    </row>
    <row r="35">
      <c r="A35" s="7" t="inlineStr">
        <is>
          <t>Overheads</t>
        </is>
      </c>
      <c r="B35" s="16" t="n">
        <v>32.12</v>
      </c>
    </row>
    <row r="36">
      <c r="A36" s="7" t="inlineStr">
        <is>
          <t>Legal &amp; BAR</t>
        </is>
      </c>
      <c r="B36" s="16" t="n">
        <v>10.054574336</v>
      </c>
    </row>
    <row r="37">
      <c r="A37" s="7" t="inlineStr">
        <is>
          <t>Other</t>
        </is>
      </c>
      <c r="B37" s="16" t="n">
        <v>1.840000000000032</v>
      </c>
    </row>
  </sheetData>
  <mergeCells count="6">
    <mergeCell ref="A18:H18"/>
    <mergeCell ref="A21:H21"/>
    <mergeCell ref="A20:H20"/>
    <mergeCell ref="A16:H16"/>
    <mergeCell ref="A19:H19"/>
    <mergeCell ref="A17:H17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5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2" customWidth="1" min="2" max="2"/>
    <col width="16" customWidth="1" min="3" max="3"/>
    <col width="16" customWidth="1" min="4" max="4"/>
    <col width="14" customWidth="1" min="5" max="5"/>
    <col width="14" customWidth="1" min="6" max="6"/>
    <col width="14" customWidth="1" min="7" max="7"/>
    <col width="12" customWidth="1" min="8" max="8"/>
    <col width="12" customWidth="1" min="9" max="9"/>
    <col width="14" customWidth="1" min="10" max="10"/>
    <col width="24" customWidth="1" min="11" max="11"/>
    <col width="12" customWidth="1" min="12" max="12"/>
    <col width="12" customWidth="1" min="13" max="13"/>
    <col width="14" customWidth="1" min="14" max="14"/>
    <col width="12" customWidth="1" min="15" max="15"/>
    <col width="44" customWidth="1" min="16" max="16"/>
  </cols>
  <sheetData>
    <row r="1">
      <c r="A1" s="1" t="inlineStr">
        <is>
          <t>Inputs used for this report</t>
        </is>
      </c>
    </row>
    <row r="2">
      <c r="A2" s="2" t="inlineStr">
        <is>
          <t>Exactly as entered in the app (percentages shown as %)</t>
        </is>
      </c>
    </row>
    <row r="4">
      <c r="A4" s="4" t="inlineStr">
        <is>
          <t>PROJECT &amp; LAND</t>
        </is>
      </c>
      <c r="B4" s="5" t="n"/>
      <c r="C4" s="5" t="n"/>
      <c r="D4" s="5" t="n"/>
      <c r="E4" s="5" t="n"/>
      <c r="F4" s="5" t="n"/>
    </row>
    <row r="5">
      <c r="A5" s="7" t="inlineStr">
        <is>
          <t>Project name</t>
        </is>
      </c>
      <c r="B5" s="7" t="inlineStr">
        <is>
          <t>Project Aurora (Sample)</t>
        </is>
      </c>
    </row>
    <row r="6">
      <c r="A6" s="7" t="inlineStr">
        <is>
          <t>Location</t>
        </is>
      </c>
      <c r="B6" s="7" t="inlineStr">
        <is>
          <t>Sample City, Rajasthan</t>
        </is>
      </c>
    </row>
    <row r="7">
      <c r="A7" s="7" t="inlineStr">
        <is>
          <t>Project type</t>
        </is>
      </c>
      <c r="B7" s="7" t="inlineStr">
        <is>
          <t>Mixed Development</t>
        </is>
      </c>
    </row>
    <row r="8">
      <c r="A8" s="7" t="inlineStr">
        <is>
          <t>Project start (Q1)</t>
        </is>
      </c>
      <c r="B8" s="19" t="n">
        <v>46568</v>
      </c>
    </row>
    <row r="9">
      <c r="A9" s="7" t="inlineStr">
        <is>
          <t>Deal type</t>
        </is>
      </c>
      <c r="B9" s="7" t="inlineStr">
        <is>
          <t>JV</t>
        </is>
      </c>
    </row>
    <row r="10">
      <c r="A10" s="7" t="inlineStr">
        <is>
          <t>Taxable entity</t>
        </is>
      </c>
      <c r="B10" s="7" t="inlineStr">
        <is>
          <t>Company</t>
        </is>
      </c>
    </row>
    <row r="11">
      <c r="A11" s="7" t="inlineStr">
        <is>
          <t>Active scenario</t>
        </is>
      </c>
      <c r="B11" s="7" t="inlineStr">
        <is>
          <t>Base Case</t>
        </is>
      </c>
    </row>
    <row r="12">
      <c r="A12" s="7" t="inlineStr">
        <is>
          <t>Land area (sq yd)</t>
        </is>
      </c>
      <c r="B12" s="17" t="n">
        <v>30000</v>
      </c>
    </row>
    <row r="13">
      <c r="A13" s="7" t="inlineStr">
        <is>
          <t>Market rate (₹/sq yd)</t>
        </is>
      </c>
      <c r="B13" s="17" t="n">
        <v>60000</v>
      </c>
    </row>
    <row r="14">
      <c r="A14" s="7" t="inlineStr">
        <is>
          <t>DLC rate (₹/sq m)</t>
        </is>
      </c>
      <c r="B14" s="17" t="n">
        <v>13000</v>
      </c>
    </row>
    <row r="15">
      <c r="A15" s="7" t="inlineStr">
        <is>
          <t>Landowner share (JV)</t>
        </is>
      </c>
      <c r="B15" s="18" t="n">
        <v>0.32</v>
      </c>
    </row>
    <row r="16">
      <c r="A16" s="7" t="inlineStr">
        <is>
          <t>Stamp duty JV (% of DLC)</t>
        </is>
      </c>
      <c r="B16" s="20" t="n">
        <v>0.0275</v>
      </c>
    </row>
    <row r="17">
      <c r="A17" s="7" t="inlineStr">
        <is>
          <t>Purchase rate – outright (₹/sq yd)</t>
        </is>
      </c>
      <c r="B17" s="17" t="n">
        <v>60000</v>
      </c>
    </row>
    <row r="18">
      <c r="A18" s="7" t="inlineStr">
        <is>
          <t>Stamp duty – outright</t>
        </is>
      </c>
      <c r="B18" s="20" t="n">
        <v>0.08799999999999999</v>
      </c>
    </row>
    <row r="19">
      <c r="A19" s="7" t="inlineStr">
        <is>
          <t>Land payment curve / start / end</t>
        </is>
      </c>
      <c r="B19" s="7" t="inlineStr">
        <is>
          <t>Upfront Q1–Q1</t>
        </is>
      </c>
    </row>
    <row r="20">
      <c r="A20" s="7" t="inlineStr">
        <is>
          <t>Catch-up lag (quarters)</t>
        </is>
      </c>
      <c r="B20" s="21" t="n">
        <v>1</v>
      </c>
    </row>
    <row r="22">
      <c r="A22" s="4" t="inlineStr">
        <is>
          <t>SCENARIOS &amp; ZONES</t>
        </is>
      </c>
      <c r="B22" s="5" t="n"/>
      <c r="C22" s="5" t="n"/>
      <c r="D22" s="5" t="n"/>
      <c r="E22" s="5" t="n"/>
      <c r="F22" s="5" t="n"/>
    </row>
    <row r="23">
      <c r="A23" s="6" t="inlineStr">
        <is>
          <t>Scenario</t>
        </is>
      </c>
      <c r="B23" s="6" t="inlineStr">
        <is>
          <t>Sales period ×</t>
        </is>
      </c>
      <c r="C23" s="6" t="inlineStr">
        <is>
          <t>Price change</t>
        </is>
      </c>
      <c r="D23" s="6" t="inlineStr">
        <is>
          <t>Cost change</t>
        </is>
      </c>
      <c r="E23" s="6" t="inlineStr">
        <is>
          <t>Delay (Q)</t>
        </is>
      </c>
    </row>
    <row r="24">
      <c r="A24" s="7" t="inlineStr">
        <is>
          <t>Best Case</t>
        </is>
      </c>
      <c r="B24" s="22" t="n">
        <v>0.75</v>
      </c>
      <c r="C24" s="18" t="n">
        <v>0.05</v>
      </c>
      <c r="D24" s="18" t="n">
        <v>0</v>
      </c>
      <c r="E24" s="21" t="n">
        <v>0</v>
      </c>
    </row>
    <row r="25">
      <c r="A25" s="7" t="inlineStr">
        <is>
          <t>Base Case</t>
        </is>
      </c>
      <c r="B25" s="22" t="n">
        <v>1</v>
      </c>
      <c r="C25" s="18" t="n">
        <v>0</v>
      </c>
      <c r="D25" s="18" t="n">
        <v>0</v>
      </c>
      <c r="E25" s="21" t="n">
        <v>0</v>
      </c>
    </row>
    <row r="26">
      <c r="A26" s="7" t="inlineStr">
        <is>
          <t>Worst Case</t>
        </is>
      </c>
      <c r="B26" s="22" t="n">
        <v>1.5</v>
      </c>
      <c r="C26" s="18" t="n">
        <v>-0.075</v>
      </c>
      <c r="D26" s="18" t="n">
        <v>0.075</v>
      </c>
      <c r="E26" s="21" t="n">
        <v>2</v>
      </c>
    </row>
    <row r="27">
      <c r="A27" s="6" t="inlineStr">
        <is>
          <t>Zone</t>
        </is>
      </c>
      <c r="B27" s="6" t="inlineStr">
        <is>
          <t>Share of land</t>
        </is>
      </c>
    </row>
    <row r="28">
      <c r="A28" s="7" t="inlineStr">
        <is>
          <t>Villa Development</t>
        </is>
      </c>
      <c r="B28" s="18" t="n">
        <v>0.35</v>
      </c>
    </row>
    <row r="29">
      <c r="A29" s="7" t="inlineStr">
        <is>
          <t>Apartment Development</t>
        </is>
      </c>
      <c r="B29" s="18" t="n">
        <v>0.5</v>
      </c>
    </row>
    <row r="30">
      <c r="A30" s="7" t="inlineStr">
        <is>
          <t>Plotted Development</t>
        </is>
      </c>
      <c r="B30" s="18" t="n">
        <v>0.15</v>
      </c>
    </row>
    <row r="31">
      <c r="A31" s="7" t="inlineStr">
        <is>
          <t>Other / Clubhouse</t>
        </is>
      </c>
      <c r="B31" s="18" t="n">
        <v>0</v>
      </c>
    </row>
    <row r="33">
      <c r="A33" s="4" t="inlineStr">
        <is>
          <t>PRODUCTS (with final timing)</t>
        </is>
      </c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</row>
    <row r="34">
      <c r="A34" s="6" t="inlineStr">
        <is>
          <t>Product</t>
        </is>
      </c>
      <c r="B34" s="6" t="inlineStr">
        <is>
          <t>Zone</t>
        </is>
      </c>
      <c r="C34" s="6" t="inlineStr">
        <is>
          <t>Category</t>
        </is>
      </c>
      <c r="D34" s="6" t="inlineStr">
        <is>
          <t>Included</t>
        </is>
      </c>
      <c r="E34" s="6" t="inlineStr">
        <is>
          <t>Area (sq ft)</t>
        </is>
      </c>
      <c r="F34" s="6" t="inlineStr">
        <is>
          <t>Rate ₹/sq ft</t>
        </is>
      </c>
      <c r="G34" s="6" t="inlineStr">
        <is>
          <t>Constr. ₹/sq ft</t>
        </is>
      </c>
      <c r="H34" s="6" t="inlineStr">
        <is>
          <t>Sales period</t>
        </is>
      </c>
      <c r="I34" s="6" t="inlineStr">
        <is>
          <t>Sales curve</t>
        </is>
      </c>
      <c r="J34" s="6" t="inlineStr">
        <is>
          <t>Constr. qtrs</t>
        </is>
      </c>
      <c r="K34" s="6" t="inlineStr">
        <is>
          <t>Payment plan</t>
        </is>
      </c>
      <c r="L34" s="6" t="inlineStr">
        <is>
          <t>Launch</t>
        </is>
      </c>
      <c r="M34" s="6" t="inlineStr">
        <is>
          <t>Sales end</t>
        </is>
      </c>
      <c r="N34" s="6" t="inlineStr">
        <is>
          <t>Constr. start</t>
        </is>
      </c>
      <c r="O34" s="6" t="inlineStr">
        <is>
          <t>Constr. end</t>
        </is>
      </c>
      <c r="P34" s="6" t="inlineStr">
        <is>
          <t>How timing was decided</t>
        </is>
      </c>
    </row>
    <row r="35">
      <c r="A35" s="7" t="inlineStr">
        <is>
          <t>Villas</t>
        </is>
      </c>
      <c r="B35" s="7" t="inlineStr">
        <is>
          <t>Villa Development</t>
        </is>
      </c>
      <c r="C35" s="7" t="inlineStr">
        <is>
          <t>Villa</t>
        </is>
      </c>
      <c r="D35" s="7" t="inlineStr">
        <is>
          <t>Yes</t>
        </is>
      </c>
      <c r="E35" s="17" t="n">
        <v>250000</v>
      </c>
      <c r="F35" s="17" t="n">
        <v>11000</v>
      </c>
      <c r="G35" s="17" t="n">
        <v>2900</v>
      </c>
      <c r="H35" s="21" t="n">
        <v>8</v>
      </c>
      <c r="I35" s="7" t="inlineStr">
        <is>
          <t>Front-loaded</t>
        </is>
      </c>
      <c r="J35" s="21" t="n">
        <v>12</v>
      </c>
      <c r="K35" s="7" t="inlineStr">
        <is>
          <t>CLP – Villa</t>
        </is>
      </c>
      <c r="L35" s="23" t="n">
        <v>3</v>
      </c>
      <c r="M35" s="23" t="n">
        <v>10</v>
      </c>
      <c r="N35" s="23" t="n">
        <v>4</v>
      </c>
      <c r="O35" s="23" t="n">
        <v>15</v>
      </c>
      <c r="P35" s="7" t="inlineStr">
        <is>
          <t>Launch Q3 (fixed)  |  Construction Q4 (1 qtr(s) after own launch)</t>
        </is>
      </c>
    </row>
    <row r="36">
      <c r="A36" s="7" t="inlineStr">
        <is>
          <t>Apartments – Towers A &amp; B</t>
        </is>
      </c>
      <c r="B36" s="7" t="inlineStr">
        <is>
          <t>Apartment Development</t>
        </is>
      </c>
      <c r="C36" s="7" t="inlineStr">
        <is>
          <t>Apartment</t>
        </is>
      </c>
      <c r="D36" s="7" t="inlineStr">
        <is>
          <t>Yes</t>
        </is>
      </c>
      <c r="E36" s="17" t="n">
        <v>600000</v>
      </c>
      <c r="F36" s="17" t="n">
        <v>7500</v>
      </c>
      <c r="G36" s="17" t="n">
        <v>2900</v>
      </c>
      <c r="H36" s="21" t="n">
        <v>12</v>
      </c>
      <c r="I36" s="7" t="inlineStr">
        <is>
          <t>Even</t>
        </is>
      </c>
      <c r="J36" s="21" t="n">
        <v>16</v>
      </c>
      <c r="K36" s="7" t="inlineStr">
        <is>
          <t>CLP – Apartment</t>
        </is>
      </c>
      <c r="L36" s="23" t="n">
        <v>4</v>
      </c>
      <c r="M36" s="23" t="n">
        <v>15</v>
      </c>
      <c r="N36" s="23" t="n">
        <v>5</v>
      </c>
      <c r="O36" s="23" t="n">
        <v>20</v>
      </c>
      <c r="P36" s="7" t="inlineStr">
        <is>
          <t>Launch Q4 (1 qtr(s) after Villas – launch)  |  Construction Q5 (1 qtr(s) after own launch)</t>
        </is>
      </c>
    </row>
    <row r="37">
      <c r="A37" s="7" t="inlineStr">
        <is>
          <t>Studios</t>
        </is>
      </c>
      <c r="B37" s="7" t="inlineStr">
        <is>
          <t>Apartment Development</t>
        </is>
      </c>
      <c r="C37" s="7" t="inlineStr">
        <is>
          <t>Studio</t>
        </is>
      </c>
      <c r="D37" s="7" t="inlineStr">
        <is>
          <t>Yes</t>
        </is>
      </c>
      <c r="E37" s="17" t="n">
        <v>40000</v>
      </c>
      <c r="F37" s="17" t="n">
        <v>9000</v>
      </c>
      <c r="G37" s="17" t="n">
        <v>3800</v>
      </c>
      <c r="H37" s="21" t="n">
        <v>8</v>
      </c>
      <c r="I37" s="7" t="inlineStr">
        <is>
          <t>Even</t>
        </is>
      </c>
      <c r="J37" s="21" t="n">
        <v>12</v>
      </c>
      <c r="K37" s="7" t="inlineStr">
        <is>
          <t>CLP – Apartment</t>
        </is>
      </c>
      <c r="L37" s="23" t="n">
        <v>6</v>
      </c>
      <c r="M37" s="23" t="n">
        <v>13</v>
      </c>
      <c r="N37" s="23" t="n">
        <v>6</v>
      </c>
      <c r="O37" s="23" t="n">
        <v>17</v>
      </c>
      <c r="P37" s="7" t="inlineStr">
        <is>
          <t>Launch Q6 (1 qtr(s) after Apartments – Towers A &amp; B – construction start)  |  Construction Q6 (0 qtr(s) after own launch)</t>
        </is>
      </c>
    </row>
    <row r="38">
      <c r="A38" s="7" t="inlineStr">
        <is>
          <t>High-street retail</t>
        </is>
      </c>
      <c r="B38" s="7" t="inlineStr">
        <is>
          <t>Apartment Development</t>
        </is>
      </c>
      <c r="C38" s="7" t="inlineStr">
        <is>
          <t>Commercial</t>
        </is>
      </c>
      <c r="D38" s="7" t="inlineStr">
        <is>
          <t>Yes</t>
        </is>
      </c>
      <c r="E38" s="17" t="n">
        <v>30000</v>
      </c>
      <c r="F38" s="17" t="n">
        <v>14000</v>
      </c>
      <c r="G38" s="17" t="n">
        <v>2900</v>
      </c>
      <c r="H38" s="21" t="n">
        <v>8</v>
      </c>
      <c r="I38" s="7" t="inlineStr">
        <is>
          <t>Back-loaded</t>
        </is>
      </c>
      <c r="J38" s="21" t="n">
        <v>12</v>
      </c>
      <c r="K38" s="7" t="inlineStr">
        <is>
          <t>Down Payment Plan</t>
        </is>
      </c>
      <c r="L38" s="23" t="n">
        <v>8</v>
      </c>
      <c r="M38" s="23" t="n">
        <v>15</v>
      </c>
      <c r="N38" s="23" t="n">
        <v>6</v>
      </c>
      <c r="O38" s="23" t="n">
        <v>17</v>
      </c>
      <c r="P38" s="7" t="inlineStr">
        <is>
          <t>Launch Q8 (4 qtr(s) after Apartments – Towers A &amp; B – launch)  |  Construction Q6 (1 qtr(s) after Apartments – Towers A &amp; B – construction start)</t>
        </is>
      </c>
    </row>
    <row r="39">
      <c r="A39" s="7" t="inlineStr">
        <is>
          <t>Residential plots</t>
        </is>
      </c>
      <c r="B39" s="7" t="inlineStr">
        <is>
          <t>Plotted Development</t>
        </is>
      </c>
      <c r="C39" s="7" t="inlineStr">
        <is>
          <t>Plot</t>
        </is>
      </c>
      <c r="D39" s="7" t="inlineStr">
        <is>
          <t>No</t>
        </is>
      </c>
      <c r="E39" s="17" t="n">
        <v>150000</v>
      </c>
      <c r="F39" s="17" t="n">
        <v>4500</v>
      </c>
      <c r="G39" s="17" t="n">
        <v>450</v>
      </c>
      <c r="H39" s="21" t="n">
        <v>8</v>
      </c>
      <c r="I39" s="7" t="inlineStr">
        <is>
          <t>Even</t>
        </is>
      </c>
      <c r="J39" s="21" t="n">
        <v>8</v>
      </c>
      <c r="K39" s="7" t="inlineStr">
        <is>
          <t>Plot – Development Linked</t>
        </is>
      </c>
      <c r="L39" s="23" t="n"/>
      <c r="M39" s="23" t="n"/>
      <c r="N39" s="23" t="n"/>
      <c r="O39" s="23" t="n"/>
      <c r="P39" s="7" t="inlineStr">
        <is>
          <t>not active</t>
        </is>
      </c>
    </row>
    <row r="40">
      <c r="A40" s="7" t="inlineStr">
        <is>
          <t>Institutional plots</t>
        </is>
      </c>
      <c r="B40" s="7" t="inlineStr">
        <is>
          <t>Plotted Development</t>
        </is>
      </c>
      <c r="C40" s="7" t="inlineStr">
        <is>
          <t>Institutional</t>
        </is>
      </c>
      <c r="D40" s="7" t="inlineStr">
        <is>
          <t>No</t>
        </is>
      </c>
      <c r="E40" s="17" t="n">
        <v>30000</v>
      </c>
      <c r="F40" s="17" t="n">
        <v>4000</v>
      </c>
      <c r="G40" s="17" t="n">
        <v>400</v>
      </c>
      <c r="H40" s="21" t="n">
        <v>8</v>
      </c>
      <c r="I40" s="7" t="inlineStr">
        <is>
          <t>Even</t>
        </is>
      </c>
      <c r="J40" s="21" t="n">
        <v>8</v>
      </c>
      <c r="K40" s="7" t="inlineStr">
        <is>
          <t>Plot – Development Linked</t>
        </is>
      </c>
      <c r="L40" s="23" t="n"/>
      <c r="M40" s="23" t="n"/>
      <c r="N40" s="23" t="n"/>
      <c r="O40" s="23" t="n"/>
      <c r="P40" s="7" t="inlineStr">
        <is>
          <t>not active</t>
        </is>
      </c>
    </row>
    <row r="41">
      <c r="A41" s="7" t="inlineStr">
        <is>
          <t>EWS / LIG plots</t>
        </is>
      </c>
      <c r="B41" s="7" t="inlineStr">
        <is>
          <t>Plotted Development</t>
        </is>
      </c>
      <c r="C41" s="7" t="inlineStr">
        <is>
          <t>EWS/LIG</t>
        </is>
      </c>
      <c r="D41" s="7" t="inlineStr">
        <is>
          <t>No</t>
        </is>
      </c>
      <c r="E41" s="17" t="n">
        <v>20000</v>
      </c>
      <c r="F41" s="17" t="n">
        <v>1500</v>
      </c>
      <c r="G41" s="17" t="n">
        <v>400</v>
      </c>
      <c r="H41" s="21" t="n">
        <v>8</v>
      </c>
      <c r="I41" s="7" t="inlineStr">
        <is>
          <t>Even</t>
        </is>
      </c>
      <c r="J41" s="21" t="n">
        <v>8</v>
      </c>
      <c r="K41" s="7" t="inlineStr">
        <is>
          <t>Plot – Development Linked</t>
        </is>
      </c>
      <c r="L41" s="23" t="n"/>
      <c r="M41" s="23" t="n"/>
      <c r="N41" s="23" t="n"/>
      <c r="O41" s="23" t="n"/>
      <c r="P41" s="7" t="inlineStr">
        <is>
          <t>not active</t>
        </is>
      </c>
    </row>
    <row r="43">
      <c r="A43" s="4" t="inlineStr">
        <is>
          <t>COST HEADS</t>
        </is>
      </c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</row>
    <row r="44">
      <c r="A44" s="6" t="inlineStr">
        <is>
          <t>Cost head</t>
        </is>
      </c>
      <c r="B44" s="6" t="inlineStr">
        <is>
          <t>Input 1</t>
        </is>
      </c>
      <c r="C44" s="6" t="inlineStr">
        <is>
          <t>Input 2 / basis</t>
        </is>
      </c>
      <c r="D44" s="6" t="inlineStr">
        <is>
          <t>Applicable</t>
        </is>
      </c>
      <c r="E44" s="6" t="inlineStr">
        <is>
          <t>Phasing curve</t>
        </is>
      </c>
      <c r="F44" s="6" t="inlineStr">
        <is>
          <t>Start Q</t>
        </is>
      </c>
      <c r="G44" s="6" t="inlineStr">
        <is>
          <t>End Q</t>
        </is>
      </c>
      <c r="H44" s="6" t="inlineStr">
        <is>
          <t>Amount ₹ Cr</t>
        </is>
      </c>
      <c r="I44" s="6" t="inlineStr">
        <is>
          <t>₹ / sq ft</t>
        </is>
      </c>
      <c r="J44" s="6" t="inlineStr">
        <is>
          <t>% of GDV</t>
        </is>
      </c>
    </row>
    <row r="45">
      <c r="A45" s="7" t="inlineStr">
        <is>
          <t>Land Cost</t>
        </is>
      </c>
      <c r="B45" s="24" t="n"/>
      <c r="C45" s="7" t="n"/>
      <c r="D45" s="7" t="inlineStr">
        <is>
          <t>Yes</t>
        </is>
      </c>
      <c r="E45" s="7" t="inlineStr">
        <is>
          <t>Follow Collections</t>
        </is>
      </c>
      <c r="F45" s="21" t="n"/>
      <c r="G45" s="21" t="n"/>
      <c r="H45" s="16" t="n">
        <v>256.96</v>
      </c>
      <c r="I45" s="17" t="n">
        <v>2793.04347826087</v>
      </c>
      <c r="J45" s="20" t="n">
        <v>0.32</v>
      </c>
    </row>
    <row r="46">
      <c r="A46" s="7" t="inlineStr">
        <is>
          <t>Stamp Duty</t>
        </is>
      </c>
      <c r="B46" s="24" t="n"/>
      <c r="C46" s="7" t="n"/>
      <c r="D46" s="7" t="inlineStr">
        <is>
          <t>Yes</t>
        </is>
      </c>
      <c r="E46" s="7" t="inlineStr">
        <is>
          <t>Upfront</t>
        </is>
      </c>
      <c r="F46" s="21" t="n">
        <v>1</v>
      </c>
      <c r="G46" s="21" t="n">
        <v>1</v>
      </c>
      <c r="H46" s="16" t="n">
        <v>0.8967465935999999</v>
      </c>
      <c r="I46" s="17" t="n">
        <v>9.747245582608695</v>
      </c>
      <c r="J46" s="20" t="n">
        <v>0.001116745446575342</v>
      </c>
    </row>
    <row r="47">
      <c r="A47" s="7" t="inlineStr">
        <is>
          <t>Brokerage</t>
        </is>
      </c>
      <c r="B47" s="24" t="n">
        <v>0.0118</v>
      </c>
      <c r="C47" s="7" t="n"/>
      <c r="D47" s="7" t="inlineStr">
        <is>
          <t>Yes</t>
        </is>
      </c>
      <c r="E47" s="7" t="inlineStr">
        <is>
          <t>Upfront</t>
        </is>
      </c>
      <c r="F47" s="21" t="n">
        <v>1</v>
      </c>
      <c r="G47" s="21" t="n">
        <v>1</v>
      </c>
      <c r="H47" s="16" t="n">
        <v>2.124</v>
      </c>
      <c r="I47" s="17" t="n">
        <v>23.08695652173913</v>
      </c>
      <c r="J47" s="20" t="n">
        <v>0.002645080946450809</v>
      </c>
    </row>
    <row r="48">
      <c r="A48" s="7" t="inlineStr">
        <is>
          <t>Villa Construction Cost</t>
        </is>
      </c>
      <c r="B48" s="24" t="n"/>
      <c r="C48" s="7" t="n"/>
      <c r="D48" s="7" t="inlineStr">
        <is>
          <t>Yes</t>
        </is>
      </c>
      <c r="E48" s="7" t="inlineStr">
        <is>
          <t>Follow Construction</t>
        </is>
      </c>
      <c r="F48" s="21" t="n"/>
      <c r="G48" s="21" t="n"/>
      <c r="H48" s="16" t="n">
        <v>72.5</v>
      </c>
      <c r="I48" s="17" t="n">
        <v>788.0434782608696</v>
      </c>
      <c r="J48" s="20" t="n">
        <v>0.09028642590286426</v>
      </c>
    </row>
    <row r="49">
      <c r="A49" s="7" t="inlineStr">
        <is>
          <t>APT Construction Cost</t>
        </is>
      </c>
      <c r="B49" s="24" t="n"/>
      <c r="C49" s="7" t="n"/>
      <c r="D49" s="7" t="inlineStr">
        <is>
          <t>Yes</t>
        </is>
      </c>
      <c r="E49" s="7" t="inlineStr">
        <is>
          <t>Follow Construction</t>
        </is>
      </c>
      <c r="F49" s="21" t="n"/>
      <c r="G49" s="21" t="n"/>
      <c r="H49" s="16" t="n">
        <v>174</v>
      </c>
      <c r="I49" s="17" t="n">
        <v>1891.304347826087</v>
      </c>
      <c r="J49" s="20" t="n">
        <v>0.2166874221668742</v>
      </c>
    </row>
    <row r="50">
      <c r="A50" s="7" t="inlineStr">
        <is>
          <t>Studio Construction cost with furnishing</t>
        </is>
      </c>
      <c r="B50" s="24" t="n"/>
      <c r="C50" s="7" t="n"/>
      <c r="D50" s="7" t="inlineStr">
        <is>
          <t>Yes</t>
        </is>
      </c>
      <c r="E50" s="7" t="inlineStr">
        <is>
          <t>Follow Construction</t>
        </is>
      </c>
      <c r="F50" s="21" t="n"/>
      <c r="G50" s="21" t="n"/>
      <c r="H50" s="16" t="n">
        <v>15.2</v>
      </c>
      <c r="I50" s="17" t="n">
        <v>165.2173913043478</v>
      </c>
      <c r="J50" s="20" t="n">
        <v>0.01892901618929016</v>
      </c>
    </row>
    <row r="51">
      <c r="A51" s="7" t="inlineStr">
        <is>
          <t>Plotted Construction Development Cost</t>
        </is>
      </c>
      <c r="B51" s="24" t="n"/>
      <c r="C51" s="7" t="n"/>
      <c r="D51" s="7" t="inlineStr">
        <is>
          <t>Yes</t>
        </is>
      </c>
      <c r="E51" s="7" t="inlineStr">
        <is>
          <t>Follow Construction</t>
        </is>
      </c>
      <c r="F51" s="21" t="n"/>
      <c r="G51" s="21" t="n"/>
      <c r="H51" s="16" t="n">
        <v>0</v>
      </c>
      <c r="I51" s="17" t="n">
        <v>0</v>
      </c>
      <c r="J51" s="20" t="n">
        <v>0</v>
      </c>
    </row>
    <row r="52">
      <c r="A52" s="7" t="inlineStr">
        <is>
          <t>Institutional Plotted Development Cost</t>
        </is>
      </c>
      <c r="B52" s="24" t="n"/>
      <c r="C52" s="7" t="n"/>
      <c r="D52" s="7" t="inlineStr">
        <is>
          <t>Yes</t>
        </is>
      </c>
      <c r="E52" s="7" t="inlineStr">
        <is>
          <t>Follow Construction</t>
        </is>
      </c>
      <c r="F52" s="21" t="n"/>
      <c r="G52" s="21" t="n"/>
      <c r="H52" s="16" t="n">
        <v>0</v>
      </c>
      <c r="I52" s="17" t="n">
        <v>0</v>
      </c>
      <c r="J52" s="20" t="n">
        <v>0</v>
      </c>
    </row>
    <row r="53">
      <c r="A53" s="7" t="inlineStr">
        <is>
          <t>Commercial Construction Cost</t>
        </is>
      </c>
      <c r="B53" s="24" t="n"/>
      <c r="C53" s="7" t="n"/>
      <c r="D53" s="7" t="inlineStr">
        <is>
          <t>Yes</t>
        </is>
      </c>
      <c r="E53" s="7" t="inlineStr">
        <is>
          <t>Follow Construction</t>
        </is>
      </c>
      <c r="F53" s="21" t="n"/>
      <c r="G53" s="21" t="n"/>
      <c r="H53" s="16" t="n">
        <v>8.699999999999999</v>
      </c>
      <c r="I53" s="17" t="n">
        <v>94.56521739130434</v>
      </c>
      <c r="J53" s="20" t="n">
        <v>0.01083437110834371</v>
      </c>
    </row>
    <row r="54">
      <c r="A54" s="7" t="inlineStr">
        <is>
          <t>EWS/LIG plots development cost</t>
        </is>
      </c>
      <c r="B54" s="24" t="n"/>
      <c r="C54" s="7" t="n"/>
      <c r="D54" s="7" t="inlineStr">
        <is>
          <t>Yes</t>
        </is>
      </c>
      <c r="E54" s="7" t="inlineStr">
        <is>
          <t>Follow Construction</t>
        </is>
      </c>
      <c r="F54" s="21" t="n"/>
      <c r="G54" s="21" t="n"/>
      <c r="H54" s="16" t="n">
        <v>0</v>
      </c>
      <c r="I54" s="17" t="n">
        <v>0</v>
      </c>
      <c r="J54" s="20" t="n">
        <v>0</v>
      </c>
    </row>
    <row r="55">
      <c r="A55" s="7" t="inlineStr">
        <is>
          <t>Corporate Overheads (Rs/Sq Ft SA)</t>
        </is>
      </c>
      <c r="B55" s="24" t="n">
        <v>0.04</v>
      </c>
      <c r="C55" s="7" t="n"/>
      <c r="D55" s="7" t="inlineStr">
        <is>
          <t>Yes</t>
        </is>
      </c>
      <c r="E55" s="7" t="inlineStr">
        <is>
          <t>Follow Project Life</t>
        </is>
      </c>
      <c r="F55" s="21" t="n"/>
      <c r="G55" s="21" t="n"/>
      <c r="H55" s="16" t="n">
        <v>32.12</v>
      </c>
      <c r="I55" s="17" t="n">
        <v>349.1304347826087</v>
      </c>
      <c r="J55" s="20" t="n">
        <v>0.03999999999999999</v>
      </c>
    </row>
    <row r="56">
      <c r="A56" s="7" t="inlineStr">
        <is>
          <t>Marketing &amp; Sales @ %</t>
        </is>
      </c>
      <c r="B56" s="24" t="n">
        <v>0.07000000000000001</v>
      </c>
      <c r="C56" s="7" t="n">
        <v>0.05</v>
      </c>
      <c r="D56" s="7" t="inlineStr">
        <is>
          <t>Yes</t>
        </is>
      </c>
      <c r="E56" s="7" t="inlineStr">
        <is>
          <t>Follow Sales</t>
        </is>
      </c>
      <c r="F56" s="21" t="n"/>
      <c r="G56" s="21" t="n"/>
      <c r="H56" s="16" t="n">
        <v>56.21000000000001</v>
      </c>
      <c r="I56" s="17" t="n">
        <v>610.9782608695654</v>
      </c>
      <c r="J56" s="20" t="n">
        <v>0.07000000000000001</v>
      </c>
    </row>
    <row r="57">
      <c r="A57" s="7" t="inlineStr">
        <is>
          <t>Legal &amp; Compliance (Rs/Sq Ft SA)</t>
        </is>
      </c>
      <c r="B57" s="24" t="n">
        <v>75</v>
      </c>
      <c r="C57" s="7" t="n"/>
      <c r="D57" s="7" t="inlineStr">
        <is>
          <t>Yes</t>
        </is>
      </c>
      <c r="E57" s="7" t="inlineStr">
        <is>
          <t>Front-loaded</t>
        </is>
      </c>
      <c r="F57" s="21" t="n">
        <v>1</v>
      </c>
      <c r="G57" s="21" t="n">
        <v>8</v>
      </c>
      <c r="H57" s="16" t="n">
        <v>6.9</v>
      </c>
      <c r="I57" s="17" t="n">
        <v>75</v>
      </c>
      <c r="J57" s="20" t="n">
        <v>0.008592777085927771</v>
      </c>
    </row>
    <row r="58">
      <c r="A58" s="7" t="inlineStr">
        <is>
          <t>EWS / LIG @ Rs/Sq Ft (Builtup)</t>
        </is>
      </c>
      <c r="B58" s="24" t="n">
        <v>400</v>
      </c>
      <c r="C58" s="7" t="n">
        <v>0.05</v>
      </c>
      <c r="D58" s="7" t="inlineStr">
        <is>
          <t>Yes</t>
        </is>
      </c>
      <c r="E58" s="7" t="inlineStr">
        <is>
          <t>Follow Construction</t>
        </is>
      </c>
      <c r="F58" s="21" t="n"/>
      <c r="G58" s="21" t="n"/>
      <c r="H58" s="16" t="n">
        <v>1.84</v>
      </c>
      <c r="I58" s="17" t="n">
        <v>20</v>
      </c>
      <c r="J58" s="20" t="n">
        <v>0.002291407222914072</v>
      </c>
    </row>
    <row r="59">
      <c r="A59" s="7" t="inlineStr">
        <is>
          <t>Contingency @ %</t>
        </is>
      </c>
      <c r="B59" s="24" t="n">
        <v>0</v>
      </c>
      <c r="C59" s="7" t="inlineStr">
        <is>
          <t>Construction cost</t>
        </is>
      </c>
      <c r="D59" s="7" t="inlineStr">
        <is>
          <t>Yes</t>
        </is>
      </c>
      <c r="E59" s="7" t="inlineStr">
        <is>
          <t>Follow Construction</t>
        </is>
      </c>
      <c r="F59" s="21" t="n"/>
      <c r="G59" s="21" t="n"/>
      <c r="H59" s="16" t="n">
        <v>0</v>
      </c>
      <c r="I59" s="17" t="n">
        <v>0</v>
      </c>
      <c r="J59" s="20" t="n">
        <v>0</v>
      </c>
    </row>
    <row r="60">
      <c r="A60" s="7" t="inlineStr">
        <is>
          <t>External Development &amp; Landscaping</t>
        </is>
      </c>
      <c r="B60" s="24" t="n">
        <v>0</v>
      </c>
      <c r="C60" s="7" t="inlineStr">
        <is>
          <t>Rs/sq ft (total saleable area)</t>
        </is>
      </c>
      <c r="D60" s="7" t="inlineStr">
        <is>
          <t>Yes</t>
        </is>
      </c>
      <c r="E60" s="7" t="inlineStr">
        <is>
          <t>Follow Construction</t>
        </is>
      </c>
      <c r="F60" s="21" t="n"/>
      <c r="G60" s="21" t="n"/>
      <c r="H60" s="16" t="n">
        <v>0</v>
      </c>
      <c r="I60" s="17" t="n">
        <v>0</v>
      </c>
      <c r="J60" s="20" t="n">
        <v>0</v>
      </c>
    </row>
    <row r="61">
      <c r="A61" s="7" t="inlineStr">
        <is>
          <t>Hotel Brand Key fee Rs 50K per Key for smaller brand</t>
        </is>
      </c>
      <c r="B61" s="24" t="n">
        <v>50000</v>
      </c>
      <c r="C61" s="7" t="n">
        <v>0</v>
      </c>
      <c r="D61" s="7" t="inlineStr">
        <is>
          <t>Yes</t>
        </is>
      </c>
      <c r="E61" s="7" t="inlineStr">
        <is>
          <t>Follow Construction</t>
        </is>
      </c>
      <c r="F61" s="21" t="n"/>
      <c r="G61" s="21" t="n"/>
      <c r="H61" s="16" t="n">
        <v>0</v>
      </c>
      <c r="I61" s="17" t="n">
        <v>0</v>
      </c>
      <c r="J61" s="20" t="n">
        <v>0</v>
      </c>
    </row>
    <row r="62">
      <c r="A62" s="7" t="inlineStr">
        <is>
          <t>Furnishing Cost for Studios</t>
        </is>
      </c>
      <c r="B62" s="24" t="n">
        <v>500</v>
      </c>
      <c r="C62" s="7" t="n"/>
      <c r="D62" s="7" t="inlineStr">
        <is>
          <t>No</t>
        </is>
      </c>
      <c r="E62" s="7" t="inlineStr">
        <is>
          <t>Follow Construction</t>
        </is>
      </c>
      <c r="F62" s="21" t="n"/>
      <c r="G62" s="21" t="n"/>
      <c r="H62" s="16" t="n">
        <v>0</v>
      </c>
      <c r="I62" s="17" t="n">
        <v>0</v>
      </c>
      <c r="J62" s="20" t="n">
        <v>0</v>
      </c>
    </row>
    <row r="63">
      <c r="A63" s="7" t="inlineStr">
        <is>
          <t>GST cost in case of commercial/Plotting development</t>
        </is>
      </c>
      <c r="B63" s="24" t="n">
        <v>0.18</v>
      </c>
      <c r="C63" s="7" t="n">
        <v>0.2</v>
      </c>
      <c r="D63" s="7" t="inlineStr">
        <is>
          <t>No</t>
        </is>
      </c>
      <c r="E63" s="7" t="inlineStr">
        <is>
          <t>At Project End</t>
        </is>
      </c>
      <c r="F63" s="21" t="n"/>
      <c r="G63" s="21" t="n"/>
      <c r="H63" s="16" t="n">
        <v>0</v>
      </c>
      <c r="I63" s="17" t="n">
        <v>0</v>
      </c>
      <c r="J63" s="20" t="n">
        <v>0</v>
      </c>
    </row>
    <row r="64">
      <c r="A64" s="7" t="inlineStr">
        <is>
          <t>AIF Cost</t>
        </is>
      </c>
      <c r="B64" s="24" t="n"/>
      <c r="C64" s="7" t="n"/>
      <c r="D64" s="7" t="inlineStr">
        <is>
          <t>No</t>
        </is>
      </c>
      <c r="E64" s="7" t="inlineStr">
        <is>
          <t>Follow Project Life</t>
        </is>
      </c>
      <c r="F64" s="21" t="n"/>
      <c r="G64" s="21" t="n"/>
      <c r="H64" s="16" t="n">
        <v>0</v>
      </c>
      <c r="I64" s="17" t="n">
        <v>0</v>
      </c>
      <c r="J64" s="20" t="n">
        <v>0</v>
      </c>
    </row>
    <row r="65">
      <c r="A65" s="7" t="inlineStr">
        <is>
          <t>BAR / Premium FAR Cost</t>
        </is>
      </c>
      <c r="B65" s="24" t="n"/>
      <c r="C65" s="7" t="n"/>
      <c r="D65" s="7" t="inlineStr">
        <is>
          <t>Yes</t>
        </is>
      </c>
      <c r="E65" s="7" t="inlineStr">
        <is>
          <t>Upfront</t>
        </is>
      </c>
      <c r="F65" s="21" t="n">
        <v>2</v>
      </c>
      <c r="G65" s="21" t="n">
        <v>2</v>
      </c>
      <c r="H65" s="16" t="n">
        <v>3.154574335999997</v>
      </c>
      <c r="I65" s="17" t="n">
        <v>34.28885147826084</v>
      </c>
      <c r="J65" s="20" t="n">
        <v>0.003928486097135738</v>
      </c>
    </row>
    <row r="66">
      <c r="A66" s="25" t="inlineStr">
        <is>
          <t>TOTAL COST</t>
        </is>
      </c>
      <c r="B66" s="25" t="n"/>
      <c r="C66" s="25" t="n"/>
      <c r="D66" s="25" t="n"/>
      <c r="E66" s="25" t="n"/>
      <c r="F66" s="25" t="n"/>
      <c r="G66" s="25" t="n"/>
      <c r="H66" s="26" t="n">
        <v>630.6053209296</v>
      </c>
      <c r="I66" s="27" t="n">
        <v>6854.40566227826</v>
      </c>
      <c r="J66" s="28" t="n">
        <v>0.7853117321663761</v>
      </c>
    </row>
    <row r="68">
      <c r="A68" s="4" t="inlineStr">
        <is>
          <t>CALCULATORS</t>
        </is>
      </c>
      <c r="B68" s="5" t="n"/>
      <c r="C68" s="5" t="n"/>
      <c r="D68" s="5" t="n"/>
      <c r="E68" s="5" t="n"/>
      <c r="F68" s="5" t="n"/>
    </row>
    <row r="69">
      <c r="A69" s="7" t="inlineStr">
        <is>
          <t>BAR / premium FAR</t>
        </is>
      </c>
      <c r="B69" s="7" t="inlineStr">
        <is>
          <t>JDA / Residential: extra 13,144 sq m × ₹12,000 × 20%</t>
        </is>
      </c>
      <c r="C69" s="7" t="n"/>
      <c r="D69" s="7" t="n"/>
      <c r="E69" s="7" t="n"/>
      <c r="F69" s="7" t="n"/>
      <c r="G69" s="7" t="n"/>
      <c r="H69" s="16" t="n">
        <v>3.154574335999997</v>
      </c>
    </row>
    <row r="70">
      <c r="A70" s="7" t="inlineStr">
        <is>
          <t>AIF interest (if switched on)</t>
        </is>
      </c>
      <c r="B70" s="7" t="inlineStr">
        <is>
          <t>18% for 3 yrs, Annually</t>
        </is>
      </c>
      <c r="C70" s="7" t="n"/>
      <c r="D70" s="7" t="n"/>
      <c r="E70" s="7" t="n"/>
      <c r="F70" s="7" t="n"/>
      <c r="G70" s="7" t="n"/>
      <c r="H70" s="16" t="n">
        <v>167.1759394435758</v>
      </c>
    </row>
    <row r="71">
      <c r="A71" s="6" t="inlineStr">
        <is>
          <t>Initial investment item (JV)</t>
        </is>
      </c>
      <c r="B71" s="6" t="inlineStr">
        <is>
          <t>₹ Crore</t>
        </is>
      </c>
      <c r="C71" s="6" t="inlineStr">
        <is>
          <t>Payout quarter</t>
        </is>
      </c>
    </row>
    <row r="72">
      <c r="A72" s="7" t="inlineStr">
        <is>
          <t>token</t>
        </is>
      </c>
      <c r="B72" s="16" t="n">
        <v>18</v>
      </c>
      <c r="C72" s="23" t="n">
        <v>1</v>
      </c>
    </row>
    <row r="73">
      <c r="A73" s="7" t="inlineStr">
        <is>
          <t>dd</t>
        </is>
      </c>
      <c r="B73" s="16" t="n">
        <v>0</v>
      </c>
      <c r="C73" s="23" t="n">
        <v>1</v>
      </c>
    </row>
    <row r="74">
      <c r="A74" s="7" t="inlineStr">
        <is>
          <t>da</t>
        </is>
      </c>
      <c r="B74" s="16" t="n">
        <v>0</v>
      </c>
      <c r="C74" s="23" t="n">
        <v>2</v>
      </c>
    </row>
    <row r="75">
      <c r="A75" s="7" t="inlineStr">
        <is>
          <t>legal</t>
        </is>
      </c>
      <c r="B75" s="16" t="n">
        <v>6.9</v>
      </c>
      <c r="C75" s="23" t="n">
        <v>2</v>
      </c>
    </row>
    <row r="76">
      <c r="A76" s="7" t="inlineStr">
        <is>
          <t>dev</t>
        </is>
      </c>
      <c r="B76" s="16" t="n">
        <v>0</v>
      </c>
      <c r="C76" s="23" t="n">
        <v>2</v>
      </c>
    </row>
    <row r="77">
      <c r="A77" s="7" t="inlineStr">
        <is>
          <t>marketing</t>
        </is>
      </c>
      <c r="B77" s="16" t="n">
        <v>0</v>
      </c>
      <c r="C77" s="23" t="n">
        <v>2</v>
      </c>
    </row>
    <row r="78">
      <c r="A78" s="7" t="inlineStr">
        <is>
          <t>sd</t>
        </is>
      </c>
      <c r="B78" s="16" t="n">
        <v>0.8967465935999999</v>
      </c>
      <c r="C78" s="23" t="n">
        <v>2</v>
      </c>
    </row>
    <row r="79">
      <c r="A79" s="7" t="inlineStr">
        <is>
          <t>brok</t>
        </is>
      </c>
      <c r="B79" s="16" t="n">
        <v>2.124</v>
      </c>
      <c r="C79" s="23" t="n">
        <v>2</v>
      </c>
    </row>
    <row r="80">
      <c r="A80" s="7" t="inlineStr">
        <is>
          <t>bar</t>
        </is>
      </c>
      <c r="B80" s="16" t="n">
        <v>0.7886435839999993</v>
      </c>
      <c r="C80" s="23" t="n">
        <v>2</v>
      </c>
    </row>
    <row r="81">
      <c r="A81" s="25" t="inlineStr">
        <is>
          <t>Initial investment used (JV)</t>
        </is>
      </c>
      <c r="B81" s="26" t="n">
        <v>28.7093901776</v>
      </c>
    </row>
    <row r="83">
      <c r="A83" s="4" t="inlineStr">
        <is>
          <t>PAYMENT PLANS (CLP)</t>
        </is>
      </c>
      <c r="B83" s="5" t="n"/>
      <c r="C83" s="5" t="n"/>
      <c r="D83" s="5" t="n"/>
      <c r="E83" s="5" t="n"/>
      <c r="F83" s="5" t="n"/>
    </row>
    <row r="84">
      <c r="A84" s="6" t="inlineStr">
        <is>
          <t>Plan / milestone</t>
        </is>
      </c>
      <c r="B84" s="6" t="inlineStr">
        <is>
          <t>Trigger</t>
        </is>
      </c>
      <c r="C84" s="6" t="inlineStr">
        <is>
          <t>Value</t>
        </is>
      </c>
      <c r="D84" s="6" t="inlineStr">
        <is>
          <t>% of sale</t>
        </is>
      </c>
      <c r="E84" s="6" t="inlineStr">
        <is>
          <t>Used by</t>
        </is>
      </c>
    </row>
    <row r="85">
      <c r="A85" s="25" t="inlineStr">
        <is>
          <t>CLP – Villa</t>
        </is>
      </c>
      <c r="B85" s="25" t="inlineStr"/>
      <c r="C85" s="25" t="inlineStr"/>
      <c r="D85" s="29" t="n">
        <v>1</v>
      </c>
      <c r="E85" s="25" t="inlineStr">
        <is>
          <t>Villas</t>
        </is>
      </c>
    </row>
    <row r="86">
      <c r="A86" s="7" t="inlineStr">
        <is>
          <t xml:space="preserve">   Earnest money</t>
        </is>
      </c>
      <c r="B86" s="7" t="inlineStr">
        <is>
          <t>Booking + quarters</t>
        </is>
      </c>
      <c r="C86" s="21" t="n">
        <v>0</v>
      </c>
      <c r="D86" s="18" t="n">
        <v>0.1</v>
      </c>
    </row>
    <row r="87">
      <c r="A87" s="7" t="inlineStr">
        <is>
          <t xml:space="preserve">   Agreement to sell (ATS)</t>
        </is>
      </c>
      <c r="B87" s="7" t="inlineStr">
        <is>
          <t>Booking + quarters</t>
        </is>
      </c>
      <c r="C87" s="21" t="n">
        <v>1</v>
      </c>
      <c r="D87" s="18" t="n">
        <v>0.1</v>
      </c>
    </row>
    <row r="88">
      <c r="A88" s="7" t="inlineStr">
        <is>
          <t xml:space="preserve">   Commencement of construction</t>
        </is>
      </c>
      <c r="B88" s="7" t="inlineStr">
        <is>
          <t>Construction % complete</t>
        </is>
      </c>
      <c r="C88" s="30" t="n">
        <v>0.05</v>
      </c>
      <c r="D88" s="18" t="n">
        <v>0.1</v>
      </c>
    </row>
    <row r="89">
      <c r="A89" s="7" t="inlineStr">
        <is>
          <t xml:space="preserve">   Ground plinth</t>
        </is>
      </c>
      <c r="B89" s="7" t="inlineStr">
        <is>
          <t>Construction % complete</t>
        </is>
      </c>
      <c r="C89" s="30" t="n">
        <v>0.15</v>
      </c>
      <c r="D89" s="18" t="n">
        <v>0.1</v>
      </c>
    </row>
    <row r="90">
      <c r="A90" s="7" t="inlineStr">
        <is>
          <t xml:space="preserve">   First floor roof casting</t>
        </is>
      </c>
      <c r="B90" s="7" t="inlineStr">
        <is>
          <t>Construction % complete</t>
        </is>
      </c>
      <c r="C90" s="30" t="n">
        <v>0.35</v>
      </c>
      <c r="D90" s="18" t="n">
        <v>0.15</v>
      </c>
    </row>
    <row r="91">
      <c r="A91" s="7" t="inlineStr">
        <is>
          <t xml:space="preserve">   Second floor roof casting</t>
        </is>
      </c>
      <c r="B91" s="7" t="inlineStr">
        <is>
          <t>Construction % complete</t>
        </is>
      </c>
      <c r="C91" s="30" t="n">
        <v>0.55</v>
      </c>
      <c r="D91" s="18" t="n">
        <v>0.15</v>
      </c>
    </row>
    <row r="92">
      <c r="A92" s="7" t="inlineStr">
        <is>
          <t xml:space="preserve">   Third floor roof casting</t>
        </is>
      </c>
      <c r="B92" s="7" t="inlineStr">
        <is>
          <t>Construction % complete</t>
        </is>
      </c>
      <c r="C92" s="30" t="n">
        <v>0.75</v>
      </c>
      <c r="D92" s="18" t="n">
        <v>0.15</v>
      </c>
    </row>
    <row r="93">
      <c r="A93" s="7" t="inlineStr">
        <is>
          <t xml:space="preserve">   Completion certificate (CC)</t>
        </is>
      </c>
      <c r="B93" s="7" t="inlineStr">
        <is>
          <t>Construction % complete</t>
        </is>
      </c>
      <c r="C93" s="30" t="n">
        <v>0.95</v>
      </c>
      <c r="D93" s="18" t="n">
        <v>0.05</v>
      </c>
    </row>
    <row r="94">
      <c r="A94" s="7" t="inlineStr">
        <is>
          <t xml:space="preserve">   Possession</t>
        </is>
      </c>
      <c r="B94" s="7" t="inlineStr">
        <is>
          <t>Construction % complete</t>
        </is>
      </c>
      <c r="C94" s="30" t="n">
        <v>1</v>
      </c>
      <c r="D94" s="18" t="n">
        <v>0.1</v>
      </c>
    </row>
    <row r="95">
      <c r="A95" s="25" t="inlineStr">
        <is>
          <t>CLP – Apartment</t>
        </is>
      </c>
      <c r="B95" s="25" t="inlineStr"/>
      <c r="C95" s="25" t="inlineStr"/>
      <c r="D95" s="29" t="n">
        <v>1</v>
      </c>
      <c r="E95" s="25" t="inlineStr">
        <is>
          <t>Apartments – Towers A &amp; B, Studios</t>
        </is>
      </c>
    </row>
    <row r="96">
      <c r="A96" s="7" t="inlineStr">
        <is>
          <t xml:space="preserve">   Booking amount</t>
        </is>
      </c>
      <c r="B96" s="7" t="inlineStr">
        <is>
          <t>Booking + quarters</t>
        </is>
      </c>
      <c r="C96" s="21" t="n">
        <v>0</v>
      </c>
      <c r="D96" s="18" t="n">
        <v>0.1</v>
      </c>
    </row>
    <row r="97">
      <c r="A97" s="7" t="inlineStr">
        <is>
          <t xml:space="preserve">   Agreement to sell (ATS)</t>
        </is>
      </c>
      <c r="B97" s="7" t="inlineStr">
        <is>
          <t>Booking + quarters</t>
        </is>
      </c>
      <c r="C97" s="21" t="n">
        <v>1</v>
      </c>
      <c r="D97" s="18" t="n">
        <v>0.1</v>
      </c>
    </row>
    <row r="98">
      <c r="A98" s="7" t="inlineStr">
        <is>
          <t xml:space="preserve">   Foundation completion</t>
        </is>
      </c>
      <c r="B98" s="7" t="inlineStr">
        <is>
          <t>Construction % complete</t>
        </is>
      </c>
      <c r="C98" s="30" t="n">
        <v>0.1</v>
      </c>
      <c r="D98" s="18" t="n">
        <v>0.1</v>
      </c>
    </row>
    <row r="99">
      <c r="A99" s="7" t="inlineStr">
        <is>
          <t xml:space="preserve">   Podium / plinth</t>
        </is>
      </c>
      <c r="B99" s="7" t="inlineStr">
        <is>
          <t>Construction % complete</t>
        </is>
      </c>
      <c r="C99" s="30" t="n">
        <v>0.2</v>
      </c>
      <c r="D99" s="18" t="n">
        <v>0.1</v>
      </c>
    </row>
    <row r="100">
      <c r="A100" s="7" t="inlineStr">
        <is>
          <t xml:space="preserve">   Slab casting – 25% floors</t>
        </is>
      </c>
      <c r="B100" s="7" t="inlineStr">
        <is>
          <t>Construction % complete</t>
        </is>
      </c>
      <c r="C100" s="30" t="n">
        <v>0.35</v>
      </c>
      <c r="D100" s="18" t="n">
        <v>0.1</v>
      </c>
    </row>
    <row r="101">
      <c r="A101" s="7" t="inlineStr">
        <is>
          <t xml:space="preserve">   Slab casting – 50% floors</t>
        </is>
      </c>
      <c r="B101" s="7" t="inlineStr">
        <is>
          <t>Construction % complete</t>
        </is>
      </c>
      <c r="C101" s="30" t="n">
        <v>0.5</v>
      </c>
      <c r="D101" s="18" t="n">
        <v>0.1</v>
      </c>
    </row>
    <row r="102">
      <c r="A102" s="7" t="inlineStr">
        <is>
          <t xml:space="preserve">   Slab casting – 75% floors</t>
        </is>
      </c>
      <c r="B102" s="7" t="inlineStr">
        <is>
          <t>Construction % complete</t>
        </is>
      </c>
      <c r="C102" s="30" t="n">
        <v>0.65</v>
      </c>
      <c r="D102" s="18" t="n">
        <v>0.1</v>
      </c>
    </row>
    <row r="103">
      <c r="A103" s="7" t="inlineStr">
        <is>
          <t xml:space="preserve">   Top slab casting</t>
        </is>
      </c>
      <c r="B103" s="7" t="inlineStr">
        <is>
          <t>Construction % complete</t>
        </is>
      </c>
      <c r="C103" s="30" t="n">
        <v>0.8</v>
      </c>
      <c r="D103" s="18" t="n">
        <v>0.1</v>
      </c>
    </row>
    <row r="104">
      <c r="A104" s="7" t="inlineStr">
        <is>
          <t xml:space="preserve">   Brickwork &amp; plaster</t>
        </is>
      </c>
      <c r="B104" s="7" t="inlineStr">
        <is>
          <t>Construction % complete</t>
        </is>
      </c>
      <c r="C104" s="30" t="n">
        <v>0.9</v>
      </c>
      <c r="D104" s="18" t="n">
        <v>0.05</v>
      </c>
    </row>
    <row r="105">
      <c r="A105" s="7" t="inlineStr">
        <is>
          <t xml:space="preserve">   Flooring &amp; finishing</t>
        </is>
      </c>
      <c r="B105" s="7" t="inlineStr">
        <is>
          <t>Construction % complete</t>
        </is>
      </c>
      <c r="C105" s="30" t="n">
        <v>0.95</v>
      </c>
      <c r="D105" s="18" t="n">
        <v>0.05</v>
      </c>
    </row>
    <row r="106">
      <c r="A106" s="7" t="inlineStr">
        <is>
          <t xml:space="preserve">   Possession</t>
        </is>
      </c>
      <c r="B106" s="7" t="inlineStr">
        <is>
          <t>Construction % complete</t>
        </is>
      </c>
      <c r="C106" s="30" t="n">
        <v>1</v>
      </c>
      <c r="D106" s="18" t="n">
        <v>0.1</v>
      </c>
    </row>
    <row r="107">
      <c r="A107" s="25" t="inlineStr">
        <is>
          <t>Plot – Development Linked</t>
        </is>
      </c>
      <c r="B107" s="25" t="inlineStr"/>
      <c r="C107" s="25" t="inlineStr"/>
      <c r="D107" s="29" t="n">
        <v>1</v>
      </c>
      <c r="E107" s="25" t="inlineStr">
        <is>
          <t>Residential plots, Institutional plots, EWS / LIG plots</t>
        </is>
      </c>
    </row>
    <row r="108">
      <c r="A108" s="7" t="inlineStr">
        <is>
          <t xml:space="preserve">   Booking amount</t>
        </is>
      </c>
      <c r="B108" s="7" t="inlineStr">
        <is>
          <t>Booking + quarters</t>
        </is>
      </c>
      <c r="C108" s="21" t="n">
        <v>0</v>
      </c>
      <c r="D108" s="18" t="n">
        <v>0.1</v>
      </c>
    </row>
    <row r="109">
      <c r="A109" s="7" t="inlineStr">
        <is>
          <t xml:space="preserve">   Agreement to sell (ATS)</t>
        </is>
      </c>
      <c r="B109" s="7" t="inlineStr">
        <is>
          <t>Booking + quarters</t>
        </is>
      </c>
      <c r="C109" s="21" t="n">
        <v>1</v>
      </c>
      <c r="D109" s="18" t="n">
        <v>0.2</v>
      </c>
    </row>
    <row r="110">
      <c r="A110" s="7" t="inlineStr">
        <is>
          <t xml:space="preserve">   Roads &amp; services start</t>
        </is>
      </c>
      <c r="B110" s="7" t="inlineStr">
        <is>
          <t>Construction % complete</t>
        </is>
      </c>
      <c r="C110" s="30" t="n">
        <v>0.25</v>
      </c>
      <c r="D110" s="18" t="n">
        <v>0.2</v>
      </c>
    </row>
    <row r="111">
      <c r="A111" s="7" t="inlineStr">
        <is>
          <t xml:space="preserve">   Services 60% complete</t>
        </is>
      </c>
      <c r="B111" s="7" t="inlineStr">
        <is>
          <t>Construction % complete</t>
        </is>
      </c>
      <c r="C111" s="30" t="n">
        <v>0.6</v>
      </c>
      <c r="D111" s="18" t="n">
        <v>0.2</v>
      </c>
    </row>
    <row r="112">
      <c r="A112" s="7" t="inlineStr">
        <is>
          <t xml:space="preserve">   Possession / registry</t>
        </is>
      </c>
      <c r="B112" s="7" t="inlineStr">
        <is>
          <t>Construction % complete</t>
        </is>
      </c>
      <c r="C112" s="30" t="n">
        <v>1</v>
      </c>
      <c r="D112" s="18" t="n">
        <v>0.3</v>
      </c>
    </row>
    <row r="113">
      <c r="A113" s="25" t="inlineStr">
        <is>
          <t>Down Payment Plan</t>
        </is>
      </c>
      <c r="B113" s="25" t="inlineStr"/>
      <c r="C113" s="25" t="inlineStr"/>
      <c r="D113" s="29" t="n">
        <v>1</v>
      </c>
      <c r="E113" s="25" t="inlineStr">
        <is>
          <t>High-street retail</t>
        </is>
      </c>
    </row>
    <row r="114">
      <c r="A114" s="7" t="inlineStr">
        <is>
          <t xml:space="preserve">   Booking amount</t>
        </is>
      </c>
      <c r="B114" s="7" t="inlineStr">
        <is>
          <t>Booking + quarters</t>
        </is>
      </c>
      <c r="C114" s="21" t="n">
        <v>0</v>
      </c>
      <c r="D114" s="18" t="n">
        <v>0.1</v>
      </c>
    </row>
    <row r="115">
      <c r="A115" s="7" t="inlineStr">
        <is>
          <t xml:space="preserve">   Down payment</t>
        </is>
      </c>
      <c r="B115" s="7" t="inlineStr">
        <is>
          <t>Booking + quarters</t>
        </is>
      </c>
      <c r="C115" s="21" t="n">
        <v>1</v>
      </c>
      <c r="D115" s="18" t="n">
        <v>0.8</v>
      </c>
    </row>
    <row r="116">
      <c r="A116" s="7" t="inlineStr">
        <is>
          <t xml:space="preserve">   Possession</t>
        </is>
      </c>
      <c r="B116" s="7" t="inlineStr">
        <is>
          <t>Construction % complete</t>
        </is>
      </c>
      <c r="C116" s="30" t="n">
        <v>1</v>
      </c>
      <c r="D116" s="18" t="n">
        <v>0.1</v>
      </c>
    </row>
    <row r="117">
      <c r="A117" s="25" t="inlineStr">
        <is>
          <t>CLP – 17-Floor Tower</t>
        </is>
      </c>
      <c r="B117" s="25" t="inlineStr"/>
      <c r="C117" s="25" t="inlineStr"/>
      <c r="D117" s="29" t="n">
        <v>1</v>
      </c>
      <c r="E117" s="25" t="inlineStr"/>
    </row>
    <row r="118">
      <c r="A118" s="7" t="inlineStr">
        <is>
          <t xml:space="preserve">   Booking amount</t>
        </is>
      </c>
      <c r="B118" s="7" t="inlineStr">
        <is>
          <t>Booking + quarters</t>
        </is>
      </c>
      <c r="C118" s="21" t="n">
        <v>0</v>
      </c>
      <c r="D118" s="18" t="n">
        <v>0.1</v>
      </c>
    </row>
    <row r="119">
      <c r="A119" s="7" t="inlineStr">
        <is>
          <t xml:space="preserve">   Agreement to sell (ATS)</t>
        </is>
      </c>
      <c r="B119" s="7" t="inlineStr">
        <is>
          <t>Booking + quarters</t>
        </is>
      </c>
      <c r="C119" s="21" t="n">
        <v>1</v>
      </c>
      <c r="D119" s="18" t="n">
        <v>0.1</v>
      </c>
    </row>
    <row r="120">
      <c r="A120" s="7" t="inlineStr">
        <is>
          <t xml:space="preserve">   Excavation</t>
        </is>
      </c>
      <c r="B120" s="7" t="inlineStr">
        <is>
          <t>Construction % complete</t>
        </is>
      </c>
      <c r="C120" s="30" t="n">
        <v>0.03</v>
      </c>
      <c r="D120" s="18" t="n">
        <v>0.05</v>
      </c>
    </row>
    <row r="121">
      <c r="A121" s="7" t="inlineStr">
        <is>
          <t xml:space="preserve">   Foundation / raft</t>
        </is>
      </c>
      <c r="B121" s="7" t="inlineStr">
        <is>
          <t>Construction % complete</t>
        </is>
      </c>
      <c r="C121" s="30" t="n">
        <v>0.08</v>
      </c>
      <c r="D121" s="18" t="n">
        <v>0.05</v>
      </c>
    </row>
    <row r="122">
      <c r="A122" s="7" t="inlineStr">
        <is>
          <t xml:space="preserve">   Slab casting – floor 1</t>
        </is>
      </c>
      <c r="B122" s="7" t="inlineStr">
        <is>
          <t>Construction % complete</t>
        </is>
      </c>
      <c r="C122" s="30" t="n">
        <v>0.12</v>
      </c>
      <c r="D122" s="18" t="n">
        <v>0.025</v>
      </c>
    </row>
    <row r="123">
      <c r="A123" s="7" t="inlineStr">
        <is>
          <t xml:space="preserve">   Slab casting – floor 2</t>
        </is>
      </c>
      <c r="B123" s="7" t="inlineStr">
        <is>
          <t>Construction % complete</t>
        </is>
      </c>
      <c r="C123" s="30" t="n">
        <v>0.15625</v>
      </c>
      <c r="D123" s="18" t="n">
        <v>0.025</v>
      </c>
    </row>
    <row r="124">
      <c r="A124" s="7" t="inlineStr">
        <is>
          <t xml:space="preserve">   Slab casting – floor 3</t>
        </is>
      </c>
      <c r="B124" s="7" t="inlineStr">
        <is>
          <t>Construction % complete</t>
        </is>
      </c>
      <c r="C124" s="30" t="n">
        <v>0.1925</v>
      </c>
      <c r="D124" s="18" t="n">
        <v>0.025</v>
      </c>
    </row>
    <row r="125">
      <c r="A125" s="7" t="inlineStr">
        <is>
          <t xml:space="preserve">   Slab casting – floor 4</t>
        </is>
      </c>
      <c r="B125" s="7" t="inlineStr">
        <is>
          <t>Construction % complete</t>
        </is>
      </c>
      <c r="C125" s="30" t="n">
        <v>0.22875</v>
      </c>
      <c r="D125" s="18" t="n">
        <v>0.025</v>
      </c>
    </row>
    <row r="126">
      <c r="A126" s="7" t="inlineStr">
        <is>
          <t xml:space="preserve">   Slab casting – floor 5</t>
        </is>
      </c>
      <c r="B126" s="7" t="inlineStr">
        <is>
          <t>Construction % complete</t>
        </is>
      </c>
      <c r="C126" s="30" t="n">
        <v>0.265</v>
      </c>
      <c r="D126" s="18" t="n">
        <v>0.025</v>
      </c>
    </row>
    <row r="127">
      <c r="A127" s="7" t="inlineStr">
        <is>
          <t xml:space="preserve">   Slab casting – floor 6</t>
        </is>
      </c>
      <c r="B127" s="7" t="inlineStr">
        <is>
          <t>Construction % complete</t>
        </is>
      </c>
      <c r="C127" s="30" t="n">
        <v>0.30125</v>
      </c>
      <c r="D127" s="18" t="n">
        <v>0.025</v>
      </c>
    </row>
    <row r="128">
      <c r="A128" s="7" t="inlineStr">
        <is>
          <t xml:space="preserve">   Slab casting – floor 7</t>
        </is>
      </c>
      <c r="B128" s="7" t="inlineStr">
        <is>
          <t>Construction % complete</t>
        </is>
      </c>
      <c r="C128" s="30" t="n">
        <v>0.3375</v>
      </c>
      <c r="D128" s="18" t="n">
        <v>0.025</v>
      </c>
    </row>
    <row r="129">
      <c r="A129" s="7" t="inlineStr">
        <is>
          <t xml:space="preserve">   Slab casting – floor 8</t>
        </is>
      </c>
      <c r="B129" s="7" t="inlineStr">
        <is>
          <t>Construction % complete</t>
        </is>
      </c>
      <c r="C129" s="30" t="n">
        <v>0.37375</v>
      </c>
      <c r="D129" s="18" t="n">
        <v>0.025</v>
      </c>
    </row>
    <row r="130">
      <c r="A130" s="7" t="inlineStr">
        <is>
          <t xml:space="preserve">   Slab casting – floor 9</t>
        </is>
      </c>
      <c r="B130" s="7" t="inlineStr">
        <is>
          <t>Construction % complete</t>
        </is>
      </c>
      <c r="C130" s="30" t="n">
        <v>0.41</v>
      </c>
      <c r="D130" s="18" t="n">
        <v>0.025</v>
      </c>
    </row>
    <row r="131">
      <c r="A131" s="7" t="inlineStr">
        <is>
          <t xml:space="preserve">   Slab casting – floor 10</t>
        </is>
      </c>
      <c r="B131" s="7" t="inlineStr">
        <is>
          <t>Construction % complete</t>
        </is>
      </c>
      <c r="C131" s="30" t="n">
        <v>0.44625</v>
      </c>
      <c r="D131" s="18" t="n">
        <v>0.025</v>
      </c>
    </row>
    <row r="132">
      <c r="A132" s="7" t="inlineStr">
        <is>
          <t xml:space="preserve">   Slab casting – floor 11</t>
        </is>
      </c>
      <c r="B132" s="7" t="inlineStr">
        <is>
          <t>Construction % complete</t>
        </is>
      </c>
      <c r="C132" s="30" t="n">
        <v>0.4825</v>
      </c>
      <c r="D132" s="18" t="n">
        <v>0.025</v>
      </c>
    </row>
    <row r="133">
      <c r="A133" s="7" t="inlineStr">
        <is>
          <t xml:space="preserve">   Slab casting – floor 12</t>
        </is>
      </c>
      <c r="B133" s="7" t="inlineStr">
        <is>
          <t>Construction % complete</t>
        </is>
      </c>
      <c r="C133" s="30" t="n">
        <v>0.51875</v>
      </c>
      <c r="D133" s="18" t="n">
        <v>0.025</v>
      </c>
    </row>
    <row r="134">
      <c r="A134" s="7" t="inlineStr">
        <is>
          <t xml:space="preserve">   Slab casting – floor 13</t>
        </is>
      </c>
      <c r="B134" s="7" t="inlineStr">
        <is>
          <t>Construction % complete</t>
        </is>
      </c>
      <c r="C134" s="30" t="n">
        <v>0.555</v>
      </c>
      <c r="D134" s="18" t="n">
        <v>0.025</v>
      </c>
    </row>
    <row r="135">
      <c r="A135" s="7" t="inlineStr">
        <is>
          <t xml:space="preserve">   Slab casting – floor 14</t>
        </is>
      </c>
      <c r="B135" s="7" t="inlineStr">
        <is>
          <t>Construction % complete</t>
        </is>
      </c>
      <c r="C135" s="30" t="n">
        <v>0.5912500000000001</v>
      </c>
      <c r="D135" s="18" t="n">
        <v>0.025</v>
      </c>
    </row>
    <row r="136">
      <c r="A136" s="7" t="inlineStr">
        <is>
          <t xml:space="preserve">   Slab casting – floor 15</t>
        </is>
      </c>
      <c r="B136" s="7" t="inlineStr">
        <is>
          <t>Construction % complete</t>
        </is>
      </c>
      <c r="C136" s="30" t="n">
        <v>0.6274999999999999</v>
      </c>
      <c r="D136" s="18" t="n">
        <v>0.025</v>
      </c>
    </row>
    <row r="137">
      <c r="A137" s="7" t="inlineStr">
        <is>
          <t xml:space="preserve">   Slab casting – floor 16</t>
        </is>
      </c>
      <c r="B137" s="7" t="inlineStr">
        <is>
          <t>Construction % complete</t>
        </is>
      </c>
      <c r="C137" s="30" t="n">
        <v>0.66375</v>
      </c>
      <c r="D137" s="18" t="n">
        <v>0.025</v>
      </c>
    </row>
    <row r="138">
      <c r="A138" s="7" t="inlineStr">
        <is>
          <t xml:space="preserve">   Slab casting – floor 17</t>
        </is>
      </c>
      <c r="B138" s="7" t="inlineStr">
        <is>
          <t>Construction % complete</t>
        </is>
      </c>
      <c r="C138" s="30" t="n">
        <v>0.7</v>
      </c>
      <c r="D138" s="18" t="n">
        <v>0.025</v>
      </c>
    </row>
    <row r="139">
      <c r="A139" s="7" t="inlineStr">
        <is>
          <t xml:space="preserve">   Brickwork</t>
        </is>
      </c>
      <c r="B139" s="7" t="inlineStr">
        <is>
          <t>Construction % complete</t>
        </is>
      </c>
      <c r="C139" s="30" t="n">
        <v>0.78</v>
      </c>
      <c r="D139" s="18" t="n">
        <v>0.05</v>
      </c>
    </row>
    <row r="140">
      <c r="A140" s="7" t="inlineStr">
        <is>
          <t xml:space="preserve">   Plaster &amp; MEP</t>
        </is>
      </c>
      <c r="B140" s="7" t="inlineStr">
        <is>
          <t>Construction % complete</t>
        </is>
      </c>
      <c r="C140" s="30" t="n">
        <v>0.85</v>
      </c>
      <c r="D140" s="18" t="n">
        <v>0.05</v>
      </c>
    </row>
    <row r="141">
      <c r="A141" s="7" t="inlineStr">
        <is>
          <t xml:space="preserve">   Flooring &amp; finishing</t>
        </is>
      </c>
      <c r="B141" s="7" t="inlineStr">
        <is>
          <t>Construction % complete</t>
        </is>
      </c>
      <c r="C141" s="30" t="n">
        <v>0.92</v>
      </c>
      <c r="D141" s="18" t="n">
        <v>0.075</v>
      </c>
    </row>
    <row r="142">
      <c r="A142" s="7" t="inlineStr">
        <is>
          <t xml:space="preserve">   Possession</t>
        </is>
      </c>
      <c r="B142" s="7" t="inlineStr">
        <is>
          <t>Construction % complete</t>
        </is>
      </c>
      <c r="C142" s="30" t="n">
        <v>1</v>
      </c>
      <c r="D142" s="18" t="n">
        <v>0.1</v>
      </c>
    </row>
    <row r="144">
      <c r="A144" s="4" t="inlineStr">
        <is>
          <t>TAX, COST OF EQUITY &amp; BENCHMARKS</t>
        </is>
      </c>
      <c r="B144" s="5" t="n"/>
      <c r="C144" s="5" t="n"/>
      <c r="D144" s="5" t="n"/>
      <c r="E144" s="5" t="n"/>
      <c r="F144" s="5" t="n"/>
    </row>
    <row r="145">
      <c r="A145" s="7" t="inlineStr">
        <is>
          <t>Tax – Company</t>
        </is>
      </c>
      <c r="B145" s="18" t="n">
        <v>0.26</v>
      </c>
    </row>
    <row r="146">
      <c r="A146" s="7" t="inlineStr">
        <is>
          <t>Tax – LLP</t>
        </is>
      </c>
      <c r="B146" s="18" t="n">
        <v>0.35</v>
      </c>
    </row>
    <row r="147">
      <c r="A147" s="7" t="inlineStr">
        <is>
          <t>Cost of equity</t>
        </is>
      </c>
      <c r="B147" s="18" t="n">
        <v>0.18</v>
      </c>
    </row>
    <row r="148">
      <c r="A148" s="7" t="inlineStr">
        <is>
          <t>Benchmark – project irr</t>
        </is>
      </c>
      <c r="B148" s="18" t="n">
        <v>0.22</v>
      </c>
    </row>
    <row r="149">
      <c r="A149" s="7" t="inlineStr">
        <is>
          <t>Benchmark – developer irr</t>
        </is>
      </c>
      <c r="B149" s="18" t="n">
        <v>0.18</v>
      </c>
    </row>
    <row r="150">
      <c r="A150" s="7" t="inlineStr">
        <is>
          <t>Benchmark – equity multiple</t>
        </is>
      </c>
      <c r="B150" s="22" t="n">
        <v>2</v>
      </c>
    </row>
    <row r="151">
      <c r="A151" s="7" t="inlineStr">
        <is>
          <t>Benchmark – roce</t>
        </is>
      </c>
      <c r="B151" s="18" t="n">
        <v>0.3</v>
      </c>
    </row>
    <row r="152">
      <c r="A152" s="7" t="inlineStr">
        <is>
          <t>Benchmark – cagr</t>
        </is>
      </c>
      <c r="B152" s="18" t="n">
        <v>0.3</v>
      </c>
    </row>
    <row r="153">
      <c r="A153" s="7" t="inlineStr">
        <is>
          <t>Benchmark – pat margin</t>
        </is>
      </c>
      <c r="B153" s="18" t="n">
        <v>0.15</v>
      </c>
    </row>
    <row r="154">
      <c r="A154" s="7" t="inlineStr">
        <is>
          <t>Benchmark – ebitda margin</t>
        </is>
      </c>
      <c r="B154" s="18" t="n">
        <v>0.2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1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Revenue, cost, P&amp;L and key metrics</t>
        </is>
      </c>
    </row>
    <row r="3">
      <c r="A3" s="4" t="inlineStr">
        <is>
          <t>A. REVENUE STATEMENT</t>
        </is>
      </c>
      <c r="B3" s="5" t="n"/>
      <c r="C3" s="5" t="n"/>
      <c r="D3" s="5" t="n"/>
      <c r="E3" s="5" t="n"/>
    </row>
    <row r="4">
      <c r="A4" s="6" t="inlineStr">
        <is>
          <t>Product</t>
        </is>
      </c>
      <c r="B4" s="6" t="inlineStr">
        <is>
          <t>₹ Crore</t>
        </is>
      </c>
      <c r="C4" s="6" t="inlineStr">
        <is>
          <t>₹ / sq ft</t>
        </is>
      </c>
      <c r="D4" s="6" t="inlineStr">
        <is>
          <t>% of total</t>
        </is>
      </c>
      <c r="E4" s="6" t="inlineStr">
        <is>
          <t>Category</t>
        </is>
      </c>
    </row>
    <row r="5">
      <c r="A5" s="7" t="inlineStr">
        <is>
          <t>Villas</t>
        </is>
      </c>
      <c r="B5" s="16" t="n">
        <v>275</v>
      </c>
      <c r="C5" s="17" t="n">
        <v>11000</v>
      </c>
      <c r="D5" s="18" t="n">
        <v>0.3424657534246575</v>
      </c>
      <c r="E5" s="7" t="inlineStr">
        <is>
          <t>Villa</t>
        </is>
      </c>
    </row>
    <row r="6">
      <c r="A6" s="7" t="inlineStr">
        <is>
          <t>Apartments – Towers A &amp; B</t>
        </is>
      </c>
      <c r="B6" s="16" t="n">
        <v>450</v>
      </c>
      <c r="C6" s="17" t="n">
        <v>7500</v>
      </c>
      <c r="D6" s="18" t="n">
        <v>0.5603985056039851</v>
      </c>
      <c r="E6" s="7" t="inlineStr">
        <is>
          <t>Apartment</t>
        </is>
      </c>
    </row>
    <row r="7">
      <c r="A7" s="7" t="inlineStr">
        <is>
          <t>Studios</t>
        </is>
      </c>
      <c r="B7" s="16" t="n">
        <v>36</v>
      </c>
      <c r="C7" s="17" t="n">
        <v>9000</v>
      </c>
      <c r="D7" s="18" t="n">
        <v>0.0448318804483188</v>
      </c>
      <c r="E7" s="7" t="inlineStr">
        <is>
          <t>Studio</t>
        </is>
      </c>
    </row>
    <row r="8">
      <c r="A8" s="7" t="inlineStr">
        <is>
          <t>High-street retail</t>
        </is>
      </c>
      <c r="B8" s="16" t="n">
        <v>42</v>
      </c>
      <c r="C8" s="17" t="n">
        <v>14000</v>
      </c>
      <c r="D8" s="18" t="n">
        <v>0.05230386052303861</v>
      </c>
      <c r="E8" s="7" t="inlineStr">
        <is>
          <t>Commercial</t>
        </is>
      </c>
    </row>
    <row r="9">
      <c r="A9" s="25" t="inlineStr">
        <is>
          <t>TOTAL REVENUE</t>
        </is>
      </c>
      <c r="B9" s="26" t="n">
        <v>803</v>
      </c>
      <c r="C9" s="27" t="n">
        <v>8728.260869565218</v>
      </c>
      <c r="D9" s="29" t="n">
        <v>1</v>
      </c>
    </row>
    <row r="11">
      <c r="A11" s="4" t="inlineStr">
        <is>
          <t>B. COST STATEMENT</t>
        </is>
      </c>
      <c r="B11" s="5" t="n"/>
      <c r="C11" s="5" t="n"/>
      <c r="D11" s="5" t="n"/>
      <c r="E11" s="5" t="n"/>
    </row>
    <row r="12">
      <c r="A12" s="6" t="inlineStr">
        <is>
          <t>Cost head</t>
        </is>
      </c>
      <c r="B12" s="6" t="inlineStr">
        <is>
          <t>₹ Crore</t>
        </is>
      </c>
      <c r="C12" s="6" t="inlineStr">
        <is>
          <t>₹ / sq ft</t>
        </is>
      </c>
      <c r="D12" s="6" t="inlineStr">
        <is>
          <t>% of revenue</t>
        </is>
      </c>
      <c r="E12" s="6" t="inlineStr">
        <is>
          <t>Applicable</t>
        </is>
      </c>
    </row>
    <row r="13">
      <c r="A13" s="7" t="inlineStr">
        <is>
          <t>Land Cost</t>
        </is>
      </c>
      <c r="B13" s="16" t="n">
        <v>256.96</v>
      </c>
      <c r="C13" s="17" t="n">
        <v>2793.04347826087</v>
      </c>
      <c r="D13" s="20" t="n">
        <v>0.32</v>
      </c>
      <c r="E13" s="7" t="inlineStr">
        <is>
          <t>Yes</t>
        </is>
      </c>
    </row>
    <row r="14">
      <c r="A14" s="7" t="inlineStr">
        <is>
          <t>Stamp Duty</t>
        </is>
      </c>
      <c r="B14" s="16" t="n">
        <v>0.8967465935999999</v>
      </c>
      <c r="C14" s="17" t="n">
        <v>9.747245582608695</v>
      </c>
      <c r="D14" s="20" t="n">
        <v>0.001116745446575342</v>
      </c>
      <c r="E14" s="7" t="inlineStr">
        <is>
          <t>Yes</t>
        </is>
      </c>
    </row>
    <row r="15">
      <c r="A15" s="7" t="inlineStr">
        <is>
          <t>Brokerage</t>
        </is>
      </c>
      <c r="B15" s="16" t="n">
        <v>2.124</v>
      </c>
      <c r="C15" s="17" t="n">
        <v>23.08695652173913</v>
      </c>
      <c r="D15" s="20" t="n">
        <v>0.002645080946450809</v>
      </c>
      <c r="E15" s="7" t="inlineStr">
        <is>
          <t>Yes</t>
        </is>
      </c>
    </row>
    <row r="16">
      <c r="A16" s="7" t="inlineStr">
        <is>
          <t>Villa Construction Cost</t>
        </is>
      </c>
      <c r="B16" s="16" t="n">
        <v>72.5</v>
      </c>
      <c r="C16" s="17" t="n">
        <v>788.0434782608696</v>
      </c>
      <c r="D16" s="20" t="n">
        <v>0.09028642590286426</v>
      </c>
      <c r="E16" s="7" t="inlineStr">
        <is>
          <t>Yes</t>
        </is>
      </c>
    </row>
    <row r="17">
      <c r="A17" s="7" t="inlineStr">
        <is>
          <t>APT Construction Cost</t>
        </is>
      </c>
      <c r="B17" s="16" t="n">
        <v>174</v>
      </c>
      <c r="C17" s="17" t="n">
        <v>1891.304347826087</v>
      </c>
      <c r="D17" s="20" t="n">
        <v>0.2166874221668742</v>
      </c>
      <c r="E17" s="7" t="inlineStr">
        <is>
          <t>Yes</t>
        </is>
      </c>
    </row>
    <row r="18">
      <c r="A18" s="7" t="inlineStr">
        <is>
          <t>Studio Construction cost with furnishing</t>
        </is>
      </c>
      <c r="B18" s="16" t="n">
        <v>15.2</v>
      </c>
      <c r="C18" s="17" t="n">
        <v>165.2173913043478</v>
      </c>
      <c r="D18" s="20" t="n">
        <v>0.01892901618929016</v>
      </c>
      <c r="E18" s="7" t="inlineStr">
        <is>
          <t>Yes</t>
        </is>
      </c>
    </row>
    <row r="19">
      <c r="A19" s="7" t="inlineStr">
        <is>
          <t>Plotted Construction Development Cost</t>
        </is>
      </c>
      <c r="B19" s="16" t="n">
        <v>0</v>
      </c>
      <c r="C19" s="17" t="n">
        <v>0</v>
      </c>
      <c r="D19" s="20" t="n">
        <v>0</v>
      </c>
      <c r="E19" s="7" t="inlineStr">
        <is>
          <t>Yes</t>
        </is>
      </c>
    </row>
    <row r="20">
      <c r="A20" s="7" t="inlineStr">
        <is>
          <t>Institutional Plotted Development Cost</t>
        </is>
      </c>
      <c r="B20" s="16" t="n">
        <v>0</v>
      </c>
      <c r="C20" s="17" t="n">
        <v>0</v>
      </c>
      <c r="D20" s="20" t="n">
        <v>0</v>
      </c>
      <c r="E20" s="7" t="inlineStr">
        <is>
          <t>Yes</t>
        </is>
      </c>
    </row>
    <row r="21">
      <c r="A21" s="7" t="inlineStr">
        <is>
          <t>Commercial Construction Cost</t>
        </is>
      </c>
      <c r="B21" s="16" t="n">
        <v>8.699999999999999</v>
      </c>
      <c r="C21" s="17" t="n">
        <v>94.56521739130434</v>
      </c>
      <c r="D21" s="20" t="n">
        <v>0.01083437110834371</v>
      </c>
      <c r="E21" s="7" t="inlineStr">
        <is>
          <t>Yes</t>
        </is>
      </c>
    </row>
    <row r="22">
      <c r="A22" s="7" t="inlineStr">
        <is>
          <t>EWS/LIG plots development cost</t>
        </is>
      </c>
      <c r="B22" s="16" t="n">
        <v>0</v>
      </c>
      <c r="C22" s="17" t="n">
        <v>0</v>
      </c>
      <c r="D22" s="20" t="n">
        <v>0</v>
      </c>
      <c r="E22" s="7" t="inlineStr">
        <is>
          <t>Yes</t>
        </is>
      </c>
    </row>
    <row r="23">
      <c r="A23" s="7" t="inlineStr">
        <is>
          <t>Corporate Overheads (Rs/Sq Ft SA)</t>
        </is>
      </c>
      <c r="B23" s="16" t="n">
        <v>32.12</v>
      </c>
      <c r="C23" s="17" t="n">
        <v>349.1304347826087</v>
      </c>
      <c r="D23" s="20" t="n">
        <v>0.03999999999999999</v>
      </c>
      <c r="E23" s="7" t="inlineStr">
        <is>
          <t>Yes</t>
        </is>
      </c>
    </row>
    <row r="24">
      <c r="A24" s="7" t="inlineStr">
        <is>
          <t>Marketing &amp; Sales @ %</t>
        </is>
      </c>
      <c r="B24" s="16" t="n">
        <v>56.21000000000001</v>
      </c>
      <c r="C24" s="17" t="n">
        <v>610.9782608695654</v>
      </c>
      <c r="D24" s="20" t="n">
        <v>0.07000000000000001</v>
      </c>
      <c r="E24" s="7" t="inlineStr">
        <is>
          <t>Yes</t>
        </is>
      </c>
    </row>
    <row r="25">
      <c r="A25" s="7" t="inlineStr">
        <is>
          <t>Legal &amp; Compliance (Rs/Sq Ft SA)</t>
        </is>
      </c>
      <c r="B25" s="16" t="n">
        <v>6.9</v>
      </c>
      <c r="C25" s="17" t="n">
        <v>75</v>
      </c>
      <c r="D25" s="20" t="n">
        <v>0.008592777085927771</v>
      </c>
      <c r="E25" s="7" t="inlineStr">
        <is>
          <t>Yes</t>
        </is>
      </c>
    </row>
    <row r="26">
      <c r="A26" s="7" t="inlineStr">
        <is>
          <t>EWS / LIG @ Rs/Sq Ft (Builtup)</t>
        </is>
      </c>
      <c r="B26" s="16" t="n">
        <v>1.84</v>
      </c>
      <c r="C26" s="17" t="n">
        <v>20</v>
      </c>
      <c r="D26" s="20" t="n">
        <v>0.002291407222914072</v>
      </c>
      <c r="E26" s="7" t="inlineStr">
        <is>
          <t>Yes</t>
        </is>
      </c>
    </row>
    <row r="27">
      <c r="A27" s="7" t="inlineStr">
        <is>
          <t>Contingency @ %</t>
        </is>
      </c>
      <c r="B27" s="16" t="n">
        <v>0</v>
      </c>
      <c r="C27" s="17" t="n">
        <v>0</v>
      </c>
      <c r="D27" s="20" t="n">
        <v>0</v>
      </c>
      <c r="E27" s="7" t="inlineStr">
        <is>
          <t>Yes</t>
        </is>
      </c>
    </row>
    <row r="28">
      <c r="A28" s="7" t="inlineStr">
        <is>
          <t>External Development &amp; Landscaping</t>
        </is>
      </c>
      <c r="B28" s="16" t="n">
        <v>0</v>
      </c>
      <c r="C28" s="17" t="n">
        <v>0</v>
      </c>
      <c r="D28" s="20" t="n">
        <v>0</v>
      </c>
      <c r="E28" s="7" t="inlineStr">
        <is>
          <t>Yes</t>
        </is>
      </c>
    </row>
    <row r="29">
      <c r="A29" s="7" t="inlineStr">
        <is>
          <t>Hotel Brand Key fee Rs 50K per Key for smaller brand</t>
        </is>
      </c>
      <c r="B29" s="16" t="n">
        <v>0</v>
      </c>
      <c r="C29" s="17" t="n">
        <v>0</v>
      </c>
      <c r="D29" s="20" t="n">
        <v>0</v>
      </c>
      <c r="E29" s="7" t="inlineStr">
        <is>
          <t>Yes</t>
        </is>
      </c>
    </row>
    <row r="30">
      <c r="A30" s="7" t="inlineStr">
        <is>
          <t>Furnishing Cost for Studios</t>
        </is>
      </c>
      <c r="B30" s="16" t="n">
        <v>0</v>
      </c>
      <c r="C30" s="17" t="n">
        <v>0</v>
      </c>
      <c r="D30" s="20" t="n">
        <v>0</v>
      </c>
      <c r="E30" s="7" t="inlineStr">
        <is>
          <t>No</t>
        </is>
      </c>
    </row>
    <row r="31">
      <c r="A31" s="7" t="inlineStr">
        <is>
          <t>GST cost in case of commercial/Plotting development</t>
        </is>
      </c>
      <c r="B31" s="16" t="n">
        <v>0</v>
      </c>
      <c r="C31" s="17" t="n">
        <v>0</v>
      </c>
      <c r="D31" s="20" t="n">
        <v>0</v>
      </c>
      <c r="E31" s="7" t="inlineStr">
        <is>
          <t>No</t>
        </is>
      </c>
    </row>
    <row r="32">
      <c r="A32" s="7" t="inlineStr">
        <is>
          <t>AIF Cost</t>
        </is>
      </c>
      <c r="B32" s="16" t="n">
        <v>0</v>
      </c>
      <c r="C32" s="17" t="n">
        <v>0</v>
      </c>
      <c r="D32" s="20" t="n">
        <v>0</v>
      </c>
      <c r="E32" s="7" t="inlineStr">
        <is>
          <t>No</t>
        </is>
      </c>
    </row>
    <row r="33">
      <c r="A33" s="7" t="inlineStr">
        <is>
          <t>BAR / Premium FAR Cost</t>
        </is>
      </c>
      <c r="B33" s="16" t="n">
        <v>3.154574335999997</v>
      </c>
      <c r="C33" s="17" t="n">
        <v>34.28885147826084</v>
      </c>
      <c r="D33" s="20" t="n">
        <v>0.003928486097135738</v>
      </c>
      <c r="E33" s="7" t="inlineStr">
        <is>
          <t>Yes</t>
        </is>
      </c>
    </row>
    <row r="34">
      <c r="A34" s="25" t="inlineStr">
        <is>
          <t>TOTAL COST</t>
        </is>
      </c>
      <c r="B34" s="26" t="n">
        <v>630.6053209296</v>
      </c>
      <c r="C34" s="27" t="n">
        <v>6854.40566227826</v>
      </c>
      <c r="D34" s="29" t="n">
        <v>0.7853117321663761</v>
      </c>
    </row>
    <row r="36">
      <c r="A36" s="4" t="inlineStr">
        <is>
          <t>C. PROFIT &amp; LOSS</t>
        </is>
      </c>
      <c r="B36" s="5" t="n"/>
      <c r="C36" s="5" t="n"/>
      <c r="D36" s="5" t="n"/>
      <c r="E36" s="5" t="n"/>
    </row>
    <row r="37">
      <c r="A37" s="6" t="inlineStr"/>
      <c r="B37" s="6" t="inlineStr">
        <is>
          <t>₹ Crore</t>
        </is>
      </c>
      <c r="C37" s="6" t="inlineStr">
        <is>
          <t>₹ / sq ft</t>
        </is>
      </c>
      <c r="D37" s="6" t="inlineStr">
        <is>
          <t>% of revenue</t>
        </is>
      </c>
    </row>
    <row r="38">
      <c r="A38" s="7" t="inlineStr">
        <is>
          <t>Revenue</t>
        </is>
      </c>
      <c r="B38" s="16" t="n">
        <v>803</v>
      </c>
      <c r="C38" s="17" t="n">
        <v>8728.260869565218</v>
      </c>
      <c r="D38" s="18" t="n">
        <v>1</v>
      </c>
    </row>
    <row r="39">
      <c r="A39" s="7" t="inlineStr">
        <is>
          <t>Total cost</t>
        </is>
      </c>
      <c r="B39" s="16" t="n">
        <v>630.6053209296</v>
      </c>
      <c r="C39" s="17" t="n">
        <v>6854.40566227826</v>
      </c>
      <c r="D39" s="18" t="n">
        <v>0.7853117321663761</v>
      </c>
    </row>
    <row r="40">
      <c r="A40" s="12" t="inlineStr">
        <is>
          <t>EBITDA</t>
        </is>
      </c>
      <c r="B40" s="13" t="n">
        <v>172.3946790704</v>
      </c>
      <c r="C40" s="14" t="n">
        <v>1873.855207286957</v>
      </c>
      <c r="D40" s="15" t="n">
        <v>0.2146882678336239</v>
      </c>
    </row>
    <row r="41">
      <c r="A41" s="7" t="inlineStr">
        <is>
          <t>Tax</t>
        </is>
      </c>
      <c r="B41" s="16" t="n">
        <v>44.822616558304</v>
      </c>
      <c r="C41" s="17" t="n">
        <v>487.2023538946087</v>
      </c>
      <c r="D41" s="18" t="n">
        <v>0.05581894963674221</v>
      </c>
    </row>
    <row r="42">
      <c r="A42" s="12" t="inlineStr">
        <is>
          <t>PAT</t>
        </is>
      </c>
      <c r="B42" s="13" t="n">
        <v>127.572062512096</v>
      </c>
      <c r="C42" s="14" t="n">
        <v>1386.652853392348</v>
      </c>
      <c r="D42" s="15" t="n">
        <v>0.1588693181968817</v>
      </c>
    </row>
    <row r="43">
      <c r="A43" s="7" t="inlineStr">
        <is>
          <t>Developer's revenue share</t>
        </is>
      </c>
      <c r="B43" s="16" t="n">
        <v>546.04</v>
      </c>
      <c r="C43" s="17" t="n">
        <v>5935.217391304348</v>
      </c>
      <c r="D43" s="18" t="n">
        <v>0.6799999999999999</v>
      </c>
    </row>
    <row r="44">
      <c r="A44" s="7" t="inlineStr">
        <is>
          <t>Developer's cost (excl. landowner share)</t>
        </is>
      </c>
      <c r="B44" s="16" t="n">
        <v>373.6453209296</v>
      </c>
      <c r="C44" s="17" t="n">
        <v>4061.362184017391</v>
      </c>
      <c r="D44" s="18" t="n">
        <v>0.4653117321663761</v>
      </c>
    </row>
    <row r="45">
      <c r="A45" s="7" t="inlineStr">
        <is>
          <t>EBITDA margin on developer's share</t>
        </is>
      </c>
      <c r="B45" s="18" t="n">
        <v>0.3157180409317999</v>
      </c>
    </row>
    <row r="47">
      <c r="A47" s="4" t="inlineStr">
        <is>
          <t>D. JV REVENUE SPLIT</t>
        </is>
      </c>
      <c r="B47" s="5" t="n"/>
      <c r="C47" s="5" t="n"/>
      <c r="D47" s="5" t="n"/>
      <c r="E47" s="5" t="n"/>
    </row>
    <row r="48">
      <c r="A48" s="6" t="inlineStr">
        <is>
          <t>Party</t>
        </is>
      </c>
      <c r="B48" s="6" t="inlineStr">
        <is>
          <t>Share</t>
        </is>
      </c>
      <c r="C48" s="6" t="inlineStr">
        <is>
          <t>₹ Crore</t>
        </is>
      </c>
    </row>
    <row r="49">
      <c r="A49" s="7" t="inlineStr">
        <is>
          <t>Developer</t>
        </is>
      </c>
      <c r="B49" s="18" t="n">
        <v>0.6799999999999999</v>
      </c>
      <c r="C49" s="16" t="n">
        <v>546.04</v>
      </c>
    </row>
    <row r="50">
      <c r="A50" s="7" t="inlineStr">
        <is>
          <t>Landowner</t>
        </is>
      </c>
      <c r="B50" s="18" t="n">
        <v>0.3200000000000001</v>
      </c>
      <c r="C50" s="16" t="n">
        <v>256.96</v>
      </c>
    </row>
    <row r="52">
      <c r="A52" s="4" t="inlineStr">
        <is>
          <t>E. KEY INVESTMENT METRICS</t>
        </is>
      </c>
      <c r="B52" s="5" t="n"/>
      <c r="C52" s="5" t="n"/>
      <c r="D52" s="5" t="n"/>
      <c r="E52" s="5" t="n"/>
    </row>
    <row r="53">
      <c r="A53" s="6" t="inlineStr">
        <is>
          <t>Metric</t>
        </is>
      </c>
      <c r="B53" s="6" t="inlineStr">
        <is>
          <t>Value</t>
        </is>
      </c>
      <c r="C53" s="6" t="inlineStr">
        <is>
          <t>Benchmark</t>
        </is>
      </c>
      <c r="D53" s="6" t="inlineStr">
        <is>
          <t>Status</t>
        </is>
      </c>
    </row>
    <row r="54">
      <c r="A54" s="7" t="inlineStr">
        <is>
          <t>Project IRR</t>
        </is>
      </c>
      <c r="B54" s="7" t="inlineStr">
        <is>
          <t>449.1%</t>
        </is>
      </c>
      <c r="C54" s="7" t="inlineStr">
        <is>
          <t>22%</t>
        </is>
      </c>
      <c r="D54" s="31" t="inlineStr">
        <is>
          <t>Strong</t>
        </is>
      </c>
    </row>
    <row r="55">
      <c r="A55" s="7" t="inlineStr">
        <is>
          <t>Developer IRR (pre-tax)</t>
        </is>
      </c>
      <c r="B55" s="7" t="inlineStr">
        <is>
          <t>110.2%</t>
        </is>
      </c>
      <c r="C55" s="7" t="inlineStr">
        <is>
          <t>18%</t>
        </is>
      </c>
      <c r="D55" s="31" t="inlineStr">
        <is>
          <t>Strong</t>
        </is>
      </c>
    </row>
    <row r="56">
      <c r="A56" s="7" t="inlineStr">
        <is>
          <t>Equity multiple</t>
        </is>
      </c>
      <c r="B56" s="7" t="inlineStr">
        <is>
          <t>1.47x</t>
        </is>
      </c>
      <c r="C56" s="7" t="inlineStr">
        <is>
          <t>2.0x</t>
        </is>
      </c>
      <c r="D56" s="32" t="inlineStr">
        <is>
          <t>Review</t>
        </is>
      </c>
    </row>
    <row r="57">
      <c r="A57" s="7" t="inlineStr">
        <is>
          <t>ROCE (annualised)</t>
        </is>
      </c>
      <c r="B57" s="7" t="inlineStr">
        <is>
          <t>120.1%</t>
        </is>
      </c>
      <c r="C57" s="7" t="inlineStr">
        <is>
          <t>30%</t>
        </is>
      </c>
      <c r="D57" s="31" t="inlineStr">
        <is>
          <t>Strong</t>
        </is>
      </c>
    </row>
    <row r="58">
      <c r="A58" s="7" t="inlineStr">
        <is>
          <t>CAGR</t>
        </is>
      </c>
      <c r="B58" s="7" t="inlineStr">
        <is>
          <t>40.3%</t>
        </is>
      </c>
      <c r="C58" s="7" t="inlineStr">
        <is>
          <t>30%</t>
        </is>
      </c>
      <c r="D58" s="31" t="inlineStr">
        <is>
          <t>Strong</t>
        </is>
      </c>
    </row>
    <row r="59">
      <c r="A59" s="7" t="inlineStr">
        <is>
          <t>PAT margin</t>
        </is>
      </c>
      <c r="B59" s="7" t="inlineStr">
        <is>
          <t>15.9%</t>
        </is>
      </c>
      <c r="C59" s="7" t="inlineStr">
        <is>
          <t>15%</t>
        </is>
      </c>
      <c r="D59" s="31" t="inlineStr">
        <is>
          <t>Strong</t>
        </is>
      </c>
    </row>
    <row r="60">
      <c r="A60" s="7" t="inlineStr">
        <is>
          <t>EBITDA margin</t>
        </is>
      </c>
      <c r="B60" s="7" t="inlineStr">
        <is>
          <t>21.5%</t>
        </is>
      </c>
      <c r="C60" s="7" t="inlineStr">
        <is>
          <t>20%</t>
        </is>
      </c>
      <c r="D60" s="31" t="inlineStr">
        <is>
          <t>Strong</t>
        </is>
      </c>
    </row>
    <row r="61">
      <c r="A61" s="7" t="inlineStr">
        <is>
          <t>Peak investment</t>
        </is>
      </c>
      <c r="B61" s="7" t="inlineStr">
        <is>
          <t>₹34.29 Cr</t>
        </is>
      </c>
      <c r="C61" s="7" t="inlineStr"/>
      <c r="D61" s="7" t="inlineStr"/>
    </row>
    <row r="62">
      <c r="A62" s="7" t="inlineStr">
        <is>
          <t>Land cost to GDV</t>
        </is>
      </c>
      <c r="B62" s="7" t="inlineStr">
        <is>
          <t>32.0%</t>
        </is>
      </c>
      <c r="C62" s="7" t="inlineStr"/>
      <c r="D62" s="7" t="inlineStr"/>
    </row>
    <row r="63">
      <c r="A63" s="7" t="inlineStr">
        <is>
          <t>Initial investment to GDV</t>
        </is>
      </c>
      <c r="B63" s="7" t="inlineStr">
        <is>
          <t>3.6%</t>
        </is>
      </c>
      <c r="C63" s="7" t="inlineStr"/>
      <c r="D63" s="7" t="inlineStr"/>
    </row>
    <row r="64">
      <c r="A64" s="7" t="inlineStr">
        <is>
          <t>Break-even quarter (project)</t>
        </is>
      </c>
      <c r="B64" s="7" t="inlineStr">
        <is>
          <t>Q3</t>
        </is>
      </c>
      <c r="C64" s="7" t="inlineStr"/>
      <c r="D64" s="7" t="inlineStr"/>
    </row>
    <row r="65">
      <c r="A65" s="7" t="inlineStr">
        <is>
          <t>Break-even quarter (developer)</t>
        </is>
      </c>
      <c r="B65" s="7" t="inlineStr">
        <is>
          <t>Q3</t>
        </is>
      </c>
      <c r="C65" s="7" t="inlineStr"/>
      <c r="D65" s="7" t="inlineStr"/>
    </row>
    <row r="66">
      <c r="A66" s="7" t="inlineStr">
        <is>
          <t>Payback quarter (developer)</t>
        </is>
      </c>
      <c r="B66" s="7" t="inlineStr">
        <is>
          <t>Q8</t>
        </is>
      </c>
      <c r="C66" s="7" t="inlineStr"/>
      <c r="D66" s="7" t="inlineStr"/>
    </row>
    <row r="67">
      <c r="A67" s="7" t="inlineStr">
        <is>
          <t>Project NPV @ cost of equity</t>
        </is>
      </c>
      <c r="B67" s="7" t="inlineStr">
        <is>
          <t>₹251.62 Cr</t>
        </is>
      </c>
      <c r="C67" s="7" t="inlineStr"/>
      <c r="D67" s="7" t="inlineStr"/>
    </row>
    <row r="68">
      <c r="A68" s="7" t="inlineStr">
        <is>
          <t>Developer NPV @ cost of equity</t>
        </is>
      </c>
      <c r="B68" s="7" t="inlineStr">
        <is>
          <t>₹90.63 Cr</t>
        </is>
      </c>
      <c r="C68" s="7" t="inlineStr"/>
      <c r="D68" s="7" t="inlineStr"/>
    </row>
    <row r="69">
      <c r="A69" s="7" t="inlineStr">
        <is>
          <t>Developer IRR (post-tax, indicative)</t>
        </is>
      </c>
      <c r="B69" s="7" t="inlineStr">
        <is>
          <t>83.9%</t>
        </is>
      </c>
      <c r="C69" s="7" t="inlineStr"/>
      <c r="D69" s="7" t="inlineStr"/>
    </row>
    <row r="70">
      <c r="A70" s="7" t="inlineStr">
        <is>
          <t>Largest single-quarter deficit</t>
        </is>
      </c>
      <c r="B70" s="7" t="inlineStr">
        <is>
          <t>₹19.61 Cr</t>
        </is>
      </c>
      <c r="C70" s="7" t="inlineStr"/>
      <c r="D70" s="7" t="inlineStr"/>
    </row>
    <row r="71">
      <c r="A71" s="7" t="inlineStr">
        <is>
          <t>Cash multiple (developer)</t>
        </is>
      </c>
      <c r="B71" s="7" t="inlineStr">
        <is>
          <t>4.38x</t>
        </is>
      </c>
      <c r="C71" s="7" t="inlineStr"/>
      <c r="D71" s="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40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</cols>
  <sheetData>
    <row r="1">
      <c r="A1" s="1" t="inlineStr">
        <is>
          <t>Quarterly cash flow (₹ Crore)</t>
        </is>
      </c>
    </row>
    <row r="2">
      <c r="A2" s="2" t="inlineStr">
        <is>
          <t>Columns = quarters from the project start. Negative = cash out.</t>
        </is>
      </c>
    </row>
    <row r="4">
      <c r="A4" s="6" t="inlineStr">
        <is>
          <t>Quarter</t>
        </is>
      </c>
      <c r="B4" s="6" t="inlineStr">
        <is>
          <t>Q1</t>
        </is>
      </c>
      <c r="C4" s="6" t="inlineStr">
        <is>
          <t>Q2</t>
        </is>
      </c>
      <c r="D4" s="6" t="inlineStr">
        <is>
          <t>Q3</t>
        </is>
      </c>
      <c r="E4" s="6" t="inlineStr">
        <is>
          <t>Q4</t>
        </is>
      </c>
      <c r="F4" s="6" t="inlineStr">
        <is>
          <t>Q5</t>
        </is>
      </c>
      <c r="G4" s="6" t="inlineStr">
        <is>
          <t>Q6</t>
        </is>
      </c>
      <c r="H4" s="6" t="inlineStr">
        <is>
          <t>Q7</t>
        </is>
      </c>
      <c r="I4" s="6" t="inlineStr">
        <is>
          <t>Q8</t>
        </is>
      </c>
      <c r="J4" s="6" t="inlineStr">
        <is>
          <t>Q9</t>
        </is>
      </c>
      <c r="K4" s="6" t="inlineStr">
        <is>
          <t>Q10</t>
        </is>
      </c>
      <c r="L4" s="6" t="inlineStr">
        <is>
          <t>Q11</t>
        </is>
      </c>
      <c r="M4" s="6" t="inlineStr">
        <is>
          <t>Q12</t>
        </is>
      </c>
      <c r="N4" s="6" t="inlineStr">
        <is>
          <t>Q13</t>
        </is>
      </c>
      <c r="O4" s="6" t="inlineStr">
        <is>
          <t>Q14</t>
        </is>
      </c>
      <c r="P4" s="6" t="inlineStr">
        <is>
          <t>Q15</t>
        </is>
      </c>
      <c r="Q4" s="6" t="inlineStr">
        <is>
          <t>Q16</t>
        </is>
      </c>
      <c r="R4" s="6" t="inlineStr">
        <is>
          <t>Q17</t>
        </is>
      </c>
      <c r="S4" s="6" t="inlineStr">
        <is>
          <t>Q18</t>
        </is>
      </c>
      <c r="T4" s="6" t="inlineStr">
        <is>
          <t>Q19</t>
        </is>
      </c>
      <c r="U4" s="6" t="inlineStr">
        <is>
          <t>Q20</t>
        </is>
      </c>
      <c r="V4" s="6" t="inlineStr">
        <is>
          <t>Total</t>
        </is>
      </c>
    </row>
    <row r="5">
      <c r="A5" s="7" t="inlineStr">
        <is>
          <t>Quarter end</t>
        </is>
      </c>
      <c r="B5" s="33" t="n">
        <v>46568</v>
      </c>
      <c r="C5" s="33" t="n">
        <v>46660</v>
      </c>
      <c r="D5" s="33" t="n">
        <v>46752</v>
      </c>
      <c r="E5" s="33" t="n">
        <v>46843</v>
      </c>
      <c r="F5" s="33" t="n">
        <v>46934</v>
      </c>
      <c r="G5" s="33" t="n">
        <v>47026</v>
      </c>
      <c r="H5" s="33" t="n">
        <v>47118</v>
      </c>
      <c r="I5" s="33" t="n">
        <v>47208</v>
      </c>
      <c r="J5" s="33" t="n">
        <v>47299</v>
      </c>
      <c r="K5" s="33" t="n">
        <v>47391</v>
      </c>
      <c r="L5" s="33" t="n">
        <v>47483</v>
      </c>
      <c r="M5" s="33" t="n">
        <v>47573</v>
      </c>
      <c r="N5" s="33" t="n">
        <v>47664</v>
      </c>
      <c r="O5" s="33" t="n">
        <v>47756</v>
      </c>
      <c r="P5" s="33" t="n">
        <v>47848</v>
      </c>
      <c r="Q5" s="33" t="n">
        <v>47938</v>
      </c>
      <c r="R5" s="33" t="n">
        <v>48029</v>
      </c>
      <c r="S5" s="33" t="n">
        <v>48121</v>
      </c>
      <c r="T5" s="33" t="n">
        <v>48213</v>
      </c>
      <c r="U5" s="33" t="n">
        <v>48304</v>
      </c>
    </row>
    <row r="6">
      <c r="A6" s="7" t="inlineStr">
        <is>
          <t>Financial year</t>
        </is>
      </c>
      <c r="B6" s="7" t="inlineStr">
        <is>
          <t>FY 2027-28</t>
        </is>
      </c>
      <c r="C6" s="7" t="inlineStr">
        <is>
          <t>FY 2027-28</t>
        </is>
      </c>
      <c r="D6" s="7" t="inlineStr">
        <is>
          <t>FY 2027-28</t>
        </is>
      </c>
      <c r="E6" s="7" t="inlineStr">
        <is>
          <t>FY 2027-28</t>
        </is>
      </c>
      <c r="F6" s="7" t="inlineStr">
        <is>
          <t>FY 2028-29</t>
        </is>
      </c>
      <c r="G6" s="7" t="inlineStr">
        <is>
          <t>FY 2028-29</t>
        </is>
      </c>
      <c r="H6" s="7" t="inlineStr">
        <is>
          <t>FY 2028-29</t>
        </is>
      </c>
      <c r="I6" s="7" t="inlineStr">
        <is>
          <t>FY 2028-29</t>
        </is>
      </c>
      <c r="J6" s="7" t="inlineStr">
        <is>
          <t>FY 2029-30</t>
        </is>
      </c>
      <c r="K6" s="7" t="inlineStr">
        <is>
          <t>FY 2029-30</t>
        </is>
      </c>
      <c r="L6" s="7" t="inlineStr">
        <is>
          <t>FY 2029-30</t>
        </is>
      </c>
      <c r="M6" s="7" t="inlineStr">
        <is>
          <t>FY 2029-30</t>
        </is>
      </c>
      <c r="N6" s="7" t="inlineStr">
        <is>
          <t>FY 2030-31</t>
        </is>
      </c>
      <c r="O6" s="7" t="inlineStr">
        <is>
          <t>FY 2030-31</t>
        </is>
      </c>
      <c r="P6" s="7" t="inlineStr">
        <is>
          <t>FY 2030-31</t>
        </is>
      </c>
      <c r="Q6" s="7" t="inlineStr">
        <is>
          <t>FY 2030-31</t>
        </is>
      </c>
      <c r="R6" s="7" t="inlineStr">
        <is>
          <t>FY 2031-32</t>
        </is>
      </c>
      <c r="S6" s="7" t="inlineStr">
        <is>
          <t>FY 2031-32</t>
        </is>
      </c>
      <c r="T6" s="7" t="inlineStr">
        <is>
          <t>FY 2031-32</t>
        </is>
      </c>
      <c r="U6" s="7" t="inlineStr">
        <is>
          <t>FY 2031-32</t>
        </is>
      </c>
    </row>
    <row r="7">
      <c r="A7" s="7" t="inlineStr">
        <is>
          <t>Phase</t>
        </is>
      </c>
      <c r="B7" s="7" t="inlineStr">
        <is>
          <t>Pre-launch</t>
        </is>
      </c>
      <c r="C7" s="7" t="inlineStr">
        <is>
          <t>Pre-launch</t>
        </is>
      </c>
      <c r="D7" s="7" t="inlineStr">
        <is>
          <t>Sales</t>
        </is>
      </c>
      <c r="E7" s="7" t="inlineStr">
        <is>
          <t>Sales + Constr.</t>
        </is>
      </c>
      <c r="F7" s="7" t="inlineStr">
        <is>
          <t>Sales + Constr.</t>
        </is>
      </c>
      <c r="G7" s="7" t="inlineStr">
        <is>
          <t>Sales + Constr.</t>
        </is>
      </c>
      <c r="H7" s="7" t="inlineStr">
        <is>
          <t>Sales + Constr.</t>
        </is>
      </c>
      <c r="I7" s="7" t="inlineStr">
        <is>
          <t>Sales + Constr.</t>
        </is>
      </c>
      <c r="J7" s="7" t="inlineStr">
        <is>
          <t>Sales + Constr.</t>
        </is>
      </c>
      <c r="K7" s="7" t="inlineStr">
        <is>
          <t>Sales + Constr.</t>
        </is>
      </c>
      <c r="L7" s="7" t="inlineStr">
        <is>
          <t>Sales + Constr.</t>
        </is>
      </c>
      <c r="M7" s="7" t="inlineStr">
        <is>
          <t>Sales + Constr.</t>
        </is>
      </c>
      <c r="N7" s="7" t="inlineStr">
        <is>
          <t>Sales + Constr.</t>
        </is>
      </c>
      <c r="O7" s="7" t="inlineStr">
        <is>
          <t>Sales + Constr.</t>
        </is>
      </c>
      <c r="P7" s="7" t="inlineStr">
        <is>
          <t>Sales + Constr.</t>
        </is>
      </c>
      <c r="Q7" s="7" t="inlineStr">
        <is>
          <t>Construction</t>
        </is>
      </c>
      <c r="R7" s="7" t="inlineStr">
        <is>
          <t>Construction</t>
        </is>
      </c>
      <c r="S7" s="7" t="inlineStr">
        <is>
          <t>Construction</t>
        </is>
      </c>
      <c r="T7" s="7" t="inlineStr">
        <is>
          <t>Construction</t>
        </is>
      </c>
      <c r="U7" s="7" t="inlineStr">
        <is>
          <t>Construction</t>
        </is>
      </c>
    </row>
    <row r="8">
      <c r="A8" s="4" t="inlineStr">
        <is>
          <t>INFLOWS</t>
        </is>
      </c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</row>
    <row r="9">
      <c r="A9" s="12" t="inlineStr">
        <is>
          <t>Customer collections</t>
        </is>
      </c>
      <c r="B9" s="13" t="n">
        <v>0</v>
      </c>
      <c r="C9" s="13" t="n">
        <v>0</v>
      </c>
      <c r="D9" s="13" t="n">
        <v>6.111111111111111</v>
      </c>
      <c r="E9" s="13" t="n">
        <v>15.20833333333333</v>
      </c>
      <c r="F9" s="13" t="n">
        <v>28.88888888888889</v>
      </c>
      <c r="G9" s="13" t="n">
        <v>20.93611111111111</v>
      </c>
      <c r="H9" s="13" t="n">
        <v>38.95555555555556</v>
      </c>
      <c r="I9" s="13" t="n">
        <v>70.24999999999997</v>
      </c>
      <c r="J9" s="13" t="n">
        <v>45.70694444444445</v>
      </c>
      <c r="K9" s="13" t="n">
        <v>68.55972222222222</v>
      </c>
      <c r="L9" s="13" t="n">
        <v>94.84999999999999</v>
      </c>
      <c r="M9" s="13" t="n">
        <v>55.76666666666667</v>
      </c>
      <c r="N9" s="13" t="n">
        <v>33.71666666666667</v>
      </c>
      <c r="O9" s="13" t="n">
        <v>86.46666666666667</v>
      </c>
      <c r="P9" s="13" t="n">
        <v>63.01666666666667</v>
      </c>
      <c r="Q9" s="13" t="n">
        <v>76.76666666666667</v>
      </c>
      <c r="R9" s="13" t="n">
        <v>30.3</v>
      </c>
      <c r="S9" s="13" t="n">
        <v>22.5</v>
      </c>
      <c r="T9" s="13" t="n">
        <v>0</v>
      </c>
      <c r="U9" s="13" t="n">
        <v>45</v>
      </c>
      <c r="V9" s="13" t="n">
        <v>803</v>
      </c>
    </row>
    <row r="10">
      <c r="A10" s="7" t="inlineStr">
        <is>
          <t xml:space="preserve">   of which landowner share earned</t>
        </is>
      </c>
      <c r="B10" s="16" t="n">
        <v>0</v>
      </c>
      <c r="C10" s="16" t="n">
        <v>0</v>
      </c>
      <c r="D10" s="16" t="n">
        <v>1.955555555555555</v>
      </c>
      <c r="E10" s="16" t="n">
        <v>4.866666666666666</v>
      </c>
      <c r="F10" s="16" t="n">
        <v>9.244444444444445</v>
      </c>
      <c r="G10" s="16" t="n">
        <v>6.699555555555555</v>
      </c>
      <c r="H10" s="16" t="n">
        <v>12.46577777777778</v>
      </c>
      <c r="I10" s="16" t="n">
        <v>22.47999999999999</v>
      </c>
      <c r="J10" s="16" t="n">
        <v>14.62622222222222</v>
      </c>
      <c r="K10" s="16" t="n">
        <v>21.93911111111111</v>
      </c>
      <c r="L10" s="16" t="n">
        <v>30.352</v>
      </c>
      <c r="M10" s="16" t="n">
        <v>17.84533333333333</v>
      </c>
      <c r="N10" s="16" t="n">
        <v>10.78933333333333</v>
      </c>
      <c r="O10" s="16" t="n">
        <v>27.66933333333333</v>
      </c>
      <c r="P10" s="16" t="n">
        <v>20.16533333333333</v>
      </c>
      <c r="Q10" s="16" t="n">
        <v>24.56533333333334</v>
      </c>
      <c r="R10" s="16" t="n">
        <v>9.696</v>
      </c>
      <c r="S10" s="16" t="n">
        <v>7.2</v>
      </c>
      <c r="T10" s="16" t="n">
        <v>0</v>
      </c>
      <c r="U10" s="16" t="n">
        <v>14.4</v>
      </c>
      <c r="V10" s="16" t="n">
        <v>256.96</v>
      </c>
    </row>
    <row r="11">
      <c r="A11" s="7" t="inlineStr">
        <is>
          <t xml:space="preserve">   of which developer share</t>
        </is>
      </c>
      <c r="B11" s="16" t="n">
        <v>0</v>
      </c>
      <c r="C11" s="16" t="n">
        <v>0</v>
      </c>
      <c r="D11" s="16" t="n">
        <v>4.155555555555555</v>
      </c>
      <c r="E11" s="16" t="n">
        <v>10.34166666666667</v>
      </c>
      <c r="F11" s="16" t="n">
        <v>19.64444444444445</v>
      </c>
      <c r="G11" s="16" t="n">
        <v>14.23655555555555</v>
      </c>
      <c r="H11" s="16" t="n">
        <v>26.48977777777778</v>
      </c>
      <c r="I11" s="16" t="n">
        <v>47.76999999999998</v>
      </c>
      <c r="J11" s="16" t="n">
        <v>31.08072222222222</v>
      </c>
      <c r="K11" s="16" t="n">
        <v>46.62061111111111</v>
      </c>
      <c r="L11" s="16" t="n">
        <v>64.49799999999999</v>
      </c>
      <c r="M11" s="16" t="n">
        <v>37.92133333333334</v>
      </c>
      <c r="N11" s="16" t="n">
        <v>22.92733333333334</v>
      </c>
      <c r="O11" s="16" t="n">
        <v>58.79733333333333</v>
      </c>
      <c r="P11" s="16" t="n">
        <v>42.85133333333333</v>
      </c>
      <c r="Q11" s="16" t="n">
        <v>52.20133333333333</v>
      </c>
      <c r="R11" s="16" t="n">
        <v>20.604</v>
      </c>
      <c r="S11" s="16" t="n">
        <v>15.3</v>
      </c>
      <c r="T11" s="16" t="n">
        <v>0</v>
      </c>
      <c r="U11" s="16" t="n">
        <v>30.6</v>
      </c>
      <c r="V11" s="16" t="n">
        <v>546.04</v>
      </c>
    </row>
    <row r="12">
      <c r="A12" s="4" t="inlineStr">
        <is>
          <t>OUTFLOWS</t>
        </is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</row>
    <row r="13">
      <c r="A13" s="7" t="inlineStr">
        <is>
          <t xml:space="preserve">   Stamp Duty</t>
        </is>
      </c>
      <c r="B13" s="16" t="n">
        <v>-0</v>
      </c>
      <c r="C13" s="16" t="n">
        <v>-0.8967465935999999</v>
      </c>
      <c r="D13" s="16" t="n">
        <v>-0</v>
      </c>
      <c r="E13" s="16" t="n">
        <v>-0</v>
      </c>
      <c r="F13" s="16" t="n">
        <v>-0</v>
      </c>
      <c r="G13" s="16" t="n">
        <v>-0</v>
      </c>
      <c r="H13" s="16" t="n">
        <v>-0</v>
      </c>
      <c r="I13" s="16" t="n">
        <v>-0</v>
      </c>
      <c r="J13" s="16" t="n">
        <v>-0</v>
      </c>
      <c r="K13" s="16" t="n">
        <v>-0</v>
      </c>
      <c r="L13" s="16" t="n">
        <v>-0</v>
      </c>
      <c r="M13" s="16" t="n">
        <v>-0</v>
      </c>
      <c r="N13" s="16" t="n">
        <v>-0</v>
      </c>
      <c r="O13" s="16" t="n">
        <v>-0</v>
      </c>
      <c r="P13" s="16" t="n">
        <v>-0</v>
      </c>
      <c r="Q13" s="16" t="n">
        <v>-0</v>
      </c>
      <c r="R13" s="16" t="n">
        <v>-0</v>
      </c>
      <c r="S13" s="16" t="n">
        <v>-0</v>
      </c>
      <c r="T13" s="16" t="n">
        <v>-0</v>
      </c>
      <c r="U13" s="16" t="n">
        <v>-0</v>
      </c>
      <c r="V13" s="16" t="n">
        <v>-0.8967465935999999</v>
      </c>
    </row>
    <row r="14">
      <c r="A14" s="7" t="inlineStr">
        <is>
          <t xml:space="preserve">   Brokerage</t>
        </is>
      </c>
      <c r="B14" s="16" t="n">
        <v>-0</v>
      </c>
      <c r="C14" s="16" t="n">
        <v>-2.124</v>
      </c>
      <c r="D14" s="16" t="n">
        <v>-0</v>
      </c>
      <c r="E14" s="16" t="n">
        <v>-0</v>
      </c>
      <c r="F14" s="16" t="n">
        <v>-0</v>
      </c>
      <c r="G14" s="16" t="n">
        <v>-0</v>
      </c>
      <c r="H14" s="16" t="n">
        <v>-0</v>
      </c>
      <c r="I14" s="16" t="n">
        <v>-0</v>
      </c>
      <c r="J14" s="16" t="n">
        <v>-0</v>
      </c>
      <c r="K14" s="16" t="n">
        <v>-0</v>
      </c>
      <c r="L14" s="16" t="n">
        <v>-0</v>
      </c>
      <c r="M14" s="16" t="n">
        <v>-0</v>
      </c>
      <c r="N14" s="16" t="n">
        <v>-0</v>
      </c>
      <c r="O14" s="16" t="n">
        <v>-0</v>
      </c>
      <c r="P14" s="16" t="n">
        <v>-0</v>
      </c>
      <c r="Q14" s="16" t="n">
        <v>-0</v>
      </c>
      <c r="R14" s="16" t="n">
        <v>-0</v>
      </c>
      <c r="S14" s="16" t="n">
        <v>-0</v>
      </c>
      <c r="T14" s="16" t="n">
        <v>-0</v>
      </c>
      <c r="U14" s="16" t="n">
        <v>-0</v>
      </c>
      <c r="V14" s="16" t="n">
        <v>-2.124</v>
      </c>
    </row>
    <row r="15">
      <c r="A15" s="7" t="inlineStr">
        <is>
          <t xml:space="preserve">   Villa Construction Cost</t>
        </is>
      </c>
      <c r="B15" s="16" t="n">
        <v>-0</v>
      </c>
      <c r="C15" s="16" t="n">
        <v>-0</v>
      </c>
      <c r="D15" s="16" t="n">
        <v>-0</v>
      </c>
      <c r="E15" s="16" t="n">
        <v>-1.235188797021274</v>
      </c>
      <c r="F15" s="16" t="n">
        <v>-3.621390315792824</v>
      </c>
      <c r="G15" s="16" t="n">
        <v>-5.760800069173553</v>
      </c>
      <c r="H15" s="16" t="n">
        <v>-7.507620818012347</v>
      </c>
      <c r="I15" s="16" t="n">
        <v>-8.742809615033622</v>
      </c>
      <c r="J15" s="16" t="n">
        <v>-9.382190384966377</v>
      </c>
      <c r="K15" s="16" t="n">
        <v>-9.382190384966377</v>
      </c>
      <c r="L15" s="16" t="n">
        <v>-8.742809615033622</v>
      </c>
      <c r="M15" s="16" t="n">
        <v>-7.507620818012347</v>
      </c>
      <c r="N15" s="16" t="n">
        <v>-5.760800069173555</v>
      </c>
      <c r="O15" s="16" t="n">
        <v>-3.621390315792825</v>
      </c>
      <c r="P15" s="16" t="n">
        <v>-1.235188797021278</v>
      </c>
      <c r="Q15" s="16" t="n">
        <v>-0</v>
      </c>
      <c r="R15" s="16" t="n">
        <v>-0</v>
      </c>
      <c r="S15" s="16" t="n">
        <v>-0</v>
      </c>
      <c r="T15" s="16" t="n">
        <v>-0</v>
      </c>
      <c r="U15" s="16" t="n">
        <v>-0</v>
      </c>
      <c r="V15" s="16" t="n">
        <v>-72.5</v>
      </c>
    </row>
    <row r="16">
      <c r="A16" s="7" t="inlineStr">
        <is>
          <t xml:space="preserve">   APT Construction Cost</t>
        </is>
      </c>
      <c r="B16" s="16" t="n">
        <v>-0</v>
      </c>
      <c r="C16" s="16" t="n">
        <v>-0</v>
      </c>
      <c r="D16" s="16" t="n">
        <v>-0</v>
      </c>
      <c r="E16" s="16" t="n">
        <v>-0</v>
      </c>
      <c r="F16" s="16" t="n">
        <v>-1.671680604918951</v>
      </c>
      <c r="G16" s="16" t="n">
        <v>-4.950800066599101</v>
      </c>
      <c r="H16" s="16" t="n">
        <v>-8.039663058160512</v>
      </c>
      <c r="I16" s="16" t="n">
        <v>-10.8195663070918</v>
      </c>
      <c r="J16" s="16" t="n">
        <v>-13.18367969052424</v>
      </c>
      <c r="K16" s="16" t="n">
        <v>-15.04115165694258</v>
      </c>
      <c r="L16" s="16" t="n">
        <v>-16.32060060035965</v>
      </c>
      <c r="M16" s="16" t="n">
        <v>-16.97285801540316</v>
      </c>
      <c r="N16" s="16" t="n">
        <v>-16.97285801540316</v>
      </c>
      <c r="O16" s="16" t="n">
        <v>-16.32060060035965</v>
      </c>
      <c r="P16" s="16" t="n">
        <v>-15.04115165694258</v>
      </c>
      <c r="Q16" s="16" t="n">
        <v>-13.18367969052424</v>
      </c>
      <c r="R16" s="16" t="n">
        <v>-10.8195663070918</v>
      </c>
      <c r="S16" s="16" t="n">
        <v>-8.039663058160516</v>
      </c>
      <c r="T16" s="16" t="n">
        <v>-4.950800066599101</v>
      </c>
      <c r="U16" s="16" t="n">
        <v>-1.671680604918955</v>
      </c>
      <c r="V16" s="16" t="n">
        <v>-174</v>
      </c>
    </row>
    <row r="17">
      <c r="A17" s="7" t="inlineStr">
        <is>
          <t xml:space="preserve">   Studio Construction cost with furnishing</t>
        </is>
      </c>
      <c r="B17" s="16" t="n">
        <v>-0</v>
      </c>
      <c r="C17" s="16" t="n">
        <v>-0</v>
      </c>
      <c r="D17" s="16" t="n">
        <v>-0</v>
      </c>
      <c r="E17" s="16" t="n">
        <v>-0</v>
      </c>
      <c r="F17" s="16" t="n">
        <v>-0</v>
      </c>
      <c r="G17" s="16" t="n">
        <v>-0.2589637202030809</v>
      </c>
      <c r="H17" s="16" t="n">
        <v>-0.7592432110351852</v>
      </c>
      <c r="I17" s="16" t="n">
        <v>-1.207781531743972</v>
      </c>
      <c r="J17" s="16" t="n">
        <v>-1.574011537017761</v>
      </c>
      <c r="K17" s="16" t="n">
        <v>-1.832975257220842</v>
      </c>
      <c r="L17" s="16" t="n">
        <v>-1.967024742779158</v>
      </c>
      <c r="M17" s="16" t="n">
        <v>-1.967024742779158</v>
      </c>
      <c r="N17" s="16" t="n">
        <v>-1.832975257220842</v>
      </c>
      <c r="O17" s="16" t="n">
        <v>-1.574011537017761</v>
      </c>
      <c r="P17" s="16" t="n">
        <v>-1.207781531743973</v>
      </c>
      <c r="Q17" s="16" t="n">
        <v>-0.7592432110351853</v>
      </c>
      <c r="R17" s="16" t="n">
        <v>-0.2589637202030818</v>
      </c>
      <c r="S17" s="16" t="n">
        <v>-0</v>
      </c>
      <c r="T17" s="16" t="n">
        <v>-0</v>
      </c>
      <c r="U17" s="16" t="n">
        <v>-0</v>
      </c>
      <c r="V17" s="16" t="n">
        <v>-15.2</v>
      </c>
    </row>
    <row r="18">
      <c r="A18" s="7" t="inlineStr">
        <is>
          <t xml:space="preserve">   Commercial Construction Cost</t>
        </is>
      </c>
      <c r="B18" s="16" t="n">
        <v>-0</v>
      </c>
      <c r="C18" s="16" t="n">
        <v>-0</v>
      </c>
      <c r="D18" s="16" t="n">
        <v>-0</v>
      </c>
      <c r="E18" s="16" t="n">
        <v>-0</v>
      </c>
      <c r="F18" s="16" t="n">
        <v>-0</v>
      </c>
      <c r="G18" s="16" t="n">
        <v>-0.1482226556425529</v>
      </c>
      <c r="H18" s="16" t="n">
        <v>-0.4345668378951389</v>
      </c>
      <c r="I18" s="16" t="n">
        <v>-0.6912960083008263</v>
      </c>
      <c r="J18" s="16" t="n">
        <v>-0.9009144981614815</v>
      </c>
      <c r="K18" s="16" t="n">
        <v>-1.049137153804034</v>
      </c>
      <c r="L18" s="16" t="n">
        <v>-1.125862846195965</v>
      </c>
      <c r="M18" s="16" t="n">
        <v>-1.125862846195965</v>
      </c>
      <c r="N18" s="16" t="n">
        <v>-1.049137153804035</v>
      </c>
      <c r="O18" s="16" t="n">
        <v>-0.9009144981614815</v>
      </c>
      <c r="P18" s="16" t="n">
        <v>-0.6912960083008265</v>
      </c>
      <c r="Q18" s="16" t="n">
        <v>-0.434566837895139</v>
      </c>
      <c r="R18" s="16" t="n">
        <v>-0.1482226556425534</v>
      </c>
      <c r="S18" s="16" t="n">
        <v>-0</v>
      </c>
      <c r="T18" s="16" t="n">
        <v>-0</v>
      </c>
      <c r="U18" s="16" t="n">
        <v>-0</v>
      </c>
      <c r="V18" s="16" t="n">
        <v>-8.699999999999999</v>
      </c>
    </row>
    <row r="19">
      <c r="A19" s="7" t="inlineStr">
        <is>
          <t xml:space="preserve">   Corporate Overheads (Rs/Sq Ft SA)</t>
        </is>
      </c>
      <c r="B19" s="16" t="n">
        <v>-1.606</v>
      </c>
      <c r="C19" s="16" t="n">
        <v>-1.606</v>
      </c>
      <c r="D19" s="16" t="n">
        <v>-1.606</v>
      </c>
      <c r="E19" s="16" t="n">
        <v>-1.606</v>
      </c>
      <c r="F19" s="16" t="n">
        <v>-1.606</v>
      </c>
      <c r="G19" s="16" t="n">
        <v>-1.606</v>
      </c>
      <c r="H19" s="16" t="n">
        <v>-1.606</v>
      </c>
      <c r="I19" s="16" t="n">
        <v>-1.606</v>
      </c>
      <c r="J19" s="16" t="n">
        <v>-1.606</v>
      </c>
      <c r="K19" s="16" t="n">
        <v>-1.606</v>
      </c>
      <c r="L19" s="16" t="n">
        <v>-1.606</v>
      </c>
      <c r="M19" s="16" t="n">
        <v>-1.606</v>
      </c>
      <c r="N19" s="16" t="n">
        <v>-1.606</v>
      </c>
      <c r="O19" s="16" t="n">
        <v>-1.606</v>
      </c>
      <c r="P19" s="16" t="n">
        <v>-1.606</v>
      </c>
      <c r="Q19" s="16" t="n">
        <v>-1.606</v>
      </c>
      <c r="R19" s="16" t="n">
        <v>-1.606</v>
      </c>
      <c r="S19" s="16" t="n">
        <v>-1.606</v>
      </c>
      <c r="T19" s="16" t="n">
        <v>-1.606</v>
      </c>
      <c r="U19" s="16" t="n">
        <v>-1.606</v>
      </c>
      <c r="V19" s="16" t="n">
        <v>-32.12</v>
      </c>
    </row>
    <row r="20">
      <c r="A20" s="7" t="inlineStr">
        <is>
          <t xml:space="preserve">   Marketing &amp; Sales @ %</t>
        </is>
      </c>
      <c r="B20" s="16" t="n">
        <v>-0</v>
      </c>
      <c r="C20" s="16" t="n">
        <v>-0</v>
      </c>
      <c r="D20" s="16" t="n">
        <v>-4.277777777777779</v>
      </c>
      <c r="E20" s="16" t="n">
        <v>-6.368055555555556</v>
      </c>
      <c r="F20" s="16" t="n">
        <v>-5.833333333333334</v>
      </c>
      <c r="G20" s="16" t="n">
        <v>-5.613611111111112</v>
      </c>
      <c r="H20" s="16" t="n">
        <v>-5.07888888888889</v>
      </c>
      <c r="I20" s="16" t="n">
        <v>-4.625833333333334</v>
      </c>
      <c r="J20" s="16" t="n">
        <v>-4.172777777777778</v>
      </c>
      <c r="K20" s="16" t="n">
        <v>-3.719722222222222</v>
      </c>
      <c r="L20" s="16" t="n">
        <v>-3.266666666666667</v>
      </c>
      <c r="M20" s="16" t="n">
        <v>-3.348333333333334</v>
      </c>
      <c r="N20" s="16" t="n">
        <v>-3.430000000000001</v>
      </c>
      <c r="O20" s="16" t="n">
        <v>-3.196666666666667</v>
      </c>
      <c r="P20" s="16" t="n">
        <v>-3.278333333333333</v>
      </c>
      <c r="Q20" s="16" t="n">
        <v>-0</v>
      </c>
      <c r="R20" s="16" t="n">
        <v>-0</v>
      </c>
      <c r="S20" s="16" t="n">
        <v>-0</v>
      </c>
      <c r="T20" s="16" t="n">
        <v>-0</v>
      </c>
      <c r="U20" s="16" t="n">
        <v>-0</v>
      </c>
      <c r="V20" s="16" t="n">
        <v>-56.21000000000001</v>
      </c>
    </row>
    <row r="21">
      <c r="A21" s="7" t="inlineStr">
        <is>
          <t xml:space="preserve">   Legal &amp; Compliance (Rs/Sq Ft SA)</t>
        </is>
      </c>
      <c r="B21" s="16" t="n">
        <v>-0</v>
      </c>
      <c r="C21" s="16" t="n">
        <v>-6.9</v>
      </c>
      <c r="D21" s="16" t="n">
        <v>-0</v>
      </c>
      <c r="E21" s="16" t="n">
        <v>-0</v>
      </c>
      <c r="F21" s="16" t="n">
        <v>-0</v>
      </c>
      <c r="G21" s="16" t="n">
        <v>-0</v>
      </c>
      <c r="H21" s="16" t="n">
        <v>-0</v>
      </c>
      <c r="I21" s="16" t="n">
        <v>-0</v>
      </c>
      <c r="J21" s="16" t="n">
        <v>-0</v>
      </c>
      <c r="K21" s="16" t="n">
        <v>-0</v>
      </c>
      <c r="L21" s="16" t="n">
        <v>-0</v>
      </c>
      <c r="M21" s="16" t="n">
        <v>-0</v>
      </c>
      <c r="N21" s="16" t="n">
        <v>-0</v>
      </c>
      <c r="O21" s="16" t="n">
        <v>-0</v>
      </c>
      <c r="P21" s="16" t="n">
        <v>-0</v>
      </c>
      <c r="Q21" s="16" t="n">
        <v>-0</v>
      </c>
      <c r="R21" s="16" t="n">
        <v>-0</v>
      </c>
      <c r="S21" s="16" t="n">
        <v>-0</v>
      </c>
      <c r="T21" s="16" t="n">
        <v>-0</v>
      </c>
      <c r="U21" s="16" t="n">
        <v>-0</v>
      </c>
      <c r="V21" s="16" t="n">
        <v>-6.9</v>
      </c>
    </row>
    <row r="22">
      <c r="A22" s="7" t="inlineStr">
        <is>
          <t xml:space="preserve">   EWS / LIG @ Rs/Sq Ft (Builtup)</t>
        </is>
      </c>
      <c r="B22" s="16" t="n">
        <v>-0</v>
      </c>
      <c r="C22" s="16" t="n">
        <v>-0</v>
      </c>
      <c r="D22" s="16" t="n">
        <v>-0</v>
      </c>
      <c r="E22" s="16" t="n">
        <v>-0.008405130867304529</v>
      </c>
      <c r="F22" s="16" t="n">
        <v>-0.03601793821786119</v>
      </c>
      <c r="G22" s="16" t="n">
        <v>-0.07566038158793509</v>
      </c>
      <c r="H22" s="16" t="n">
        <v>-0.1139186864725956</v>
      </c>
      <c r="I22" s="16" t="n">
        <v>-0.1460394762218684</v>
      </c>
      <c r="J22" s="16" t="n">
        <v>-0.170395949865505</v>
      </c>
      <c r="K22" s="16" t="n">
        <v>-0.1858063468690764</v>
      </c>
      <c r="L22" s="16" t="n">
        <v>-0.1915961093196666</v>
      </c>
      <c r="M22" s="16" t="n">
        <v>-0.1876294164837232</v>
      </c>
      <c r="N22" s="16" t="n">
        <v>-0.1743084974552771</v>
      </c>
      <c r="O22" s="16" t="n">
        <v>-0.1525411508522573</v>
      </c>
      <c r="P22" s="16" t="n">
        <v>-0.1236788798408874</v>
      </c>
      <c r="Q22" s="16" t="n">
        <v>-0.09783498935131808</v>
      </c>
      <c r="R22" s="16" t="n">
        <v>-0.07639506263537311</v>
      </c>
      <c r="S22" s="16" t="n">
        <v>-0.05470776637209819</v>
      </c>
      <c r="T22" s="16" t="n">
        <v>-0.03368887619283413</v>
      </c>
      <c r="U22" s="16" t="n">
        <v>-0.01137534139441893</v>
      </c>
      <c r="V22" s="16" t="n">
        <v>-1.84</v>
      </c>
    </row>
    <row r="23">
      <c r="A23" s="7" t="inlineStr">
        <is>
          <t xml:space="preserve">   BAR / Premium FAR Cost</t>
        </is>
      </c>
      <c r="B23" s="16" t="n">
        <v>-0</v>
      </c>
      <c r="C23" s="16" t="n">
        <v>-3.154574335999997</v>
      </c>
      <c r="D23" s="16" t="n">
        <v>-0</v>
      </c>
      <c r="E23" s="16" t="n">
        <v>-0</v>
      </c>
      <c r="F23" s="16" t="n">
        <v>-0</v>
      </c>
      <c r="G23" s="16" t="n">
        <v>-0</v>
      </c>
      <c r="H23" s="16" t="n">
        <v>-0</v>
      </c>
      <c r="I23" s="16" t="n">
        <v>-0</v>
      </c>
      <c r="J23" s="16" t="n">
        <v>-0</v>
      </c>
      <c r="K23" s="16" t="n">
        <v>-0</v>
      </c>
      <c r="L23" s="16" t="n">
        <v>-0</v>
      </c>
      <c r="M23" s="16" t="n">
        <v>-0</v>
      </c>
      <c r="N23" s="16" t="n">
        <v>-0</v>
      </c>
      <c r="O23" s="16" t="n">
        <v>-0</v>
      </c>
      <c r="P23" s="16" t="n">
        <v>-0</v>
      </c>
      <c r="Q23" s="16" t="n">
        <v>-0</v>
      </c>
      <c r="R23" s="16" t="n">
        <v>-0</v>
      </c>
      <c r="S23" s="16" t="n">
        <v>-0</v>
      </c>
      <c r="T23" s="16" t="n">
        <v>-0</v>
      </c>
      <c r="U23" s="16" t="n">
        <v>-0</v>
      </c>
      <c r="V23" s="16" t="n">
        <v>-3.154574335999997</v>
      </c>
    </row>
    <row r="24">
      <c r="A24" s="25" t="inlineStr">
        <is>
          <t>Total costs paid</t>
        </is>
      </c>
      <c r="B24" s="26" t="n">
        <v>-1.606</v>
      </c>
      <c r="C24" s="26" t="n">
        <v>-14.6813209296</v>
      </c>
      <c r="D24" s="26" t="n">
        <v>-5.883777777777778</v>
      </c>
      <c r="E24" s="26" t="n">
        <v>-9.217649483444134</v>
      </c>
      <c r="F24" s="26" t="n">
        <v>-12.76842219226297</v>
      </c>
      <c r="G24" s="26" t="n">
        <v>-18.41405800431733</v>
      </c>
      <c r="H24" s="26" t="n">
        <v>-23.53990150046467</v>
      </c>
      <c r="I24" s="26" t="n">
        <v>-27.83932627172542</v>
      </c>
      <c r="J24" s="26" t="n">
        <v>-30.98996983831314</v>
      </c>
      <c r="K24" s="26" t="n">
        <v>-32.81698302202514</v>
      </c>
      <c r="L24" s="26" t="n">
        <v>-33.22056058035474</v>
      </c>
      <c r="M24" s="26" t="n">
        <v>-32.71532917220769</v>
      </c>
      <c r="N24" s="26" t="n">
        <v>-30.82607899305687</v>
      </c>
      <c r="O24" s="26" t="n">
        <v>-27.37212476885065</v>
      </c>
      <c r="P24" s="26" t="n">
        <v>-23.18343020718288</v>
      </c>
      <c r="Q24" s="26" t="n">
        <v>-16.08132472880589</v>
      </c>
      <c r="R24" s="26" t="n">
        <v>-12.90914774557281</v>
      </c>
      <c r="S24" s="26" t="n">
        <v>-9.700370824532614</v>
      </c>
      <c r="T24" s="26" t="n">
        <v>-6.590488942791936</v>
      </c>
      <c r="U24" s="26" t="n">
        <v>-3.289055946313374</v>
      </c>
      <c r="V24" s="26" t="n">
        <v>-373.6453209296</v>
      </c>
    </row>
    <row r="25">
      <c r="A25" s="7" t="inlineStr">
        <is>
          <t>Advance to landowner</t>
        </is>
      </c>
      <c r="B25" s="16" t="n">
        <v>-18</v>
      </c>
      <c r="C25" s="16" t="n">
        <v>-0</v>
      </c>
      <c r="D25" s="16" t="n">
        <v>-0</v>
      </c>
      <c r="E25" s="16" t="n">
        <v>-0</v>
      </c>
      <c r="F25" s="16" t="n">
        <v>-0</v>
      </c>
      <c r="G25" s="16" t="n">
        <v>-0</v>
      </c>
      <c r="H25" s="16" t="n">
        <v>-0</v>
      </c>
      <c r="I25" s="16" t="n">
        <v>-0</v>
      </c>
      <c r="J25" s="16" t="n">
        <v>-0</v>
      </c>
      <c r="K25" s="16" t="n">
        <v>-0</v>
      </c>
      <c r="L25" s="16" t="n">
        <v>-0</v>
      </c>
      <c r="M25" s="16" t="n">
        <v>-0</v>
      </c>
      <c r="N25" s="16" t="n">
        <v>-0</v>
      </c>
      <c r="O25" s="16" t="n">
        <v>-0</v>
      </c>
      <c r="P25" s="16" t="n">
        <v>-0</v>
      </c>
      <c r="Q25" s="16" t="n">
        <v>-0</v>
      </c>
      <c r="R25" s="16" t="n">
        <v>-0</v>
      </c>
      <c r="S25" s="16" t="n">
        <v>-0</v>
      </c>
      <c r="T25" s="16" t="n">
        <v>-0</v>
      </c>
      <c r="U25" s="16" t="n">
        <v>-0</v>
      </c>
      <c r="V25" s="16" t="n">
        <v>-18</v>
      </c>
    </row>
    <row r="26">
      <c r="A26" s="7" t="inlineStr">
        <is>
          <t>Cash paid to landowner (incl. advance)</t>
        </is>
      </c>
      <c r="B26" s="16" t="n">
        <v>-18</v>
      </c>
      <c r="C26" s="16" t="n">
        <v>-0</v>
      </c>
      <c r="D26" s="16" t="n">
        <v>-0</v>
      </c>
      <c r="E26" s="16" t="n">
        <v>-0</v>
      </c>
      <c r="F26" s="16" t="n">
        <v>-0</v>
      </c>
      <c r="G26" s="16" t="n">
        <v>-4.766222222222222</v>
      </c>
      <c r="H26" s="16" t="n">
        <v>-12.46577777777778</v>
      </c>
      <c r="I26" s="16" t="n">
        <v>-22.47999999999999</v>
      </c>
      <c r="J26" s="16" t="n">
        <v>-14.62622222222222</v>
      </c>
      <c r="K26" s="16" t="n">
        <v>-21.93911111111112</v>
      </c>
      <c r="L26" s="16" t="n">
        <v>-30.352</v>
      </c>
      <c r="M26" s="16" t="n">
        <v>-17.84533333333334</v>
      </c>
      <c r="N26" s="16" t="n">
        <v>-10.78933333333333</v>
      </c>
      <c r="O26" s="16" t="n">
        <v>-27.66933333333333</v>
      </c>
      <c r="P26" s="16" t="n">
        <v>-20.16533333333334</v>
      </c>
      <c r="Q26" s="16" t="n">
        <v>-24.56533333333334</v>
      </c>
      <c r="R26" s="16" t="n">
        <v>-9.695999999999998</v>
      </c>
      <c r="S26" s="16" t="n">
        <v>-7.199999999999989</v>
      </c>
      <c r="T26" s="16" t="n">
        <v>-0</v>
      </c>
      <c r="U26" s="16" t="n">
        <v>-14.39999999999998</v>
      </c>
      <c r="V26" s="16" t="n">
        <v>-256.96</v>
      </c>
    </row>
    <row r="27">
      <c r="A27" s="4" t="inlineStr">
        <is>
          <t>NET CASH FLOW</t>
        </is>
      </c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</row>
    <row r="28">
      <c r="A28" s="12" t="inlineStr">
        <is>
          <t>Project net cash flow (before landowner)</t>
        </is>
      </c>
      <c r="B28" s="13" t="n">
        <v>-1.606</v>
      </c>
      <c r="C28" s="13" t="n">
        <v>-14.6813209296</v>
      </c>
      <c r="D28" s="13" t="n">
        <v>0.2273333333333323</v>
      </c>
      <c r="E28" s="13" t="n">
        <v>5.990683849889198</v>
      </c>
      <c r="F28" s="13" t="n">
        <v>16.12046669662592</v>
      </c>
      <c r="G28" s="13" t="n">
        <v>2.522053106793781</v>
      </c>
      <c r="H28" s="13" t="n">
        <v>15.41565405509089</v>
      </c>
      <c r="I28" s="13" t="n">
        <v>42.41067372827455</v>
      </c>
      <c r="J28" s="13" t="n">
        <v>14.7169746061313</v>
      </c>
      <c r="K28" s="13" t="n">
        <v>35.74273920019708</v>
      </c>
      <c r="L28" s="13" t="n">
        <v>61.62943941964526</v>
      </c>
      <c r="M28" s="13" t="n">
        <v>23.05133749445898</v>
      </c>
      <c r="N28" s="13" t="n">
        <v>2.890587673609801</v>
      </c>
      <c r="O28" s="13" t="n">
        <v>59.09454189781602</v>
      </c>
      <c r="P28" s="13" t="n">
        <v>39.83323645948379</v>
      </c>
      <c r="Q28" s="13" t="n">
        <v>60.68534193786078</v>
      </c>
      <c r="R28" s="13" t="n">
        <v>17.39085225442719</v>
      </c>
      <c r="S28" s="13" t="n">
        <v>12.79962917546739</v>
      </c>
      <c r="T28" s="13" t="n">
        <v>-6.590488942791936</v>
      </c>
      <c r="U28" s="13" t="n">
        <v>41.71094405368662</v>
      </c>
      <c r="V28" s="13" t="n">
        <v>429.3546790703999</v>
      </c>
    </row>
    <row r="29">
      <c r="A29" s="25" t="inlineStr">
        <is>
          <t>DEVELOPER NET CASH FLOW (pre-tax)</t>
        </is>
      </c>
      <c r="B29" s="26" t="n">
        <v>-19.606</v>
      </c>
      <c r="C29" s="26" t="n">
        <v>-14.6813209296</v>
      </c>
      <c r="D29" s="26" t="n">
        <v>0.2273333333333323</v>
      </c>
      <c r="E29" s="26" t="n">
        <v>5.990683849889198</v>
      </c>
      <c r="F29" s="26" t="n">
        <v>16.12046669662592</v>
      </c>
      <c r="G29" s="26" t="n">
        <v>-2.244169115428441</v>
      </c>
      <c r="H29" s="26" t="n">
        <v>2.949876277313113</v>
      </c>
      <c r="I29" s="26" t="n">
        <v>19.93067372827456</v>
      </c>
      <c r="J29" s="26" t="n">
        <v>0.09075238390907714</v>
      </c>
      <c r="K29" s="26" t="n">
        <v>13.80362808908596</v>
      </c>
      <c r="L29" s="26" t="n">
        <v>31.27743941964525</v>
      </c>
      <c r="M29" s="26" t="n">
        <v>5.206004161125634</v>
      </c>
      <c r="N29" s="26" t="n">
        <v>-7.898745659723531</v>
      </c>
      <c r="O29" s="26" t="n">
        <v>31.42520856448269</v>
      </c>
      <c r="P29" s="26" t="n">
        <v>19.66790312615045</v>
      </c>
      <c r="Q29" s="26" t="n">
        <v>36.12000860452744</v>
      </c>
      <c r="R29" s="26" t="n">
        <v>7.69485225442719</v>
      </c>
      <c r="S29" s="26" t="n">
        <v>5.599629175467397</v>
      </c>
      <c r="T29" s="26" t="n">
        <v>-6.590488942791936</v>
      </c>
      <c r="U29" s="26" t="n">
        <v>27.31094405368665</v>
      </c>
      <c r="V29" s="26" t="n">
        <v>172.3946790703999</v>
      </c>
    </row>
    <row r="30">
      <c r="A30" s="12" t="inlineStr">
        <is>
          <t>Developer cumulative (funding curve)</t>
        </is>
      </c>
      <c r="B30" s="13" t="n">
        <v>-19.606</v>
      </c>
      <c r="C30" s="13" t="n">
        <v>-34.2873209296</v>
      </c>
      <c r="D30" s="13" t="n">
        <v>-34.05998759626667</v>
      </c>
      <c r="E30" s="13" t="n">
        <v>-28.06930374637747</v>
      </c>
      <c r="F30" s="13" t="n">
        <v>-11.94883704975155</v>
      </c>
      <c r="G30" s="13" t="n">
        <v>-14.19300616517999</v>
      </c>
      <c r="H30" s="13" t="n">
        <v>-11.24312988786688</v>
      </c>
      <c r="I30" s="13" t="n">
        <v>8.687543840407677</v>
      </c>
      <c r="J30" s="13" t="n">
        <v>8.778296224316755</v>
      </c>
      <c r="K30" s="13" t="n">
        <v>22.58192431340272</v>
      </c>
      <c r="L30" s="13" t="n">
        <v>53.85936373304797</v>
      </c>
      <c r="M30" s="13" t="n">
        <v>59.0653678941736</v>
      </c>
      <c r="N30" s="13" t="n">
        <v>51.16662223445007</v>
      </c>
      <c r="O30" s="13" t="n">
        <v>82.59183079893276</v>
      </c>
      <c r="P30" s="13" t="n">
        <v>102.2597339250832</v>
      </c>
      <c r="Q30" s="13" t="n">
        <v>138.3797425296107</v>
      </c>
      <c r="R30" s="13" t="n">
        <v>146.0745947840379</v>
      </c>
      <c r="S30" s="13" t="n">
        <v>151.6742239595052</v>
      </c>
      <c r="T30" s="13" t="n">
        <v>145.0837350167133</v>
      </c>
      <c r="U30" s="13" t="n">
        <v>172.3946790704</v>
      </c>
    </row>
    <row r="31">
      <c r="A31" s="7" t="inlineStr">
        <is>
          <t>Tax (indicative)</t>
        </is>
      </c>
      <c r="B31" s="16" t="n">
        <v>-0</v>
      </c>
      <c r="C31" s="16" t="n">
        <v>-0</v>
      </c>
      <c r="D31" s="16" t="n">
        <v>-0.3411158033356468</v>
      </c>
      <c r="E31" s="16" t="n">
        <v>-0.848913192392121</v>
      </c>
      <c r="F31" s="16" t="n">
        <v>-1.612547433950331</v>
      </c>
      <c r="G31" s="16" t="n">
        <v>-1.16863173170035</v>
      </c>
      <c r="H31" s="16" t="n">
        <v>-2.174458193626869</v>
      </c>
      <c r="I31" s="16" t="n">
        <v>-3.921281211981139</v>
      </c>
      <c r="J31" s="16" t="n">
        <v>-2.551313629993819</v>
      </c>
      <c r="K31" s="16" t="n">
        <v>-3.826931681831258</v>
      </c>
      <c r="L31" s="16" t="n">
        <v>-5.294427373044998</v>
      </c>
      <c r="M31" s="16" t="n">
        <v>-3.112836758075658</v>
      </c>
      <c r="N31" s="16" t="n">
        <v>-1.882028918585492</v>
      </c>
      <c r="O31" s="16" t="n">
        <v>-4.826478511923644</v>
      </c>
      <c r="P31" s="16" t="n">
        <v>-3.517524142942038</v>
      </c>
      <c r="Q31" s="16" t="n">
        <v>-4.285034700447245</v>
      </c>
      <c r="R31" s="16" t="n">
        <v>-1.691314173993289</v>
      </c>
      <c r="S31" s="16" t="n">
        <v>-1.2559263668267</v>
      </c>
      <c r="T31" s="16" t="n">
        <v>-0</v>
      </c>
      <c r="U31" s="16" t="n">
        <v>-2.5118527336534</v>
      </c>
      <c r="V31" s="16" t="n">
        <v>-44.822616558304</v>
      </c>
    </row>
    <row r="32">
      <c r="A32" s="7" t="inlineStr">
        <is>
          <t>Developer net cash flow (post-tax, indicative)</t>
        </is>
      </c>
      <c r="B32" s="16" t="n">
        <v>-19.606</v>
      </c>
      <c r="C32" s="16" t="n">
        <v>-14.6813209296</v>
      </c>
      <c r="D32" s="16" t="n">
        <v>-0.1137824700023146</v>
      </c>
      <c r="E32" s="16" t="n">
        <v>5.141770657497077</v>
      </c>
      <c r="F32" s="16" t="n">
        <v>14.50791926267559</v>
      </c>
      <c r="G32" s="16" t="n">
        <v>-3.412800847128791</v>
      </c>
      <c r="H32" s="16" t="n">
        <v>0.7754180836862434</v>
      </c>
      <c r="I32" s="16" t="n">
        <v>16.00939251629342</v>
      </c>
      <c r="J32" s="16" t="n">
        <v>-2.460561246084742</v>
      </c>
      <c r="K32" s="16" t="n">
        <v>9.976696407254703</v>
      </c>
      <c r="L32" s="16" t="n">
        <v>25.98301204660026</v>
      </c>
      <c r="M32" s="16" t="n">
        <v>2.093167403049976</v>
      </c>
      <c r="N32" s="16" t="n">
        <v>-9.780774578309023</v>
      </c>
      <c r="O32" s="16" t="n">
        <v>26.59873005255905</v>
      </c>
      <c r="P32" s="16" t="n">
        <v>16.15037898320841</v>
      </c>
      <c r="Q32" s="16" t="n">
        <v>31.8349739040802</v>
      </c>
      <c r="R32" s="16" t="n">
        <v>6.0035380804339</v>
      </c>
      <c r="S32" s="16" t="n">
        <v>4.343702808640698</v>
      </c>
      <c r="T32" s="16" t="n">
        <v>-6.590488942791936</v>
      </c>
      <c r="U32" s="16" t="n">
        <v>24.79909132003325</v>
      </c>
      <c r="V32" s="16" t="n">
        <v>127.572062512096</v>
      </c>
    </row>
    <row r="34">
      <c r="A34" s="4" t="inlineStr">
        <is>
          <t>YEARLY SUMMARY BY FINANCIAL YEAR</t>
        </is>
      </c>
      <c r="B34" s="5" t="n"/>
      <c r="C34" s="5" t="n"/>
      <c r="D34" s="5" t="n"/>
      <c r="E34" s="5" t="n"/>
      <c r="F34" s="5" t="n"/>
    </row>
    <row r="35">
      <c r="A35" s="6" t="inlineStr">
        <is>
          <t>Financial year</t>
        </is>
      </c>
      <c r="B35" s="6" t="inlineStr">
        <is>
          <t>Collections</t>
        </is>
      </c>
      <c r="C35" s="6" t="inlineStr">
        <is>
          <t>Costs paid</t>
        </is>
      </c>
      <c r="D35" s="6" t="inlineStr">
        <is>
          <t>Paid to landowner</t>
        </is>
      </c>
      <c r="E35" s="6" t="inlineStr">
        <is>
          <t>Developer net</t>
        </is>
      </c>
      <c r="F35" s="6" t="inlineStr">
        <is>
          <t>Developer cumulative</t>
        </is>
      </c>
    </row>
    <row r="36">
      <c r="A36" s="7" t="inlineStr">
        <is>
          <t>FY 2027-28</t>
        </is>
      </c>
      <c r="B36" s="16" t="n">
        <v>21.31944444444444</v>
      </c>
      <c r="C36" s="16" t="n">
        <v>31.38874819082191</v>
      </c>
      <c r="D36" s="16" t="n">
        <v>18</v>
      </c>
      <c r="E36" s="16" t="n">
        <v>-28.06930374637747</v>
      </c>
      <c r="F36" s="16" t="n">
        <v>-28.06930374637747</v>
      </c>
    </row>
    <row r="37">
      <c r="A37" s="7" t="inlineStr">
        <is>
          <t>FY 2028-29</t>
        </is>
      </c>
      <c r="B37" s="16" t="n">
        <v>159.0305555555555</v>
      </c>
      <c r="C37" s="16" t="n">
        <v>82.56170796877039</v>
      </c>
      <c r="D37" s="16" t="n">
        <v>39.71199999999999</v>
      </c>
      <c r="E37" s="16" t="n">
        <v>36.75684758678514</v>
      </c>
      <c r="F37" s="16" t="n">
        <v>8.687543840407674</v>
      </c>
    </row>
    <row r="38">
      <c r="A38" s="7" t="inlineStr">
        <is>
          <t>FY 2029-30</t>
        </is>
      </c>
      <c r="B38" s="16" t="n">
        <v>264.8833333333333</v>
      </c>
      <c r="C38" s="16" t="n">
        <v>129.7428426129007</v>
      </c>
      <c r="D38" s="16" t="n">
        <v>84.76266666666669</v>
      </c>
      <c r="E38" s="16" t="n">
        <v>50.37782405376593</v>
      </c>
      <c r="F38" s="16" t="n">
        <v>59.0653678941736</v>
      </c>
    </row>
    <row r="39">
      <c r="A39" s="7" t="inlineStr">
        <is>
          <t>FY 2030-31</t>
        </is>
      </c>
      <c r="B39" s="16" t="n">
        <v>259.9666666666666</v>
      </c>
      <c r="C39" s="16" t="n">
        <v>97.46295869789628</v>
      </c>
      <c r="D39" s="16" t="n">
        <v>83.18933333333334</v>
      </c>
      <c r="E39" s="16" t="n">
        <v>79.31437463543705</v>
      </c>
      <c r="F39" s="16" t="n">
        <v>138.3797425296107</v>
      </c>
    </row>
    <row r="40">
      <c r="A40" s="7" t="inlineStr">
        <is>
          <t>FY 2031-32</t>
        </is>
      </c>
      <c r="B40" s="16" t="n">
        <v>97.8</v>
      </c>
      <c r="C40" s="16" t="n">
        <v>32.48906345921073</v>
      </c>
      <c r="D40" s="16" t="n">
        <v>31.29599999999996</v>
      </c>
      <c r="E40" s="16" t="n">
        <v>34.0149365407893</v>
      </c>
      <c r="F40" s="16" t="n">
        <v>172.3946790704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6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</cols>
  <sheetData>
    <row r="1">
      <c r="A1" s="1" t="inlineStr">
        <is>
          <t>Bookings, collections and payment-plan milestones (₹ Crore)</t>
        </is>
      </c>
    </row>
    <row r="3">
      <c r="A3" s="6" t="inlineStr">
        <is>
          <t>Quarter</t>
        </is>
      </c>
      <c r="B3" s="6" t="inlineStr">
        <is>
          <t>Q1</t>
        </is>
      </c>
      <c r="C3" s="6" t="inlineStr">
        <is>
          <t>Q2</t>
        </is>
      </c>
      <c r="D3" s="6" t="inlineStr">
        <is>
          <t>Q3</t>
        </is>
      </c>
      <c r="E3" s="6" t="inlineStr">
        <is>
          <t>Q4</t>
        </is>
      </c>
      <c r="F3" s="6" t="inlineStr">
        <is>
          <t>Q5</t>
        </is>
      </c>
      <c r="G3" s="6" t="inlineStr">
        <is>
          <t>Q6</t>
        </is>
      </c>
      <c r="H3" s="6" t="inlineStr">
        <is>
          <t>Q7</t>
        </is>
      </c>
      <c r="I3" s="6" t="inlineStr">
        <is>
          <t>Q8</t>
        </is>
      </c>
      <c r="J3" s="6" t="inlineStr">
        <is>
          <t>Q9</t>
        </is>
      </c>
      <c r="K3" s="6" t="inlineStr">
        <is>
          <t>Q10</t>
        </is>
      </c>
      <c r="L3" s="6" t="inlineStr">
        <is>
          <t>Q11</t>
        </is>
      </c>
      <c r="M3" s="6" t="inlineStr">
        <is>
          <t>Q12</t>
        </is>
      </c>
      <c r="N3" s="6" t="inlineStr">
        <is>
          <t>Q13</t>
        </is>
      </c>
      <c r="O3" s="6" t="inlineStr">
        <is>
          <t>Q14</t>
        </is>
      </c>
      <c r="P3" s="6" t="inlineStr">
        <is>
          <t>Q15</t>
        </is>
      </c>
      <c r="Q3" s="6" t="inlineStr">
        <is>
          <t>Q16</t>
        </is>
      </c>
      <c r="R3" s="6" t="inlineStr">
        <is>
          <t>Q17</t>
        </is>
      </c>
      <c r="S3" s="6" t="inlineStr">
        <is>
          <t>Q18</t>
        </is>
      </c>
      <c r="T3" s="6" t="inlineStr">
        <is>
          <t>Q19</t>
        </is>
      </c>
      <c r="U3" s="6" t="inlineStr">
        <is>
          <t>Q20</t>
        </is>
      </c>
      <c r="V3" s="6" t="inlineStr">
        <is>
          <t>Total</t>
        </is>
      </c>
    </row>
    <row r="4">
      <c r="A4" s="4" t="inlineStr">
        <is>
          <t>Villas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</row>
    <row r="5">
      <c r="A5" s="7" t="inlineStr">
        <is>
          <t xml:space="preserve">   Bookings (sales value)</t>
        </is>
      </c>
      <c r="B5" s="16" t="n">
        <v>0</v>
      </c>
      <c r="C5" s="16" t="n">
        <v>0</v>
      </c>
      <c r="D5" s="16" t="n">
        <v>61.11111111111111</v>
      </c>
      <c r="E5" s="16" t="n">
        <v>53.47222222222222</v>
      </c>
      <c r="F5" s="16" t="n">
        <v>45.83333333333333</v>
      </c>
      <c r="G5" s="16" t="n">
        <v>38.19444444444444</v>
      </c>
      <c r="H5" s="16" t="n">
        <v>30.55555555555555</v>
      </c>
      <c r="I5" s="16" t="n">
        <v>22.91666666666666</v>
      </c>
      <c r="J5" s="16" t="n">
        <v>15.27777777777778</v>
      </c>
      <c r="K5" s="16" t="n">
        <v>7.638888888888888</v>
      </c>
      <c r="L5" s="16" t="n">
        <v>0</v>
      </c>
      <c r="M5" s="16" t="n">
        <v>0</v>
      </c>
      <c r="N5" s="16" t="n">
        <v>0</v>
      </c>
      <c r="O5" s="16" t="n">
        <v>0</v>
      </c>
      <c r="P5" s="16" t="n">
        <v>0</v>
      </c>
      <c r="Q5" s="16" t="n">
        <v>0</v>
      </c>
      <c r="R5" s="16" t="n">
        <v>0</v>
      </c>
      <c r="S5" s="16" t="n">
        <v>0</v>
      </c>
      <c r="T5" s="16" t="n">
        <v>0</v>
      </c>
      <c r="U5" s="16" t="n">
        <v>0</v>
      </c>
      <c r="V5" s="16" t="n">
        <v>275</v>
      </c>
    </row>
    <row r="6">
      <c r="A6" s="7" t="inlineStr">
        <is>
          <t xml:space="preserve">   Booking-linked cash</t>
        </is>
      </c>
      <c r="B6" s="16" t="n">
        <v>0</v>
      </c>
      <c r="C6" s="16" t="n">
        <v>0</v>
      </c>
      <c r="D6" s="16" t="n">
        <v>6.111111111111111</v>
      </c>
      <c r="E6" s="16" t="n">
        <v>11.45833333333333</v>
      </c>
      <c r="F6" s="16" t="n">
        <v>9.930555555555555</v>
      </c>
      <c r="G6" s="16" t="n">
        <v>8.402777777777779</v>
      </c>
      <c r="H6" s="16" t="n">
        <v>6.875</v>
      </c>
      <c r="I6" s="16" t="n">
        <v>5.347222222222221</v>
      </c>
      <c r="J6" s="16" t="n">
        <v>3.819444444444444</v>
      </c>
      <c r="K6" s="16" t="n">
        <v>2.291666666666667</v>
      </c>
      <c r="L6" s="16" t="n">
        <v>0.7638888888888888</v>
      </c>
      <c r="M6" s="16" t="n">
        <v>0</v>
      </c>
      <c r="N6" s="16" t="n">
        <v>0</v>
      </c>
      <c r="O6" s="16" t="n">
        <v>0</v>
      </c>
      <c r="P6" s="16" t="n">
        <v>0</v>
      </c>
      <c r="Q6" s="16" t="n">
        <v>0</v>
      </c>
      <c r="R6" s="16" t="n">
        <v>0</v>
      </c>
      <c r="S6" s="16" t="n">
        <v>0</v>
      </c>
      <c r="T6" s="16" t="n">
        <v>0</v>
      </c>
      <c r="U6" s="16" t="n">
        <v>0</v>
      </c>
      <c r="V6" s="16" t="n">
        <v>55</v>
      </c>
    </row>
    <row r="7">
      <c r="A7" s="7" t="inlineStr">
        <is>
          <t xml:space="preserve">   Construction-linked cash</t>
        </is>
      </c>
      <c r="B7" s="16" t="n">
        <v>0</v>
      </c>
      <c r="C7" s="16" t="n">
        <v>0</v>
      </c>
      <c r="D7" s="16" t="n">
        <v>0</v>
      </c>
      <c r="E7" s="16" t="n">
        <v>0</v>
      </c>
      <c r="F7" s="16" t="n">
        <v>11.45833333333333</v>
      </c>
      <c r="G7" s="16" t="n">
        <v>4.583333333333333</v>
      </c>
      <c r="H7" s="16" t="n">
        <v>23.68055555555556</v>
      </c>
      <c r="I7" s="16" t="n">
        <v>40.4861111111111</v>
      </c>
      <c r="J7" s="16" t="n">
        <v>8.020833333333332</v>
      </c>
      <c r="K7" s="16" t="n">
        <v>45.45138888888889</v>
      </c>
      <c r="L7" s="16" t="n">
        <v>45.06944444444444</v>
      </c>
      <c r="M7" s="16" t="n">
        <v>0</v>
      </c>
      <c r="N7" s="16" t="n">
        <v>0</v>
      </c>
      <c r="O7" s="16" t="n">
        <v>13.75</v>
      </c>
      <c r="P7" s="16" t="n">
        <v>27.5</v>
      </c>
      <c r="Q7" s="16" t="n">
        <v>0</v>
      </c>
      <c r="R7" s="16" t="n">
        <v>0</v>
      </c>
      <c r="S7" s="16" t="n">
        <v>0</v>
      </c>
      <c r="T7" s="16" t="n">
        <v>0</v>
      </c>
      <c r="U7" s="16" t="n">
        <v>0</v>
      </c>
      <c r="V7" s="16" t="n">
        <v>220</v>
      </c>
    </row>
    <row r="8">
      <c r="A8" s="12" t="inlineStr">
        <is>
          <t xml:space="preserve">   Collections</t>
        </is>
      </c>
      <c r="B8" s="13" t="n">
        <v>0</v>
      </c>
      <c r="C8" s="13" t="n">
        <v>0</v>
      </c>
      <c r="D8" s="13" t="n">
        <v>6.111111111111111</v>
      </c>
      <c r="E8" s="13" t="n">
        <v>11.45833333333333</v>
      </c>
      <c r="F8" s="13" t="n">
        <v>21.38888888888889</v>
      </c>
      <c r="G8" s="13" t="n">
        <v>12.98611111111111</v>
      </c>
      <c r="H8" s="13" t="n">
        <v>30.55555555555556</v>
      </c>
      <c r="I8" s="13" t="n">
        <v>45.83333333333332</v>
      </c>
      <c r="J8" s="13" t="n">
        <v>11.84027777777778</v>
      </c>
      <c r="K8" s="13" t="n">
        <v>47.74305555555555</v>
      </c>
      <c r="L8" s="13" t="n">
        <v>45.83333333333333</v>
      </c>
      <c r="M8" s="13" t="n">
        <v>0</v>
      </c>
      <c r="N8" s="13" t="n">
        <v>0</v>
      </c>
      <c r="O8" s="13" t="n">
        <v>13.75</v>
      </c>
      <c r="P8" s="13" t="n">
        <v>27.5</v>
      </c>
      <c r="Q8" s="13" t="n">
        <v>0</v>
      </c>
      <c r="R8" s="13" t="n">
        <v>0</v>
      </c>
      <c r="S8" s="13" t="n">
        <v>0</v>
      </c>
      <c r="T8" s="13" t="n">
        <v>0</v>
      </c>
      <c r="U8" s="13" t="n">
        <v>0</v>
      </c>
      <c r="V8" s="13" t="n">
        <v>275</v>
      </c>
    </row>
    <row r="9">
      <c r="A9" s="7" t="inlineStr">
        <is>
          <t xml:space="preserve">   Receivables (cumulative)</t>
        </is>
      </c>
      <c r="B9" s="16" t="n">
        <v>0</v>
      </c>
      <c r="C9" s="16" t="n">
        <v>0</v>
      </c>
      <c r="D9" s="16" t="n">
        <v>55</v>
      </c>
      <c r="E9" s="16" t="n">
        <v>97.01388888888889</v>
      </c>
      <c r="F9" s="16" t="n">
        <v>121.4583333333333</v>
      </c>
      <c r="G9" s="16" t="n">
        <v>146.6666666666666</v>
      </c>
      <c r="H9" s="16" t="n">
        <v>146.6666666666666</v>
      </c>
      <c r="I9" s="16" t="n">
        <v>123.75</v>
      </c>
      <c r="J9" s="16" t="n">
        <v>127.1875</v>
      </c>
      <c r="K9" s="16" t="n">
        <v>87.08333333333337</v>
      </c>
      <c r="L9" s="16" t="n">
        <v>41.25000000000006</v>
      </c>
      <c r="M9" s="16" t="n">
        <v>41.25000000000006</v>
      </c>
      <c r="N9" s="16" t="n">
        <v>41.25000000000006</v>
      </c>
      <c r="O9" s="16" t="n">
        <v>27.50000000000006</v>
      </c>
      <c r="P9" s="16" t="n">
        <v>5.684341886080801e-14</v>
      </c>
      <c r="Q9" s="16" t="n">
        <v>5.684341886080801e-14</v>
      </c>
      <c r="R9" s="16" t="n">
        <v>5.684341886080801e-14</v>
      </c>
      <c r="S9" s="16" t="n">
        <v>5.684341886080801e-14</v>
      </c>
      <c r="T9" s="16" t="n">
        <v>5.684341886080801e-14</v>
      </c>
      <c r="U9" s="16" t="n">
        <v>5.684341886080801e-14</v>
      </c>
    </row>
    <row r="10">
      <c r="A10" s="4" t="inlineStr">
        <is>
          <t>Apartments – Towers A &amp; B</t>
        </is>
      </c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</row>
    <row r="11">
      <c r="A11" s="7" t="inlineStr">
        <is>
          <t xml:space="preserve">   Bookings (sales value)</t>
        </is>
      </c>
      <c r="B11" s="16" t="n">
        <v>0</v>
      </c>
      <c r="C11" s="16" t="n">
        <v>0</v>
      </c>
      <c r="D11" s="16" t="n">
        <v>0</v>
      </c>
      <c r="E11" s="16" t="n">
        <v>37.5</v>
      </c>
      <c r="F11" s="16" t="n">
        <v>37.5</v>
      </c>
      <c r="G11" s="16" t="n">
        <v>37.5</v>
      </c>
      <c r="H11" s="16" t="n">
        <v>37.5</v>
      </c>
      <c r="I11" s="16" t="n">
        <v>37.5</v>
      </c>
      <c r="J11" s="16" t="n">
        <v>37.5</v>
      </c>
      <c r="K11" s="16" t="n">
        <v>37.5</v>
      </c>
      <c r="L11" s="16" t="n">
        <v>37.5</v>
      </c>
      <c r="M11" s="16" t="n">
        <v>37.5</v>
      </c>
      <c r="N11" s="16" t="n">
        <v>37.5</v>
      </c>
      <c r="O11" s="16" t="n">
        <v>37.5</v>
      </c>
      <c r="P11" s="16" t="n">
        <v>37.5</v>
      </c>
      <c r="Q11" s="16" t="n">
        <v>0</v>
      </c>
      <c r="R11" s="16" t="n">
        <v>0</v>
      </c>
      <c r="S11" s="16" t="n">
        <v>0</v>
      </c>
      <c r="T11" s="16" t="n">
        <v>0</v>
      </c>
      <c r="U11" s="16" t="n">
        <v>0</v>
      </c>
      <c r="V11" s="16" t="n">
        <v>450</v>
      </c>
    </row>
    <row r="12">
      <c r="A12" s="7" t="inlineStr">
        <is>
          <t xml:space="preserve">   Booking-linked cash</t>
        </is>
      </c>
      <c r="B12" s="16" t="n">
        <v>0</v>
      </c>
      <c r="C12" s="16" t="n">
        <v>0</v>
      </c>
      <c r="D12" s="16" t="n">
        <v>0</v>
      </c>
      <c r="E12" s="16" t="n">
        <v>3.75</v>
      </c>
      <c r="F12" s="16" t="n">
        <v>7.5</v>
      </c>
      <c r="G12" s="16" t="n">
        <v>7.5</v>
      </c>
      <c r="H12" s="16" t="n">
        <v>7.5</v>
      </c>
      <c r="I12" s="16" t="n">
        <v>7.5</v>
      </c>
      <c r="J12" s="16" t="n">
        <v>7.5</v>
      </c>
      <c r="K12" s="16" t="n">
        <v>7.5</v>
      </c>
      <c r="L12" s="16" t="n">
        <v>7.5</v>
      </c>
      <c r="M12" s="16" t="n">
        <v>7.5</v>
      </c>
      <c r="N12" s="16" t="n">
        <v>7.5</v>
      </c>
      <c r="O12" s="16" t="n">
        <v>7.5</v>
      </c>
      <c r="P12" s="16" t="n">
        <v>7.5</v>
      </c>
      <c r="Q12" s="16" t="n">
        <v>3.75</v>
      </c>
      <c r="R12" s="16" t="n">
        <v>0</v>
      </c>
      <c r="S12" s="16" t="n">
        <v>0</v>
      </c>
      <c r="T12" s="16" t="n">
        <v>0</v>
      </c>
      <c r="U12" s="16" t="n">
        <v>0</v>
      </c>
      <c r="V12" s="16" t="n">
        <v>90</v>
      </c>
    </row>
    <row r="13">
      <c r="A13" s="7" t="inlineStr">
        <is>
          <t xml:space="preserve">   Construction-linked cash</t>
        </is>
      </c>
      <c r="B13" s="16" t="n">
        <v>0</v>
      </c>
      <c r="C13" s="16" t="n">
        <v>0</v>
      </c>
      <c r="D13" s="16" t="n">
        <v>0</v>
      </c>
      <c r="E13" s="16" t="n">
        <v>0</v>
      </c>
      <c r="F13" s="16" t="n">
        <v>0</v>
      </c>
      <c r="G13" s="16" t="n">
        <v>0</v>
      </c>
      <c r="H13" s="16" t="n">
        <v>0</v>
      </c>
      <c r="I13" s="16" t="n">
        <v>15</v>
      </c>
      <c r="J13" s="16" t="n">
        <v>22.5</v>
      </c>
      <c r="K13" s="16" t="n">
        <v>7.5</v>
      </c>
      <c r="L13" s="16" t="n">
        <v>33.75</v>
      </c>
      <c r="M13" s="16" t="n">
        <v>41.25</v>
      </c>
      <c r="N13" s="16" t="n">
        <v>15</v>
      </c>
      <c r="O13" s="16" t="n">
        <v>52.5</v>
      </c>
      <c r="P13" s="16" t="n">
        <v>18.75</v>
      </c>
      <c r="Q13" s="16" t="n">
        <v>63.75</v>
      </c>
      <c r="R13" s="16" t="n">
        <v>22.5</v>
      </c>
      <c r="S13" s="16" t="n">
        <v>22.5</v>
      </c>
      <c r="T13" s="16" t="n">
        <v>0</v>
      </c>
      <c r="U13" s="16" t="n">
        <v>45</v>
      </c>
      <c r="V13" s="16" t="n">
        <v>360</v>
      </c>
    </row>
    <row r="14">
      <c r="A14" s="12" t="inlineStr">
        <is>
          <t xml:space="preserve">   Collections</t>
        </is>
      </c>
      <c r="B14" s="13" t="n">
        <v>0</v>
      </c>
      <c r="C14" s="13" t="n">
        <v>0</v>
      </c>
      <c r="D14" s="13" t="n">
        <v>0</v>
      </c>
      <c r="E14" s="13" t="n">
        <v>3.75</v>
      </c>
      <c r="F14" s="13" t="n">
        <v>7.5</v>
      </c>
      <c r="G14" s="13" t="n">
        <v>7.5</v>
      </c>
      <c r="H14" s="13" t="n">
        <v>7.5</v>
      </c>
      <c r="I14" s="13" t="n">
        <v>22.5</v>
      </c>
      <c r="J14" s="13" t="n">
        <v>30</v>
      </c>
      <c r="K14" s="13" t="n">
        <v>15</v>
      </c>
      <c r="L14" s="13" t="n">
        <v>41.25</v>
      </c>
      <c r="M14" s="13" t="n">
        <v>48.75</v>
      </c>
      <c r="N14" s="13" t="n">
        <v>22.5</v>
      </c>
      <c r="O14" s="13" t="n">
        <v>60</v>
      </c>
      <c r="P14" s="13" t="n">
        <v>26.25</v>
      </c>
      <c r="Q14" s="13" t="n">
        <v>67.5</v>
      </c>
      <c r="R14" s="13" t="n">
        <v>22.5</v>
      </c>
      <c r="S14" s="13" t="n">
        <v>22.5</v>
      </c>
      <c r="T14" s="13" t="n">
        <v>0</v>
      </c>
      <c r="U14" s="13" t="n">
        <v>45</v>
      </c>
      <c r="V14" s="13" t="n">
        <v>450</v>
      </c>
    </row>
    <row r="15">
      <c r="A15" s="7" t="inlineStr">
        <is>
          <t xml:space="preserve">   Receivables (cumulative)</t>
        </is>
      </c>
      <c r="B15" s="16" t="n">
        <v>0</v>
      </c>
      <c r="C15" s="16" t="n">
        <v>0</v>
      </c>
      <c r="D15" s="16" t="n">
        <v>0</v>
      </c>
      <c r="E15" s="16" t="n">
        <v>33.75</v>
      </c>
      <c r="F15" s="16" t="n">
        <v>63.75</v>
      </c>
      <c r="G15" s="16" t="n">
        <v>93.75</v>
      </c>
      <c r="H15" s="16" t="n">
        <v>123.75</v>
      </c>
      <c r="I15" s="16" t="n">
        <v>138.75</v>
      </c>
      <c r="J15" s="16" t="n">
        <v>146.25</v>
      </c>
      <c r="K15" s="16" t="n">
        <v>168.75</v>
      </c>
      <c r="L15" s="16" t="n">
        <v>165</v>
      </c>
      <c r="M15" s="16" t="n">
        <v>153.75</v>
      </c>
      <c r="N15" s="16" t="n">
        <v>168.75</v>
      </c>
      <c r="O15" s="16" t="n">
        <v>146.25</v>
      </c>
      <c r="P15" s="16" t="n">
        <v>157.5</v>
      </c>
      <c r="Q15" s="16" t="n">
        <v>90</v>
      </c>
      <c r="R15" s="16" t="n">
        <v>67.5</v>
      </c>
      <c r="S15" s="16" t="n">
        <v>45</v>
      </c>
      <c r="T15" s="16" t="n">
        <v>45</v>
      </c>
      <c r="U15" s="16" t="n">
        <v>0</v>
      </c>
    </row>
    <row r="16">
      <c r="A16" s="4" t="inlineStr">
        <is>
          <t>Studios</t>
        </is>
      </c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</row>
    <row r="17">
      <c r="A17" s="7" t="inlineStr">
        <is>
          <t xml:space="preserve">   Bookings (sales value)</t>
        </is>
      </c>
      <c r="B17" s="16" t="n">
        <v>0</v>
      </c>
      <c r="C17" s="16" t="n">
        <v>0</v>
      </c>
      <c r="D17" s="16" t="n">
        <v>0</v>
      </c>
      <c r="E17" s="16" t="n">
        <v>0</v>
      </c>
      <c r="F17" s="16" t="n">
        <v>0</v>
      </c>
      <c r="G17" s="16" t="n">
        <v>4.5</v>
      </c>
      <c r="H17" s="16" t="n">
        <v>4.5</v>
      </c>
      <c r="I17" s="16" t="n">
        <v>4.5</v>
      </c>
      <c r="J17" s="16" t="n">
        <v>4.5</v>
      </c>
      <c r="K17" s="16" t="n">
        <v>4.5</v>
      </c>
      <c r="L17" s="16" t="n">
        <v>4.5</v>
      </c>
      <c r="M17" s="16" t="n">
        <v>4.5</v>
      </c>
      <c r="N17" s="16" t="n">
        <v>4.5</v>
      </c>
      <c r="O17" s="16" t="n">
        <v>0</v>
      </c>
      <c r="P17" s="16" t="n">
        <v>0</v>
      </c>
      <c r="Q17" s="16" t="n">
        <v>0</v>
      </c>
      <c r="R17" s="16" t="n">
        <v>0</v>
      </c>
      <c r="S17" s="16" t="n">
        <v>0</v>
      </c>
      <c r="T17" s="16" t="n">
        <v>0</v>
      </c>
      <c r="U17" s="16" t="n">
        <v>0</v>
      </c>
      <c r="V17" s="16" t="n">
        <v>36</v>
      </c>
    </row>
    <row r="18">
      <c r="A18" s="7" t="inlineStr">
        <is>
          <t xml:space="preserve">   Booking-linked cash</t>
        </is>
      </c>
      <c r="B18" s="16" t="n">
        <v>0</v>
      </c>
      <c r="C18" s="16" t="n">
        <v>0</v>
      </c>
      <c r="D18" s="16" t="n">
        <v>0</v>
      </c>
      <c r="E18" s="16" t="n">
        <v>0</v>
      </c>
      <c r="F18" s="16" t="n">
        <v>0</v>
      </c>
      <c r="G18" s="16" t="n">
        <v>0.45</v>
      </c>
      <c r="H18" s="16" t="n">
        <v>0.9</v>
      </c>
      <c r="I18" s="16" t="n">
        <v>0.9</v>
      </c>
      <c r="J18" s="16" t="n">
        <v>0.9</v>
      </c>
      <c r="K18" s="16" t="n">
        <v>0.9</v>
      </c>
      <c r="L18" s="16" t="n">
        <v>0.9</v>
      </c>
      <c r="M18" s="16" t="n">
        <v>0.9</v>
      </c>
      <c r="N18" s="16" t="n">
        <v>0.9</v>
      </c>
      <c r="O18" s="16" t="n">
        <v>0.45</v>
      </c>
      <c r="P18" s="16" t="n">
        <v>0</v>
      </c>
      <c r="Q18" s="16" t="n">
        <v>0</v>
      </c>
      <c r="R18" s="16" t="n">
        <v>0</v>
      </c>
      <c r="S18" s="16" t="n">
        <v>0</v>
      </c>
      <c r="T18" s="16" t="n">
        <v>0</v>
      </c>
      <c r="U18" s="16" t="n">
        <v>0</v>
      </c>
      <c r="V18" s="16" t="n">
        <v>7.2</v>
      </c>
    </row>
    <row r="19">
      <c r="A19" s="7" t="inlineStr">
        <is>
          <t xml:space="preserve">   Construction-linked cash</t>
        </is>
      </c>
      <c r="B19" s="16" t="n">
        <v>0</v>
      </c>
      <c r="C19" s="16" t="n">
        <v>0</v>
      </c>
      <c r="D19" s="16" t="n">
        <v>0</v>
      </c>
      <c r="E19" s="16" t="n">
        <v>0</v>
      </c>
      <c r="F19" s="16" t="n">
        <v>0</v>
      </c>
      <c r="G19" s="16" t="n">
        <v>0</v>
      </c>
      <c r="H19" s="16" t="n">
        <v>0</v>
      </c>
      <c r="I19" s="16" t="n">
        <v>0.9</v>
      </c>
      <c r="J19" s="16" t="n">
        <v>1.8</v>
      </c>
      <c r="K19" s="16" t="n">
        <v>2.7</v>
      </c>
      <c r="L19" s="16" t="n">
        <v>3.6</v>
      </c>
      <c r="M19" s="16" t="n">
        <v>1.8</v>
      </c>
      <c r="N19" s="16" t="n">
        <v>4.95</v>
      </c>
      <c r="O19" s="16" t="n">
        <v>5.85</v>
      </c>
      <c r="P19" s="16" t="n">
        <v>1.8</v>
      </c>
      <c r="Q19" s="16" t="n">
        <v>1.8</v>
      </c>
      <c r="R19" s="16" t="n">
        <v>3.6</v>
      </c>
      <c r="S19" s="16" t="n">
        <v>0</v>
      </c>
      <c r="T19" s="16" t="n">
        <v>0</v>
      </c>
      <c r="U19" s="16" t="n">
        <v>0</v>
      </c>
      <c r="V19" s="16" t="n">
        <v>28.8</v>
      </c>
    </row>
    <row r="20">
      <c r="A20" s="12" t="inlineStr">
        <is>
          <t xml:space="preserve">   Collections</t>
        </is>
      </c>
      <c r="B20" s="13" t="n">
        <v>0</v>
      </c>
      <c r="C20" s="13" t="n">
        <v>0</v>
      </c>
      <c r="D20" s="13" t="n">
        <v>0</v>
      </c>
      <c r="E20" s="13" t="n">
        <v>0</v>
      </c>
      <c r="F20" s="13" t="n">
        <v>0</v>
      </c>
      <c r="G20" s="13" t="n">
        <v>0.45</v>
      </c>
      <c r="H20" s="13" t="n">
        <v>0.9</v>
      </c>
      <c r="I20" s="13" t="n">
        <v>1.8</v>
      </c>
      <c r="J20" s="13" t="n">
        <v>2.7</v>
      </c>
      <c r="K20" s="13" t="n">
        <v>3.6</v>
      </c>
      <c r="L20" s="13" t="n">
        <v>4.5</v>
      </c>
      <c r="M20" s="13" t="n">
        <v>2.7</v>
      </c>
      <c r="N20" s="13" t="n">
        <v>5.850000000000001</v>
      </c>
      <c r="O20" s="13" t="n">
        <v>6.3</v>
      </c>
      <c r="P20" s="13" t="n">
        <v>1.8</v>
      </c>
      <c r="Q20" s="13" t="n">
        <v>1.8</v>
      </c>
      <c r="R20" s="13" t="n">
        <v>3.6</v>
      </c>
      <c r="S20" s="13" t="n">
        <v>0</v>
      </c>
      <c r="T20" s="13" t="n">
        <v>0</v>
      </c>
      <c r="U20" s="13" t="n">
        <v>0</v>
      </c>
      <c r="V20" s="13" t="n">
        <v>36</v>
      </c>
    </row>
    <row r="21">
      <c r="A21" s="7" t="inlineStr">
        <is>
          <t xml:space="preserve">   Receivables (cumulative)</t>
        </is>
      </c>
      <c r="B21" s="16" t="n">
        <v>0</v>
      </c>
      <c r="C21" s="16" t="n">
        <v>0</v>
      </c>
      <c r="D21" s="16" t="n">
        <v>0</v>
      </c>
      <c r="E21" s="16" t="n">
        <v>0</v>
      </c>
      <c r="F21" s="16" t="n">
        <v>0</v>
      </c>
      <c r="G21" s="16" t="n">
        <v>4.05</v>
      </c>
      <c r="H21" s="16" t="n">
        <v>7.65</v>
      </c>
      <c r="I21" s="16" t="n">
        <v>10.35</v>
      </c>
      <c r="J21" s="16" t="n">
        <v>12.15</v>
      </c>
      <c r="K21" s="16" t="n">
        <v>13.05</v>
      </c>
      <c r="L21" s="16" t="n">
        <v>13.05</v>
      </c>
      <c r="M21" s="16" t="n">
        <v>14.85</v>
      </c>
      <c r="N21" s="16" t="n">
        <v>13.5</v>
      </c>
      <c r="O21" s="16" t="n">
        <v>7.199999999999996</v>
      </c>
      <c r="P21" s="16" t="n">
        <v>5.399999999999995</v>
      </c>
      <c r="Q21" s="16" t="n">
        <v>3.599999999999994</v>
      </c>
      <c r="R21" s="16" t="n">
        <v>-7.105427357601002e-15</v>
      </c>
      <c r="S21" s="16" t="n">
        <v>-7.105427357601002e-15</v>
      </c>
      <c r="T21" s="16" t="n">
        <v>-7.105427357601002e-15</v>
      </c>
      <c r="U21" s="16" t="n">
        <v>-7.105427357601002e-15</v>
      </c>
    </row>
    <row r="22">
      <c r="A22" s="4" t="inlineStr">
        <is>
          <t>High-street retail</t>
        </is>
      </c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</row>
    <row r="23">
      <c r="A23" s="7" t="inlineStr">
        <is>
          <t xml:space="preserve">   Bookings (sales value)</t>
        </is>
      </c>
      <c r="B23" s="16" t="n">
        <v>0</v>
      </c>
      <c r="C23" s="16" t="n">
        <v>0</v>
      </c>
      <c r="D23" s="16" t="n">
        <v>0</v>
      </c>
      <c r="E23" s="16" t="n">
        <v>0</v>
      </c>
      <c r="F23" s="16" t="n">
        <v>0</v>
      </c>
      <c r="G23" s="16" t="n">
        <v>0</v>
      </c>
      <c r="H23" s="16" t="n">
        <v>0</v>
      </c>
      <c r="I23" s="16" t="n">
        <v>1.166666666666667</v>
      </c>
      <c r="J23" s="16" t="n">
        <v>2.333333333333333</v>
      </c>
      <c r="K23" s="16" t="n">
        <v>3.5</v>
      </c>
      <c r="L23" s="16" t="n">
        <v>4.666666666666666</v>
      </c>
      <c r="M23" s="16" t="n">
        <v>5.833333333333334</v>
      </c>
      <c r="N23" s="16" t="n">
        <v>7</v>
      </c>
      <c r="O23" s="16" t="n">
        <v>8.166666666666666</v>
      </c>
      <c r="P23" s="16" t="n">
        <v>9.333333333333332</v>
      </c>
      <c r="Q23" s="16" t="n">
        <v>0</v>
      </c>
      <c r="R23" s="16" t="n">
        <v>0</v>
      </c>
      <c r="S23" s="16" t="n">
        <v>0</v>
      </c>
      <c r="T23" s="16" t="n">
        <v>0</v>
      </c>
      <c r="U23" s="16" t="n">
        <v>0</v>
      </c>
      <c r="V23" s="16" t="n">
        <v>42</v>
      </c>
    </row>
    <row r="24">
      <c r="A24" s="7" t="inlineStr">
        <is>
          <t xml:space="preserve">   Booking-linked cash</t>
        </is>
      </c>
      <c r="B24" s="16" t="n">
        <v>0</v>
      </c>
      <c r="C24" s="16" t="n">
        <v>0</v>
      </c>
      <c r="D24" s="16" t="n">
        <v>0</v>
      </c>
      <c r="E24" s="16" t="n">
        <v>0</v>
      </c>
      <c r="F24" s="16" t="n">
        <v>0</v>
      </c>
      <c r="G24" s="16" t="n">
        <v>0</v>
      </c>
      <c r="H24" s="16" t="n">
        <v>0</v>
      </c>
      <c r="I24" s="16" t="n">
        <v>0.1166666666666667</v>
      </c>
      <c r="J24" s="16" t="n">
        <v>1.166666666666667</v>
      </c>
      <c r="K24" s="16" t="n">
        <v>2.216666666666666</v>
      </c>
      <c r="L24" s="16" t="n">
        <v>3.266666666666667</v>
      </c>
      <c r="M24" s="16" t="n">
        <v>4.316666666666666</v>
      </c>
      <c r="N24" s="16" t="n">
        <v>5.366666666666667</v>
      </c>
      <c r="O24" s="16" t="n">
        <v>6.416666666666667</v>
      </c>
      <c r="P24" s="16" t="n">
        <v>7.466666666666667</v>
      </c>
      <c r="Q24" s="16" t="n">
        <v>7.466666666666666</v>
      </c>
      <c r="R24" s="16" t="n">
        <v>0</v>
      </c>
      <c r="S24" s="16" t="n">
        <v>0</v>
      </c>
      <c r="T24" s="16" t="n">
        <v>0</v>
      </c>
      <c r="U24" s="16" t="n">
        <v>0</v>
      </c>
      <c r="V24" s="16" t="n">
        <v>37.8</v>
      </c>
    </row>
    <row r="25">
      <c r="A25" s="7" t="inlineStr">
        <is>
          <t xml:space="preserve">   Construction-linked cash</t>
        </is>
      </c>
      <c r="B25" s="16" t="n">
        <v>0</v>
      </c>
      <c r="C25" s="16" t="n">
        <v>0</v>
      </c>
      <c r="D25" s="16" t="n">
        <v>0</v>
      </c>
      <c r="E25" s="16" t="n">
        <v>0</v>
      </c>
      <c r="F25" s="16" t="n">
        <v>0</v>
      </c>
      <c r="G25" s="16" t="n">
        <v>0</v>
      </c>
      <c r="H25" s="16" t="n">
        <v>0</v>
      </c>
      <c r="I25" s="16" t="n">
        <v>0</v>
      </c>
      <c r="J25" s="16" t="n">
        <v>0</v>
      </c>
      <c r="K25" s="16" t="n">
        <v>0</v>
      </c>
      <c r="L25" s="16" t="n">
        <v>0</v>
      </c>
      <c r="M25" s="16" t="n">
        <v>0</v>
      </c>
      <c r="N25" s="16" t="n">
        <v>0</v>
      </c>
      <c r="O25" s="16" t="n">
        <v>0</v>
      </c>
      <c r="P25" s="16" t="n">
        <v>0</v>
      </c>
      <c r="Q25" s="16" t="n">
        <v>0</v>
      </c>
      <c r="R25" s="16" t="n">
        <v>4.2</v>
      </c>
      <c r="S25" s="16" t="n">
        <v>0</v>
      </c>
      <c r="T25" s="16" t="n">
        <v>0</v>
      </c>
      <c r="U25" s="16" t="n">
        <v>0</v>
      </c>
      <c r="V25" s="16" t="n">
        <v>4.2</v>
      </c>
    </row>
    <row r="26">
      <c r="A26" s="12" t="inlineStr">
        <is>
          <t xml:space="preserve">   Collections</t>
        </is>
      </c>
      <c r="B26" s="13" t="n">
        <v>0</v>
      </c>
      <c r="C26" s="13" t="n">
        <v>0</v>
      </c>
      <c r="D26" s="13" t="n">
        <v>0</v>
      </c>
      <c r="E26" s="13" t="n">
        <v>0</v>
      </c>
      <c r="F26" s="13" t="n">
        <v>0</v>
      </c>
      <c r="G26" s="13" t="n">
        <v>0</v>
      </c>
      <c r="H26" s="13" t="n">
        <v>0</v>
      </c>
      <c r="I26" s="13" t="n">
        <v>0.1166666666666667</v>
      </c>
      <c r="J26" s="13" t="n">
        <v>1.166666666666667</v>
      </c>
      <c r="K26" s="13" t="n">
        <v>2.216666666666666</v>
      </c>
      <c r="L26" s="13" t="n">
        <v>3.266666666666667</v>
      </c>
      <c r="M26" s="13" t="n">
        <v>4.316666666666666</v>
      </c>
      <c r="N26" s="13" t="n">
        <v>5.366666666666667</v>
      </c>
      <c r="O26" s="13" t="n">
        <v>6.416666666666667</v>
      </c>
      <c r="P26" s="13" t="n">
        <v>7.466666666666667</v>
      </c>
      <c r="Q26" s="13" t="n">
        <v>7.466666666666666</v>
      </c>
      <c r="R26" s="13" t="n">
        <v>4.2</v>
      </c>
      <c r="S26" s="13" t="n">
        <v>0</v>
      </c>
      <c r="T26" s="13" t="n">
        <v>0</v>
      </c>
      <c r="U26" s="13" t="n">
        <v>0</v>
      </c>
      <c r="V26" s="13" t="n">
        <v>42</v>
      </c>
    </row>
    <row r="27">
      <c r="A27" s="7" t="inlineStr">
        <is>
          <t xml:space="preserve">   Receivables (cumulative)</t>
        </is>
      </c>
      <c r="B27" s="16" t="n">
        <v>0</v>
      </c>
      <c r="C27" s="16" t="n">
        <v>0</v>
      </c>
      <c r="D27" s="16" t="n">
        <v>0</v>
      </c>
      <c r="E27" s="16" t="n">
        <v>0</v>
      </c>
      <c r="F27" s="16" t="n">
        <v>0</v>
      </c>
      <c r="G27" s="16" t="n">
        <v>0</v>
      </c>
      <c r="H27" s="16" t="n">
        <v>0</v>
      </c>
      <c r="I27" s="16" t="n">
        <v>1.05</v>
      </c>
      <c r="J27" s="16" t="n">
        <v>2.216666666666666</v>
      </c>
      <c r="K27" s="16" t="n">
        <v>3.5</v>
      </c>
      <c r="L27" s="16" t="n">
        <v>4.899999999999999</v>
      </c>
      <c r="M27" s="16" t="n">
        <v>6.416666666666668</v>
      </c>
      <c r="N27" s="16" t="n">
        <v>8.050000000000001</v>
      </c>
      <c r="O27" s="16" t="n">
        <v>9.799999999999997</v>
      </c>
      <c r="P27" s="16" t="n">
        <v>11.66666666666666</v>
      </c>
      <c r="Q27" s="16" t="n">
        <v>4.199999999999996</v>
      </c>
      <c r="R27" s="16" t="n">
        <v>-7.105427357601002e-15</v>
      </c>
      <c r="S27" s="16" t="n">
        <v>-7.105427357601002e-15</v>
      </c>
      <c r="T27" s="16" t="n">
        <v>-7.105427357601002e-15</v>
      </c>
      <c r="U27" s="16" t="n">
        <v>-7.105427357601002e-15</v>
      </c>
    </row>
    <row r="28">
      <c r="A28" s="4" t="inlineStr">
        <is>
          <t>PROJECT</t>
        </is>
      </c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</row>
    <row r="29">
      <c r="A29" s="25" t="inlineStr">
        <is>
          <t>Total collections</t>
        </is>
      </c>
      <c r="B29" s="26" t="n">
        <v>0</v>
      </c>
      <c r="C29" s="26" t="n">
        <v>0</v>
      </c>
      <c r="D29" s="26" t="n">
        <v>6.111111111111111</v>
      </c>
      <c r="E29" s="26" t="n">
        <v>15.20833333333333</v>
      </c>
      <c r="F29" s="26" t="n">
        <v>28.88888888888889</v>
      </c>
      <c r="G29" s="26" t="n">
        <v>20.93611111111111</v>
      </c>
      <c r="H29" s="26" t="n">
        <v>38.95555555555556</v>
      </c>
      <c r="I29" s="26" t="n">
        <v>70.24999999999997</v>
      </c>
      <c r="J29" s="26" t="n">
        <v>45.70694444444445</v>
      </c>
      <c r="K29" s="26" t="n">
        <v>68.55972222222222</v>
      </c>
      <c r="L29" s="26" t="n">
        <v>94.84999999999999</v>
      </c>
      <c r="M29" s="26" t="n">
        <v>55.76666666666667</v>
      </c>
      <c r="N29" s="26" t="n">
        <v>33.71666666666667</v>
      </c>
      <c r="O29" s="26" t="n">
        <v>86.46666666666667</v>
      </c>
      <c r="P29" s="26" t="n">
        <v>63.01666666666667</v>
      </c>
      <c r="Q29" s="26" t="n">
        <v>76.76666666666667</v>
      </c>
      <c r="R29" s="26" t="n">
        <v>30.3</v>
      </c>
      <c r="S29" s="26" t="n">
        <v>22.5</v>
      </c>
      <c r="T29" s="26" t="n">
        <v>0</v>
      </c>
      <c r="U29" s="26" t="n">
        <v>45</v>
      </c>
      <c r="V29" s="26" t="n">
        <v>803</v>
      </c>
    </row>
    <row r="30">
      <c r="A30" s="7" t="inlineStr">
        <is>
          <t>Landowner share</t>
        </is>
      </c>
      <c r="B30" s="16" t="n">
        <v>0</v>
      </c>
      <c r="C30" s="16" t="n">
        <v>0</v>
      </c>
      <c r="D30" s="16" t="n">
        <v>1.955555555555555</v>
      </c>
      <c r="E30" s="16" t="n">
        <v>4.866666666666666</v>
      </c>
      <c r="F30" s="16" t="n">
        <v>9.244444444444445</v>
      </c>
      <c r="G30" s="16" t="n">
        <v>6.699555555555555</v>
      </c>
      <c r="H30" s="16" t="n">
        <v>12.46577777777778</v>
      </c>
      <c r="I30" s="16" t="n">
        <v>22.47999999999999</v>
      </c>
      <c r="J30" s="16" t="n">
        <v>14.62622222222222</v>
      </c>
      <c r="K30" s="16" t="n">
        <v>21.93911111111111</v>
      </c>
      <c r="L30" s="16" t="n">
        <v>30.352</v>
      </c>
      <c r="M30" s="16" t="n">
        <v>17.84533333333333</v>
      </c>
      <c r="N30" s="16" t="n">
        <v>10.78933333333333</v>
      </c>
      <c r="O30" s="16" t="n">
        <v>27.66933333333333</v>
      </c>
      <c r="P30" s="16" t="n">
        <v>20.16533333333333</v>
      </c>
      <c r="Q30" s="16" t="n">
        <v>24.56533333333334</v>
      </c>
      <c r="R30" s="16" t="n">
        <v>9.696</v>
      </c>
      <c r="S30" s="16" t="n">
        <v>7.2</v>
      </c>
      <c r="T30" s="16" t="n">
        <v>0</v>
      </c>
      <c r="U30" s="16" t="n">
        <v>14.4</v>
      </c>
      <c r="V30" s="16" t="n">
        <v>256.96</v>
      </c>
    </row>
    <row r="31">
      <c r="A31" s="7" t="inlineStr">
        <is>
          <t>Developer share</t>
        </is>
      </c>
      <c r="B31" s="16" t="n">
        <v>0</v>
      </c>
      <c r="C31" s="16" t="n">
        <v>0</v>
      </c>
      <c r="D31" s="16" t="n">
        <v>4.155555555555555</v>
      </c>
      <c r="E31" s="16" t="n">
        <v>10.34166666666667</v>
      </c>
      <c r="F31" s="16" t="n">
        <v>19.64444444444445</v>
      </c>
      <c r="G31" s="16" t="n">
        <v>14.23655555555555</v>
      </c>
      <c r="H31" s="16" t="n">
        <v>26.48977777777778</v>
      </c>
      <c r="I31" s="16" t="n">
        <v>47.76999999999998</v>
      </c>
      <c r="J31" s="16" t="n">
        <v>31.08072222222222</v>
      </c>
      <c r="K31" s="16" t="n">
        <v>46.62061111111111</v>
      </c>
      <c r="L31" s="16" t="n">
        <v>64.49799999999999</v>
      </c>
      <c r="M31" s="16" t="n">
        <v>37.92133333333334</v>
      </c>
      <c r="N31" s="16" t="n">
        <v>22.92733333333334</v>
      </c>
      <c r="O31" s="16" t="n">
        <v>58.79733333333333</v>
      </c>
      <c r="P31" s="16" t="n">
        <v>42.85133333333333</v>
      </c>
      <c r="Q31" s="16" t="n">
        <v>52.20133333333333</v>
      </c>
      <c r="R31" s="16" t="n">
        <v>20.604</v>
      </c>
      <c r="S31" s="16" t="n">
        <v>15.3</v>
      </c>
      <c r="T31" s="16" t="n">
        <v>0</v>
      </c>
      <c r="U31" s="16" t="n">
        <v>30.6</v>
      </c>
      <c r="V31" s="16" t="n">
        <v>546.04</v>
      </c>
    </row>
    <row r="33">
      <c r="A33" s="4" t="inlineStr">
        <is>
          <t>MILESTONE SCHEDULE</t>
        </is>
      </c>
      <c r="B33" s="5" t="n"/>
      <c r="C33" s="5" t="n"/>
      <c r="D33" s="5" t="n"/>
      <c r="E33" s="5" t="n"/>
    </row>
    <row r="34">
      <c r="A34" s="6" t="inlineStr">
        <is>
          <t>Product</t>
        </is>
      </c>
      <c r="B34" s="6" t="inlineStr">
        <is>
          <t>Payment plan</t>
        </is>
      </c>
      <c r="C34" s="6" t="inlineStr">
        <is>
          <t>Milestone</t>
        </is>
      </c>
      <c r="D34" s="6" t="inlineStr">
        <is>
          <t>% of sale</t>
        </is>
      </c>
      <c r="E34" s="6" t="inlineStr">
        <is>
          <t>Falls due</t>
        </is>
      </c>
    </row>
    <row r="35">
      <c r="A35" s="7" t="inlineStr">
        <is>
          <t>Villas</t>
        </is>
      </c>
      <c r="B35" s="7" t="inlineStr">
        <is>
          <t>CLP – Villa</t>
        </is>
      </c>
      <c r="C35" s="7" t="inlineStr">
        <is>
          <t>Earnest money</t>
        </is>
      </c>
      <c r="D35" s="18" t="n">
        <v>0.1</v>
      </c>
      <c r="E35" s="7" t="inlineStr">
        <is>
          <t>at booking</t>
        </is>
      </c>
    </row>
    <row r="36">
      <c r="A36" s="7" t="inlineStr">
        <is>
          <t>Villas</t>
        </is>
      </c>
      <c r="B36" s="7" t="inlineStr">
        <is>
          <t>CLP – Villa</t>
        </is>
      </c>
      <c r="C36" s="7" t="inlineStr">
        <is>
          <t>Agreement to sell (ATS)</t>
        </is>
      </c>
      <c r="D36" s="18" t="n">
        <v>0.1</v>
      </c>
      <c r="E36" s="7" t="inlineStr">
        <is>
          <t>1 qtr(s) after booking</t>
        </is>
      </c>
    </row>
    <row r="37">
      <c r="A37" s="7" t="inlineStr">
        <is>
          <t>Villas</t>
        </is>
      </c>
      <c r="B37" s="7" t="inlineStr">
        <is>
          <t>CLP – Villa</t>
        </is>
      </c>
      <c r="C37" s="7" t="inlineStr">
        <is>
          <t>Commencement of construction</t>
        </is>
      </c>
      <c r="D37" s="18" t="n">
        <v>0.1</v>
      </c>
      <c r="E37" s="7" t="inlineStr">
        <is>
          <t>construction 5% reached in Q5</t>
        </is>
      </c>
    </row>
    <row r="38">
      <c r="A38" s="7" t="inlineStr">
        <is>
          <t>Villas</t>
        </is>
      </c>
      <c r="B38" s="7" t="inlineStr">
        <is>
          <t>CLP – Villa</t>
        </is>
      </c>
      <c r="C38" s="7" t="inlineStr">
        <is>
          <t>Ground plinth</t>
        </is>
      </c>
      <c r="D38" s="18" t="n">
        <v>0.1</v>
      </c>
      <c r="E38" s="7" t="inlineStr">
        <is>
          <t>construction 15% reached in Q7</t>
        </is>
      </c>
    </row>
    <row r="39">
      <c r="A39" s="7" t="inlineStr">
        <is>
          <t>Villas</t>
        </is>
      </c>
      <c r="B39" s="7" t="inlineStr">
        <is>
          <t>CLP – Villa</t>
        </is>
      </c>
      <c r="C39" s="7" t="inlineStr">
        <is>
          <t>First floor roof casting</t>
        </is>
      </c>
      <c r="D39" s="18" t="n">
        <v>0.15</v>
      </c>
      <c r="E39" s="7" t="inlineStr">
        <is>
          <t>construction 35% reached in Q8</t>
        </is>
      </c>
    </row>
    <row r="40">
      <c r="A40" s="7" t="inlineStr">
        <is>
          <t>Villas</t>
        </is>
      </c>
      <c r="B40" s="7" t="inlineStr">
        <is>
          <t>CLP – Villa</t>
        </is>
      </c>
      <c r="C40" s="7" t="inlineStr">
        <is>
          <t>Second floor roof casting</t>
        </is>
      </c>
      <c r="D40" s="18" t="n">
        <v>0.15</v>
      </c>
      <c r="E40" s="7" t="inlineStr">
        <is>
          <t>construction 55% reached in Q10</t>
        </is>
      </c>
    </row>
    <row r="41">
      <c r="A41" s="7" t="inlineStr">
        <is>
          <t>Villas</t>
        </is>
      </c>
      <c r="B41" s="7" t="inlineStr">
        <is>
          <t>CLP – Villa</t>
        </is>
      </c>
      <c r="C41" s="7" t="inlineStr">
        <is>
          <t>Third floor roof casting</t>
        </is>
      </c>
      <c r="D41" s="18" t="n">
        <v>0.15</v>
      </c>
      <c r="E41" s="7" t="inlineStr">
        <is>
          <t>construction 75% reached in Q11</t>
        </is>
      </c>
    </row>
    <row r="42">
      <c r="A42" s="7" t="inlineStr">
        <is>
          <t>Villas</t>
        </is>
      </c>
      <c r="B42" s="7" t="inlineStr">
        <is>
          <t>CLP – Villa</t>
        </is>
      </c>
      <c r="C42" s="7" t="inlineStr">
        <is>
          <t>Completion certificate (CC)</t>
        </is>
      </c>
      <c r="D42" s="18" t="n">
        <v>0.05</v>
      </c>
      <c r="E42" s="7" t="inlineStr">
        <is>
          <t>construction 95% reached in Q14</t>
        </is>
      </c>
    </row>
    <row r="43">
      <c r="A43" s="7" t="inlineStr">
        <is>
          <t>Villas</t>
        </is>
      </c>
      <c r="B43" s="7" t="inlineStr">
        <is>
          <t>CLP – Villa</t>
        </is>
      </c>
      <c r="C43" s="7" t="inlineStr">
        <is>
          <t>Possession</t>
        </is>
      </c>
      <c r="D43" s="18" t="n">
        <v>0.1</v>
      </c>
      <c r="E43" s="7" t="inlineStr">
        <is>
          <t>construction 100% reached in Q15</t>
        </is>
      </c>
    </row>
    <row r="44">
      <c r="A44" s="7" t="inlineStr">
        <is>
          <t>Apartments – Towers A &amp; B</t>
        </is>
      </c>
      <c r="B44" s="7" t="inlineStr">
        <is>
          <t>CLP – Apartment</t>
        </is>
      </c>
      <c r="C44" s="7" t="inlineStr">
        <is>
          <t>Booking amount</t>
        </is>
      </c>
      <c r="D44" s="18" t="n">
        <v>0.1</v>
      </c>
      <c r="E44" s="7" t="inlineStr">
        <is>
          <t>at booking</t>
        </is>
      </c>
    </row>
    <row r="45">
      <c r="A45" s="7" t="inlineStr">
        <is>
          <t>Apartments – Towers A &amp; B</t>
        </is>
      </c>
      <c r="B45" s="7" t="inlineStr">
        <is>
          <t>CLP – Apartment</t>
        </is>
      </c>
      <c r="C45" s="7" t="inlineStr">
        <is>
          <t>Agreement to sell (ATS)</t>
        </is>
      </c>
      <c r="D45" s="18" t="n">
        <v>0.1</v>
      </c>
      <c r="E45" s="7" t="inlineStr">
        <is>
          <t>1 qtr(s) after booking</t>
        </is>
      </c>
    </row>
    <row r="46">
      <c r="A46" s="7" t="inlineStr">
        <is>
          <t>Apartments – Towers A &amp; B</t>
        </is>
      </c>
      <c r="B46" s="7" t="inlineStr">
        <is>
          <t>CLP – Apartment</t>
        </is>
      </c>
      <c r="C46" s="7" t="inlineStr">
        <is>
          <t>Foundation completion</t>
        </is>
      </c>
      <c r="D46" s="18" t="n">
        <v>0.1</v>
      </c>
      <c r="E46" s="7" t="inlineStr">
        <is>
          <t>construction 10% reached in Q8</t>
        </is>
      </c>
    </row>
    <row r="47">
      <c r="A47" s="7" t="inlineStr">
        <is>
          <t>Apartments – Towers A &amp; B</t>
        </is>
      </c>
      <c r="B47" s="7" t="inlineStr">
        <is>
          <t>CLP – Apartment</t>
        </is>
      </c>
      <c r="C47" s="7" t="inlineStr">
        <is>
          <t>Podium / plinth</t>
        </is>
      </c>
      <c r="D47" s="18" t="n">
        <v>0.1</v>
      </c>
      <c r="E47" s="7" t="inlineStr">
        <is>
          <t>construction 20% reached in Q9</t>
        </is>
      </c>
    </row>
    <row r="48">
      <c r="A48" s="7" t="inlineStr">
        <is>
          <t>Apartments – Towers A &amp; B</t>
        </is>
      </c>
      <c r="B48" s="7" t="inlineStr">
        <is>
          <t>CLP – Apartment</t>
        </is>
      </c>
      <c r="C48" s="7" t="inlineStr">
        <is>
          <t>Slab casting – 25% floors</t>
        </is>
      </c>
      <c r="D48" s="18" t="n">
        <v>0.1</v>
      </c>
      <c r="E48" s="7" t="inlineStr">
        <is>
          <t>construction 35% reached in Q11</t>
        </is>
      </c>
    </row>
    <row r="49">
      <c r="A49" s="7" t="inlineStr">
        <is>
          <t>Apartments – Towers A &amp; B</t>
        </is>
      </c>
      <c r="B49" s="7" t="inlineStr">
        <is>
          <t>CLP – Apartment</t>
        </is>
      </c>
      <c r="C49" s="7" t="inlineStr">
        <is>
          <t>Slab casting – 50% floors</t>
        </is>
      </c>
      <c r="D49" s="18" t="n">
        <v>0.1</v>
      </c>
      <c r="E49" s="7" t="inlineStr">
        <is>
          <t>construction 50% reached in Q12</t>
        </is>
      </c>
    </row>
    <row r="50">
      <c r="A50" s="7" t="inlineStr">
        <is>
          <t>Apartments – Towers A &amp; B</t>
        </is>
      </c>
      <c r="B50" s="7" t="inlineStr">
        <is>
          <t>CLP – Apartment</t>
        </is>
      </c>
      <c r="C50" s="7" t="inlineStr">
        <is>
          <t>Slab casting – 75% floors</t>
        </is>
      </c>
      <c r="D50" s="18" t="n">
        <v>0.1</v>
      </c>
      <c r="E50" s="7" t="inlineStr">
        <is>
          <t>construction 65% reached in Q14</t>
        </is>
      </c>
    </row>
    <row r="51">
      <c r="A51" s="7" t="inlineStr">
        <is>
          <t>Apartments – Towers A &amp; B</t>
        </is>
      </c>
      <c r="B51" s="7" t="inlineStr">
        <is>
          <t>CLP – Apartment</t>
        </is>
      </c>
      <c r="C51" s="7" t="inlineStr">
        <is>
          <t>Top slab casting</t>
        </is>
      </c>
      <c r="D51" s="18" t="n">
        <v>0.1</v>
      </c>
      <c r="E51" s="7" t="inlineStr">
        <is>
          <t>construction 80% reached in Q16</t>
        </is>
      </c>
    </row>
    <row r="52">
      <c r="A52" s="7" t="inlineStr">
        <is>
          <t>Apartments – Towers A &amp; B</t>
        </is>
      </c>
      <c r="B52" s="7" t="inlineStr">
        <is>
          <t>CLP – Apartment</t>
        </is>
      </c>
      <c r="C52" s="7" t="inlineStr">
        <is>
          <t>Brickwork &amp; plaster</t>
        </is>
      </c>
      <c r="D52" s="18" t="n">
        <v>0.05</v>
      </c>
      <c r="E52" s="7" t="inlineStr">
        <is>
          <t>construction 90% reached in Q17</t>
        </is>
      </c>
    </row>
    <row r="53">
      <c r="A53" s="7" t="inlineStr">
        <is>
          <t>Apartments – Towers A &amp; B</t>
        </is>
      </c>
      <c r="B53" s="7" t="inlineStr">
        <is>
          <t>CLP – Apartment</t>
        </is>
      </c>
      <c r="C53" s="7" t="inlineStr">
        <is>
          <t>Flooring &amp; finishing</t>
        </is>
      </c>
      <c r="D53" s="18" t="n">
        <v>0.05</v>
      </c>
      <c r="E53" s="7" t="inlineStr">
        <is>
          <t>construction 95% reached in Q18</t>
        </is>
      </c>
    </row>
    <row r="54">
      <c r="A54" s="7" t="inlineStr">
        <is>
          <t>Apartments – Towers A &amp; B</t>
        </is>
      </c>
      <c r="B54" s="7" t="inlineStr">
        <is>
          <t>CLP – Apartment</t>
        </is>
      </c>
      <c r="C54" s="7" t="inlineStr">
        <is>
          <t>Possession</t>
        </is>
      </c>
      <c r="D54" s="18" t="n">
        <v>0.1</v>
      </c>
      <c r="E54" s="7" t="inlineStr">
        <is>
          <t>construction 100% reached in Q20</t>
        </is>
      </c>
    </row>
    <row r="55">
      <c r="A55" s="7" t="inlineStr">
        <is>
          <t>Studios</t>
        </is>
      </c>
      <c r="B55" s="7" t="inlineStr">
        <is>
          <t>CLP – Apartment</t>
        </is>
      </c>
      <c r="C55" s="7" t="inlineStr">
        <is>
          <t>Booking amount</t>
        </is>
      </c>
      <c r="D55" s="18" t="n">
        <v>0.1</v>
      </c>
      <c r="E55" s="7" t="inlineStr">
        <is>
          <t>at booking</t>
        </is>
      </c>
    </row>
    <row r="56">
      <c r="A56" s="7" t="inlineStr">
        <is>
          <t>Studios</t>
        </is>
      </c>
      <c r="B56" s="7" t="inlineStr">
        <is>
          <t>CLP – Apartment</t>
        </is>
      </c>
      <c r="C56" s="7" t="inlineStr">
        <is>
          <t>Agreement to sell (ATS)</t>
        </is>
      </c>
      <c r="D56" s="18" t="n">
        <v>0.1</v>
      </c>
      <c r="E56" s="7" t="inlineStr">
        <is>
          <t>1 qtr(s) after booking</t>
        </is>
      </c>
    </row>
    <row r="57">
      <c r="A57" s="7" t="inlineStr">
        <is>
          <t>Studios</t>
        </is>
      </c>
      <c r="B57" s="7" t="inlineStr">
        <is>
          <t>CLP – Apartment</t>
        </is>
      </c>
      <c r="C57" s="7" t="inlineStr">
        <is>
          <t>Foundation completion</t>
        </is>
      </c>
      <c r="D57" s="18" t="n">
        <v>0.1</v>
      </c>
      <c r="E57" s="7" t="inlineStr">
        <is>
          <t>construction 10% reached in Q8</t>
        </is>
      </c>
    </row>
    <row r="58">
      <c r="A58" s="7" t="inlineStr">
        <is>
          <t>Studios</t>
        </is>
      </c>
      <c r="B58" s="7" t="inlineStr">
        <is>
          <t>CLP – Apartment</t>
        </is>
      </c>
      <c r="C58" s="7" t="inlineStr">
        <is>
          <t>Podium / plinth</t>
        </is>
      </c>
      <c r="D58" s="18" t="n">
        <v>0.1</v>
      </c>
      <c r="E58" s="7" t="inlineStr">
        <is>
          <t>construction 20% reached in Q9</t>
        </is>
      </c>
    </row>
    <row r="59">
      <c r="A59" s="7" t="inlineStr">
        <is>
          <t>Studios</t>
        </is>
      </c>
      <c r="B59" s="7" t="inlineStr">
        <is>
          <t>CLP – Apartment</t>
        </is>
      </c>
      <c r="C59" s="7" t="inlineStr">
        <is>
          <t>Slab casting – 25% floors</t>
        </is>
      </c>
      <c r="D59" s="18" t="n">
        <v>0.1</v>
      </c>
      <c r="E59" s="7" t="inlineStr">
        <is>
          <t>construction 35% reached in Q10</t>
        </is>
      </c>
    </row>
    <row r="60">
      <c r="A60" s="7" t="inlineStr">
        <is>
          <t>Studios</t>
        </is>
      </c>
      <c r="B60" s="7" t="inlineStr">
        <is>
          <t>CLP – Apartment</t>
        </is>
      </c>
      <c r="C60" s="7" t="inlineStr">
        <is>
          <t>Slab casting – 50% floors</t>
        </is>
      </c>
      <c r="D60" s="18" t="n">
        <v>0.1</v>
      </c>
      <c r="E60" s="7" t="inlineStr">
        <is>
          <t>construction 50% reached in Q11</t>
        </is>
      </c>
    </row>
    <row r="61">
      <c r="A61" s="7" t="inlineStr">
        <is>
          <t>Studios</t>
        </is>
      </c>
      <c r="B61" s="7" t="inlineStr">
        <is>
          <t>CLP – Apartment</t>
        </is>
      </c>
      <c r="C61" s="7" t="inlineStr">
        <is>
          <t>Slab casting – 75% floors</t>
        </is>
      </c>
      <c r="D61" s="18" t="n">
        <v>0.1</v>
      </c>
      <c r="E61" s="7" t="inlineStr">
        <is>
          <t>construction 65% reached in Q13</t>
        </is>
      </c>
    </row>
    <row r="62">
      <c r="A62" s="7" t="inlineStr">
        <is>
          <t>Studios</t>
        </is>
      </c>
      <c r="B62" s="7" t="inlineStr">
        <is>
          <t>CLP – Apartment</t>
        </is>
      </c>
      <c r="C62" s="7" t="inlineStr">
        <is>
          <t>Top slab casting</t>
        </is>
      </c>
      <c r="D62" s="18" t="n">
        <v>0.1</v>
      </c>
      <c r="E62" s="7" t="inlineStr">
        <is>
          <t>construction 80% reached in Q14</t>
        </is>
      </c>
    </row>
    <row r="63">
      <c r="A63" s="7" t="inlineStr">
        <is>
          <t>Studios</t>
        </is>
      </c>
      <c r="B63" s="7" t="inlineStr">
        <is>
          <t>CLP – Apartment</t>
        </is>
      </c>
      <c r="C63" s="7" t="inlineStr">
        <is>
          <t>Brickwork &amp; plaster</t>
        </is>
      </c>
      <c r="D63" s="18" t="n">
        <v>0.05</v>
      </c>
      <c r="E63" s="7" t="inlineStr">
        <is>
          <t>construction 90% reached in Q15</t>
        </is>
      </c>
    </row>
    <row r="64">
      <c r="A64" s="7" t="inlineStr">
        <is>
          <t>Studios</t>
        </is>
      </c>
      <c r="B64" s="7" t="inlineStr">
        <is>
          <t>CLP – Apartment</t>
        </is>
      </c>
      <c r="C64" s="7" t="inlineStr">
        <is>
          <t>Flooring &amp; finishing</t>
        </is>
      </c>
      <c r="D64" s="18" t="n">
        <v>0.05</v>
      </c>
      <c r="E64" s="7" t="inlineStr">
        <is>
          <t>construction 95% reached in Q16</t>
        </is>
      </c>
    </row>
    <row r="65">
      <c r="A65" s="7" t="inlineStr">
        <is>
          <t>Studios</t>
        </is>
      </c>
      <c r="B65" s="7" t="inlineStr">
        <is>
          <t>CLP – Apartment</t>
        </is>
      </c>
      <c r="C65" s="7" t="inlineStr">
        <is>
          <t>Possession</t>
        </is>
      </c>
      <c r="D65" s="18" t="n">
        <v>0.1</v>
      </c>
      <c r="E65" s="7" t="inlineStr">
        <is>
          <t>construction 100% reached in Q17</t>
        </is>
      </c>
    </row>
    <row r="66">
      <c r="A66" s="7" t="inlineStr">
        <is>
          <t>High-street retail</t>
        </is>
      </c>
      <c r="B66" s="7" t="inlineStr">
        <is>
          <t>Down Payment Plan</t>
        </is>
      </c>
      <c r="C66" s="7" t="inlineStr">
        <is>
          <t>Booking amount</t>
        </is>
      </c>
      <c r="D66" s="18" t="n">
        <v>0.1</v>
      </c>
      <c r="E66" s="7" t="inlineStr">
        <is>
          <t>at booking</t>
        </is>
      </c>
    </row>
    <row r="67">
      <c r="A67" s="7" t="inlineStr">
        <is>
          <t>High-street retail</t>
        </is>
      </c>
      <c r="B67" s="7" t="inlineStr">
        <is>
          <t>Down Payment Plan</t>
        </is>
      </c>
      <c r="C67" s="7" t="inlineStr">
        <is>
          <t>Down payment</t>
        </is>
      </c>
      <c r="D67" s="18" t="n">
        <v>0.8</v>
      </c>
      <c r="E67" s="7" t="inlineStr">
        <is>
          <t>1 qtr(s) after booking</t>
        </is>
      </c>
    </row>
    <row r="68">
      <c r="A68" s="7" t="inlineStr">
        <is>
          <t>High-street retail</t>
        </is>
      </c>
      <c r="B68" s="7" t="inlineStr">
        <is>
          <t>Down Payment Plan</t>
        </is>
      </c>
      <c r="C68" s="7" t="inlineStr">
        <is>
          <t>Possession</t>
        </is>
      </c>
      <c r="D68" s="18" t="n">
        <v>0.1</v>
      </c>
      <c r="E68" s="7" t="inlineStr">
        <is>
          <t>construction 100% reached in Q17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4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</cols>
  <sheetData>
    <row r="1">
      <c r="A1" s="1" t="inlineStr">
        <is>
          <t>Project timeline</t>
        </is>
      </c>
    </row>
    <row r="2">
      <c r="A2" s="2" t="inlineStr">
        <is>
          <t>S = selling · C = construction · # = both</t>
        </is>
      </c>
    </row>
    <row r="4">
      <c r="A4" s="6" t="inlineStr">
        <is>
          <t>Product</t>
        </is>
      </c>
      <c r="B4" s="6" t="inlineStr">
        <is>
          <t>Q1</t>
        </is>
      </c>
      <c r="C4" s="6" t="inlineStr">
        <is>
          <t>Q2</t>
        </is>
      </c>
      <c r="D4" s="6" t="inlineStr">
        <is>
          <t>Q3</t>
        </is>
      </c>
      <c r="E4" s="6" t="inlineStr">
        <is>
          <t>Q4</t>
        </is>
      </c>
      <c r="F4" s="6" t="inlineStr">
        <is>
          <t>Q5</t>
        </is>
      </c>
      <c r="G4" s="6" t="inlineStr">
        <is>
          <t>Q6</t>
        </is>
      </c>
      <c r="H4" s="6" t="inlineStr">
        <is>
          <t>Q7</t>
        </is>
      </c>
      <c r="I4" s="6" t="inlineStr">
        <is>
          <t>Q8</t>
        </is>
      </c>
      <c r="J4" s="6" t="inlineStr">
        <is>
          <t>Q9</t>
        </is>
      </c>
      <c r="K4" s="6" t="inlineStr">
        <is>
          <t>Q10</t>
        </is>
      </c>
      <c r="L4" s="6" t="inlineStr">
        <is>
          <t>Q11</t>
        </is>
      </c>
      <c r="M4" s="6" t="inlineStr">
        <is>
          <t>Q12</t>
        </is>
      </c>
      <c r="N4" s="6" t="inlineStr">
        <is>
          <t>Q13</t>
        </is>
      </c>
      <c r="O4" s="6" t="inlineStr">
        <is>
          <t>Q14</t>
        </is>
      </c>
      <c r="P4" s="6" t="inlineStr">
        <is>
          <t>Q15</t>
        </is>
      </c>
      <c r="Q4" s="6" t="inlineStr">
        <is>
          <t>Q16</t>
        </is>
      </c>
      <c r="R4" s="6" t="inlineStr">
        <is>
          <t>Q17</t>
        </is>
      </c>
      <c r="S4" s="6" t="inlineStr">
        <is>
          <t>Q18</t>
        </is>
      </c>
      <c r="T4" s="6" t="inlineStr">
        <is>
          <t>Q19</t>
        </is>
      </c>
      <c r="U4" s="6" t="inlineStr">
        <is>
          <t>Q20</t>
        </is>
      </c>
    </row>
    <row r="5">
      <c r="A5" s="7" t="inlineStr">
        <is>
          <t>Villas</t>
        </is>
      </c>
      <c r="B5" s="7" t="inlineStr"/>
      <c r="C5" s="7" t="inlineStr"/>
      <c r="D5" s="34" t="inlineStr">
        <is>
          <t>S</t>
        </is>
      </c>
      <c r="E5" s="35" t="inlineStr">
        <is>
          <t>#</t>
        </is>
      </c>
      <c r="F5" s="35" t="inlineStr">
        <is>
          <t>#</t>
        </is>
      </c>
      <c r="G5" s="35" t="inlineStr">
        <is>
          <t>#</t>
        </is>
      </c>
      <c r="H5" s="35" t="inlineStr">
        <is>
          <t>#</t>
        </is>
      </c>
      <c r="I5" s="35" t="inlineStr">
        <is>
          <t>#</t>
        </is>
      </c>
      <c r="J5" s="35" t="inlineStr">
        <is>
          <t>#</t>
        </is>
      </c>
      <c r="K5" s="35" t="inlineStr">
        <is>
          <t>#</t>
        </is>
      </c>
      <c r="L5" s="36" t="inlineStr">
        <is>
          <t>C</t>
        </is>
      </c>
      <c r="M5" s="36" t="inlineStr">
        <is>
          <t>C</t>
        </is>
      </c>
      <c r="N5" s="36" t="inlineStr">
        <is>
          <t>C</t>
        </is>
      </c>
      <c r="O5" s="36" t="inlineStr">
        <is>
          <t>C</t>
        </is>
      </c>
      <c r="P5" s="36" t="inlineStr">
        <is>
          <t>C</t>
        </is>
      </c>
      <c r="Q5" s="7" t="inlineStr"/>
      <c r="R5" s="7" t="inlineStr"/>
      <c r="S5" s="7" t="inlineStr"/>
      <c r="T5" s="7" t="inlineStr"/>
      <c r="U5" s="7" t="inlineStr"/>
    </row>
    <row r="6">
      <c r="A6" s="7" t="inlineStr">
        <is>
          <t>Apartments – Towers A &amp; B</t>
        </is>
      </c>
      <c r="B6" s="7" t="inlineStr"/>
      <c r="C6" s="7" t="inlineStr"/>
      <c r="D6" s="7" t="inlineStr"/>
      <c r="E6" s="34" t="inlineStr">
        <is>
          <t>S</t>
        </is>
      </c>
      <c r="F6" s="35" t="inlineStr">
        <is>
          <t>#</t>
        </is>
      </c>
      <c r="G6" s="35" t="inlineStr">
        <is>
          <t>#</t>
        </is>
      </c>
      <c r="H6" s="35" t="inlineStr">
        <is>
          <t>#</t>
        </is>
      </c>
      <c r="I6" s="35" t="inlineStr">
        <is>
          <t>#</t>
        </is>
      </c>
      <c r="J6" s="35" t="inlineStr">
        <is>
          <t>#</t>
        </is>
      </c>
      <c r="K6" s="35" t="inlineStr">
        <is>
          <t>#</t>
        </is>
      </c>
      <c r="L6" s="35" t="inlineStr">
        <is>
          <t>#</t>
        </is>
      </c>
      <c r="M6" s="35" t="inlineStr">
        <is>
          <t>#</t>
        </is>
      </c>
      <c r="N6" s="35" t="inlineStr">
        <is>
          <t>#</t>
        </is>
      </c>
      <c r="O6" s="35" t="inlineStr">
        <is>
          <t>#</t>
        </is>
      </c>
      <c r="P6" s="35" t="inlineStr">
        <is>
          <t>#</t>
        </is>
      </c>
      <c r="Q6" s="36" t="inlineStr">
        <is>
          <t>C</t>
        </is>
      </c>
      <c r="R6" s="36" t="inlineStr">
        <is>
          <t>C</t>
        </is>
      </c>
      <c r="S6" s="36" t="inlineStr">
        <is>
          <t>C</t>
        </is>
      </c>
      <c r="T6" s="36" t="inlineStr">
        <is>
          <t>C</t>
        </is>
      </c>
      <c r="U6" s="36" t="inlineStr">
        <is>
          <t>C</t>
        </is>
      </c>
    </row>
    <row r="7">
      <c r="A7" s="7" t="inlineStr">
        <is>
          <t>Studios</t>
        </is>
      </c>
      <c r="B7" s="7" t="inlineStr"/>
      <c r="C7" s="7" t="inlineStr"/>
      <c r="D7" s="7" t="inlineStr"/>
      <c r="E7" s="7" t="inlineStr"/>
      <c r="F7" s="7" t="inlineStr"/>
      <c r="G7" s="35" t="inlineStr">
        <is>
          <t>#</t>
        </is>
      </c>
      <c r="H7" s="35" t="inlineStr">
        <is>
          <t>#</t>
        </is>
      </c>
      <c r="I7" s="35" t="inlineStr">
        <is>
          <t>#</t>
        </is>
      </c>
      <c r="J7" s="35" t="inlineStr">
        <is>
          <t>#</t>
        </is>
      </c>
      <c r="K7" s="35" t="inlineStr">
        <is>
          <t>#</t>
        </is>
      </c>
      <c r="L7" s="35" t="inlineStr">
        <is>
          <t>#</t>
        </is>
      </c>
      <c r="M7" s="35" t="inlineStr">
        <is>
          <t>#</t>
        </is>
      </c>
      <c r="N7" s="35" t="inlineStr">
        <is>
          <t>#</t>
        </is>
      </c>
      <c r="O7" s="36" t="inlineStr">
        <is>
          <t>C</t>
        </is>
      </c>
      <c r="P7" s="36" t="inlineStr">
        <is>
          <t>C</t>
        </is>
      </c>
      <c r="Q7" s="36" t="inlineStr">
        <is>
          <t>C</t>
        </is>
      </c>
      <c r="R7" s="36" t="inlineStr">
        <is>
          <t>C</t>
        </is>
      </c>
      <c r="S7" s="7" t="inlineStr"/>
      <c r="T7" s="7" t="inlineStr"/>
      <c r="U7" s="7" t="inlineStr"/>
    </row>
    <row r="8">
      <c r="A8" s="7" t="inlineStr">
        <is>
          <t>High-street retail</t>
        </is>
      </c>
      <c r="B8" s="7" t="inlineStr"/>
      <c r="C8" s="7" t="inlineStr"/>
      <c r="D8" s="7" t="inlineStr"/>
      <c r="E8" s="7" t="inlineStr"/>
      <c r="F8" s="7" t="inlineStr"/>
      <c r="G8" s="36" t="inlineStr">
        <is>
          <t>C</t>
        </is>
      </c>
      <c r="H8" s="36" t="inlineStr">
        <is>
          <t>C</t>
        </is>
      </c>
      <c r="I8" s="35" t="inlineStr">
        <is>
          <t>#</t>
        </is>
      </c>
      <c r="J8" s="35" t="inlineStr">
        <is>
          <t>#</t>
        </is>
      </c>
      <c r="K8" s="35" t="inlineStr">
        <is>
          <t>#</t>
        </is>
      </c>
      <c r="L8" s="35" t="inlineStr">
        <is>
          <t>#</t>
        </is>
      </c>
      <c r="M8" s="35" t="inlineStr">
        <is>
          <t>#</t>
        </is>
      </c>
      <c r="N8" s="35" t="inlineStr">
        <is>
          <t>#</t>
        </is>
      </c>
      <c r="O8" s="35" t="inlineStr">
        <is>
          <t>#</t>
        </is>
      </c>
      <c r="P8" s="35" t="inlineStr">
        <is>
          <t>#</t>
        </is>
      </c>
      <c r="Q8" s="36" t="inlineStr">
        <is>
          <t>C</t>
        </is>
      </c>
      <c r="R8" s="36" t="inlineStr">
        <is>
          <t>C</t>
        </is>
      </c>
      <c r="S8" s="7" t="inlineStr"/>
      <c r="T8" s="7" t="inlineStr"/>
      <c r="U8" s="7" t="inlineStr"/>
    </row>
    <row r="9">
      <c r="A9" s="7" t="inlineStr">
        <is>
          <t>Phase</t>
        </is>
      </c>
      <c r="B9" s="7" t="inlineStr">
        <is>
          <t>Pre-launch</t>
        </is>
      </c>
      <c r="C9" s="7" t="inlineStr">
        <is>
          <t>Pre-launch</t>
        </is>
      </c>
      <c r="D9" s="7" t="inlineStr">
        <is>
          <t>Sales</t>
        </is>
      </c>
      <c r="E9" s="7" t="inlineStr">
        <is>
          <t>Sales + Constr.</t>
        </is>
      </c>
      <c r="F9" s="7" t="inlineStr">
        <is>
          <t>Sales + Constr.</t>
        </is>
      </c>
      <c r="G9" s="7" t="inlineStr">
        <is>
          <t>Sales + Constr.</t>
        </is>
      </c>
      <c r="H9" s="7" t="inlineStr">
        <is>
          <t>Sales + Constr.</t>
        </is>
      </c>
      <c r="I9" s="7" t="inlineStr">
        <is>
          <t>Sales + Constr.</t>
        </is>
      </c>
      <c r="J9" s="7" t="inlineStr">
        <is>
          <t>Sales + Constr.</t>
        </is>
      </c>
      <c r="K9" s="7" t="inlineStr">
        <is>
          <t>Sales + Constr.</t>
        </is>
      </c>
      <c r="L9" s="7" t="inlineStr">
        <is>
          <t>Sales + Constr.</t>
        </is>
      </c>
      <c r="M9" s="7" t="inlineStr">
        <is>
          <t>Sales + Constr.</t>
        </is>
      </c>
      <c r="N9" s="7" t="inlineStr">
        <is>
          <t>Sales + Constr.</t>
        </is>
      </c>
      <c r="O9" s="7" t="inlineStr">
        <is>
          <t>Sales + Constr.</t>
        </is>
      </c>
      <c r="P9" s="7" t="inlineStr">
        <is>
          <t>Sales + Constr.</t>
        </is>
      </c>
      <c r="Q9" s="7" t="inlineStr">
        <is>
          <t>Construction</t>
        </is>
      </c>
      <c r="R9" s="7" t="inlineStr">
        <is>
          <t>Construction</t>
        </is>
      </c>
      <c r="S9" s="7" t="inlineStr">
        <is>
          <t>Construction</t>
        </is>
      </c>
      <c r="T9" s="7" t="inlineStr">
        <is>
          <t>Construction</t>
        </is>
      </c>
      <c r="U9" s="7" t="inlineStr">
        <is>
          <t>Construction</t>
        </is>
      </c>
    </row>
    <row r="11">
      <c r="A11" s="2" t="inlineStr">
        <is>
          <t>Villas: Launch Q3 (fixed)  |  Construction Q4 (1 qtr(s) after own launch)</t>
        </is>
      </c>
    </row>
    <row r="12">
      <c r="A12" s="2" t="inlineStr">
        <is>
          <t>Apartments – Towers A &amp; B: Launch Q4 (1 qtr(s) after Villas – launch)  |  Construction Q5 (1 qtr(s) after own launch)</t>
        </is>
      </c>
    </row>
    <row r="13">
      <c r="A13" s="2" t="inlineStr">
        <is>
          <t>Studios: Launch Q6 (1 qtr(s) after Apartments – Towers A &amp; B – construction start)  |  Construction Q6 (0 qtr(s) after own launch)</t>
        </is>
      </c>
    </row>
    <row r="14">
      <c r="A14" s="2" t="inlineStr">
        <is>
          <t>High-street retail: Launch Q8 (4 qtr(s) after Apartments – Towers A &amp; B – launch)  |  Construction Q6 (1 qtr(s) after Apartments – Towers A &amp; B – construction start)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81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Stress test</t>
        </is>
      </c>
    </row>
    <row r="2">
      <c r="A2" s="2" t="inlineStr">
        <is>
          <t>Each line is a full model run with the lever shown (on top of the active scenario).</t>
        </is>
      </c>
    </row>
    <row r="4">
      <c r="A4" s="4" t="inlineStr">
        <is>
          <t>SCENARIO COMPARISON</t>
        </is>
      </c>
      <c r="B4" s="5" t="n"/>
      <c r="C4" s="5" t="n"/>
      <c r="D4" s="5" t="n"/>
      <c r="E4" s="5" t="n"/>
      <c r="F4" s="5" t="n"/>
      <c r="G4" s="5" t="n"/>
      <c r="H4" s="5" t="n"/>
    </row>
    <row r="5">
      <c r="A5" s="6" t="inlineStr">
        <is>
          <t>Scenario</t>
        </is>
      </c>
      <c r="B5" s="6" t="inlineStr">
        <is>
          <t>GDV ₹Cr</t>
        </is>
      </c>
      <c r="C5" s="6" t="inlineStr">
        <is>
          <t>EBITDA ₹Cr</t>
        </is>
      </c>
      <c r="D5" s="6" t="inlineStr">
        <is>
          <t>PAT ₹Cr</t>
        </is>
      </c>
      <c r="E5" s="6" t="inlineStr">
        <is>
          <t>Developer IRR</t>
        </is>
      </c>
      <c r="F5" s="6" t="inlineStr">
        <is>
          <t>Dev NPV ₹Cr</t>
        </is>
      </c>
      <c r="G5" s="6" t="inlineStr">
        <is>
          <t>Peak ₹Cr</t>
        </is>
      </c>
      <c r="H5" s="6" t="inlineStr">
        <is>
          <t>Payback</t>
        </is>
      </c>
    </row>
    <row r="6">
      <c r="A6" s="7" t="inlineStr">
        <is>
          <t>Best Case</t>
        </is>
      </c>
      <c r="B6" s="16" t="n">
        <v>843.15</v>
      </c>
      <c r="C6" s="16" t="n">
        <v>195.2801790704</v>
      </c>
      <c r="D6" s="16" t="n">
        <v>144.507332512096</v>
      </c>
      <c r="E6" s="18" t="n">
        <v>1.507601646772767</v>
      </c>
      <c r="F6" s="16" t="n">
        <v>111.4556895861642</v>
      </c>
      <c r="G6" s="16" t="n">
        <v>34.4479209296</v>
      </c>
      <c r="H6" s="7" t="inlineStr">
        <is>
          <t>Q7</t>
        </is>
      </c>
    </row>
    <row r="7">
      <c r="A7" s="7" t="inlineStr">
        <is>
          <t>Base Case</t>
        </is>
      </c>
      <c r="B7" s="16" t="n">
        <v>803</v>
      </c>
      <c r="C7" s="16" t="n">
        <v>172.3946790704</v>
      </c>
      <c r="D7" s="16" t="n">
        <v>127.572062512096</v>
      </c>
      <c r="E7" s="18" t="n">
        <v>1.101763767397502</v>
      </c>
      <c r="F7" s="16" t="n">
        <v>90.62811362965084</v>
      </c>
      <c r="G7" s="16" t="n">
        <v>34.2873209296</v>
      </c>
      <c r="H7" s="7" t="inlineStr">
        <is>
          <t>Q8</t>
        </is>
      </c>
    </row>
    <row r="8">
      <c r="A8" s="7" t="inlineStr">
        <is>
          <t>Worst Case</t>
        </is>
      </c>
      <c r="B8" s="16" t="n">
        <v>742.775</v>
      </c>
      <c r="C8" s="16" t="n">
        <v>117.7864290704</v>
      </c>
      <c r="D8" s="16" t="n">
        <v>87.161957512096</v>
      </c>
      <c r="E8" s="18" t="n">
        <v>0.4024104146911887</v>
      </c>
      <c r="F8" s="16" t="n">
        <v>35.76740943189873</v>
      </c>
      <c r="G8" s="16" t="n">
        <v>36.3601955115398</v>
      </c>
      <c r="H8" s="7" t="inlineStr">
        <is>
          <t>Q18</t>
        </is>
      </c>
    </row>
    <row r="10">
      <c r="A10" s="4" t="inlineStr">
        <is>
          <t>ONE-WAY: SALES PRICE SHOCK</t>
        </is>
      </c>
      <c r="B10" s="5" t="n"/>
      <c r="C10" s="5" t="n"/>
      <c r="D10" s="5" t="n"/>
      <c r="E10" s="5" t="n"/>
      <c r="F10" s="5" t="n"/>
      <c r="G10" s="5" t="n"/>
      <c r="H10" s="5" t="n"/>
    </row>
    <row r="11">
      <c r="A11" s="6" t="inlineStr">
        <is>
          <t>Sales price shock</t>
        </is>
      </c>
      <c r="B11" s="6" t="inlineStr">
        <is>
          <t>Developer IRR</t>
        </is>
      </c>
      <c r="C11" s="6" t="inlineStr">
        <is>
          <t>Dev NPV ₹Cr</t>
        </is>
      </c>
      <c r="D11" s="6" t="inlineStr">
        <is>
          <t>PAT ₹Cr</t>
        </is>
      </c>
      <c r="E11" s="6" t="inlineStr">
        <is>
          <t>EBITDA ₹Cr</t>
        </is>
      </c>
      <c r="F11" s="6" t="inlineStr">
        <is>
          <t>Peak ₹Cr</t>
        </is>
      </c>
      <c r="G11" s="6" t="inlineStr">
        <is>
          <t>Payback</t>
        </is>
      </c>
    </row>
    <row r="12">
      <c r="A12" s="37" t="n">
        <v>-0.15</v>
      </c>
      <c r="B12" s="18" t="n">
        <v>0.7310143495023322</v>
      </c>
      <c r="C12" s="16" t="n">
        <v>49.22407806024936</v>
      </c>
      <c r="D12" s="16" t="n">
        <v>76.76625251209596</v>
      </c>
      <c r="E12" s="16" t="n">
        <v>103.7381790704</v>
      </c>
      <c r="F12" s="16" t="n">
        <v>33.80552092959999</v>
      </c>
      <c r="G12" s="7" t="inlineStr">
        <is>
          <t>Q10</t>
        </is>
      </c>
    </row>
    <row r="13">
      <c r="A13" s="37" t="n">
        <v>-0.1</v>
      </c>
      <c r="B13" s="18" t="n">
        <v>0.8615225333012542</v>
      </c>
      <c r="C13" s="16" t="n">
        <v>63.02542325004985</v>
      </c>
      <c r="D13" s="16" t="n">
        <v>93.70152251209603</v>
      </c>
      <c r="E13" s="16" t="n">
        <v>126.6236790704</v>
      </c>
      <c r="F13" s="16" t="n">
        <v>33.9661209296</v>
      </c>
      <c r="G13" s="7" t="inlineStr">
        <is>
          <t>Q8</t>
        </is>
      </c>
    </row>
    <row r="14">
      <c r="A14" s="37" t="n">
        <v>-0.05</v>
      </c>
      <c r="B14" s="18" t="n">
        <v>0.9847230863355254</v>
      </c>
      <c r="C14" s="16" t="n">
        <v>76.82676843985031</v>
      </c>
      <c r="D14" s="16" t="n">
        <v>110.636792512096</v>
      </c>
      <c r="E14" s="16" t="n">
        <v>149.5091790704</v>
      </c>
      <c r="F14" s="16" t="n">
        <v>34.1267209296</v>
      </c>
      <c r="G14" s="7" t="inlineStr">
        <is>
          <t>Q8</t>
        </is>
      </c>
    </row>
    <row r="15">
      <c r="A15" s="37" t="n">
        <v>0</v>
      </c>
      <c r="B15" s="18" t="n">
        <v>1.101763767397502</v>
      </c>
      <c r="C15" s="16" t="n">
        <v>90.62811362965084</v>
      </c>
      <c r="D15" s="16" t="n">
        <v>127.572062512096</v>
      </c>
      <c r="E15" s="16" t="n">
        <v>172.3946790704</v>
      </c>
      <c r="F15" s="16" t="n">
        <v>34.2873209296</v>
      </c>
      <c r="G15" s="7" t="inlineStr">
        <is>
          <t>Q8</t>
        </is>
      </c>
    </row>
    <row r="16">
      <c r="A16" s="37" t="n">
        <v>0.05</v>
      </c>
      <c r="B16" s="18" t="n">
        <v>1.213540396165981</v>
      </c>
      <c r="C16" s="16" t="n">
        <v>104.4294588194514</v>
      </c>
      <c r="D16" s="16" t="n">
        <v>144.507332512096</v>
      </c>
      <c r="E16" s="16" t="n">
        <v>195.2801790704</v>
      </c>
      <c r="F16" s="16" t="n">
        <v>34.4479209296</v>
      </c>
      <c r="G16" s="7" t="inlineStr">
        <is>
          <t>Q8</t>
        </is>
      </c>
    </row>
    <row r="17">
      <c r="A17" s="37" t="n">
        <v>0.1</v>
      </c>
      <c r="B17" s="18" t="n">
        <v>1.320760527503755</v>
      </c>
      <c r="C17" s="16" t="n">
        <v>118.2308040092519</v>
      </c>
      <c r="D17" s="16" t="n">
        <v>161.442602512096</v>
      </c>
      <c r="E17" s="16" t="n">
        <v>218.1656790704001</v>
      </c>
      <c r="F17" s="16" t="n">
        <v>34.6085209296</v>
      </c>
      <c r="G17" s="7" t="inlineStr">
        <is>
          <t>Q8</t>
        </is>
      </c>
    </row>
    <row r="18">
      <c r="A18" s="37" t="n">
        <v>0.15</v>
      </c>
      <c r="B18" s="18" t="n">
        <v>1.422388104853331</v>
      </c>
      <c r="C18" s="16" t="n">
        <v>132.0164389200075</v>
      </c>
      <c r="D18" s="16" t="n">
        <v>178.377872512096</v>
      </c>
      <c r="E18" s="16" t="n">
        <v>241.0511790703999</v>
      </c>
      <c r="F18" s="16" t="n">
        <v>34.76912092959999</v>
      </c>
      <c r="G18" s="7" t="inlineStr">
        <is>
          <t>Q8</t>
        </is>
      </c>
    </row>
    <row r="20">
      <c r="A20" s="4" t="inlineStr">
        <is>
          <t>ONE-WAY: CONSTRUCTION COST SHOCK</t>
        </is>
      </c>
      <c r="B20" s="5" t="n"/>
      <c r="C20" s="5" t="n"/>
      <c r="D20" s="5" t="n"/>
      <c r="E20" s="5" t="n"/>
      <c r="F20" s="5" t="n"/>
      <c r="G20" s="5" t="n"/>
      <c r="H20" s="5" t="n"/>
    </row>
    <row r="21">
      <c r="A21" s="6" t="inlineStr">
        <is>
          <t>Construction cost shock</t>
        </is>
      </c>
      <c r="B21" s="6" t="inlineStr">
        <is>
          <t>Developer IRR</t>
        </is>
      </c>
      <c r="C21" s="6" t="inlineStr">
        <is>
          <t>Dev NPV ₹Cr</t>
        </is>
      </c>
      <c r="D21" s="6" t="inlineStr">
        <is>
          <t>PAT ₹Cr</t>
        </is>
      </c>
      <c r="E21" s="6" t="inlineStr">
        <is>
          <t>EBITDA ₹Cr</t>
        </is>
      </c>
      <c r="F21" s="6" t="inlineStr">
        <is>
          <t>Peak ₹Cr</t>
        </is>
      </c>
      <c r="G21" s="6" t="inlineStr">
        <is>
          <t>Payback</t>
        </is>
      </c>
    </row>
    <row r="22">
      <c r="A22" s="37" t="n">
        <v>-0.05</v>
      </c>
      <c r="B22" s="18" t="n">
        <v>1.178158937151989</v>
      </c>
      <c r="C22" s="16" t="n">
        <v>99.07733199313481</v>
      </c>
      <c r="D22" s="16" t="n">
        <v>137.576862512096</v>
      </c>
      <c r="E22" s="16" t="n">
        <v>185.9146790704</v>
      </c>
      <c r="F22" s="16" t="n">
        <v>34.2873209296</v>
      </c>
      <c r="G22" s="7" t="inlineStr">
        <is>
          <t>Q8</t>
        </is>
      </c>
    </row>
    <row r="23">
      <c r="A23" s="37" t="n">
        <v>0</v>
      </c>
      <c r="B23" s="18" t="n">
        <v>1.101763767397502</v>
      </c>
      <c r="C23" s="16" t="n">
        <v>90.62811362965084</v>
      </c>
      <c r="D23" s="16" t="n">
        <v>127.572062512096</v>
      </c>
      <c r="E23" s="16" t="n">
        <v>172.3946790704</v>
      </c>
      <c r="F23" s="16" t="n">
        <v>34.2873209296</v>
      </c>
      <c r="G23" s="7" t="inlineStr">
        <is>
          <t>Q8</t>
        </is>
      </c>
    </row>
    <row r="24">
      <c r="A24" s="37" t="n">
        <v>0.05</v>
      </c>
      <c r="B24" s="18" t="n">
        <v>1.023782904993294</v>
      </c>
      <c r="C24" s="16" t="n">
        <v>82.17889526616683</v>
      </c>
      <c r="D24" s="16" t="n">
        <v>117.567262512096</v>
      </c>
      <c r="E24" s="16" t="n">
        <v>158.8746790704</v>
      </c>
      <c r="F24" s="16" t="n">
        <v>34.2873209296</v>
      </c>
      <c r="G24" s="7" t="inlineStr">
        <is>
          <t>Q8</t>
        </is>
      </c>
    </row>
    <row r="25">
      <c r="A25" s="37" t="n">
        <v>0.1</v>
      </c>
      <c r="B25" s="18" t="n">
        <v>0.944133116002297</v>
      </c>
      <c r="C25" s="16" t="n">
        <v>73.72967690268283</v>
      </c>
      <c r="D25" s="16" t="n">
        <v>107.5624625120959</v>
      </c>
      <c r="E25" s="16" t="n">
        <v>145.3546790703999</v>
      </c>
      <c r="F25" s="16" t="n">
        <v>34.2873209296</v>
      </c>
      <c r="G25" s="7" t="inlineStr">
        <is>
          <t>Q8</t>
        </is>
      </c>
    </row>
    <row r="26">
      <c r="A26" s="37" t="n">
        <v>0.15</v>
      </c>
      <c r="B26" s="18" t="n">
        <v>0.8627390342337631</v>
      </c>
      <c r="C26" s="16" t="n">
        <v>65.2804585391989</v>
      </c>
      <c r="D26" s="16" t="n">
        <v>97.55766251209604</v>
      </c>
      <c r="E26" s="16" t="n">
        <v>131.8346790704001</v>
      </c>
      <c r="F26" s="16" t="n">
        <v>34.2873209296</v>
      </c>
      <c r="G26" s="7" t="inlineStr">
        <is>
          <t>Q8</t>
        </is>
      </c>
    </row>
    <row r="27">
      <c r="A27" s="37" t="n">
        <v>0.2</v>
      </c>
      <c r="B27" s="18" t="n">
        <v>0.7795418815092521</v>
      </c>
      <c r="C27" s="16" t="n">
        <v>56.8312401757149</v>
      </c>
      <c r="D27" s="16" t="n">
        <v>87.55286251209597</v>
      </c>
      <c r="E27" s="16" t="n">
        <v>118.3146790704</v>
      </c>
      <c r="F27" s="16" t="n">
        <v>34.2873209296</v>
      </c>
      <c r="G27" s="7" t="inlineStr">
        <is>
          <t>Q10</t>
        </is>
      </c>
    </row>
    <row r="29">
      <c r="A29" s="4" t="inlineStr">
        <is>
          <t>ONE-WAY: SALES PERIOD MULTIPLIER</t>
        </is>
      </c>
      <c r="B29" s="5" t="n"/>
      <c r="C29" s="5" t="n"/>
      <c r="D29" s="5" t="n"/>
      <c r="E29" s="5" t="n"/>
      <c r="F29" s="5" t="n"/>
      <c r="G29" s="5" t="n"/>
      <c r="H29" s="5" t="n"/>
    </row>
    <row r="30">
      <c r="A30" s="6" t="inlineStr">
        <is>
          <t>Sales period multiplier</t>
        </is>
      </c>
      <c r="B30" s="6" t="inlineStr">
        <is>
          <t>Developer IRR</t>
        </is>
      </c>
      <c r="C30" s="6" t="inlineStr">
        <is>
          <t>Dev NPV ₹Cr</t>
        </is>
      </c>
      <c r="D30" s="6" t="inlineStr">
        <is>
          <t>PAT ₹Cr</t>
        </is>
      </c>
      <c r="E30" s="6" t="inlineStr">
        <is>
          <t>EBITDA ₹Cr</t>
        </is>
      </c>
      <c r="F30" s="6" t="inlineStr">
        <is>
          <t>Peak ₹Cr</t>
        </is>
      </c>
      <c r="G30" s="6" t="inlineStr">
        <is>
          <t>Payback</t>
        </is>
      </c>
    </row>
    <row r="31">
      <c r="A31" s="22" t="n">
        <v>0.75</v>
      </c>
      <c r="B31" s="18" t="n">
        <v>1.381314184899356</v>
      </c>
      <c r="C31" s="16" t="n">
        <v>97.34801223092973</v>
      </c>
      <c r="D31" s="16" t="n">
        <v>127.572062512096</v>
      </c>
      <c r="E31" s="16" t="n">
        <v>172.3946790704</v>
      </c>
      <c r="F31" s="16" t="n">
        <v>34.2873209296</v>
      </c>
      <c r="G31" s="7" t="inlineStr">
        <is>
          <t>Q8</t>
        </is>
      </c>
    </row>
    <row r="32">
      <c r="A32" s="22" t="n">
        <v>1</v>
      </c>
      <c r="B32" s="18" t="n">
        <v>1.101763767397502</v>
      </c>
      <c r="C32" s="16" t="n">
        <v>90.62811362965084</v>
      </c>
      <c r="D32" s="16" t="n">
        <v>127.572062512096</v>
      </c>
      <c r="E32" s="16" t="n">
        <v>172.3946790704</v>
      </c>
      <c r="F32" s="16" t="n">
        <v>34.2873209296</v>
      </c>
      <c r="G32" s="7" t="inlineStr">
        <is>
          <t>Q8</t>
        </is>
      </c>
    </row>
    <row r="33">
      <c r="A33" s="22" t="n">
        <v>1.25</v>
      </c>
      <c r="B33" s="18" t="n">
        <v>0.8814505415862575</v>
      </c>
      <c r="C33" s="16" t="n">
        <v>82.79518388253526</v>
      </c>
      <c r="D33" s="16" t="n">
        <v>127.572062512096</v>
      </c>
      <c r="E33" s="16" t="n">
        <v>172.3946790704</v>
      </c>
      <c r="F33" s="16" t="n">
        <v>34.3933209296</v>
      </c>
      <c r="G33" s="7" t="inlineStr">
        <is>
          <t>Q10</t>
        </is>
      </c>
    </row>
    <row r="34">
      <c r="A34" s="22" t="n">
        <v>1.5</v>
      </c>
      <c r="B34" s="18" t="n">
        <v>0.7171626565165941</v>
      </c>
      <c r="C34" s="16" t="n">
        <v>74.54128443358714</v>
      </c>
      <c r="D34" s="16" t="n">
        <v>127.572062512096</v>
      </c>
      <c r="E34" s="16" t="n">
        <v>172.3946790704</v>
      </c>
      <c r="F34" s="16" t="n">
        <v>34.39466158894066</v>
      </c>
      <c r="G34" s="7" t="inlineStr">
        <is>
          <t>Q11</t>
        </is>
      </c>
    </row>
    <row r="35">
      <c r="A35" s="22" t="n">
        <v>2</v>
      </c>
      <c r="B35" s="18" t="n">
        <v>0.5062304339232568</v>
      </c>
      <c r="C35" s="16" t="n">
        <v>58.58160481852184</v>
      </c>
      <c r="D35" s="16" t="n">
        <v>127.572062512096</v>
      </c>
      <c r="E35" s="16" t="n">
        <v>172.3946790704</v>
      </c>
      <c r="F35" s="16" t="n">
        <v>35.37012177426449</v>
      </c>
      <c r="G35" s="7" t="inlineStr">
        <is>
          <t>Q16</t>
        </is>
      </c>
    </row>
    <row r="37">
      <c r="A37" s="4" t="inlineStr">
        <is>
          <t>ONE-WAY: EXTRA DELAY (QUARTERS)</t>
        </is>
      </c>
      <c r="B37" s="5" t="n"/>
      <c r="C37" s="5" t="n"/>
      <c r="D37" s="5" t="n"/>
      <c r="E37" s="5" t="n"/>
      <c r="F37" s="5" t="n"/>
      <c r="G37" s="5" t="n"/>
      <c r="H37" s="5" t="n"/>
    </row>
    <row r="38">
      <c r="A38" s="6" t="inlineStr">
        <is>
          <t>Extra delay (quarters)</t>
        </is>
      </c>
      <c r="B38" s="6" t="inlineStr">
        <is>
          <t>Developer IRR</t>
        </is>
      </c>
      <c r="C38" s="6" t="inlineStr">
        <is>
          <t>Dev NPV ₹Cr</t>
        </is>
      </c>
      <c r="D38" s="6" t="inlineStr">
        <is>
          <t>PAT ₹Cr</t>
        </is>
      </c>
      <c r="E38" s="6" t="inlineStr">
        <is>
          <t>EBITDA ₹Cr</t>
        </is>
      </c>
      <c r="F38" s="6" t="inlineStr">
        <is>
          <t>Peak ₹Cr</t>
        </is>
      </c>
      <c r="G38" s="6" t="inlineStr">
        <is>
          <t>Payback</t>
        </is>
      </c>
    </row>
    <row r="39">
      <c r="A39" s="38" t="n">
        <v>0</v>
      </c>
      <c r="B39" s="18" t="n">
        <v>1.101763767397502</v>
      </c>
      <c r="C39" s="16" t="n">
        <v>90.62811362965084</v>
      </c>
      <c r="D39" s="16" t="n">
        <v>127.572062512096</v>
      </c>
      <c r="E39" s="16" t="n">
        <v>172.3946790704</v>
      </c>
      <c r="F39" s="16" t="n">
        <v>34.2873209296</v>
      </c>
      <c r="G39" s="7" t="inlineStr">
        <is>
          <t>Q8</t>
        </is>
      </c>
    </row>
    <row r="40">
      <c r="A40" s="38" t="n">
        <v>1</v>
      </c>
      <c r="B40" s="18" t="n">
        <v>0.9189336918817246</v>
      </c>
      <c r="C40" s="16" t="n">
        <v>85.27676572019166</v>
      </c>
      <c r="D40" s="16" t="n">
        <v>127.572062512096</v>
      </c>
      <c r="E40" s="16" t="n">
        <v>172.3946790704</v>
      </c>
      <c r="F40" s="16" t="n">
        <v>35.66389235817142</v>
      </c>
      <c r="G40" s="7" t="inlineStr">
        <is>
          <t>Q9</t>
        </is>
      </c>
    </row>
    <row r="41">
      <c r="A41" s="38" t="n">
        <v>2</v>
      </c>
      <c r="B41" s="18" t="n">
        <v>0.7917708628093802</v>
      </c>
      <c r="C41" s="16" t="n">
        <v>80.14813378159143</v>
      </c>
      <c r="D41" s="16" t="n">
        <v>127.572062512096</v>
      </c>
      <c r="E41" s="16" t="n">
        <v>172.3946790704</v>
      </c>
      <c r="F41" s="16" t="n">
        <v>36.9153209296</v>
      </c>
      <c r="G41" s="7" t="inlineStr">
        <is>
          <t>Q10</t>
        </is>
      </c>
    </row>
    <row r="42">
      <c r="A42" s="38" t="n">
        <v>3</v>
      </c>
      <c r="B42" s="18" t="n">
        <v>0.697416888284033</v>
      </c>
      <c r="C42" s="16" t="n">
        <v>75.2330817797943</v>
      </c>
      <c r="D42" s="16" t="n">
        <v>127.572062512096</v>
      </c>
      <c r="E42" s="16" t="n">
        <v>172.3946790704</v>
      </c>
      <c r="F42" s="16" t="n">
        <v>38.05792962525217</v>
      </c>
      <c r="G42" s="7" t="inlineStr">
        <is>
          <t>Q11</t>
        </is>
      </c>
    </row>
    <row r="43">
      <c r="A43" s="38" t="n">
        <v>4</v>
      </c>
      <c r="B43" s="18" t="n">
        <v>0.6242389445488534</v>
      </c>
      <c r="C43" s="16" t="n">
        <v>70.52284649821067</v>
      </c>
      <c r="D43" s="16" t="n">
        <v>127.572062512096</v>
      </c>
      <c r="E43" s="16" t="n">
        <v>172.3946790704</v>
      </c>
      <c r="F43" s="16" t="n">
        <v>39.10532092959999</v>
      </c>
      <c r="G43" s="7" t="inlineStr">
        <is>
          <t>Q12</t>
        </is>
      </c>
    </row>
    <row r="44">
      <c r="A44" s="38" t="n">
        <v>6</v>
      </c>
      <c r="B44" s="18" t="n">
        <v>0.5174920773881497</v>
      </c>
      <c r="C44" s="16" t="n">
        <v>61.68354687356517</v>
      </c>
      <c r="D44" s="16" t="n">
        <v>127.572062512096</v>
      </c>
      <c r="E44" s="16" t="n">
        <v>172.3946790704</v>
      </c>
      <c r="F44" s="16" t="n">
        <v>40.95839785267693</v>
      </c>
      <c r="G44" s="7" t="inlineStr">
        <is>
          <t>Q14</t>
        </is>
      </c>
    </row>
    <row r="46">
      <c r="A46" s="4" t="inlineStr">
        <is>
          <t>DEVELOPER IRR – construction cost (down) × price (across)</t>
        </is>
      </c>
      <c r="B46" s="5" t="n"/>
      <c r="C46" s="5" t="n"/>
      <c r="D46" s="5" t="n"/>
      <c r="E46" s="5" t="n"/>
      <c r="F46" s="5" t="n"/>
      <c r="G46" s="5" t="n"/>
      <c r="H46" s="5" t="n"/>
    </row>
    <row r="47">
      <c r="A47" s="39" t="inlineStr"/>
      <c r="B47" s="40" t="n">
        <v>-0.1</v>
      </c>
      <c r="C47" s="40" t="n">
        <v>-0.05</v>
      </c>
      <c r="D47" s="40" t="n">
        <v>0</v>
      </c>
      <c r="E47" s="40" t="n">
        <v>0.05</v>
      </c>
      <c r="F47" s="40" t="n">
        <v>0.1</v>
      </c>
    </row>
    <row r="48">
      <c r="A48" s="37" t="n">
        <v>0</v>
      </c>
      <c r="B48" s="18" t="n">
        <v>0.8615225333012542</v>
      </c>
      <c r="C48" s="18" t="n">
        <v>0.9847230863355254</v>
      </c>
      <c r="D48" s="18" t="n">
        <v>1.101763767397502</v>
      </c>
      <c r="E48" s="18" t="n">
        <v>1.213540396165981</v>
      </c>
      <c r="F48" s="18" t="n">
        <v>1.320760527503755</v>
      </c>
    </row>
    <row r="49">
      <c r="A49" s="37" t="n">
        <v>0.05</v>
      </c>
      <c r="B49" s="18" t="n">
        <v>0.7764690166849297</v>
      </c>
      <c r="C49" s="18" t="n">
        <v>0.9034677626997298</v>
      </c>
      <c r="D49" s="18" t="n">
        <v>1.023782904993294</v>
      </c>
      <c r="E49" s="18" t="n">
        <v>1.138407681768079</v>
      </c>
      <c r="F49" s="18" t="n">
        <v>1.248128189745754</v>
      </c>
    </row>
    <row r="50">
      <c r="A50" s="37" t="n">
        <v>0.1</v>
      </c>
      <c r="B50" s="18" t="n">
        <v>0.6892848532225893</v>
      </c>
      <c r="C50" s="18" t="n">
        <v>0.8203247434366405</v>
      </c>
      <c r="D50" s="18" t="n">
        <v>0.944133116002297</v>
      </c>
      <c r="E50" s="18" t="n">
        <v>1.061795130200601</v>
      </c>
      <c r="F50" s="18" t="n">
        <v>1.174177146738539</v>
      </c>
    </row>
    <row r="51">
      <c r="A51" s="37" t="n">
        <v>0.15</v>
      </c>
      <c r="B51" s="18" t="n">
        <v>0.5999366868482996</v>
      </c>
      <c r="C51" s="18" t="n">
        <v>0.7352267270515009</v>
      </c>
      <c r="D51" s="18" t="n">
        <v>0.8627390342337631</v>
      </c>
      <c r="E51" s="18" t="n">
        <v>0.9836296376384761</v>
      </c>
      <c r="F51" s="18" t="n">
        <v>1.098840308347428</v>
      </c>
    </row>
    <row r="52">
      <c r="A52" s="37" t="n">
        <v>0.2</v>
      </c>
      <c r="B52" s="18" t="n">
        <v>0.5084686880981428</v>
      </c>
      <c r="C52" s="18" t="n">
        <v>0.6481426278276543</v>
      </c>
      <c r="D52" s="18" t="n">
        <v>0.7795418815092521</v>
      </c>
      <c r="E52" s="18" t="n">
        <v>0.9038452081559487</v>
      </c>
      <c r="F52" s="18" t="n">
        <v>1.022053058583394</v>
      </c>
    </row>
    <row r="54">
      <c r="A54" s="4" t="inlineStr">
        <is>
          <t>PAT ₹Cr – construction cost (down) × price (across)</t>
        </is>
      </c>
      <c r="B54" s="5" t="n"/>
      <c r="C54" s="5" t="n"/>
      <c r="D54" s="5" t="n"/>
      <c r="E54" s="5" t="n"/>
      <c r="F54" s="5" t="n"/>
      <c r="G54" s="5" t="n"/>
      <c r="H54" s="5" t="n"/>
    </row>
    <row r="55">
      <c r="A55" s="39" t="inlineStr"/>
      <c r="B55" s="40" t="n">
        <v>-0.1</v>
      </c>
      <c r="C55" s="40" t="n">
        <v>-0.05</v>
      </c>
      <c r="D55" s="40" t="n">
        <v>0</v>
      </c>
      <c r="E55" s="40" t="n">
        <v>0.05</v>
      </c>
      <c r="F55" s="40" t="n">
        <v>0.1</v>
      </c>
    </row>
    <row r="56">
      <c r="A56" s="37" t="n">
        <v>0</v>
      </c>
      <c r="B56" s="16" t="n">
        <v>93.70152251209603</v>
      </c>
      <c r="C56" s="16" t="n">
        <v>110.636792512096</v>
      </c>
      <c r="D56" s="16" t="n">
        <v>127.572062512096</v>
      </c>
      <c r="E56" s="16" t="n">
        <v>144.507332512096</v>
      </c>
      <c r="F56" s="16" t="n">
        <v>161.442602512096</v>
      </c>
    </row>
    <row r="57">
      <c r="A57" s="37" t="n">
        <v>0.05</v>
      </c>
      <c r="B57" s="16" t="n">
        <v>83.69672251209604</v>
      </c>
      <c r="C57" s="16" t="n">
        <v>100.631992512096</v>
      </c>
      <c r="D57" s="16" t="n">
        <v>117.567262512096</v>
      </c>
      <c r="E57" s="16" t="n">
        <v>134.502532512096</v>
      </c>
      <c r="F57" s="16" t="n">
        <v>151.4378025120961</v>
      </c>
    </row>
    <row r="58">
      <c r="A58" s="37" t="n">
        <v>0.1</v>
      </c>
      <c r="B58" s="16" t="n">
        <v>73.69192251209597</v>
      </c>
      <c r="C58" s="16" t="n">
        <v>90.62719251209596</v>
      </c>
      <c r="D58" s="16" t="n">
        <v>107.5624625120959</v>
      </c>
      <c r="E58" s="16" t="n">
        <v>124.4977325120959</v>
      </c>
      <c r="F58" s="16" t="n">
        <v>141.433002512096</v>
      </c>
    </row>
    <row r="59">
      <c r="A59" s="37" t="n">
        <v>0.15</v>
      </c>
      <c r="B59" s="16" t="n">
        <v>63.68712251209607</v>
      </c>
      <c r="C59" s="16" t="n">
        <v>80.62239251209606</v>
      </c>
      <c r="D59" s="16" t="n">
        <v>97.55766251209604</v>
      </c>
      <c r="E59" s="16" t="n">
        <v>114.492932512096</v>
      </c>
      <c r="F59" s="16" t="n">
        <v>131.4282025120961</v>
      </c>
    </row>
    <row r="60">
      <c r="A60" s="37" t="n">
        <v>0.2</v>
      </c>
      <c r="B60" s="16" t="n">
        <v>53.682322512096</v>
      </c>
      <c r="C60" s="16" t="n">
        <v>70.61759251209598</v>
      </c>
      <c r="D60" s="16" t="n">
        <v>87.55286251209597</v>
      </c>
      <c r="E60" s="16" t="n">
        <v>104.4881325120959</v>
      </c>
      <c r="F60" s="16" t="n">
        <v>121.423402512096</v>
      </c>
    </row>
    <row r="62">
      <c r="A62" s="4" t="inlineStr">
        <is>
          <t>PEAK INVESTMENT ₹Cr – sales period (down) × delay (across)</t>
        </is>
      </c>
      <c r="B62" s="5" t="n"/>
      <c r="C62" s="5" t="n"/>
      <c r="D62" s="5" t="n"/>
      <c r="E62" s="5" t="n"/>
      <c r="F62" s="5" t="n"/>
      <c r="G62" s="5" t="n"/>
      <c r="H62" s="5" t="n"/>
    </row>
    <row r="63">
      <c r="A63" s="39" t="inlineStr"/>
      <c r="B63" s="41" t="n">
        <v>0</v>
      </c>
      <c r="C63" s="41" t="n">
        <v>1</v>
      </c>
      <c r="D63" s="41" t="n">
        <v>2</v>
      </c>
      <c r="E63" s="41" t="n">
        <v>4</v>
      </c>
    </row>
    <row r="64">
      <c r="A64" s="22" t="n">
        <v>0.75</v>
      </c>
      <c r="B64" s="16" t="n">
        <v>34.2873209296</v>
      </c>
      <c r="C64" s="16" t="n">
        <v>35.66389235817142</v>
      </c>
      <c r="D64" s="16" t="n">
        <v>36.9153209296</v>
      </c>
      <c r="E64" s="16" t="n">
        <v>39.10532092959999</v>
      </c>
    </row>
    <row r="65">
      <c r="A65" s="22" t="n">
        <v>1</v>
      </c>
      <c r="B65" s="16" t="n">
        <v>34.2873209296</v>
      </c>
      <c r="C65" s="16" t="n">
        <v>35.66389235817142</v>
      </c>
      <c r="D65" s="16" t="n">
        <v>36.9153209296</v>
      </c>
      <c r="E65" s="16" t="n">
        <v>39.10532092959999</v>
      </c>
    </row>
    <row r="66">
      <c r="A66" s="22" t="n">
        <v>1.25</v>
      </c>
      <c r="B66" s="16" t="n">
        <v>34.3933209296</v>
      </c>
      <c r="C66" s="16" t="n">
        <v>35.69341616769523</v>
      </c>
      <c r="D66" s="16" t="n">
        <v>36.9153209296</v>
      </c>
      <c r="E66" s="16" t="n">
        <v>39.10532092959999</v>
      </c>
    </row>
    <row r="67">
      <c r="A67" s="22" t="n">
        <v>1.5</v>
      </c>
      <c r="B67" s="16" t="n">
        <v>34.39466158894066</v>
      </c>
      <c r="C67" s="16" t="n">
        <v>35.64609016036923</v>
      </c>
      <c r="D67" s="16" t="n">
        <v>36.7886988560214</v>
      </c>
      <c r="E67" s="16" t="n">
        <v>38.79969016036922</v>
      </c>
    </row>
    <row r="68">
      <c r="A68" s="22" t="n">
        <v>2</v>
      </c>
      <c r="B68" s="16" t="n">
        <v>35.37012177426449</v>
      </c>
      <c r="C68" s="16" t="n">
        <v>35.9649365890793</v>
      </c>
      <c r="D68" s="16" t="n">
        <v>36.52371414304857</v>
      </c>
      <c r="E68" s="16" t="n">
        <v>37.80994328654134</v>
      </c>
    </row>
    <row r="70">
      <c r="A70" s="4" t="inlineStr">
        <is>
          <t>HEADROOM</t>
        </is>
      </c>
      <c r="B70" s="5" t="n"/>
      <c r="C70" s="5" t="n"/>
      <c r="D70" s="5" t="n"/>
      <c r="E70" s="5" t="n"/>
      <c r="F70" s="5" t="n"/>
      <c r="G70" s="5" t="n"/>
      <c r="H70" s="5" t="n"/>
    </row>
    <row r="71">
      <c r="A71" s="7" t="inlineStr">
        <is>
          <t>Price shock at which EBITDA = 0</t>
        </is>
      </c>
      <c r="B71" s="42" t="n">
        <v>-0.3766460839186381</v>
      </c>
    </row>
    <row r="72">
      <c r="A72" s="7" t="inlineStr">
        <is>
          <t>Cost overrun at which EBITDA = 0</t>
        </is>
      </c>
      <c r="B72" s="42" t="n">
        <v>0.6375542865029581</v>
      </c>
    </row>
    <row r="73">
      <c r="A73" s="7" t="inlineStr">
        <is>
          <t>Price shock at which developer IRR = 18%</t>
        </is>
      </c>
      <c r="B73" s="42" t="n">
        <v>-0.3280212223471414</v>
      </c>
    </row>
    <row r="74">
      <c r="A74" s="7" t="inlineStr">
        <is>
          <t>Cost overrun at which developer IRR = 18%</t>
        </is>
      </c>
      <c r="B74" s="42" t="n">
        <v>0.5363106368592001</v>
      </c>
    </row>
    <row r="76">
      <c r="A76" s="4" t="inlineStr">
        <is>
          <t>WHAT MOVES DEVELOPER IRR THE MOST</t>
        </is>
      </c>
      <c r="B76" s="5" t="n"/>
      <c r="C76" s="5" t="n"/>
      <c r="D76" s="5" t="n"/>
      <c r="E76" s="5" t="n"/>
      <c r="F76" s="5" t="n"/>
      <c r="G76" s="5" t="n"/>
      <c r="H76" s="5" t="n"/>
    </row>
    <row r="77">
      <c r="A77" s="6" t="inlineStr">
        <is>
          <t>Lever</t>
        </is>
      </c>
      <c r="B77" s="6" t="inlineStr">
        <is>
          <t>Downside case</t>
        </is>
      </c>
      <c r="C77" s="6" t="inlineStr">
        <is>
          <t>IRR</t>
        </is>
      </c>
      <c r="D77" s="6" t="inlineStr">
        <is>
          <t>Upside case</t>
        </is>
      </c>
      <c r="E77" s="6" t="inlineStr">
        <is>
          <t>IRR</t>
        </is>
      </c>
      <c r="F77" s="6" t="inlineStr">
        <is>
          <t>Change (downside)</t>
        </is>
      </c>
    </row>
    <row r="78">
      <c r="A78" s="7" t="inlineStr">
        <is>
          <t>Sales period multiplier</t>
        </is>
      </c>
      <c r="B78" s="43" t="n">
        <v>1.5</v>
      </c>
      <c r="C78" s="18" t="n">
        <v>0.7171626565165941</v>
      </c>
      <c r="D78" s="43" t="n">
        <v>0.75</v>
      </c>
      <c r="E78" s="18" t="n">
        <v>1.381314184899356</v>
      </c>
      <c r="F78" s="42" t="n">
        <v>-0.3846011108809075</v>
      </c>
    </row>
    <row r="79">
      <c r="A79" s="7" t="inlineStr">
        <is>
          <t>Extra delay (quarters)</t>
        </is>
      </c>
      <c r="B79" s="43" t="n">
        <v>2</v>
      </c>
      <c r="C79" s="18" t="n">
        <v>0.7917708628093802</v>
      </c>
      <c r="D79" s="43" t="n">
        <v>0</v>
      </c>
      <c r="E79" s="18" t="n">
        <v>1.101763767397502</v>
      </c>
      <c r="F79" s="42" t="n">
        <v>-0.3099929045881213</v>
      </c>
    </row>
    <row r="80">
      <c r="A80" s="7" t="inlineStr">
        <is>
          <t>Sales price shock</t>
        </is>
      </c>
      <c r="B80" s="43" t="n">
        <v>-0.1</v>
      </c>
      <c r="C80" s="18" t="n">
        <v>0.8615225333012542</v>
      </c>
      <c r="D80" s="43" t="n">
        <v>0.1</v>
      </c>
      <c r="E80" s="18" t="n">
        <v>1.320760527503755</v>
      </c>
      <c r="F80" s="42" t="n">
        <v>-0.2402412340962474</v>
      </c>
    </row>
    <row r="81">
      <c r="A81" s="7" t="inlineStr">
        <is>
          <t>Construction cost shock</t>
        </is>
      </c>
      <c r="B81" s="43" t="n">
        <v>0.1</v>
      </c>
      <c r="C81" s="18" t="n">
        <v>0.944133116002297</v>
      </c>
      <c r="D81" s="43" t="n">
        <v>-0.05</v>
      </c>
      <c r="E81" s="18" t="n">
        <v>1.178158937151989</v>
      </c>
      <c r="F81" s="42" t="n">
        <v>-0.1576306513952046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32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Monte Carlo simulation</t>
        </is>
      </c>
    </row>
    <row r="3">
      <c r="A3" s="4" t="inlineStr">
        <is>
          <t>RESULTS</t>
        </is>
      </c>
      <c r="B3" s="5" t="n"/>
      <c r="C3" s="5" t="n"/>
      <c r="D3" s="5" t="n"/>
      <c r="E3" s="5" t="n"/>
      <c r="F3" s="5" t="n"/>
    </row>
    <row r="4">
      <c r="A4" s="7" t="inlineStr">
        <is>
          <t>Number of runs</t>
        </is>
      </c>
      <c r="B4" s="17" t="n">
        <v>500</v>
      </c>
    </row>
    <row r="5">
      <c r="A5" s="7" t="inlineStr">
        <is>
          <t>Random seed</t>
        </is>
      </c>
      <c r="B5" s="21" t="n">
        <v>42</v>
      </c>
    </row>
    <row r="6">
      <c r="A6" s="7" t="inlineStr">
        <is>
          <t>Runs that broke a model check</t>
        </is>
      </c>
      <c r="B6" s="21" t="n">
        <v>0</v>
      </c>
    </row>
    <row r="7">
      <c r="A7" s="12" t="inlineStr">
        <is>
          <t>P(developer IRR ≥ 18%)</t>
        </is>
      </c>
      <c r="B7" s="15" t="n">
        <v>1</v>
      </c>
    </row>
    <row r="8">
      <c r="A8" s="12" t="inlineStr">
        <is>
          <t>P(developer NPV &gt; 0)</t>
        </is>
      </c>
      <c r="B8" s="15" t="n">
        <v>1</v>
      </c>
    </row>
    <row r="9">
      <c r="A9" s="12" t="inlineStr">
        <is>
          <t>P(loss: PAT &lt; 0)</t>
        </is>
      </c>
      <c r="B9" s="15" t="n">
        <v>0</v>
      </c>
    </row>
    <row r="10">
      <c r="A10" s="6" t="inlineStr"/>
      <c r="B10" s="6" t="inlineStr">
        <is>
          <t>P10 (pessimistic)</t>
        </is>
      </c>
      <c r="C10" s="6" t="inlineStr">
        <is>
          <t>P50 (median)</t>
        </is>
      </c>
      <c r="D10" s="6" t="inlineStr">
        <is>
          <t>P90 (optimistic)</t>
        </is>
      </c>
    </row>
    <row r="11">
      <c r="A11" s="7" t="inlineStr">
        <is>
          <t>Developer IRR</t>
        </is>
      </c>
      <c r="B11" s="18" t="n">
        <v>0.4412546008586398</v>
      </c>
      <c r="C11" s="18" t="n">
        <v>0.6654477195178902</v>
      </c>
      <c r="D11" s="18" t="n">
        <v>0.9524540198307657</v>
      </c>
    </row>
    <row r="12">
      <c r="A12" s="7" t="inlineStr">
        <is>
          <t>Developer NPV ₹Cr</t>
        </is>
      </c>
      <c r="B12" s="16" t="n">
        <v>37.52871032180082</v>
      </c>
      <c r="C12" s="16" t="n">
        <v>63.77361329044364</v>
      </c>
      <c r="D12" s="16" t="n">
        <v>84.42222530443838</v>
      </c>
    </row>
    <row r="13">
      <c r="A13" s="7" t="inlineStr">
        <is>
          <t>PAT ₹Cr</t>
        </is>
      </c>
      <c r="B13" s="16" t="n">
        <v>79.82874112323881</v>
      </c>
      <c r="C13" s="16" t="n">
        <v>108.6219350589937</v>
      </c>
      <c r="D13" s="16" t="n">
        <v>131.772766326174</v>
      </c>
    </row>
    <row r="14">
      <c r="A14" s="7" t="inlineStr">
        <is>
          <t>Peak investment ₹Cr (P50 / P90 / worst)</t>
        </is>
      </c>
      <c r="B14" s="16" t="n">
        <v>35.34106159867468</v>
      </c>
      <c r="C14" s="16" t="n">
        <v>37.85044338372868</v>
      </c>
      <c r="D14" s="16" t="n">
        <v>68.95936164541936</v>
      </c>
    </row>
    <row r="16">
      <c r="A16" s="4" t="inlineStr">
        <is>
          <t>PROBABILITY THAT DEVELOPER IRR IS AT LEAST …</t>
        </is>
      </c>
      <c r="B16" s="5" t="n"/>
      <c r="C16" s="5" t="n"/>
      <c r="D16" s="5" t="n"/>
      <c r="E16" s="5" t="n"/>
      <c r="F16" s="5" t="n"/>
    </row>
    <row r="17">
      <c r="A17" s="6" t="inlineStr">
        <is>
          <t>IRR at least</t>
        </is>
      </c>
      <c r="B17" s="6" t="inlineStr">
        <is>
          <t>Probability</t>
        </is>
      </c>
    </row>
    <row r="18">
      <c r="A18" s="18" t="n">
        <v>0</v>
      </c>
      <c r="B18" s="18" t="n">
        <v>1</v>
      </c>
    </row>
    <row r="19">
      <c r="A19" s="18" t="n">
        <v>0.1</v>
      </c>
      <c r="B19" s="18" t="n">
        <v>1</v>
      </c>
    </row>
    <row r="20">
      <c r="A20" s="18" t="n">
        <v>0.18</v>
      </c>
      <c r="B20" s="18" t="n">
        <v>1</v>
      </c>
    </row>
    <row r="21">
      <c r="A21" s="18" t="n">
        <v>0.25</v>
      </c>
      <c r="B21" s="18" t="n">
        <v>0.998</v>
      </c>
    </row>
    <row r="22">
      <c r="A22" s="18" t="n">
        <v>0.4</v>
      </c>
      <c r="B22" s="18" t="n">
        <v>0.946</v>
      </c>
    </row>
    <row r="23">
      <c r="A23" s="18" t="n">
        <v>0.6</v>
      </c>
      <c r="B23" s="18" t="n">
        <v>0.636</v>
      </c>
    </row>
    <row r="24">
      <c r="A24" s="18" t="n">
        <v>0.8</v>
      </c>
      <c r="B24" s="18" t="n">
        <v>0.264</v>
      </c>
    </row>
    <row r="25">
      <c r="A25" s="18" t="n">
        <v>1</v>
      </c>
      <c r="B25" s="18" t="n">
        <v>0.07000000000000001</v>
      </c>
    </row>
    <row r="26">
      <c r="A26" s="18" t="n">
        <v>1.25</v>
      </c>
      <c r="B26" s="18" t="n">
        <v>0.004</v>
      </c>
    </row>
    <row r="31">
      <c r="A31" s="4" t="inlineStr">
        <is>
          <t>EVERY RUN (inputs drawn and results)</t>
        </is>
      </c>
      <c r="B31" s="5" t="n"/>
      <c r="C31" s="5" t="n"/>
      <c r="D31" s="5" t="n"/>
      <c r="E31" s="5" t="n"/>
      <c r="F31" s="5" t="n"/>
      <c r="G31" s="5" t="n"/>
      <c r="H31" s="5" t="n"/>
    </row>
    <row r="32">
      <c r="A32" s="6" t="inlineStr">
        <is>
          <t>Run</t>
        </is>
      </c>
      <c r="B32" s="6" t="inlineStr">
        <is>
          <t>Price shock</t>
        </is>
      </c>
      <c r="C32" s="6" t="inlineStr">
        <is>
          <t>Cost shock</t>
        </is>
      </c>
      <c r="D32" s="6" t="inlineStr">
        <is>
          <t>Sales period ×</t>
        </is>
      </c>
      <c r="E32" s="6" t="inlineStr">
        <is>
          <t>Delay (Q)</t>
        </is>
      </c>
      <c r="F32" s="6" t="inlineStr">
        <is>
          <t>Developer IRR</t>
        </is>
      </c>
      <c r="G32" s="6" t="inlineStr">
        <is>
          <t>Dev NPV ₹Cr</t>
        </is>
      </c>
      <c r="H32" s="6" t="inlineStr">
        <is>
          <t>Peak ₹Cr</t>
        </is>
      </c>
    </row>
    <row r="33">
      <c r="A33" s="21" t="n">
        <v>1</v>
      </c>
      <c r="B33" s="18" t="n">
        <v>0.01550807254725384</v>
      </c>
      <c r="C33" s="18" t="n">
        <v>0.09421716472174875</v>
      </c>
      <c r="D33" s="43" t="n">
        <v>0.9114119441892612</v>
      </c>
      <c r="E33" s="21" t="n">
        <v>1</v>
      </c>
      <c r="F33" s="18" t="n">
        <v>0.8672705217519605</v>
      </c>
      <c r="G33" s="16" t="n">
        <v>75.66028833557149</v>
      </c>
      <c r="H33" s="16" t="n">
        <v>35.73505225677397</v>
      </c>
    </row>
    <row r="34">
      <c r="A34" s="21" t="n">
        <v>2</v>
      </c>
      <c r="B34" s="18" t="n">
        <v>-0.02694998508148889</v>
      </c>
      <c r="C34" s="18" t="n">
        <v>0.1305170717784403</v>
      </c>
      <c r="D34" s="43" t="n">
        <v>1.141676092815407</v>
      </c>
      <c r="E34" s="21" t="n">
        <v>3</v>
      </c>
      <c r="F34" s="18" t="n">
        <v>0.4738563048344286</v>
      </c>
      <c r="G34" s="16" t="n">
        <v>44.0841879281065</v>
      </c>
      <c r="H34" s="16" t="n">
        <v>37.86974842507448</v>
      </c>
    </row>
    <row r="35">
      <c r="A35" s="21" t="n">
        <v>3</v>
      </c>
      <c r="B35" s="18" t="n">
        <v>0.02899217438832976</v>
      </c>
      <c r="C35" s="18" t="n">
        <v>0.142077041555577</v>
      </c>
      <c r="D35" s="43" t="n">
        <v>0.960642495736366</v>
      </c>
      <c r="E35" s="21" t="n">
        <v>0</v>
      </c>
      <c r="F35" s="18" t="n">
        <v>0.9462824495690418</v>
      </c>
      <c r="G35" s="16" t="n">
        <v>74.62193478955832</v>
      </c>
      <c r="H35" s="16" t="n">
        <v>34.38044379373531</v>
      </c>
    </row>
    <row r="36">
      <c r="A36" s="21" t="n">
        <v>4</v>
      </c>
      <c r="B36" s="18" t="n">
        <v>0.005378097951689115</v>
      </c>
      <c r="C36" s="18" t="n">
        <v>0.05475675341098202</v>
      </c>
      <c r="D36" s="43" t="n">
        <v>0.9745432382864347</v>
      </c>
      <c r="E36" s="21" t="n">
        <v>0</v>
      </c>
      <c r="F36" s="18" t="n">
        <v>1.028897500681104</v>
      </c>
      <c r="G36" s="16" t="n">
        <v>82.85957802667056</v>
      </c>
      <c r="H36" s="16" t="n">
        <v>34.30459538022082</v>
      </c>
    </row>
    <row r="37">
      <c r="A37" s="21" t="n">
        <v>5</v>
      </c>
      <c r="B37" s="18" t="n">
        <v>-0.0929989605171633</v>
      </c>
      <c r="C37" s="18" t="n">
        <v>0.05721236880063521</v>
      </c>
      <c r="D37" s="43" t="n">
        <v>1.25762213395472</v>
      </c>
      <c r="E37" s="21" t="n">
        <v>2</v>
      </c>
      <c r="F37" s="18" t="n">
        <v>0.4415177795405436</v>
      </c>
      <c r="G37" s="16" t="n">
        <v>38.40831534451848</v>
      </c>
      <c r="H37" s="16" t="n">
        <v>36.44930208853581</v>
      </c>
    </row>
    <row r="38">
      <c r="A38" s="21" t="n">
        <v>6</v>
      </c>
      <c r="B38" s="18" t="n">
        <v>0.05882103095323828</v>
      </c>
      <c r="C38" s="18" t="n">
        <v>0.1077746914207551</v>
      </c>
      <c r="D38" s="43" t="n">
        <v>1.103108267559578</v>
      </c>
      <c r="E38" s="21" t="n">
        <v>1</v>
      </c>
      <c r="F38" s="18" t="n">
        <v>0.7911684561015981</v>
      </c>
      <c r="G38" s="16" t="n">
        <v>78.58052238429678</v>
      </c>
      <c r="H38" s="16" t="n">
        <v>35.93379686020257</v>
      </c>
    </row>
    <row r="39">
      <c r="A39" s="21" t="n">
        <v>7</v>
      </c>
      <c r="B39" s="18" t="n">
        <v>0.01370498145880412</v>
      </c>
      <c r="C39" s="18" t="n">
        <v>0.02930330279934137</v>
      </c>
      <c r="D39" s="43" t="n">
        <v>1.549963922851114</v>
      </c>
      <c r="E39" s="21" t="n">
        <v>1</v>
      </c>
      <c r="F39" s="18" t="n">
        <v>0.58252474867694</v>
      </c>
      <c r="G39" s="16" t="n">
        <v>65.51061180242809</v>
      </c>
      <c r="H39" s="16" t="n">
        <v>35.54324137614026</v>
      </c>
    </row>
    <row r="40">
      <c r="A40" s="21" t="n">
        <v>8</v>
      </c>
      <c r="B40" s="18" t="n">
        <v>0.01725912988406959</v>
      </c>
      <c r="C40" s="18" t="n">
        <v>0.1168660743117794</v>
      </c>
      <c r="D40" s="43" t="n">
        <v>1.061979130163961</v>
      </c>
      <c r="E40" s="21" t="n">
        <v>0</v>
      </c>
      <c r="F40" s="18" t="n">
        <v>0.8661219372310875</v>
      </c>
      <c r="G40" s="16" t="n">
        <v>72.67906264122016</v>
      </c>
      <c r="H40" s="16" t="n">
        <v>34.34275725478763</v>
      </c>
    </row>
    <row r="41">
      <c r="A41" s="21" t="n">
        <v>9</v>
      </c>
      <c r="B41" s="18" t="n">
        <v>-0.08351751864358301</v>
      </c>
      <c r="C41" s="18" t="n">
        <v>0.0533746951477696</v>
      </c>
      <c r="D41" s="43" t="n">
        <v>1.33196592293629</v>
      </c>
      <c r="E41" s="21" t="n">
        <v>0</v>
      </c>
      <c r="F41" s="18" t="n">
        <v>0.568708504746503</v>
      </c>
      <c r="G41" s="16" t="n">
        <v>48.35669889501679</v>
      </c>
      <c r="H41" s="16" t="n">
        <v>34.23077011291014</v>
      </c>
    </row>
    <row r="42">
      <c r="A42" s="21" t="n">
        <v>10</v>
      </c>
      <c r="B42" s="18" t="n">
        <v>-0.02534722282517303</v>
      </c>
      <c r="C42" s="18" t="n">
        <v>-0.001863376866409007</v>
      </c>
      <c r="D42" s="43" t="n">
        <v>1.14340236379037</v>
      </c>
      <c r="E42" s="21" t="n">
        <v>1</v>
      </c>
      <c r="F42" s="18" t="n">
        <v>0.749761732938877</v>
      </c>
      <c r="G42" s="16" t="n">
        <v>73.29077154461909</v>
      </c>
      <c r="H42" s="16" t="n">
        <v>35.57636027866737</v>
      </c>
    </row>
    <row r="43">
      <c r="A43" s="21" t="n">
        <v>11</v>
      </c>
      <c r="B43" s="18" t="n">
        <v>-0.03689592475943207</v>
      </c>
      <c r="C43" s="18" t="n">
        <v>-0.01203708465543151</v>
      </c>
      <c r="D43" s="43" t="n">
        <v>1.278426458592293</v>
      </c>
      <c r="E43" s="21" t="n">
        <v>0</v>
      </c>
      <c r="F43" s="18" t="n">
        <v>0.7536832048239408</v>
      </c>
      <c r="G43" s="16" t="n">
        <v>71.78922040758107</v>
      </c>
      <c r="H43" s="16" t="n">
        <v>34.39128826065327</v>
      </c>
    </row>
    <row r="44">
      <c r="A44" s="21" t="n">
        <v>12</v>
      </c>
      <c r="B44" s="18" t="n">
        <v>0.04329136061925304</v>
      </c>
      <c r="C44" s="18" t="n">
        <v>0.118053135930514</v>
      </c>
      <c r="D44" s="43" t="n">
        <v>1.234099200718706</v>
      </c>
      <c r="E44" s="21" t="n">
        <v>0</v>
      </c>
      <c r="F44" s="18" t="n">
        <v>0.7969919690286895</v>
      </c>
      <c r="G44" s="16" t="n">
        <v>74.45653144957717</v>
      </c>
      <c r="H44" s="16" t="n">
        <v>34.53696166413468</v>
      </c>
    </row>
    <row r="45">
      <c r="A45" s="21" t="n">
        <v>13</v>
      </c>
      <c r="B45" s="18" t="n">
        <v>-0.0009585740715591373</v>
      </c>
      <c r="C45" s="18" t="n">
        <v>-0.01666295846753107</v>
      </c>
      <c r="D45" s="43" t="n">
        <v>1.150559608745497</v>
      </c>
      <c r="E45" s="21" t="n">
        <v>1</v>
      </c>
      <c r="F45" s="18" t="n">
        <v>0.806597969363376</v>
      </c>
      <c r="G45" s="16" t="n">
        <v>81.99758217002262</v>
      </c>
      <c r="H45" s="16" t="n">
        <v>35.68898938134</v>
      </c>
    </row>
    <row r="46">
      <c r="A46" s="21" t="n">
        <v>14</v>
      </c>
      <c r="B46" s="18" t="n">
        <v>0.0228932025428082</v>
      </c>
      <c r="C46" s="18" t="n">
        <v>0.02491480976865067</v>
      </c>
      <c r="D46" s="43" t="n">
        <v>1.600122226597227</v>
      </c>
      <c r="E46" s="21" t="n">
        <v>1</v>
      </c>
      <c r="F46" s="18" t="n">
        <v>0.5835221286123382</v>
      </c>
      <c r="G46" s="16" t="n">
        <v>66.83222551730961</v>
      </c>
      <c r="H46" s="16" t="n">
        <v>35.34565650421562</v>
      </c>
    </row>
    <row r="47">
      <c r="A47" s="21" t="n">
        <v>15</v>
      </c>
      <c r="B47" s="18" t="n">
        <v>-0.02631576551741559</v>
      </c>
      <c r="C47" s="18" t="n">
        <v>0.03177552711129009</v>
      </c>
      <c r="D47" s="43" t="n">
        <v>1.074859264834725</v>
      </c>
      <c r="E47" s="21" t="n">
        <v>2</v>
      </c>
      <c r="F47" s="18" t="n">
        <v>0.6717582744864738</v>
      </c>
      <c r="G47" s="16" t="n">
        <v>65.93108969482547</v>
      </c>
      <c r="H47" s="16" t="n">
        <v>36.76163685897829</v>
      </c>
    </row>
    <row r="48">
      <c r="A48" s="21" t="n">
        <v>16</v>
      </c>
      <c r="B48" s="18" t="n">
        <v>-0.0614577168716844</v>
      </c>
      <c r="C48" s="18" t="n">
        <v>0.008820820326070559</v>
      </c>
      <c r="D48" s="43" t="n">
        <v>0.98827400311741</v>
      </c>
      <c r="E48" s="21" t="n">
        <v>0</v>
      </c>
      <c r="F48" s="18" t="n">
        <v>0.9427301475807701</v>
      </c>
      <c r="G48" s="16" t="n">
        <v>72.17354958558747</v>
      </c>
      <c r="H48" s="16" t="n">
        <v>34.08991874300815</v>
      </c>
    </row>
    <row r="49">
      <c r="A49" s="21" t="n">
        <v>17</v>
      </c>
      <c r="B49" s="18" t="n">
        <v>-0.01167727897396503</v>
      </c>
      <c r="C49" s="18" t="n">
        <v>0.02923299436497263</v>
      </c>
      <c r="D49" s="43" t="n">
        <v>1.292531034154662</v>
      </c>
      <c r="E49" s="21" t="n">
        <v>0</v>
      </c>
      <c r="F49" s="18" t="n">
        <v>0.7439570850146955</v>
      </c>
      <c r="G49" s="16" t="n">
        <v>71.51127038325396</v>
      </c>
      <c r="H49" s="16" t="n">
        <v>34.47811605809264</v>
      </c>
    </row>
    <row r="50">
      <c r="A50" s="21" t="n">
        <v>18</v>
      </c>
      <c r="B50" s="18" t="n">
        <v>-0.1030777735439371</v>
      </c>
      <c r="C50" s="18" t="n">
        <v>0.09542674379085321</v>
      </c>
      <c r="D50" s="43" t="n">
        <v>1.44901004152017</v>
      </c>
      <c r="E50" s="21" t="n">
        <v>3</v>
      </c>
      <c r="F50" s="18" t="n">
        <v>0.3188369771466455</v>
      </c>
      <c r="G50" s="16" t="n">
        <v>23.22155641112524</v>
      </c>
      <c r="H50" s="16" t="n">
        <v>41.00310480444637</v>
      </c>
    </row>
    <row r="51">
      <c r="A51" s="21" t="n">
        <v>19</v>
      </c>
      <c r="B51" s="18" t="n">
        <v>0.02368316028631853</v>
      </c>
      <c r="C51" s="18" t="n">
        <v>-0.03286358056064759</v>
      </c>
      <c r="D51" s="43" t="n">
        <v>0.889725960501879</v>
      </c>
      <c r="E51" s="21" t="n">
        <v>0</v>
      </c>
      <c r="F51" s="18" t="n">
        <v>1.254708347305447</v>
      </c>
      <c r="G51" s="16" t="n">
        <v>104.3575815002826</v>
      </c>
      <c r="H51" s="16" t="n">
        <v>34.36339124043965</v>
      </c>
    </row>
    <row r="52">
      <c r="A52" s="21" t="n">
        <v>20</v>
      </c>
      <c r="B52" s="18" t="n">
        <v>-0.002377434754332913</v>
      </c>
      <c r="C52" s="18" t="n">
        <v>0.1142962692884912</v>
      </c>
      <c r="D52" s="43" t="n">
        <v>1.136453581682596</v>
      </c>
      <c r="E52" s="21" t="n">
        <v>0</v>
      </c>
      <c r="F52" s="18" t="n">
        <v>0.7465066115780175</v>
      </c>
      <c r="G52" s="16" t="n">
        <v>64.69667810116707</v>
      </c>
      <c r="H52" s="16" t="n">
        <v>34.38543260108512</v>
      </c>
    </row>
    <row r="53">
      <c r="A53" s="21" t="n">
        <v>21</v>
      </c>
      <c r="B53" s="18" t="n">
        <v>0.01328279395516385</v>
      </c>
      <c r="C53" s="18" t="n">
        <v>0.1219185745642328</v>
      </c>
      <c r="D53" s="43" t="n">
        <v>1.506725643381255</v>
      </c>
      <c r="E53" s="21" t="n">
        <v>0</v>
      </c>
      <c r="F53" s="18" t="n">
        <v>0.5335402215728626</v>
      </c>
      <c r="G53" s="16" t="n">
        <v>54.26254520202083</v>
      </c>
      <c r="H53" s="16" t="n">
        <v>34.31927341710503</v>
      </c>
    </row>
    <row r="54">
      <c r="A54" s="21" t="n">
        <v>22</v>
      </c>
      <c r="B54" s="18" t="n">
        <v>-0.03940548883203807</v>
      </c>
      <c r="C54" s="18" t="n">
        <v>0.03666328294177332</v>
      </c>
      <c r="D54" s="43" t="n">
        <v>1.352445416891184</v>
      </c>
      <c r="E54" s="21" t="n">
        <v>1</v>
      </c>
      <c r="F54" s="18" t="n">
        <v>0.5757085511377584</v>
      </c>
      <c r="G54" s="16" t="n">
        <v>56.8632361242218</v>
      </c>
      <c r="H54" s="16" t="n">
        <v>35.63151218126117</v>
      </c>
    </row>
    <row r="55">
      <c r="A55" s="21" t="n">
        <v>23</v>
      </c>
      <c r="B55" s="18" t="n">
        <v>0.05678025945162651</v>
      </c>
      <c r="C55" s="18" t="n">
        <v>0.005427953067136587</v>
      </c>
      <c r="D55" s="43" t="n">
        <v>1.719044291109908</v>
      </c>
      <c r="E55" s="21" t="n">
        <v>2</v>
      </c>
      <c r="F55" s="18" t="n">
        <v>0.5539400146539095</v>
      </c>
      <c r="G55" s="16" t="n">
        <v>70.38397712943136</v>
      </c>
      <c r="H55" s="16" t="n">
        <v>36.44051301604672</v>
      </c>
    </row>
    <row r="56">
      <c r="A56" s="21" t="n">
        <v>24</v>
      </c>
      <c r="B56" s="18" t="n">
        <v>0.03565395882751694</v>
      </c>
      <c r="C56" s="18" t="n">
        <v>0.06975299365308216</v>
      </c>
      <c r="D56" s="43" t="n">
        <v>1.187734574941386</v>
      </c>
      <c r="E56" s="21" t="n">
        <v>2</v>
      </c>
      <c r="F56" s="18" t="n">
        <v>0.6506699197586034</v>
      </c>
      <c r="G56" s="16" t="n">
        <v>70.85505299799183</v>
      </c>
      <c r="H56" s="16" t="n">
        <v>37.12354004915269</v>
      </c>
    </row>
    <row r="57">
      <c r="A57" s="21" t="n">
        <v>25</v>
      </c>
      <c r="B57" s="18" t="n">
        <v>0.01614278698656837</v>
      </c>
      <c r="C57" s="18" t="n">
        <v>-0.001077090056928479</v>
      </c>
      <c r="D57" s="43" t="n">
        <v>1.278460524064497</v>
      </c>
      <c r="E57" s="21" t="n">
        <v>1</v>
      </c>
      <c r="F57" s="18" t="n">
        <v>0.7297473083272248</v>
      </c>
      <c r="G57" s="16" t="n">
        <v>78.92857720121887</v>
      </c>
      <c r="H57" s="16" t="n">
        <v>35.89498294378082</v>
      </c>
    </row>
    <row r="58">
      <c r="A58" s="21" t="n">
        <v>26</v>
      </c>
      <c r="B58" s="18" t="n">
        <v>-0.06805468029903794</v>
      </c>
      <c r="C58" s="18" t="n">
        <v>0.03571084285877457</v>
      </c>
      <c r="D58" s="43" t="n">
        <v>1.052995465147863</v>
      </c>
      <c r="E58" s="21" t="n">
        <v>0</v>
      </c>
      <c r="F58" s="18" t="n">
        <v>0.7986657031311073</v>
      </c>
      <c r="G58" s="16" t="n">
        <v>63.09274262425996</v>
      </c>
      <c r="H58" s="16" t="n">
        <v>34.06872929647949</v>
      </c>
    </row>
    <row r="59">
      <c r="A59" s="21" t="n">
        <v>27</v>
      </c>
      <c r="B59" s="18" t="n">
        <v>-0.02310683773905436</v>
      </c>
      <c r="C59" s="18" t="n">
        <v>0.1579671579391939</v>
      </c>
      <c r="D59" s="43" t="n">
        <v>1.595130479897067</v>
      </c>
      <c r="E59" s="21" t="n">
        <v>0</v>
      </c>
      <c r="F59" s="18" t="n">
        <v>0.4130768452994671</v>
      </c>
      <c r="G59" s="16" t="n">
        <v>37.15084761439271</v>
      </c>
      <c r="H59" s="16" t="n">
        <v>45.96427367755964</v>
      </c>
    </row>
    <row r="60">
      <c r="A60" s="21" t="n">
        <v>28</v>
      </c>
      <c r="B60" s="18" t="n">
        <v>-0.1111254592353891</v>
      </c>
      <c r="C60" s="18" t="n">
        <v>0.1861161995406365</v>
      </c>
      <c r="D60" s="43" t="n">
        <v>1.088008701489428</v>
      </c>
      <c r="E60" s="21" t="n">
        <v>0</v>
      </c>
      <c r="F60" s="18" t="n">
        <v>0.4135792291712572</v>
      </c>
      <c r="G60" s="16" t="n">
        <v>24.32891666585803</v>
      </c>
      <c r="H60" s="16" t="n">
        <v>33.93038595453593</v>
      </c>
    </row>
    <row r="61">
      <c r="A61" s="21" t="n">
        <v>29</v>
      </c>
      <c r="B61" s="18" t="n">
        <v>-0.07704119329148537</v>
      </c>
      <c r="C61" s="18" t="n">
        <v>0.1015848481308386</v>
      </c>
      <c r="D61" s="43" t="n">
        <v>1.342625503716378</v>
      </c>
      <c r="E61" s="21" t="n">
        <v>0</v>
      </c>
      <c r="F61" s="18" t="n">
        <v>0.4861861887102719</v>
      </c>
      <c r="G61" s="16" t="n">
        <v>40.10474673725798</v>
      </c>
      <c r="H61" s="16" t="n">
        <v>34.25306810109742</v>
      </c>
    </row>
    <row r="62">
      <c r="A62" s="21" t="n">
        <v>30</v>
      </c>
      <c r="B62" s="18" t="n">
        <v>0.003633127205974751</v>
      </c>
      <c r="C62" s="18" t="n">
        <v>0.02886209608180171</v>
      </c>
      <c r="D62" s="43" t="n">
        <v>1.108995053053356</v>
      </c>
      <c r="E62" s="21" t="n">
        <v>0</v>
      </c>
      <c r="F62" s="18" t="n">
        <v>0.9283373310008962</v>
      </c>
      <c r="G62" s="16" t="n">
        <v>82.03986277140673</v>
      </c>
      <c r="H62" s="16" t="n">
        <v>34.29899053418559</v>
      </c>
    </row>
    <row r="63">
      <c r="A63" s="21" t="n">
        <v>31</v>
      </c>
      <c r="B63" s="18" t="n">
        <v>0.01146988741220277</v>
      </c>
      <c r="C63" s="18" t="n">
        <v>0.08478613186581632</v>
      </c>
      <c r="D63" s="43" t="n">
        <v>1.207931713440417</v>
      </c>
      <c r="E63" s="21" t="n">
        <v>0</v>
      </c>
      <c r="F63" s="18" t="n">
        <v>0.7813216109046506</v>
      </c>
      <c r="G63" s="16" t="n">
        <v>71.54380772291874</v>
      </c>
      <c r="H63" s="16" t="n">
        <v>34.43137801603369</v>
      </c>
    </row>
    <row r="64">
      <c r="A64" s="21" t="n">
        <v>32</v>
      </c>
      <c r="B64" s="18" t="n">
        <v>0.05554962325013098</v>
      </c>
      <c r="C64" s="18" t="n">
        <v>0.08810616877177965</v>
      </c>
      <c r="D64" s="43" t="n">
        <v>1.326529861572281</v>
      </c>
      <c r="E64" s="21" t="n">
        <v>0</v>
      </c>
      <c r="F64" s="18" t="n">
        <v>0.7880333253323337</v>
      </c>
      <c r="G64" s="16" t="n">
        <v>79.3920429163397</v>
      </c>
      <c r="H64" s="16" t="n">
        <v>34.7095782824502</v>
      </c>
    </row>
    <row r="65">
      <c r="A65" s="21" t="n">
        <v>33</v>
      </c>
      <c r="B65" s="18" t="n">
        <v>-0.0439765362961281</v>
      </c>
      <c r="C65" s="18" t="n">
        <v>0.03870298218644933</v>
      </c>
      <c r="D65" s="43" t="n">
        <v>1.173220390728195</v>
      </c>
      <c r="E65" s="21" t="n">
        <v>1</v>
      </c>
      <c r="F65" s="18" t="n">
        <v>0.6419677156558559</v>
      </c>
      <c r="G65" s="16" t="n">
        <v>60.19161107841973</v>
      </c>
      <c r="H65" s="16" t="n">
        <v>35.49032833483817</v>
      </c>
    </row>
    <row r="66">
      <c r="A66" s="21" t="n">
        <v>34</v>
      </c>
      <c r="B66" s="18" t="n">
        <v>-0.03694753493088718</v>
      </c>
      <c r="C66" s="18" t="n">
        <v>0.07645958948551197</v>
      </c>
      <c r="D66" s="43" t="n">
        <v>1.527362991374257</v>
      </c>
      <c r="E66" s="21" t="n">
        <v>1</v>
      </c>
      <c r="F66" s="18" t="n">
        <v>0.4609902146591358</v>
      </c>
      <c r="G66" s="16" t="n">
        <v>45.37903046123067</v>
      </c>
      <c r="H66" s="16" t="n">
        <v>35.31998962362293</v>
      </c>
    </row>
    <row r="67">
      <c r="A67" s="21" t="n">
        <v>35</v>
      </c>
      <c r="B67" s="18" t="n">
        <v>-0.02272205419234891</v>
      </c>
      <c r="C67" s="18" t="n">
        <v>-0.0353523756358403</v>
      </c>
      <c r="D67" s="43" t="n">
        <v>1.118414194941127</v>
      </c>
      <c r="E67" s="21" t="n">
        <v>0</v>
      </c>
      <c r="F67" s="18" t="n">
        <v>0.968968486586089</v>
      </c>
      <c r="G67" s="16" t="n">
        <v>85.74015013528546</v>
      </c>
      <c r="H67" s="16" t="n">
        <v>34.21433769153417</v>
      </c>
    </row>
    <row r="68">
      <c r="A68" s="21" t="n">
        <v>36</v>
      </c>
      <c r="B68" s="18" t="n">
        <v>-0.06914975641095535</v>
      </c>
      <c r="C68" s="18" t="n">
        <v>0.01466183706054777</v>
      </c>
      <c r="D68" s="43" t="n">
        <v>1.26864083570024</v>
      </c>
      <c r="E68" s="21" t="n">
        <v>0</v>
      </c>
      <c r="F68" s="18" t="n">
        <v>0.6527624353222157</v>
      </c>
      <c r="G68" s="16" t="n">
        <v>58.71349115608268</v>
      </c>
      <c r="H68" s="16" t="n">
        <v>34.28023831827708</v>
      </c>
    </row>
    <row r="69">
      <c r="A69" s="21" t="n">
        <v>37</v>
      </c>
      <c r="B69" s="18" t="n">
        <v>-0.08305007890912962</v>
      </c>
      <c r="C69" s="18" t="n">
        <v>0.05793048488894109</v>
      </c>
      <c r="D69" s="43" t="n">
        <v>1.074665557580535</v>
      </c>
      <c r="E69" s="21" t="n">
        <v>2</v>
      </c>
      <c r="F69" s="18" t="n">
        <v>0.5556024884735224</v>
      </c>
      <c r="G69" s="16" t="n">
        <v>47.65230550893276</v>
      </c>
      <c r="H69" s="16" t="n">
        <v>36.43030846877068</v>
      </c>
    </row>
    <row r="70">
      <c r="A70" s="21" t="n">
        <v>38</v>
      </c>
      <c r="B70" s="18" t="n">
        <v>-0.0218913743934675</v>
      </c>
      <c r="C70" s="18" t="n">
        <v>0.007227843617996978</v>
      </c>
      <c r="D70" s="43" t="n">
        <v>1.111905046221679</v>
      </c>
      <c r="E70" s="21" t="n">
        <v>1</v>
      </c>
      <c r="F70" s="18" t="n">
        <v>0.7744759437301547</v>
      </c>
      <c r="G70" s="16" t="n">
        <v>73.91017631088982</v>
      </c>
      <c r="H70" s="16" t="n">
        <v>35.5634422230974</v>
      </c>
    </row>
    <row r="71">
      <c r="A71" s="21" t="n">
        <v>39</v>
      </c>
      <c r="B71" s="18" t="n">
        <v>-0.06152190925288056</v>
      </c>
      <c r="C71" s="18" t="n">
        <v>0.007603275579871949</v>
      </c>
      <c r="D71" s="43" t="n">
        <v>1.130701924839793</v>
      </c>
      <c r="E71" s="21" t="n">
        <v>2</v>
      </c>
      <c r="F71" s="18" t="n">
        <v>0.5996880120793373</v>
      </c>
      <c r="G71" s="16" t="n">
        <v>58.22897812656557</v>
      </c>
      <c r="H71" s="16" t="n">
        <v>36.55603297956318</v>
      </c>
    </row>
    <row r="72">
      <c r="A72" s="21" t="n">
        <v>40</v>
      </c>
      <c r="B72" s="18" t="n">
        <v>0.002055003381603707</v>
      </c>
      <c r="C72" s="18" t="n">
        <v>0.116590961810995</v>
      </c>
      <c r="D72" s="43" t="n">
        <v>0.9586234650436595</v>
      </c>
      <c r="E72" s="21" t="n">
        <v>0</v>
      </c>
      <c r="F72" s="18" t="n">
        <v>0.9223182001038028</v>
      </c>
      <c r="G72" s="16" t="n">
        <v>71.49329993937089</v>
      </c>
      <c r="H72" s="16" t="n">
        <v>34.29392160046171</v>
      </c>
    </row>
    <row r="73">
      <c r="A73" s="21" t="n">
        <v>41</v>
      </c>
      <c r="B73" s="18" t="n">
        <v>-0.02719225919716864</v>
      </c>
      <c r="C73" s="18" t="n">
        <v>0.1785093651571954</v>
      </c>
      <c r="D73" s="43" t="n">
        <v>0.9354427399745049</v>
      </c>
      <c r="E73" s="21" t="n">
        <v>2</v>
      </c>
      <c r="F73" s="18" t="n">
        <v>0.5593925337267363</v>
      </c>
      <c r="G73" s="16" t="n">
        <v>45.49503042448121</v>
      </c>
      <c r="H73" s="16" t="n">
        <v>36.75651813588854</v>
      </c>
    </row>
    <row r="74">
      <c r="A74" s="21" t="n">
        <v>42</v>
      </c>
      <c r="B74" s="18" t="n">
        <v>0.02451377474962105</v>
      </c>
      <c r="C74" s="18" t="n">
        <v>0.06262715221416226</v>
      </c>
      <c r="D74" s="43" t="n">
        <v>1.284240306457946</v>
      </c>
      <c r="E74" s="21" t="n">
        <v>0</v>
      </c>
      <c r="F74" s="18" t="n">
        <v>0.7659140844805303</v>
      </c>
      <c r="G74" s="16" t="n">
        <v>75.47431146620477</v>
      </c>
      <c r="H74" s="16" t="n">
        <v>34.60272185606294</v>
      </c>
    </row>
    <row r="75">
      <c r="A75" s="21" t="n">
        <v>43</v>
      </c>
      <c r="B75" s="18" t="n">
        <v>0.005736131778915424</v>
      </c>
      <c r="C75" s="18" t="n">
        <v>0.1172985100646477</v>
      </c>
      <c r="D75" s="43" t="n">
        <v>1.27503732577872</v>
      </c>
      <c r="E75" s="21" t="n">
        <v>0</v>
      </c>
      <c r="F75" s="18" t="n">
        <v>0.6544401853895343</v>
      </c>
      <c r="G75" s="16" t="n">
        <v>61.25317915688909</v>
      </c>
      <c r="H75" s="16" t="n">
        <v>34.5380704313148</v>
      </c>
    </row>
    <row r="76">
      <c r="A76" s="21" t="n">
        <v>44</v>
      </c>
      <c r="B76" s="18" t="n">
        <v>-0.04618935927526303</v>
      </c>
      <c r="C76" s="18" t="n">
        <v>0.1797187459427821</v>
      </c>
      <c r="D76" s="43" t="n">
        <v>1.280700251654284</v>
      </c>
      <c r="E76" s="21" t="n">
        <v>0</v>
      </c>
      <c r="F76" s="18" t="n">
        <v>0.4658840952120105</v>
      </c>
      <c r="G76" s="16" t="n">
        <v>36.91789242638349</v>
      </c>
      <c r="H76" s="16" t="n">
        <v>34.35929096561527</v>
      </c>
    </row>
    <row r="77">
      <c r="A77" s="21" t="n">
        <v>45</v>
      </c>
      <c r="B77" s="18" t="n">
        <v>0.02444444533326753</v>
      </c>
      <c r="C77" s="18" t="n">
        <v>0.003215766191754621</v>
      </c>
      <c r="D77" s="43" t="n">
        <v>0.8628751864294519</v>
      </c>
      <c r="E77" s="21" t="n">
        <v>0</v>
      </c>
      <c r="F77" s="18" t="n">
        <v>1.262208946674991</v>
      </c>
      <c r="G77" s="16" t="n">
        <v>99.65263663886554</v>
      </c>
      <c r="H77" s="16" t="n">
        <v>34.36583648801045</v>
      </c>
    </row>
    <row r="78">
      <c r="A78" s="21" t="n">
        <v>46</v>
      </c>
      <c r="B78" s="18" t="n">
        <v>0.02006390217857985</v>
      </c>
      <c r="C78" s="18" t="n">
        <v>0.04686750365552686</v>
      </c>
      <c r="D78" s="43" t="n">
        <v>1.065995554602988</v>
      </c>
      <c r="E78" s="21" t="n">
        <v>0</v>
      </c>
      <c r="F78" s="18" t="n">
        <v>0.9787087215588277</v>
      </c>
      <c r="G78" s="16" t="n">
        <v>85.27374576101022</v>
      </c>
      <c r="H78" s="16" t="n">
        <v>34.35176618339759</v>
      </c>
    </row>
    <row r="79">
      <c r="A79" s="21" t="n">
        <v>47</v>
      </c>
      <c r="B79" s="18" t="n">
        <v>-0.03437991490860674</v>
      </c>
      <c r="C79" s="18" t="n">
        <v>0.03932747721928803</v>
      </c>
      <c r="D79" s="43" t="n">
        <v>0.9989019091206501</v>
      </c>
      <c r="E79" s="21" t="n">
        <v>0</v>
      </c>
      <c r="F79" s="18" t="n">
        <v>0.958985247784383</v>
      </c>
      <c r="G79" s="16" t="n">
        <v>74.49260331044371</v>
      </c>
      <c r="H79" s="16" t="n">
        <v>34.17689264291355</v>
      </c>
    </row>
    <row r="80">
      <c r="A80" s="21" t="n">
        <v>48</v>
      </c>
      <c r="B80" s="18" t="n">
        <v>-0.0502637498920607</v>
      </c>
      <c r="C80" s="18" t="n">
        <v>-0.00998768098543025</v>
      </c>
      <c r="D80" s="43" t="n">
        <v>1.378717598320568</v>
      </c>
      <c r="E80" s="21" t="n">
        <v>2</v>
      </c>
      <c r="F80" s="18" t="n">
        <v>0.5313202977389861</v>
      </c>
      <c r="G80" s="16" t="n">
        <v>56.31961320901053</v>
      </c>
      <c r="H80" s="16" t="n">
        <v>36.80296108409711</v>
      </c>
    </row>
    <row r="81">
      <c r="A81" s="21" t="n">
        <v>49</v>
      </c>
      <c r="B81" s="18" t="n">
        <v>0.003566481653266479</v>
      </c>
      <c r="C81" s="18" t="n">
        <v>0.09802712293838445</v>
      </c>
      <c r="D81" s="43" t="n">
        <v>1.466090313283523</v>
      </c>
      <c r="E81" s="21" t="n">
        <v>0</v>
      </c>
      <c r="F81" s="18" t="n">
        <v>0.5936468314626451</v>
      </c>
      <c r="G81" s="16" t="n">
        <v>58.90533466605628</v>
      </c>
      <c r="H81" s="16" t="n">
        <v>34.40649995650314</v>
      </c>
    </row>
    <row r="82">
      <c r="A82" s="21" t="n">
        <v>50</v>
      </c>
      <c r="B82" s="18" t="n">
        <v>-0.08056326127674782</v>
      </c>
      <c r="C82" s="18" t="n">
        <v>0.04487298320798599</v>
      </c>
      <c r="D82" s="43" t="n">
        <v>1.023690977626125</v>
      </c>
      <c r="E82" s="21" t="n">
        <v>0</v>
      </c>
      <c r="F82" s="18" t="n">
        <v>0.7545454286231081</v>
      </c>
      <c r="G82" s="16" t="n">
        <v>58.12823175066087</v>
      </c>
      <c r="H82" s="16" t="n">
        <v>34.02855173437909</v>
      </c>
    </row>
    <row r="83">
      <c r="A83" s="21" t="n">
        <v>51</v>
      </c>
      <c r="B83" s="18" t="n">
        <v>-0.06695282674653377</v>
      </c>
      <c r="C83" s="18" t="n">
        <v>0.04982142197734077</v>
      </c>
      <c r="D83" s="43" t="n">
        <v>1.284518988786579</v>
      </c>
      <c r="E83" s="21" t="n">
        <v>0</v>
      </c>
      <c r="F83" s="18" t="n">
        <v>0.6069762641779624</v>
      </c>
      <c r="G83" s="16" t="n">
        <v>53.35539912951482</v>
      </c>
      <c r="H83" s="16" t="n">
        <v>34.28780234711168</v>
      </c>
    </row>
    <row r="84">
      <c r="A84" s="21" t="n">
        <v>52</v>
      </c>
      <c r="B84" s="18" t="n">
        <v>-0.1340626756822329</v>
      </c>
      <c r="C84" s="18" t="n">
        <v>0.004894985893657021</v>
      </c>
      <c r="D84" s="43" t="n">
        <v>0.9608494970202111</v>
      </c>
      <c r="E84" s="21" t="n">
        <v>0</v>
      </c>
      <c r="F84" s="18" t="n">
        <v>0.7649745304923423</v>
      </c>
      <c r="G84" s="16" t="n">
        <v>52.79603225244178</v>
      </c>
      <c r="H84" s="16" t="n">
        <v>33.85671161530867</v>
      </c>
    </row>
    <row r="85">
      <c r="A85" s="21" t="n">
        <v>53</v>
      </c>
      <c r="B85" s="18" t="n">
        <v>0.0173853734822234</v>
      </c>
      <c r="C85" s="18" t="n">
        <v>0.01015424377895015</v>
      </c>
      <c r="D85" s="43" t="n">
        <v>1.038502803998183</v>
      </c>
      <c r="E85" s="21" t="n">
        <v>0</v>
      </c>
      <c r="F85" s="18" t="n">
        <v>1.027880966044557</v>
      </c>
      <c r="G85" s="16" t="n">
        <v>90.74617253455322</v>
      </c>
      <c r="H85" s="16" t="n">
        <v>34.3431627492249</v>
      </c>
    </row>
    <row r="86">
      <c r="A86" s="21" t="n">
        <v>54</v>
      </c>
      <c r="B86" s="18" t="n">
        <v>0.001471379493164351</v>
      </c>
      <c r="C86" s="18" t="n">
        <v>0.1371661233222009</v>
      </c>
      <c r="D86" s="43" t="n">
        <v>0.9665259716881541</v>
      </c>
      <c r="E86" s="21" t="n">
        <v>0</v>
      </c>
      <c r="F86" s="18" t="n">
        <v>0.8874215138810551</v>
      </c>
      <c r="G86" s="16" t="n">
        <v>67.85532339502095</v>
      </c>
      <c r="H86" s="16" t="n">
        <v>34.29204700053204</v>
      </c>
    </row>
    <row r="87">
      <c r="A87" s="21" t="n">
        <v>55</v>
      </c>
      <c r="B87" s="18" t="n">
        <v>0.006345692364428307</v>
      </c>
      <c r="C87" s="18" t="n">
        <v>-0.02011719926972076</v>
      </c>
      <c r="D87" s="43" t="n">
        <v>1.042911242508108</v>
      </c>
      <c r="E87" s="21" t="n">
        <v>0</v>
      </c>
      <c r="F87" s="18" t="n">
        <v>1.049493833348823</v>
      </c>
      <c r="G87" s="16" t="n">
        <v>92.84649601442189</v>
      </c>
      <c r="H87" s="16" t="n">
        <v>34.30770329347454</v>
      </c>
    </row>
    <row r="88">
      <c r="A88" s="21" t="n">
        <v>56</v>
      </c>
      <c r="B88" s="18" t="n">
        <v>0.01648161030696865</v>
      </c>
      <c r="C88" s="18" t="n">
        <v>0.0182425505009457</v>
      </c>
      <c r="D88" s="43" t="n">
        <v>1.289891421243891</v>
      </c>
      <c r="E88" s="21" t="n">
        <v>2</v>
      </c>
      <c r="F88" s="18" t="n">
        <v>0.6305811786136239</v>
      </c>
      <c r="G88" s="16" t="n">
        <v>71.12652964488564</v>
      </c>
      <c r="H88" s="16" t="n">
        <v>37.09797447066879</v>
      </c>
    </row>
    <row r="89">
      <c r="A89" s="21" t="n">
        <v>57</v>
      </c>
      <c r="B89" s="18" t="n">
        <v>-0.02417236290833111</v>
      </c>
      <c r="C89" s="18" t="n">
        <v>0.02642765603033084</v>
      </c>
      <c r="D89" s="43" t="n">
        <v>1.532159614972279</v>
      </c>
      <c r="E89" s="21" t="n">
        <v>3</v>
      </c>
      <c r="F89" s="18" t="n">
        <v>0.4467260521738254</v>
      </c>
      <c r="G89" s="16" t="n">
        <v>48.91500077557352</v>
      </c>
      <c r="H89" s="16" t="n">
        <v>37.44769844612564</v>
      </c>
    </row>
    <row r="90">
      <c r="A90" s="21" t="n">
        <v>58</v>
      </c>
      <c r="B90" s="18" t="n">
        <v>-0.009922980969843481</v>
      </c>
      <c r="C90" s="18" t="n">
        <v>0.0528041969078854</v>
      </c>
      <c r="D90" s="43" t="n">
        <v>1.001262199679612</v>
      </c>
      <c r="E90" s="21" t="n">
        <v>0</v>
      </c>
      <c r="F90" s="18" t="n">
        <v>0.9041186813071411</v>
      </c>
      <c r="G90" s="16" t="n">
        <v>76.08073864333171</v>
      </c>
      <c r="H90" s="16" t="n">
        <v>34.25544831472486</v>
      </c>
    </row>
    <row r="91">
      <c r="A91" s="21" t="n">
        <v>59</v>
      </c>
      <c r="B91" s="18" t="n">
        <v>-0.08055220352376771</v>
      </c>
      <c r="C91" s="18" t="n">
        <v>0.06742519037588185</v>
      </c>
      <c r="D91" s="43" t="n">
        <v>1.19474239200203</v>
      </c>
      <c r="E91" s="21" t="n">
        <v>1</v>
      </c>
      <c r="F91" s="18" t="n">
        <v>0.5422117718186348</v>
      </c>
      <c r="G91" s="16" t="n">
        <v>46.12467313455717</v>
      </c>
      <c r="H91" s="16" t="n">
        <v>35.32141842018405</v>
      </c>
    </row>
    <row r="92">
      <c r="A92" s="21" t="n">
        <v>60</v>
      </c>
      <c r="B92" s="18" t="n">
        <v>-0.0871407322903688</v>
      </c>
      <c r="C92" s="18" t="n">
        <v>0.05325131678155789</v>
      </c>
      <c r="D92" s="43" t="n">
        <v>1.311239200625445</v>
      </c>
      <c r="E92" s="21" t="n">
        <v>2</v>
      </c>
      <c r="F92" s="18" t="n">
        <v>0.4542945914465526</v>
      </c>
      <c r="G92" s="16" t="n">
        <v>40.45084919278595</v>
      </c>
      <c r="H92" s="16" t="n">
        <v>36.48401209077957</v>
      </c>
    </row>
    <row r="93">
      <c r="A93" s="21" t="n">
        <v>61</v>
      </c>
      <c r="B93" s="18" t="n">
        <v>0.001888633970110853</v>
      </c>
      <c r="C93" s="18" t="n">
        <v>-0.008984067837757966</v>
      </c>
      <c r="D93" s="43" t="n">
        <v>1.605932936304103</v>
      </c>
      <c r="E93" s="21" t="n">
        <v>3</v>
      </c>
      <c r="F93" s="18" t="n">
        <v>0.4910433032382862</v>
      </c>
      <c r="G93" s="16" t="n">
        <v>58.60885021545974</v>
      </c>
      <c r="H93" s="16" t="n">
        <v>37.32083043940466</v>
      </c>
    </row>
    <row r="94">
      <c r="A94" s="21" t="n">
        <v>62</v>
      </c>
      <c r="B94" s="18" t="n">
        <v>-0.02251345517295533</v>
      </c>
      <c r="C94" s="18" t="n">
        <v>0.01980937674205573</v>
      </c>
      <c r="D94" s="43" t="n">
        <v>1.241473712623783</v>
      </c>
      <c r="E94" s="21" t="n">
        <v>1</v>
      </c>
      <c r="F94" s="18" t="n">
        <v>0.7003517455272981</v>
      </c>
      <c r="G94" s="16" t="n">
        <v>68.76734974060844</v>
      </c>
      <c r="H94" s="16" t="n">
        <v>35.58944688756795</v>
      </c>
    </row>
    <row r="95">
      <c r="A95" s="21" t="n">
        <v>63</v>
      </c>
      <c r="B95" s="18" t="n">
        <v>-0.01035528769910044</v>
      </c>
      <c r="C95" s="18" t="n">
        <v>0.1184678367293496</v>
      </c>
      <c r="D95" s="43" t="n">
        <v>1.028045043297152</v>
      </c>
      <c r="E95" s="21" t="n">
        <v>2</v>
      </c>
      <c r="F95" s="18" t="n">
        <v>0.6062138718495103</v>
      </c>
      <c r="G95" s="16" t="n">
        <v>56.44256410595162</v>
      </c>
      <c r="H95" s="16" t="n">
        <v>36.85484604943724</v>
      </c>
    </row>
    <row r="96">
      <c r="A96" s="21" t="n">
        <v>64</v>
      </c>
      <c r="B96" s="18" t="n">
        <v>0.01424271125156444</v>
      </c>
      <c r="C96" s="18" t="n">
        <v>0.07589327081231458</v>
      </c>
      <c r="D96" s="43" t="n">
        <v>1.252626750316705</v>
      </c>
      <c r="E96" s="21" t="n">
        <v>3</v>
      </c>
      <c r="F96" s="18" t="n">
        <v>0.5198006655113954</v>
      </c>
      <c r="G96" s="16" t="n">
        <v>57.4425444190957</v>
      </c>
      <c r="H96" s="16" t="n">
        <v>38.17920917173352</v>
      </c>
    </row>
    <row r="97">
      <c r="A97" s="21" t="n">
        <v>65</v>
      </c>
      <c r="B97" s="18" t="n">
        <v>-0.002021008112568945</v>
      </c>
      <c r="C97" s="18" t="n">
        <v>0.07788871727275429</v>
      </c>
      <c r="D97" s="43" t="n">
        <v>1.062702861352638</v>
      </c>
      <c r="E97" s="21" t="n">
        <v>2</v>
      </c>
      <c r="F97" s="18" t="n">
        <v>0.6608043634152152</v>
      </c>
      <c r="G97" s="16" t="n">
        <v>64.84262054436968</v>
      </c>
      <c r="H97" s="16" t="n">
        <v>36.90351824222259</v>
      </c>
    </row>
    <row r="98">
      <c r="A98" s="21" t="n">
        <v>66</v>
      </c>
      <c r="B98" s="18" t="n">
        <v>-0.01180271593587356</v>
      </c>
      <c r="C98" s="18" t="n">
        <v>0.08160928394689297</v>
      </c>
      <c r="D98" s="43" t="n">
        <v>1.661807064411259</v>
      </c>
      <c r="E98" s="21" t="n">
        <v>0</v>
      </c>
      <c r="F98" s="18" t="n">
        <v>0.5009389729391454</v>
      </c>
      <c r="G98" s="16" t="n">
        <v>51.5160984867458</v>
      </c>
      <c r="H98" s="16" t="n">
        <v>35.13079470659913</v>
      </c>
    </row>
    <row r="99">
      <c r="A99" s="21" t="n">
        <v>67</v>
      </c>
      <c r="B99" s="18" t="n">
        <v>-0.01110202648808453</v>
      </c>
      <c r="C99" s="18" t="n">
        <v>0.09961762260824855</v>
      </c>
      <c r="D99" s="43" t="n">
        <v>1.106992718747422</v>
      </c>
      <c r="E99" s="21" t="n">
        <v>0</v>
      </c>
      <c r="F99" s="18" t="n">
        <v>0.7885635174653693</v>
      </c>
      <c r="G99" s="16" t="n">
        <v>66.0851938830795</v>
      </c>
      <c r="H99" s="16" t="n">
        <v>34.25166122052027</v>
      </c>
    </row>
    <row r="100">
      <c r="A100" s="21" t="n">
        <v>68</v>
      </c>
      <c r="B100" s="18" t="n">
        <v>-0.04759746886350845</v>
      </c>
      <c r="C100" s="18" t="n">
        <v>-0.01590939081757343</v>
      </c>
      <c r="D100" s="43" t="n">
        <v>1.298344915912149</v>
      </c>
      <c r="E100" s="21" t="n">
        <v>0</v>
      </c>
      <c r="F100" s="18" t="n">
        <v>0.7385114587140873</v>
      </c>
      <c r="G100" s="16" t="n">
        <v>69.60210845113497</v>
      </c>
      <c r="H100" s="16" t="n">
        <v>34.35444284430294</v>
      </c>
    </row>
    <row r="101">
      <c r="A101" s="21" t="n">
        <v>69</v>
      </c>
      <c r="B101" s="18" t="n">
        <v>-0.117393017732487</v>
      </c>
      <c r="C101" s="18" t="n">
        <v>0.0359294552932673</v>
      </c>
      <c r="D101" s="43" t="n">
        <v>0.8681580257148906</v>
      </c>
      <c r="E101" s="21" t="n">
        <v>0</v>
      </c>
      <c r="F101" s="18" t="n">
        <v>0.8396323084717785</v>
      </c>
      <c r="G101" s="16" t="n">
        <v>54.58844797607409</v>
      </c>
      <c r="H101" s="16" t="n">
        <v>33.91025455664325</v>
      </c>
    </row>
    <row r="102">
      <c r="A102" s="21" t="n">
        <v>70</v>
      </c>
      <c r="B102" s="18" t="n">
        <v>-0.02725330990810179</v>
      </c>
      <c r="C102" s="18" t="n">
        <v>0.06010688365263051</v>
      </c>
      <c r="D102" s="43" t="n">
        <v>1.107215153823212</v>
      </c>
      <c r="E102" s="21" t="n">
        <v>0</v>
      </c>
      <c r="F102" s="18" t="n">
        <v>0.8137739829951269</v>
      </c>
      <c r="G102" s="16" t="n">
        <v>68.37956145116122</v>
      </c>
      <c r="H102" s="16" t="n">
        <v>34.19978329817518</v>
      </c>
    </row>
    <row r="103">
      <c r="A103" s="21" t="n">
        <v>71</v>
      </c>
      <c r="B103" s="18" t="n">
        <v>-0.063958317006966</v>
      </c>
      <c r="C103" s="18" t="n">
        <v>0.03232293102554648</v>
      </c>
      <c r="D103" s="43" t="n">
        <v>1.483908384574993</v>
      </c>
      <c r="E103" s="21" t="n">
        <v>0</v>
      </c>
      <c r="F103" s="18" t="n">
        <v>0.5600973598230921</v>
      </c>
      <c r="G103" s="16" t="n">
        <v>52.4174790957337</v>
      </c>
      <c r="H103" s="16" t="n">
        <v>34.18236214679644</v>
      </c>
    </row>
    <row r="104">
      <c r="A104" s="21" t="n">
        <v>72</v>
      </c>
      <c r="B104" s="18" t="n">
        <v>-0.03128084312757294</v>
      </c>
      <c r="C104" s="18" t="n">
        <v>0.118700259008441</v>
      </c>
      <c r="D104" s="43" t="n">
        <v>1.241593298344832</v>
      </c>
      <c r="E104" s="21" t="n">
        <v>1</v>
      </c>
      <c r="F104" s="18" t="n">
        <v>0.5665973731419596</v>
      </c>
      <c r="G104" s="16" t="n">
        <v>50.48194890568202</v>
      </c>
      <c r="H104" s="16" t="n">
        <v>35.54895825500419</v>
      </c>
    </row>
    <row r="105">
      <c r="A105" s="21" t="n">
        <v>73</v>
      </c>
      <c r="B105" s="18" t="n">
        <v>0.02806365962193964</v>
      </c>
      <c r="C105" s="18" t="n">
        <v>0.0517074904621275</v>
      </c>
      <c r="D105" s="43" t="n">
        <v>1.133032466394938</v>
      </c>
      <c r="E105" s="21" t="n">
        <v>1</v>
      </c>
      <c r="F105" s="18" t="n">
        <v>0.7744140724300164</v>
      </c>
      <c r="G105" s="16" t="n">
        <v>78.41796038084252</v>
      </c>
      <c r="H105" s="16" t="n">
        <v>35.82301682055885</v>
      </c>
    </row>
    <row r="106">
      <c r="A106" s="21" t="n">
        <v>74</v>
      </c>
      <c r="B106" s="18" t="n">
        <v>-0.06016174388182807</v>
      </c>
      <c r="C106" s="18" t="n">
        <v>0.1008368644708308</v>
      </c>
      <c r="D106" s="43" t="n">
        <v>1.573615370549546</v>
      </c>
      <c r="E106" s="21" t="n">
        <v>2</v>
      </c>
      <c r="F106" s="18" t="n">
        <v>0.3709335352785921</v>
      </c>
      <c r="G106" s="16" t="n">
        <v>32.62477134371323</v>
      </c>
      <c r="H106" s="16" t="n">
        <v>40.6836775937298</v>
      </c>
    </row>
    <row r="107">
      <c r="A107" s="21" t="n">
        <v>75</v>
      </c>
      <c r="B107" s="18" t="n">
        <v>-0.1051508685895392</v>
      </c>
      <c r="C107" s="18" t="n">
        <v>0.1206946374287948</v>
      </c>
      <c r="D107" s="43" t="n">
        <v>1.458221564339971</v>
      </c>
      <c r="E107" s="21" t="n">
        <v>0</v>
      </c>
      <c r="F107" s="18" t="n">
        <v>0.3692952688234652</v>
      </c>
      <c r="G107" s="16" t="n">
        <v>26.75300013669339</v>
      </c>
      <c r="H107" s="16" t="n">
        <v>44.84205196496038</v>
      </c>
    </row>
    <row r="108">
      <c r="A108" s="21" t="n">
        <v>76</v>
      </c>
      <c r="B108" s="18" t="n">
        <v>-0.05147211422770262</v>
      </c>
      <c r="C108" s="18" t="n">
        <v>0.05492635671287038</v>
      </c>
      <c r="D108" s="43" t="n">
        <v>1.063639041677487</v>
      </c>
      <c r="E108" s="21" t="n">
        <v>0</v>
      </c>
      <c r="F108" s="18" t="n">
        <v>0.8066386189887347</v>
      </c>
      <c r="G108" s="16" t="n">
        <v>64.37453064589153</v>
      </c>
      <c r="H108" s="16" t="n">
        <v>34.12199249870061</v>
      </c>
    </row>
    <row r="109">
      <c r="A109" s="21" t="n">
        <v>77</v>
      </c>
      <c r="B109" s="18" t="n">
        <v>-0.0493571431101512</v>
      </c>
      <c r="C109" s="18" t="n">
        <v>0.137999761004754</v>
      </c>
      <c r="D109" s="43" t="n">
        <v>1.196376542564052</v>
      </c>
      <c r="E109" s="21" t="n">
        <v>2</v>
      </c>
      <c r="F109" s="18" t="n">
        <v>0.4599045101314272</v>
      </c>
      <c r="G109" s="16" t="n">
        <v>39.3308979941419</v>
      </c>
      <c r="H109" s="16" t="n">
        <v>36.62707521383672</v>
      </c>
    </row>
    <row r="110">
      <c r="A110" s="21" t="n">
        <v>78</v>
      </c>
      <c r="B110" s="18" t="n">
        <v>0.001128356622768847</v>
      </c>
      <c r="C110" s="18" t="n">
        <v>0.0675340325699528</v>
      </c>
      <c r="D110" s="43" t="n">
        <v>1.161141177468739</v>
      </c>
      <c r="E110" s="21" t="n">
        <v>2</v>
      </c>
      <c r="F110" s="18" t="n">
        <v>0.6291223518387377</v>
      </c>
      <c r="G110" s="16" t="n">
        <v>64.4212462076563</v>
      </c>
      <c r="H110" s="16" t="n">
        <v>36.92191053227697</v>
      </c>
    </row>
    <row r="111">
      <c r="A111" s="21" t="n">
        <v>79</v>
      </c>
      <c r="B111" s="18" t="n">
        <v>-0.01137240802865361</v>
      </c>
      <c r="C111" s="18" t="n">
        <v>0.1202294396436453</v>
      </c>
      <c r="D111" s="43" t="n">
        <v>1.257562906957765</v>
      </c>
      <c r="E111" s="21" t="n">
        <v>3</v>
      </c>
      <c r="F111" s="18" t="n">
        <v>0.4520654357876825</v>
      </c>
      <c r="G111" s="16" t="n">
        <v>44.85342487586965</v>
      </c>
      <c r="H111" s="16" t="n">
        <v>37.99979753519234</v>
      </c>
    </row>
    <row r="112">
      <c r="A112" s="21" t="n">
        <v>80</v>
      </c>
      <c r="B112" s="18" t="n">
        <v>0.01694230457396978</v>
      </c>
      <c r="C112" s="18" t="n">
        <v>0.03259363456737907</v>
      </c>
      <c r="D112" s="43" t="n">
        <v>1.070129472828917</v>
      </c>
      <c r="E112" s="21" t="n">
        <v>2</v>
      </c>
      <c r="F112" s="18" t="n">
        <v>0.7330287606321031</v>
      </c>
      <c r="G112" s="16" t="n">
        <v>76.63852231694656</v>
      </c>
      <c r="H112" s="16" t="n">
        <v>37.01426398831197</v>
      </c>
    </row>
    <row r="113">
      <c r="A113" s="21" t="n">
        <v>81</v>
      </c>
      <c r="B113" s="18" t="n">
        <v>0.001408455556745361</v>
      </c>
      <c r="C113" s="18" t="n">
        <v>0.05405384807261318</v>
      </c>
      <c r="D113" s="43" t="n">
        <v>1.02241656435641</v>
      </c>
      <c r="E113" s="21" t="n">
        <v>2</v>
      </c>
      <c r="F113" s="18" t="n">
        <v>0.6898440395437504</v>
      </c>
      <c r="G113" s="16" t="n">
        <v>69.40940355095506</v>
      </c>
      <c r="H113" s="16" t="n">
        <v>36.92354631005139</v>
      </c>
    </row>
    <row r="114">
      <c r="A114" s="21" t="n">
        <v>82</v>
      </c>
      <c r="B114" s="18" t="n">
        <v>-0.03159245497147392</v>
      </c>
      <c r="C114" s="18" t="n">
        <v>0.05887937515265373</v>
      </c>
      <c r="D114" s="43" t="n">
        <v>1.535684787052332</v>
      </c>
      <c r="E114" s="21" t="n">
        <v>0</v>
      </c>
      <c r="F114" s="18" t="n">
        <v>0.5378267040004172</v>
      </c>
      <c r="G114" s="16" t="n">
        <v>53.363680404863</v>
      </c>
      <c r="H114" s="16" t="n">
        <v>34.17560851304133</v>
      </c>
    </row>
    <row r="115">
      <c r="A115" s="21" t="n">
        <v>83</v>
      </c>
      <c r="B115" s="18" t="n">
        <v>0.02150192377398243</v>
      </c>
      <c r="C115" s="18" t="n">
        <v>-0.004178669618599994</v>
      </c>
      <c r="D115" s="43" t="n">
        <v>1.553219935162512</v>
      </c>
      <c r="E115" s="21" t="n">
        <v>0</v>
      </c>
      <c r="F115" s="18" t="n">
        <v>0.7063969324366182</v>
      </c>
      <c r="G115" s="16" t="n">
        <v>77.68672487114009</v>
      </c>
      <c r="H115" s="16" t="n">
        <v>34.34558637413927</v>
      </c>
    </row>
    <row r="116">
      <c r="A116" s="21" t="n">
        <v>84</v>
      </c>
      <c r="B116" s="18" t="n">
        <v>-0.07410160912894276</v>
      </c>
      <c r="C116" s="18" t="n">
        <v>0.04012030002159586</v>
      </c>
      <c r="D116" s="43" t="n">
        <v>1.445963714585049</v>
      </c>
      <c r="E116" s="21" t="n">
        <v>0</v>
      </c>
      <c r="F116" s="18" t="n">
        <v>0.5312738604633764</v>
      </c>
      <c r="G116" s="16" t="n">
        <v>48.45742387401842</v>
      </c>
      <c r="H116" s="16" t="n">
        <v>34.14869310483639</v>
      </c>
    </row>
    <row r="117">
      <c r="A117" s="21" t="n">
        <v>85</v>
      </c>
      <c r="B117" s="18" t="n">
        <v>-0.1220077417288603</v>
      </c>
      <c r="C117" s="18" t="n">
        <v>0.1407281777186346</v>
      </c>
      <c r="D117" s="43" t="n">
        <v>1.667952828927118</v>
      </c>
      <c r="E117" s="21" t="n">
        <v>1</v>
      </c>
      <c r="F117" s="18" t="n">
        <v>0.23633452249469</v>
      </c>
      <c r="G117" s="16" t="n">
        <v>9.924228777826423</v>
      </c>
      <c r="H117" s="16" t="n">
        <v>68.95936164541936</v>
      </c>
    </row>
    <row r="118">
      <c r="A118" s="21" t="n">
        <v>86</v>
      </c>
      <c r="B118" s="18" t="n">
        <v>-0.09426265886535634</v>
      </c>
      <c r="C118" s="18" t="n">
        <v>0.0747417476391338</v>
      </c>
      <c r="D118" s="43" t="n">
        <v>1.34832890354125</v>
      </c>
      <c r="E118" s="21" t="n">
        <v>3</v>
      </c>
      <c r="F118" s="18" t="n">
        <v>0.3713440318107719</v>
      </c>
      <c r="G118" s="16" t="n">
        <v>30.7369688301566</v>
      </c>
      <c r="H118" s="16" t="n">
        <v>37.41922340656023</v>
      </c>
    </row>
    <row r="119">
      <c r="A119" s="21" t="n">
        <v>87</v>
      </c>
      <c r="B119" s="18" t="n">
        <v>0.008525613335787802</v>
      </c>
      <c r="C119" s="18" t="n">
        <v>0.009582981200501786</v>
      </c>
      <c r="D119" s="43" t="n">
        <v>1.366103448791765</v>
      </c>
      <c r="E119" s="21" t="n">
        <v>0</v>
      </c>
      <c r="F119" s="18" t="n">
        <v>0.7760143185594945</v>
      </c>
      <c r="G119" s="16" t="n">
        <v>78.20212573558348</v>
      </c>
      <c r="H119" s="16" t="n">
        <v>34.54767461631511</v>
      </c>
    </row>
    <row r="120">
      <c r="A120" s="21" t="n">
        <v>88</v>
      </c>
      <c r="B120" s="18" t="n">
        <v>-0.02376702315293019</v>
      </c>
      <c r="C120" s="18" t="n">
        <v>0.0323735239092828</v>
      </c>
      <c r="D120" s="43" t="n">
        <v>1.364192787542602</v>
      </c>
      <c r="E120" s="21" t="n">
        <v>1</v>
      </c>
      <c r="F120" s="18" t="n">
        <v>0.6051126039170349</v>
      </c>
      <c r="G120" s="16" t="n">
        <v>61.50543895566811</v>
      </c>
      <c r="H120" s="16" t="n">
        <v>35.70568691335487</v>
      </c>
    </row>
    <row r="121">
      <c r="A121" s="21" t="n">
        <v>89</v>
      </c>
      <c r="B121" s="18" t="n">
        <v>-0.07540860386975411</v>
      </c>
      <c r="C121" s="18" t="n">
        <v>0.0119036363492</v>
      </c>
      <c r="D121" s="43" t="n">
        <v>1.155396326999175</v>
      </c>
      <c r="E121" s="21" t="n">
        <v>0</v>
      </c>
      <c r="F121" s="18" t="n">
        <v>0.7442856139468896</v>
      </c>
      <c r="G121" s="16" t="n">
        <v>62.27343406042784</v>
      </c>
      <c r="H121" s="16" t="n">
        <v>34.14311518196016</v>
      </c>
    </row>
    <row r="122">
      <c r="A122" s="21" t="n">
        <v>90</v>
      </c>
      <c r="B122" s="18" t="n">
        <v>-0.01852359625748032</v>
      </c>
      <c r="C122" s="18" t="n">
        <v>-0.02771855848533469</v>
      </c>
      <c r="D122" s="43" t="n">
        <v>1.140577340100765</v>
      </c>
      <c r="E122" s="21" t="n">
        <v>0</v>
      </c>
      <c r="F122" s="18" t="n">
        <v>0.9228008957710103</v>
      </c>
      <c r="G122" s="16" t="n">
        <v>84.33466423704157</v>
      </c>
      <c r="H122" s="16" t="n">
        <v>34.33185963721768</v>
      </c>
    </row>
    <row r="123">
      <c r="A123" s="21" t="n">
        <v>91</v>
      </c>
      <c r="B123" s="18" t="n">
        <v>-0.07751022455818814</v>
      </c>
      <c r="C123" s="18" t="n">
        <v>0.1444758564804565</v>
      </c>
      <c r="D123" s="43" t="n">
        <v>1.020372538271773</v>
      </c>
      <c r="E123" s="21" t="n">
        <v>0</v>
      </c>
      <c r="F123" s="18" t="n">
        <v>0.5988322982617986</v>
      </c>
      <c r="G123" s="16" t="n">
        <v>42.13072634848585</v>
      </c>
      <c r="H123" s="16" t="n">
        <v>34.0383580883191</v>
      </c>
    </row>
    <row r="124">
      <c r="A124" s="21" t="n">
        <v>92</v>
      </c>
      <c r="B124" s="18" t="n">
        <v>0.005249046169499241</v>
      </c>
      <c r="C124" s="18" t="n">
        <v>0.04686219098771538</v>
      </c>
      <c r="D124" s="43" t="n">
        <v>1.266947803200693</v>
      </c>
      <c r="E124" s="21" t="n">
        <v>0</v>
      </c>
      <c r="F124" s="18" t="n">
        <v>0.7515546557492427</v>
      </c>
      <c r="G124" s="16" t="n">
        <v>73.02648512658719</v>
      </c>
      <c r="H124" s="16" t="n">
        <v>34.53639339556158</v>
      </c>
    </row>
    <row r="125">
      <c r="A125" s="21" t="n">
        <v>93</v>
      </c>
      <c r="B125" s="18" t="n">
        <v>-0.02593392281810447</v>
      </c>
      <c r="C125" s="18" t="n">
        <v>0.0284264078510276</v>
      </c>
      <c r="D125" s="43" t="n">
        <v>1.045981504790412</v>
      </c>
      <c r="E125" s="21" t="n">
        <v>3</v>
      </c>
      <c r="F125" s="18" t="n">
        <v>0.6020131645100533</v>
      </c>
      <c r="G125" s="16" t="n">
        <v>62.19636221628247</v>
      </c>
      <c r="H125" s="16" t="n">
        <v>37.87684319027011</v>
      </c>
    </row>
    <row r="126">
      <c r="A126" s="21" t="n">
        <v>94</v>
      </c>
      <c r="B126" s="18" t="n">
        <v>-0.03534734063124116</v>
      </c>
      <c r="C126" s="18" t="n">
        <v>0.06936800024957057</v>
      </c>
      <c r="D126" s="43" t="n">
        <v>1.029446126323333</v>
      </c>
      <c r="E126" s="21" t="n">
        <v>0</v>
      </c>
      <c r="F126" s="18" t="n">
        <v>0.8209914720506994</v>
      </c>
      <c r="G126" s="16" t="n">
        <v>66.33799918149248</v>
      </c>
      <c r="H126" s="16" t="n">
        <v>34.17378527149245</v>
      </c>
    </row>
    <row r="127">
      <c r="A127" s="21" t="n">
        <v>95</v>
      </c>
      <c r="B127" s="18" t="n">
        <v>-0.04800898531928541</v>
      </c>
      <c r="C127" s="18" t="n">
        <v>-0.03790499583049627</v>
      </c>
      <c r="D127" s="43" t="n">
        <v>1.224473370969547</v>
      </c>
      <c r="E127" s="21" t="n">
        <v>2</v>
      </c>
      <c r="F127" s="18" t="n">
        <v>0.6423325974986114</v>
      </c>
      <c r="G127" s="16" t="n">
        <v>67.02668420578729</v>
      </c>
      <c r="H127" s="16" t="n">
        <v>36.63494845533538</v>
      </c>
    </row>
    <row r="128">
      <c r="A128" s="21" t="n">
        <v>96</v>
      </c>
      <c r="B128" s="18" t="n">
        <v>-0.002538990025832077</v>
      </c>
      <c r="C128" s="18" t="n">
        <v>0.0245683721963694</v>
      </c>
      <c r="D128" s="43" t="n">
        <v>1.112967184611997</v>
      </c>
      <c r="E128" s="21" t="n">
        <v>1</v>
      </c>
      <c r="F128" s="18" t="n">
        <v>0.7866295385615343</v>
      </c>
      <c r="G128" s="16" t="n">
        <v>76.12723880979975</v>
      </c>
      <c r="H128" s="16" t="n">
        <v>35.65224202108147</v>
      </c>
    </row>
    <row r="129">
      <c r="A129" s="21" t="n">
        <v>97</v>
      </c>
      <c r="B129" s="18" t="n">
        <v>-0.03827473399408722</v>
      </c>
      <c r="C129" s="18" t="n">
        <v>0.08765643005584581</v>
      </c>
      <c r="D129" s="43" t="n">
        <v>1.009484527055736</v>
      </c>
      <c r="E129" s="21" t="n">
        <v>0</v>
      </c>
      <c r="F129" s="18" t="n">
        <v>0.7853482728580177</v>
      </c>
      <c r="G129" s="16" t="n">
        <v>62.44803212302487</v>
      </c>
      <c r="H129" s="16" t="n">
        <v>34.16438248401099</v>
      </c>
    </row>
    <row r="130">
      <c r="A130" s="21" t="n">
        <v>98</v>
      </c>
      <c r="B130" s="18" t="n">
        <v>-0.09500979890557332</v>
      </c>
      <c r="C130" s="18" t="n">
        <v>0.07524109392690106</v>
      </c>
      <c r="D130" s="43" t="n">
        <v>1.416391884082551</v>
      </c>
      <c r="E130" s="21" t="n">
        <v>0</v>
      </c>
      <c r="F130" s="18" t="n">
        <v>0.4649025258080881</v>
      </c>
      <c r="G130" s="16" t="n">
        <v>38.55918535065015</v>
      </c>
      <c r="H130" s="16" t="n">
        <v>34.28692230939156</v>
      </c>
    </row>
    <row r="131">
      <c r="A131" s="21" t="n">
        <v>99</v>
      </c>
      <c r="B131" s="18" t="n">
        <v>-0.08619401577314414</v>
      </c>
      <c r="C131" s="18" t="n">
        <v>0.172192676694039</v>
      </c>
      <c r="D131" s="43" t="n">
        <v>1.466017867896351</v>
      </c>
      <c r="E131" s="21" t="n">
        <v>2</v>
      </c>
      <c r="F131" s="18" t="n">
        <v>0.291348664237806</v>
      </c>
      <c r="G131" s="16" t="n">
        <v>17.97387708012832</v>
      </c>
      <c r="H131" s="16" t="n">
        <v>51.72104899338591</v>
      </c>
    </row>
    <row r="132">
      <c r="A132" s="21" t="n">
        <v>100</v>
      </c>
      <c r="B132" s="18" t="n">
        <v>0.05352202854656474</v>
      </c>
      <c r="C132" s="18" t="n">
        <v>0.07297717787919714</v>
      </c>
      <c r="D132" s="43" t="n">
        <v>0.9831390289795057</v>
      </c>
      <c r="E132" s="21" t="n">
        <v>0</v>
      </c>
      <c r="F132" s="18" t="n">
        <v>1.111360240944281</v>
      </c>
      <c r="G132" s="16" t="n">
        <v>93.06963122519775</v>
      </c>
      <c r="H132" s="16" t="n">
        <v>34.45923368529157</v>
      </c>
    </row>
    <row r="133">
      <c r="A133" s="21" t="n">
        <v>101</v>
      </c>
      <c r="B133" s="18" t="n">
        <v>0.03898640114571716</v>
      </c>
      <c r="C133" s="18" t="n">
        <v>0.05098322117687096</v>
      </c>
      <c r="D133" s="43" t="n">
        <v>0.838747987818724</v>
      </c>
      <c r="E133" s="21" t="n">
        <v>3</v>
      </c>
      <c r="F133" s="18" t="n">
        <v>0.7452993697346713</v>
      </c>
      <c r="G133" s="16" t="n">
        <v>79.59341627970434</v>
      </c>
      <c r="H133" s="16" t="n">
        <v>38.33015640890444</v>
      </c>
    </row>
    <row r="134">
      <c r="A134" s="21" t="n">
        <v>102</v>
      </c>
      <c r="B134" s="18" t="n">
        <v>0.005667041375428838</v>
      </c>
      <c r="C134" s="18" t="n">
        <v>0.09930682215423096</v>
      </c>
      <c r="D134" s="43" t="n">
        <v>1.071236646656474</v>
      </c>
      <c r="E134" s="21" t="n">
        <v>0</v>
      </c>
      <c r="F134" s="18" t="n">
        <v>0.8672672914629398</v>
      </c>
      <c r="G134" s="16" t="n">
        <v>72.48035511008368</v>
      </c>
      <c r="H134" s="16" t="n">
        <v>34.30552346649787</v>
      </c>
    </row>
    <row r="135">
      <c r="A135" s="21" t="n">
        <v>103</v>
      </c>
      <c r="B135" s="18" t="n">
        <v>-0.05422675911115138</v>
      </c>
      <c r="C135" s="18" t="n">
        <v>0.1359019076607756</v>
      </c>
      <c r="D135" s="43" t="n">
        <v>1.397518532780206</v>
      </c>
      <c r="E135" s="21" t="n">
        <v>1</v>
      </c>
      <c r="F135" s="18" t="n">
        <v>0.4188584202387131</v>
      </c>
      <c r="G135" s="16" t="n">
        <v>35.76759948011414</v>
      </c>
      <c r="H135" s="16" t="n">
        <v>35.66124719294874</v>
      </c>
    </row>
    <row r="136">
      <c r="A136" s="21" t="n">
        <v>104</v>
      </c>
      <c r="B136" s="18" t="n">
        <v>0.05618499093424736</v>
      </c>
      <c r="C136" s="18" t="n">
        <v>0.09104853252723001</v>
      </c>
      <c r="D136" s="43" t="n">
        <v>1.441306667175789</v>
      </c>
      <c r="E136" s="21" t="n">
        <v>2</v>
      </c>
      <c r="F136" s="18" t="n">
        <v>0.5561954959323181</v>
      </c>
      <c r="G136" s="16" t="n">
        <v>64.60772642839378</v>
      </c>
      <c r="H136" s="16" t="n">
        <v>37.10970494302131</v>
      </c>
    </row>
    <row r="137">
      <c r="A137" s="21" t="n">
        <v>105</v>
      </c>
      <c r="B137" s="18" t="n">
        <v>0.01619574177980454</v>
      </c>
      <c r="C137" s="18" t="n">
        <v>0.1604585913357735</v>
      </c>
      <c r="D137" s="43" t="n">
        <v>0.9663304362502843</v>
      </c>
      <c r="E137" s="21" t="n">
        <v>0</v>
      </c>
      <c r="F137" s="18" t="n">
        <v>0.8855576732559183</v>
      </c>
      <c r="G137" s="16" t="n">
        <v>67.98358055795018</v>
      </c>
      <c r="H137" s="16" t="n">
        <v>34.33934165219673</v>
      </c>
    </row>
    <row r="138">
      <c r="A138" s="21" t="n">
        <v>106</v>
      </c>
      <c r="B138" s="18" t="n">
        <v>0.007825070007138349</v>
      </c>
      <c r="C138" s="18" t="n">
        <v>0.1037462715338909</v>
      </c>
      <c r="D138" s="43" t="n">
        <v>1.375110274243353</v>
      </c>
      <c r="E138" s="21" t="n">
        <v>0</v>
      </c>
      <c r="F138" s="18" t="n">
        <v>0.6149631060915386</v>
      </c>
      <c r="G138" s="16" t="n">
        <v>60.70025446853144</v>
      </c>
      <c r="H138" s="16" t="n">
        <v>34.65185952803918</v>
      </c>
    </row>
    <row r="139">
      <c r="A139" s="21" t="n">
        <v>107</v>
      </c>
      <c r="B139" s="18" t="n">
        <v>-0.0254890694599036</v>
      </c>
      <c r="C139" s="18" t="n">
        <v>0.1247607889869376</v>
      </c>
      <c r="D139" s="43" t="n">
        <v>0.9521211144512356</v>
      </c>
      <c r="E139" s="21" t="n">
        <v>3</v>
      </c>
      <c r="F139" s="18" t="n">
        <v>0.5536617401844042</v>
      </c>
      <c r="G139" s="16" t="n">
        <v>50.43284902270258</v>
      </c>
      <c r="H139" s="16" t="n">
        <v>37.87994942719737</v>
      </c>
    </row>
    <row r="140">
      <c r="A140" s="21" t="n">
        <v>108</v>
      </c>
      <c r="B140" s="18" t="n">
        <v>-0.0530859458919503</v>
      </c>
      <c r="C140" s="18" t="n">
        <v>-0.002228864115736751</v>
      </c>
      <c r="D140" s="43" t="n">
        <v>1.101465872075833</v>
      </c>
      <c r="E140" s="21" t="n">
        <v>0</v>
      </c>
      <c r="F140" s="18" t="n">
        <v>0.8530281174971375</v>
      </c>
      <c r="G140" s="16" t="n">
        <v>71.9041561467654</v>
      </c>
      <c r="H140" s="16" t="n">
        <v>34.11680887139505</v>
      </c>
    </row>
    <row r="141">
      <c r="A141" s="21" t="n">
        <v>109</v>
      </c>
      <c r="B141" s="18" t="n">
        <v>-0.09233295400061031</v>
      </c>
      <c r="C141" s="18" t="n">
        <v>0.09335842216675515</v>
      </c>
      <c r="D141" s="43" t="n">
        <v>1.766647518975835</v>
      </c>
      <c r="E141" s="21" t="n">
        <v>0</v>
      </c>
      <c r="F141" s="18" t="n">
        <v>0.3202003936238991</v>
      </c>
      <c r="G141" s="16" t="n">
        <v>24.6363812523325</v>
      </c>
      <c r="H141" s="16" t="n">
        <v>60.62572054895978</v>
      </c>
    </row>
    <row r="142">
      <c r="A142" s="21" t="n">
        <v>110</v>
      </c>
      <c r="B142" s="18" t="n">
        <v>0.03766661006258401</v>
      </c>
      <c r="C142" s="18" t="n">
        <v>0.04573973204325479</v>
      </c>
      <c r="D142" s="43" t="n">
        <v>0.9962604510495734</v>
      </c>
      <c r="E142" s="21" t="n">
        <v>0</v>
      </c>
      <c r="F142" s="18" t="n">
        <v>1.117133342234894</v>
      </c>
      <c r="G142" s="16" t="n">
        <v>93.29581170330337</v>
      </c>
      <c r="H142" s="16" t="n">
        <v>34.40830608112102</v>
      </c>
    </row>
    <row r="143">
      <c r="A143" s="21" t="n">
        <v>111</v>
      </c>
      <c r="B143" s="18" t="n">
        <v>-0.0246035008492678</v>
      </c>
      <c r="C143" s="18" t="n">
        <v>0.06218458577676877</v>
      </c>
      <c r="D143" s="43" t="n">
        <v>0.9754785357686954</v>
      </c>
      <c r="E143" s="21" t="n">
        <v>0</v>
      </c>
      <c r="F143" s="18" t="n">
        <v>0.9456995829338155</v>
      </c>
      <c r="G143" s="16" t="n">
        <v>73.32866258627054</v>
      </c>
      <c r="H143" s="16" t="n">
        <v>34.20829448487215</v>
      </c>
    </row>
    <row r="144">
      <c r="A144" s="21" t="n">
        <v>112</v>
      </c>
      <c r="B144" s="18" t="n">
        <v>-0.06644441320034042</v>
      </c>
      <c r="C144" s="18" t="n">
        <v>0.07875377285457565</v>
      </c>
      <c r="D144" s="43" t="n">
        <v>1.120470946932683</v>
      </c>
      <c r="E144" s="21" t="n">
        <v>2</v>
      </c>
      <c r="F144" s="18" t="n">
        <v>0.537107049245197</v>
      </c>
      <c r="G144" s="16" t="n">
        <v>47.04017442634681</v>
      </c>
      <c r="H144" s="16" t="n">
        <v>36.52728555651001</v>
      </c>
    </row>
    <row r="145">
      <c r="A145" s="21" t="n">
        <v>113</v>
      </c>
      <c r="B145" s="18" t="n">
        <v>-0.04726001979172124</v>
      </c>
      <c r="C145" s="18" t="n">
        <v>0.1641829992878619</v>
      </c>
      <c r="D145" s="43" t="n">
        <v>1.248397625799063</v>
      </c>
      <c r="E145" s="21" t="n">
        <v>2</v>
      </c>
      <c r="F145" s="18" t="n">
        <v>0.435136742371623</v>
      </c>
      <c r="G145" s="16" t="n">
        <v>35.77352559428533</v>
      </c>
      <c r="H145" s="16" t="n">
        <v>36.63932241401634</v>
      </c>
    </row>
    <row r="146">
      <c r="A146" s="21" t="n">
        <v>114</v>
      </c>
      <c r="B146" s="18" t="n">
        <v>-0.008638494884585318</v>
      </c>
      <c r="C146" s="18" t="n">
        <v>0.1743986027889892</v>
      </c>
      <c r="D146" s="43" t="n">
        <v>1.568311903479274</v>
      </c>
      <c r="E146" s="21" t="n">
        <v>0</v>
      </c>
      <c r="F146" s="18" t="n">
        <v>0.4340851856748766</v>
      </c>
      <c r="G146" s="16" t="n">
        <v>39.75140069183622</v>
      </c>
      <c r="H146" s="16" t="n">
        <v>43.54523814799251</v>
      </c>
    </row>
    <row r="147">
      <c r="A147" s="21" t="n">
        <v>115</v>
      </c>
      <c r="B147" s="18" t="n">
        <v>-0.07190607570749505</v>
      </c>
      <c r="C147" s="18" t="n">
        <v>0.025924731871493</v>
      </c>
      <c r="D147" s="43" t="n">
        <v>1.676132798636715</v>
      </c>
      <c r="E147" s="21" t="n">
        <v>2</v>
      </c>
      <c r="F147" s="18" t="n">
        <v>0.3882171686540832</v>
      </c>
      <c r="G147" s="16" t="n">
        <v>37.39129634789997</v>
      </c>
      <c r="H147" s="16" t="n">
        <v>38.48113831642433</v>
      </c>
    </row>
    <row r="148">
      <c r="A148" s="21" t="n">
        <v>116</v>
      </c>
      <c r="B148" s="18" t="n">
        <v>0.02863564297394262</v>
      </c>
      <c r="C148" s="18" t="n">
        <v>0.09362577211143405</v>
      </c>
      <c r="D148" s="43" t="n">
        <v>0.9180174873409823</v>
      </c>
      <c r="E148" s="21" t="n">
        <v>0</v>
      </c>
      <c r="F148" s="18" t="n">
        <v>1.022226921825976</v>
      </c>
      <c r="G148" s="16" t="n">
        <v>82.71102963757032</v>
      </c>
      <c r="H148" s="16" t="n">
        <v>34.3792986148323</v>
      </c>
    </row>
    <row r="149">
      <c r="A149" s="21" t="n">
        <v>117</v>
      </c>
      <c r="B149" s="18" t="n">
        <v>0.01334236239535537</v>
      </c>
      <c r="C149" s="18" t="n">
        <v>0.09691896567383948</v>
      </c>
      <c r="D149" s="43" t="n">
        <v>0.9661309828706888</v>
      </c>
      <c r="E149" s="21" t="n">
        <v>0</v>
      </c>
      <c r="F149" s="18" t="n">
        <v>0.9809966024177372</v>
      </c>
      <c r="G149" s="16" t="n">
        <v>77.93317452013964</v>
      </c>
      <c r="H149" s="16" t="n">
        <v>34.33017659761388</v>
      </c>
    </row>
    <row r="150">
      <c r="A150" s="21" t="n">
        <v>118</v>
      </c>
      <c r="B150" s="18" t="n">
        <v>0.008153764117368248</v>
      </c>
      <c r="C150" s="18" t="n">
        <v>0.03334450685862339</v>
      </c>
      <c r="D150" s="43" t="n">
        <v>1.390842791969633</v>
      </c>
      <c r="E150" s="21" t="n">
        <v>1</v>
      </c>
      <c r="F150" s="18" t="n">
        <v>0.6276373587011796</v>
      </c>
      <c r="G150" s="16" t="n">
        <v>68.05525859741711</v>
      </c>
      <c r="H150" s="16" t="n">
        <v>35.96372189558068</v>
      </c>
    </row>
    <row r="151">
      <c r="A151" s="21" t="n">
        <v>119</v>
      </c>
      <c r="B151" s="18" t="n">
        <v>-0.02790491462699624</v>
      </c>
      <c r="C151" s="18" t="n">
        <v>-0.0002265583138515506</v>
      </c>
      <c r="D151" s="43" t="n">
        <v>1.03613202830377</v>
      </c>
      <c r="E151" s="21" t="n">
        <v>3</v>
      </c>
      <c r="F151" s="18" t="n">
        <v>0.6241571949196139</v>
      </c>
      <c r="G151" s="16" t="n">
        <v>66.00030685714019</v>
      </c>
      <c r="H151" s="16" t="n">
        <v>37.86308052572628</v>
      </c>
    </row>
    <row r="152">
      <c r="A152" s="21" t="n">
        <v>120</v>
      </c>
      <c r="B152" s="18" t="n">
        <v>-0.002887271100579847</v>
      </c>
      <c r="C152" s="18" t="n">
        <v>-0.02138288613933273</v>
      </c>
      <c r="D152" s="43" t="n">
        <v>1.496485993082837</v>
      </c>
      <c r="E152" s="21" t="n">
        <v>0</v>
      </c>
      <c r="F152" s="18" t="n">
        <v>0.7407665750553372</v>
      </c>
      <c r="G152" s="16" t="n">
        <v>77.40249699468815</v>
      </c>
      <c r="H152" s="16" t="n">
        <v>34.38507775258196</v>
      </c>
    </row>
    <row r="153">
      <c r="A153" s="21" t="n">
        <v>121</v>
      </c>
      <c r="B153" s="18" t="n">
        <v>-0.008044443830157261</v>
      </c>
      <c r="C153" s="18" t="n">
        <v>0.1027224739212088</v>
      </c>
      <c r="D153" s="43" t="n">
        <v>1.28111909438029</v>
      </c>
      <c r="E153" s="21" t="n">
        <v>0</v>
      </c>
      <c r="F153" s="18" t="n">
        <v>0.6481214178572099</v>
      </c>
      <c r="G153" s="16" t="n">
        <v>60.05728660704185</v>
      </c>
      <c r="H153" s="16" t="n">
        <v>34.49062390949276</v>
      </c>
    </row>
    <row r="154">
      <c r="A154" s="21" t="n">
        <v>122</v>
      </c>
      <c r="B154" s="18" t="n">
        <v>-0.0002678800202131348</v>
      </c>
      <c r="C154" s="18" t="n">
        <v>0.05273234919785846</v>
      </c>
      <c r="D154" s="43" t="n">
        <v>0.9495625637522153</v>
      </c>
      <c r="E154" s="21" t="n">
        <v>1</v>
      </c>
      <c r="F154" s="18" t="n">
        <v>0.8543128688791655</v>
      </c>
      <c r="G154" s="16" t="n">
        <v>76.65620732103744</v>
      </c>
      <c r="H154" s="16" t="n">
        <v>35.66266317156439</v>
      </c>
    </row>
    <row r="155">
      <c r="A155" s="21" t="n">
        <v>123</v>
      </c>
      <c r="B155" s="18" t="n">
        <v>-0.09602473641262904</v>
      </c>
      <c r="C155" s="18" t="n">
        <v>0.1752100262915501</v>
      </c>
      <c r="D155" s="43" t="n">
        <v>1.43397189717073</v>
      </c>
      <c r="E155" s="21" t="n">
        <v>2</v>
      </c>
      <c r="F155" s="18" t="n">
        <v>0.2742510340055289</v>
      </c>
      <c r="G155" s="16" t="n">
        <v>15.15617240865156</v>
      </c>
      <c r="H155" s="16" t="n">
        <v>54.28128574248411</v>
      </c>
    </row>
    <row r="156">
      <c r="A156" s="21" t="n">
        <v>124</v>
      </c>
      <c r="B156" s="18" t="n">
        <v>-0.03022790235248432</v>
      </c>
      <c r="C156" s="18" t="n">
        <v>0.04920667086449168</v>
      </c>
      <c r="D156" s="43" t="n">
        <v>0.9878064855153176</v>
      </c>
      <c r="E156" s="21" t="n">
        <v>0</v>
      </c>
      <c r="F156" s="18" t="n">
        <v>0.9530654432996029</v>
      </c>
      <c r="G156" s="16" t="n">
        <v>73.96924119356297</v>
      </c>
      <c r="H156" s="16" t="n">
        <v>34.19022890724382</v>
      </c>
    </row>
    <row r="157">
      <c r="A157" s="21" t="n">
        <v>125</v>
      </c>
      <c r="B157" s="18" t="n">
        <v>-0.1121095130905488</v>
      </c>
      <c r="C157" s="18" t="n">
        <v>0.1693645892901403</v>
      </c>
      <c r="D157" s="43" t="n">
        <v>1.120880213617452</v>
      </c>
      <c r="E157" s="21" t="n">
        <v>0</v>
      </c>
      <c r="F157" s="18" t="n">
        <v>0.4387198550795899</v>
      </c>
      <c r="G157" s="16" t="n">
        <v>26.89267347502132</v>
      </c>
      <c r="H157" s="16" t="n">
        <v>33.92722517355315</v>
      </c>
    </row>
    <row r="158">
      <c r="A158" s="21" t="n">
        <v>126</v>
      </c>
      <c r="B158" s="18" t="n">
        <v>-0.01945237166483682</v>
      </c>
      <c r="C158" s="18" t="n">
        <v>0.04186075785323728</v>
      </c>
      <c r="D158" s="43" t="n">
        <v>1.201458391460931</v>
      </c>
      <c r="E158" s="21" t="n">
        <v>1</v>
      </c>
      <c r="F158" s="18" t="n">
        <v>0.6793117392777246</v>
      </c>
      <c r="G158" s="16" t="n">
        <v>65.9782427240242</v>
      </c>
      <c r="H158" s="16" t="n">
        <v>35.60358326274019</v>
      </c>
    </row>
    <row r="159">
      <c r="A159" s="21" t="n">
        <v>127</v>
      </c>
      <c r="B159" s="18" t="n">
        <v>-0.04332192434487256</v>
      </c>
      <c r="C159" s="18" t="n">
        <v>0.106359684957807</v>
      </c>
      <c r="D159" s="43" t="n">
        <v>1.168029208953628</v>
      </c>
      <c r="E159" s="21" t="n">
        <v>0</v>
      </c>
      <c r="F159" s="18" t="n">
        <v>0.6360343007309366</v>
      </c>
      <c r="G159" s="16" t="n">
        <v>53.20338076344088</v>
      </c>
      <c r="H159" s="16" t="n">
        <v>34.24957878462371</v>
      </c>
    </row>
    <row r="160">
      <c r="A160" s="21" t="n">
        <v>128</v>
      </c>
      <c r="B160" s="18" t="n">
        <v>-0.0793877877709626</v>
      </c>
      <c r="C160" s="18" t="n">
        <v>-0.008812799970905512</v>
      </c>
      <c r="D160" s="43" t="n">
        <v>1.298931474239421</v>
      </c>
      <c r="E160" s="21" t="n">
        <v>0</v>
      </c>
      <c r="F160" s="18" t="n">
        <v>0.6660702573585362</v>
      </c>
      <c r="G160" s="16" t="n">
        <v>59.96193845994168</v>
      </c>
      <c r="H160" s="16" t="n">
        <v>34.24498877630457</v>
      </c>
    </row>
    <row r="161">
      <c r="A161" s="21" t="n">
        <v>129</v>
      </c>
      <c r="B161" s="18" t="n">
        <v>-0.09027226451280751</v>
      </c>
      <c r="C161" s="18" t="n">
        <v>0.06254863653224449</v>
      </c>
      <c r="D161" s="43" t="n">
        <v>1.27288463112465</v>
      </c>
      <c r="E161" s="21" t="n">
        <v>0</v>
      </c>
      <c r="F161" s="18" t="n">
        <v>0.5419399742066404</v>
      </c>
      <c r="G161" s="16" t="n">
        <v>45.01292787622243</v>
      </c>
      <c r="H161" s="16" t="n">
        <v>34.2075135228824</v>
      </c>
    </row>
    <row r="162">
      <c r="A162" s="21" t="n">
        <v>130</v>
      </c>
      <c r="B162" s="18" t="n">
        <v>-0.007614123803900169</v>
      </c>
      <c r="C162" s="18" t="n">
        <v>0.1082805415786447</v>
      </c>
      <c r="D162" s="43" t="n">
        <v>1.72021030406402</v>
      </c>
      <c r="E162" s="21" t="n">
        <v>0</v>
      </c>
      <c r="F162" s="18" t="n">
        <v>0.4591158425000419</v>
      </c>
      <c r="G162" s="16" t="n">
        <v>46.38524452578878</v>
      </c>
      <c r="H162" s="16" t="n">
        <v>41.16723504349041</v>
      </c>
    </row>
    <row r="163">
      <c r="A163" s="21" t="n">
        <v>131</v>
      </c>
      <c r="B163" s="18" t="n">
        <v>-0.0732832650947489</v>
      </c>
      <c r="C163" s="18" t="n">
        <v>0.1434298741104925</v>
      </c>
      <c r="D163" s="43" t="n">
        <v>1.778494823398778</v>
      </c>
      <c r="E163" s="21" t="n">
        <v>0</v>
      </c>
      <c r="F163" s="18" t="n">
        <v>0.2956580162436788</v>
      </c>
      <c r="G163" s="16" t="n">
        <v>20.92625591293803</v>
      </c>
      <c r="H163" s="16" t="n">
        <v>66.73784046597204</v>
      </c>
    </row>
    <row r="164">
      <c r="A164" s="21" t="n">
        <v>132</v>
      </c>
      <c r="B164" s="18" t="n">
        <v>0.04288140867615082</v>
      </c>
      <c r="C164" s="18" t="n">
        <v>0.1131655676084702</v>
      </c>
      <c r="D164" s="43" t="n">
        <v>1.178041417864913</v>
      </c>
      <c r="E164" s="21" t="n">
        <v>2</v>
      </c>
      <c r="F164" s="18" t="n">
        <v>0.6186421239888222</v>
      </c>
      <c r="G164" s="16" t="n">
        <v>65.87918306355651</v>
      </c>
      <c r="H164" s="16" t="n">
        <v>37.16574835626872</v>
      </c>
    </row>
    <row r="165">
      <c r="A165" s="21" t="n">
        <v>133</v>
      </c>
      <c r="B165" s="18" t="n">
        <v>-0.008413950829668143</v>
      </c>
      <c r="C165" s="18" t="n">
        <v>-0.02280782200662322</v>
      </c>
      <c r="D165" s="43" t="n">
        <v>0.9379848447916393</v>
      </c>
      <c r="E165" s="21" t="n">
        <v>1</v>
      </c>
      <c r="F165" s="18" t="n">
        <v>0.9313591912750796</v>
      </c>
      <c r="G165" s="16" t="n">
        <v>86.75049022913811</v>
      </c>
      <c r="H165" s="16" t="n">
        <v>35.62528434379301</v>
      </c>
    </row>
    <row r="166">
      <c r="A166" s="21" t="n">
        <v>134</v>
      </c>
      <c r="B166" s="18" t="n">
        <v>-0.04060617816141592</v>
      </c>
      <c r="C166" s="18" t="n">
        <v>0.03672063665464703</v>
      </c>
      <c r="D166" s="43" t="n">
        <v>1.333389497733897</v>
      </c>
      <c r="E166" s="21" t="n">
        <v>1</v>
      </c>
      <c r="F166" s="18" t="n">
        <v>0.573745651036113</v>
      </c>
      <c r="G166" s="16" t="n">
        <v>56.55091879481565</v>
      </c>
      <c r="H166" s="16" t="n">
        <v>35.62581719742058</v>
      </c>
    </row>
    <row r="167">
      <c r="A167" s="21" t="n">
        <v>135</v>
      </c>
      <c r="B167" s="18" t="n">
        <v>-0.00721840295013898</v>
      </c>
      <c r="C167" s="18" t="n">
        <v>-0.01879151643740079</v>
      </c>
      <c r="D167" s="43" t="n">
        <v>1.663366411791505</v>
      </c>
      <c r="E167" s="21" t="n">
        <v>3</v>
      </c>
      <c r="F167" s="18" t="n">
        <v>0.4753546467169247</v>
      </c>
      <c r="G167" s="16" t="n">
        <v>56.76013174709276</v>
      </c>
      <c r="H167" s="16" t="n">
        <v>37.34206384143936</v>
      </c>
    </row>
    <row r="168">
      <c r="A168" s="21" t="n">
        <v>136</v>
      </c>
      <c r="B168" s="18" t="n">
        <v>-0.1219512290728352</v>
      </c>
      <c r="C168" s="18" t="n">
        <v>-0.003249108860994318</v>
      </c>
      <c r="D168" s="43" t="n">
        <v>1.061529357457736</v>
      </c>
      <c r="E168" s="21" t="n">
        <v>0</v>
      </c>
      <c r="F168" s="18" t="n">
        <v>0.7337354710629533</v>
      </c>
      <c r="G168" s="16" t="n">
        <v>54.95653320026352</v>
      </c>
      <c r="H168" s="16" t="n">
        <v>33.89561358181805</v>
      </c>
    </row>
    <row r="169">
      <c r="A169" s="21" t="n">
        <v>137</v>
      </c>
      <c r="B169" s="18" t="n">
        <v>0.05238640776071672</v>
      </c>
      <c r="C169" s="18" t="n">
        <v>0.08252868102540126</v>
      </c>
      <c r="D169" s="43" t="n">
        <v>1.14346904769848</v>
      </c>
      <c r="E169" s="21" t="n">
        <v>0</v>
      </c>
      <c r="F169" s="18" t="n">
        <v>0.9054974778012421</v>
      </c>
      <c r="G169" s="16" t="n">
        <v>84.8539771367565</v>
      </c>
      <c r="H169" s="16" t="n">
        <v>34.56713903055005</v>
      </c>
    </row>
    <row r="170">
      <c r="A170" s="21" t="n">
        <v>138</v>
      </c>
      <c r="B170" s="18" t="n">
        <v>-0.02100593589420457</v>
      </c>
      <c r="C170" s="18" t="n">
        <v>0.0896073976357436</v>
      </c>
      <c r="D170" s="43" t="n">
        <v>1.121635451878833</v>
      </c>
      <c r="E170" s="21" t="n">
        <v>3</v>
      </c>
      <c r="F170" s="18" t="n">
        <v>0.5349863461048636</v>
      </c>
      <c r="G170" s="16" t="n">
        <v>52.70515909235239</v>
      </c>
      <c r="H170" s="16" t="n">
        <v>37.91125339461698</v>
      </c>
    </row>
    <row r="171">
      <c r="A171" s="21" t="n">
        <v>139</v>
      </c>
      <c r="B171" s="18" t="n">
        <v>0.01677285536579456</v>
      </c>
      <c r="C171" s="18" t="n">
        <v>0.1019343537060206</v>
      </c>
      <c r="D171" s="43" t="n">
        <v>0.9014092249816844</v>
      </c>
      <c r="E171" s="21" t="n">
        <v>0</v>
      </c>
      <c r="F171" s="18" t="n">
        <v>1.029955556280562</v>
      </c>
      <c r="G171" s="16" t="n">
        <v>79.66034486940841</v>
      </c>
      <c r="H171" s="16" t="n">
        <v>34.34119534103493</v>
      </c>
    </row>
    <row r="172">
      <c r="A172" s="21" t="n">
        <v>140</v>
      </c>
      <c r="B172" s="18" t="n">
        <v>-0.0965754270272178</v>
      </c>
      <c r="C172" s="18" t="n">
        <v>0.1243819022479782</v>
      </c>
      <c r="D172" s="43" t="n">
        <v>1.287956588733685</v>
      </c>
      <c r="E172" s="21" t="n">
        <v>1</v>
      </c>
      <c r="F172" s="18" t="n">
        <v>0.3995939169960194</v>
      </c>
      <c r="G172" s="16" t="n">
        <v>29.92676941822269</v>
      </c>
      <c r="H172" s="16" t="n">
        <v>35.36034971964542</v>
      </c>
    </row>
    <row r="173">
      <c r="A173" s="21" t="n">
        <v>141</v>
      </c>
      <c r="B173" s="18" t="n">
        <v>-0.02042487733397072</v>
      </c>
      <c r="C173" s="18" t="n">
        <v>0.09476615283214089</v>
      </c>
      <c r="D173" s="43" t="n">
        <v>1.080743547859857</v>
      </c>
      <c r="E173" s="21" t="n">
        <v>2</v>
      </c>
      <c r="F173" s="18" t="n">
        <v>0.6155723040048271</v>
      </c>
      <c r="G173" s="16" t="n">
        <v>57.60756711428785</v>
      </c>
      <c r="H173" s="16" t="n">
        <v>36.79603964596961</v>
      </c>
    </row>
    <row r="174">
      <c r="A174" s="21" t="n">
        <v>142</v>
      </c>
      <c r="B174" s="18" t="n">
        <v>-0.01988700562499157</v>
      </c>
      <c r="C174" s="18" t="n">
        <v>0.1080056668295914</v>
      </c>
      <c r="D174" s="43" t="n">
        <v>1.387654392172297</v>
      </c>
      <c r="E174" s="21" t="n">
        <v>0</v>
      </c>
      <c r="F174" s="18" t="n">
        <v>0.5596844927980342</v>
      </c>
      <c r="G174" s="16" t="n">
        <v>52.71580637711138</v>
      </c>
      <c r="H174" s="16" t="n">
        <v>34.55351576671512</v>
      </c>
    </row>
    <row r="175">
      <c r="A175" s="21" t="n">
        <v>143</v>
      </c>
      <c r="B175" s="18" t="n">
        <v>0.04617703105195649</v>
      </c>
      <c r="C175" s="18" t="n">
        <v>-0.01870664293391352</v>
      </c>
      <c r="D175" s="43" t="n">
        <v>1.433524980695258</v>
      </c>
      <c r="E175" s="21" t="n">
        <v>0</v>
      </c>
      <c r="F175" s="18" t="n">
        <v>0.8215702438382535</v>
      </c>
      <c r="G175" s="16" t="n">
        <v>89.73195989297471</v>
      </c>
      <c r="H175" s="16" t="n">
        <v>34.54793888563905</v>
      </c>
    </row>
    <row r="176">
      <c r="A176" s="21" t="n">
        <v>144</v>
      </c>
      <c r="B176" s="18" t="n">
        <v>-0.009555641597910391</v>
      </c>
      <c r="C176" s="18" t="n">
        <v>0.01848870716275765</v>
      </c>
      <c r="D176" s="43" t="n">
        <v>1.4218262691279</v>
      </c>
      <c r="E176" s="21" t="n">
        <v>0</v>
      </c>
      <c r="F176" s="18" t="n">
        <v>0.6757120939406152</v>
      </c>
      <c r="G176" s="16" t="n">
        <v>68.92764861304423</v>
      </c>
      <c r="H176" s="16" t="n">
        <v>34.36294315925863</v>
      </c>
    </row>
    <row r="177">
      <c r="A177" s="21" t="n">
        <v>145</v>
      </c>
      <c r="B177" s="18" t="n">
        <v>-0.02219004601962762</v>
      </c>
      <c r="C177" s="18" t="n">
        <v>0.07323508122689443</v>
      </c>
      <c r="D177" s="43" t="n">
        <v>1.116869557428381</v>
      </c>
      <c r="E177" s="21" t="n">
        <v>0</v>
      </c>
      <c r="F177" s="18" t="n">
        <v>0.8047106426861057</v>
      </c>
      <c r="G177" s="16" t="n">
        <v>67.53491728480292</v>
      </c>
      <c r="H177" s="16" t="n">
        <v>34.21604650178495</v>
      </c>
    </row>
    <row r="178">
      <c r="A178" s="21" t="n">
        <v>146</v>
      </c>
      <c r="B178" s="18" t="n">
        <v>-0.05402781456760335</v>
      </c>
      <c r="C178" s="18" t="n">
        <v>0.1223490209112273</v>
      </c>
      <c r="D178" s="43" t="n">
        <v>1.063275184205608</v>
      </c>
      <c r="E178" s="21" t="n">
        <v>0</v>
      </c>
      <c r="F178" s="18" t="n">
        <v>0.6925260790157746</v>
      </c>
      <c r="G178" s="16" t="n">
        <v>52.2831601642444</v>
      </c>
      <c r="H178" s="16" t="n">
        <v>34.11378358920886</v>
      </c>
    </row>
    <row r="179">
      <c r="A179" s="21" t="n">
        <v>147</v>
      </c>
      <c r="B179" s="18" t="n">
        <v>-0.0430461295309139</v>
      </c>
      <c r="C179" s="18" t="n">
        <v>-0.04051303532244468</v>
      </c>
      <c r="D179" s="43" t="n">
        <v>1.351732918600578</v>
      </c>
      <c r="E179" s="21" t="n">
        <v>0</v>
      </c>
      <c r="F179" s="18" t="n">
        <v>0.7499187536006224</v>
      </c>
      <c r="G179" s="16" t="n">
        <v>73.07621635947088</v>
      </c>
      <c r="H179" s="16" t="n">
        <v>34.37011310562506</v>
      </c>
    </row>
    <row r="180">
      <c r="A180" s="21" t="n">
        <v>148</v>
      </c>
      <c r="B180" s="18" t="n">
        <v>-0.01597314491017834</v>
      </c>
      <c r="C180" s="18" t="n">
        <v>0.05637460892984439</v>
      </c>
      <c r="D180" s="43" t="n">
        <v>1.401391855419609</v>
      </c>
      <c r="E180" s="21" t="n">
        <v>2</v>
      </c>
      <c r="F180" s="18" t="n">
        <v>0.5126512629969877</v>
      </c>
      <c r="G180" s="16" t="n">
        <v>54.23865430211304</v>
      </c>
      <c r="H180" s="16" t="n">
        <v>37.0097598095263</v>
      </c>
    </row>
    <row r="181">
      <c r="A181" s="21" t="n">
        <v>149</v>
      </c>
      <c r="B181" s="18" t="n">
        <v>-0.02694535611963232</v>
      </c>
      <c r="C181" s="18" t="n">
        <v>0.08288772256072757</v>
      </c>
      <c r="D181" s="43" t="n">
        <v>1.162039152543899</v>
      </c>
      <c r="E181" s="21" t="n">
        <v>3</v>
      </c>
      <c r="F181" s="18" t="n">
        <v>0.5166833218958067</v>
      </c>
      <c r="G181" s="16" t="n">
        <v>51.1943045558053</v>
      </c>
      <c r="H181" s="16" t="n">
        <v>37.86978074730378</v>
      </c>
    </row>
    <row r="182">
      <c r="A182" s="21" t="n">
        <v>150</v>
      </c>
      <c r="B182" s="18" t="n">
        <v>-0.1226940161160342</v>
      </c>
      <c r="C182" s="18" t="n">
        <v>-0.02566595424981156</v>
      </c>
      <c r="D182" s="43" t="n">
        <v>1.507467635344467</v>
      </c>
      <c r="E182" s="21" t="n">
        <v>2</v>
      </c>
      <c r="F182" s="18" t="n">
        <v>0.4093573292355563</v>
      </c>
      <c r="G182" s="16" t="n">
        <v>37.54397854112314</v>
      </c>
      <c r="H182" s="16" t="n">
        <v>35.91199237170315</v>
      </c>
    </row>
    <row r="183">
      <c r="A183" s="21" t="n">
        <v>151</v>
      </c>
      <c r="B183" s="18" t="n">
        <v>0.0234648021598596</v>
      </c>
      <c r="C183" s="18" t="n">
        <v>0.0404932954262392</v>
      </c>
      <c r="D183" s="43" t="n">
        <v>0.9696518176021456</v>
      </c>
      <c r="E183" s="21" t="n">
        <v>0</v>
      </c>
      <c r="F183" s="18" t="n">
        <v>1.092914882623064</v>
      </c>
      <c r="G183" s="16" t="n">
        <v>90.2622964117556</v>
      </c>
      <c r="H183" s="16" t="n">
        <v>34.36268987413747</v>
      </c>
    </row>
    <row r="184">
      <c r="A184" s="21" t="n">
        <v>152</v>
      </c>
      <c r="B184" s="18" t="n">
        <v>0.03628911121758913</v>
      </c>
      <c r="C184" s="18" t="n">
        <v>0.133400318760576</v>
      </c>
      <c r="D184" s="43" t="n">
        <v>1.488961455326141</v>
      </c>
      <c r="E184" s="21" t="n">
        <v>0</v>
      </c>
      <c r="F184" s="18" t="n">
        <v>0.6047256759217088</v>
      </c>
      <c r="G184" s="16" t="n">
        <v>61.45236630965097</v>
      </c>
      <c r="H184" s="16" t="n">
        <v>34.51511751129653</v>
      </c>
    </row>
    <row r="185">
      <c r="A185" s="21" t="n">
        <v>153</v>
      </c>
      <c r="B185" s="18" t="n">
        <v>-0.08044000021239166</v>
      </c>
      <c r="C185" s="18" t="n">
        <v>0.08186255621681159</v>
      </c>
      <c r="D185" s="43" t="n">
        <v>0.9386327760465621</v>
      </c>
      <c r="E185" s="21" t="n">
        <v>0</v>
      </c>
      <c r="F185" s="18" t="n">
        <v>0.7727545173703629</v>
      </c>
      <c r="G185" s="16" t="n">
        <v>54.59101716429751</v>
      </c>
      <c r="H185" s="16" t="n">
        <v>34.02894764891779</v>
      </c>
    </row>
    <row r="186">
      <c r="A186" s="21" t="n">
        <v>154</v>
      </c>
      <c r="B186" s="18" t="n">
        <v>-0.0117457163336441</v>
      </c>
      <c r="C186" s="18" t="n">
        <v>0.01894321770277295</v>
      </c>
      <c r="D186" s="43" t="n">
        <v>0.9752287202798753</v>
      </c>
      <c r="E186" s="21" t="n">
        <v>0</v>
      </c>
      <c r="F186" s="18" t="n">
        <v>1.04514896498259</v>
      </c>
      <c r="G186" s="16" t="n">
        <v>84.18487225965399</v>
      </c>
      <c r="H186" s="16" t="n">
        <v>34.24959368873633</v>
      </c>
    </row>
    <row r="187">
      <c r="A187" s="21" t="n">
        <v>155</v>
      </c>
      <c r="B187" s="18" t="n">
        <v>-0.08879654365011072</v>
      </c>
      <c r="C187" s="18" t="n">
        <v>0.1209000506280585</v>
      </c>
      <c r="D187" s="43" t="n">
        <v>1.189321697306322</v>
      </c>
      <c r="E187" s="21" t="n">
        <v>3</v>
      </c>
      <c r="F187" s="18" t="n">
        <v>0.3798120144454518</v>
      </c>
      <c r="G187" s="16" t="n">
        <v>29.3392577721703</v>
      </c>
      <c r="H187" s="16" t="n">
        <v>37.43789810741706</v>
      </c>
    </row>
    <row r="188">
      <c r="A188" s="21" t="n">
        <v>156</v>
      </c>
      <c r="B188" s="18" t="n">
        <v>0.00234188845930218</v>
      </c>
      <c r="C188" s="18" t="n">
        <v>0.03354080228147308</v>
      </c>
      <c r="D188" s="43" t="n">
        <v>0.9162054045106466</v>
      </c>
      <c r="E188" s="21" t="n">
        <v>0</v>
      </c>
      <c r="F188" s="18" t="n">
        <v>1.103678460473276</v>
      </c>
      <c r="G188" s="16" t="n">
        <v>87.21134777196581</v>
      </c>
      <c r="H188" s="16" t="n">
        <v>34.29484307533127</v>
      </c>
    </row>
    <row r="189">
      <c r="A189" s="21" t="n">
        <v>157</v>
      </c>
      <c r="B189" s="18" t="n">
        <v>-0.05149839827471947</v>
      </c>
      <c r="C189" s="18" t="n">
        <v>0.1210515897792902</v>
      </c>
      <c r="D189" s="43" t="n">
        <v>0.9027687709375862</v>
      </c>
      <c r="E189" s="21" t="n">
        <v>0</v>
      </c>
      <c r="F189" s="18" t="n">
        <v>0.8249375846677542</v>
      </c>
      <c r="G189" s="16" t="n">
        <v>57.47583043444131</v>
      </c>
      <c r="H189" s="16" t="n">
        <v>34.1219080743416</v>
      </c>
    </row>
    <row r="190">
      <c r="A190" s="21" t="n">
        <v>158</v>
      </c>
      <c r="B190" s="18" t="n">
        <v>0.0008379919300362387</v>
      </c>
      <c r="C190" s="18" t="n">
        <v>0.02732317260936795</v>
      </c>
      <c r="D190" s="43" t="n">
        <v>0.8101857171147202</v>
      </c>
      <c r="E190" s="21" t="n">
        <v>2</v>
      </c>
      <c r="F190" s="18" t="n">
        <v>0.847874414067308</v>
      </c>
      <c r="G190" s="16" t="n">
        <v>80.05050816266531</v>
      </c>
      <c r="H190" s="16" t="n">
        <v>36.92021480247141</v>
      </c>
    </row>
    <row r="191">
      <c r="A191" s="21" t="n">
        <v>159</v>
      </c>
      <c r="B191" s="18" t="n">
        <v>0.009124763865498417</v>
      </c>
      <c r="C191" s="18" t="n">
        <v>0.06804777630723244</v>
      </c>
      <c r="D191" s="43" t="n">
        <v>1.128474369629431</v>
      </c>
      <c r="E191" s="21" t="n">
        <v>0</v>
      </c>
      <c r="F191" s="18" t="n">
        <v>0.8389000581172645</v>
      </c>
      <c r="G191" s="16" t="n">
        <v>75.61813965329503</v>
      </c>
      <c r="H191" s="16" t="n">
        <v>34.42359689610572</v>
      </c>
    </row>
    <row r="192">
      <c r="A192" s="21" t="n">
        <v>160</v>
      </c>
      <c r="B192" s="18" t="n">
        <v>0.01475518297431504</v>
      </c>
      <c r="C192" s="18" t="n">
        <v>0.03990613028377055</v>
      </c>
      <c r="D192" s="43" t="n">
        <v>1.375381471240107</v>
      </c>
      <c r="E192" s="21" t="n">
        <v>0</v>
      </c>
      <c r="F192" s="18" t="n">
        <v>0.7116816678487721</v>
      </c>
      <c r="G192" s="16" t="n">
        <v>73.30495851649454</v>
      </c>
      <c r="H192" s="16" t="n">
        <v>34.67645289970285</v>
      </c>
    </row>
    <row r="193">
      <c r="A193" s="21" t="n">
        <v>161</v>
      </c>
      <c r="B193" s="18" t="n">
        <v>-0.08903228202172536</v>
      </c>
      <c r="C193" s="18" t="n">
        <v>0.02413839096649818</v>
      </c>
      <c r="D193" s="43" t="n">
        <v>0.8834725706803327</v>
      </c>
      <c r="E193" s="21" t="n">
        <v>0</v>
      </c>
      <c r="F193" s="18" t="n">
        <v>0.8921979879435065</v>
      </c>
      <c r="G193" s="16" t="n">
        <v>63.4321951033646</v>
      </c>
      <c r="H193" s="16" t="n">
        <v>34.00134923974622</v>
      </c>
    </row>
    <row r="194">
      <c r="A194" s="21" t="n">
        <v>162</v>
      </c>
      <c r="B194" s="18" t="n">
        <v>0.04068865240839467</v>
      </c>
      <c r="C194" s="18" t="n">
        <v>0.130564392364612</v>
      </c>
      <c r="D194" s="43" t="n">
        <v>1.272559088781202</v>
      </c>
      <c r="E194" s="21" t="n">
        <v>1</v>
      </c>
      <c r="F194" s="18" t="n">
        <v>0.6195337188525873</v>
      </c>
      <c r="G194" s="16" t="n">
        <v>63.81428597700275</v>
      </c>
      <c r="H194" s="16" t="n">
        <v>36.011406321178</v>
      </c>
    </row>
    <row r="195">
      <c r="A195" s="21" t="n">
        <v>163</v>
      </c>
      <c r="B195" s="18" t="n">
        <v>-0.06087995351284096</v>
      </c>
      <c r="C195" s="18" t="n">
        <v>0.01125253985582823</v>
      </c>
      <c r="D195" s="43" t="n">
        <v>1.423837606787905</v>
      </c>
      <c r="E195" s="21" t="n">
        <v>2</v>
      </c>
      <c r="F195" s="18" t="n">
        <v>0.4833497464091272</v>
      </c>
      <c r="G195" s="16" t="n">
        <v>49.05706977661207</v>
      </c>
      <c r="H195" s="16" t="n">
        <v>36.44086867345958</v>
      </c>
    </row>
    <row r="196">
      <c r="A196" s="21" t="n">
        <v>164</v>
      </c>
      <c r="B196" s="18" t="n">
        <v>-0.1140732246356815</v>
      </c>
      <c r="C196" s="18" t="n">
        <v>-0.008814664931370758</v>
      </c>
      <c r="D196" s="43" t="n">
        <v>0.9833034907348309</v>
      </c>
      <c r="E196" s="21" t="n">
        <v>0</v>
      </c>
      <c r="F196" s="18" t="n">
        <v>0.8405638307589123</v>
      </c>
      <c r="G196" s="16" t="n">
        <v>60.63037520355891</v>
      </c>
      <c r="H196" s="16" t="n">
        <v>33.92091773207019</v>
      </c>
    </row>
    <row r="197">
      <c r="A197" s="21" t="n">
        <v>165</v>
      </c>
      <c r="B197" s="18" t="n">
        <v>-0.01164390077048943</v>
      </c>
      <c r="C197" s="18" t="n">
        <v>0.03276332605612658</v>
      </c>
      <c r="D197" s="43" t="n">
        <v>0.9713847921032693</v>
      </c>
      <c r="E197" s="21" t="n">
        <v>3</v>
      </c>
      <c r="F197" s="18" t="n">
        <v>0.6552040321173724</v>
      </c>
      <c r="G197" s="16" t="n">
        <v>67.52032777027659</v>
      </c>
      <c r="H197" s="16" t="n">
        <v>37.97662482248084</v>
      </c>
    </row>
    <row r="198">
      <c r="A198" s="21" t="n">
        <v>166</v>
      </c>
      <c r="B198" s="18" t="n">
        <v>-0.03687697496418274</v>
      </c>
      <c r="C198" s="18" t="n">
        <v>0.09045395385851036</v>
      </c>
      <c r="D198" s="43" t="n">
        <v>1.466294709206505</v>
      </c>
      <c r="E198" s="21" t="n">
        <v>2</v>
      </c>
      <c r="F198" s="18" t="n">
        <v>0.438885992721505</v>
      </c>
      <c r="G198" s="16" t="n">
        <v>42.47000412236824</v>
      </c>
      <c r="H198" s="16" t="n">
        <v>36.57800676126785</v>
      </c>
    </row>
    <row r="199">
      <c r="A199" s="21" t="n">
        <v>167</v>
      </c>
      <c r="B199" s="18" t="n">
        <v>0.02403689852801583</v>
      </c>
      <c r="C199" s="18" t="n">
        <v>0.109533670650302</v>
      </c>
      <c r="D199" s="43" t="n">
        <v>1.423834727759294</v>
      </c>
      <c r="E199" s="21" t="n">
        <v>2</v>
      </c>
      <c r="F199" s="18" t="n">
        <v>0.4995924350785883</v>
      </c>
      <c r="G199" s="16" t="n">
        <v>54.05273886411607</v>
      </c>
      <c r="H199" s="16" t="n">
        <v>36.926030741491</v>
      </c>
    </row>
    <row r="200">
      <c r="A200" s="21" t="n">
        <v>168</v>
      </c>
      <c r="B200" s="18" t="n">
        <v>0.02060157481871387</v>
      </c>
      <c r="C200" s="18" t="n">
        <v>0.1926920062833569</v>
      </c>
      <c r="D200" s="43" t="n">
        <v>1.192672586664614</v>
      </c>
      <c r="E200" s="21" t="n">
        <v>0</v>
      </c>
      <c r="F200" s="18" t="n">
        <v>0.6427422800215987</v>
      </c>
      <c r="G200" s="16" t="n">
        <v>55.75846534511356</v>
      </c>
      <c r="H200" s="16" t="n">
        <v>34.46167695484849</v>
      </c>
    </row>
    <row r="201">
      <c r="A201" s="21" t="n">
        <v>169</v>
      </c>
      <c r="B201" s="18" t="n">
        <v>-0.04539936997138268</v>
      </c>
      <c r="C201" s="18" t="n">
        <v>0.02698857798546027</v>
      </c>
      <c r="D201" s="43" t="n">
        <v>1.41968421467836</v>
      </c>
      <c r="E201" s="21" t="n">
        <v>0</v>
      </c>
      <c r="F201" s="18" t="n">
        <v>0.6006785838488542</v>
      </c>
      <c r="G201" s="16" t="n">
        <v>58.15367935007818</v>
      </c>
      <c r="H201" s="16" t="n">
        <v>34.2439656142862</v>
      </c>
    </row>
    <row r="202">
      <c r="A202" s="21" t="n">
        <v>170</v>
      </c>
      <c r="B202" s="18" t="n">
        <v>0.05056106097841343</v>
      </c>
      <c r="C202" s="18" t="n">
        <v>0.04137318298307657</v>
      </c>
      <c r="D202" s="43" t="n">
        <v>0.9362028468311105</v>
      </c>
      <c r="E202" s="21" t="n">
        <v>2</v>
      </c>
      <c r="F202" s="18" t="n">
        <v>0.8236894656109512</v>
      </c>
      <c r="G202" s="16" t="n">
        <v>86.51150557703757</v>
      </c>
      <c r="H202" s="16" t="n">
        <v>37.21059752571393</v>
      </c>
    </row>
    <row r="203">
      <c r="A203" s="21" t="n">
        <v>171</v>
      </c>
      <c r="B203" s="18" t="n">
        <v>-0.04981684065755317</v>
      </c>
      <c r="C203" s="18" t="n">
        <v>0.002310855093302817</v>
      </c>
      <c r="D203" s="43" t="n">
        <v>1.104000872379141</v>
      </c>
      <c r="E203" s="21" t="n">
        <v>0</v>
      </c>
      <c r="F203" s="18" t="n">
        <v>0.8532165813810131</v>
      </c>
      <c r="G203" s="16" t="n">
        <v>72.02402128138885</v>
      </c>
      <c r="H203" s="16" t="n">
        <v>34.12730923740794</v>
      </c>
    </row>
    <row r="204">
      <c r="A204" s="21" t="n">
        <v>172</v>
      </c>
      <c r="B204" s="18" t="n">
        <v>-0.01669782087867372</v>
      </c>
      <c r="C204" s="18" t="n">
        <v>0.0655829512635355</v>
      </c>
      <c r="D204" s="43" t="n">
        <v>1.342002232412753</v>
      </c>
      <c r="E204" s="21" t="n">
        <v>1</v>
      </c>
      <c r="F204" s="18" t="n">
        <v>0.5783092682947042</v>
      </c>
      <c r="G204" s="16" t="n">
        <v>57.90509427390354</v>
      </c>
      <c r="H204" s="16" t="n">
        <v>35.73921681299903</v>
      </c>
    </row>
    <row r="205">
      <c r="A205" s="21" t="n">
        <v>173</v>
      </c>
      <c r="B205" s="18" t="n">
        <v>-0.05602768692544439</v>
      </c>
      <c r="C205" s="18" t="n">
        <v>0.1898585791761697</v>
      </c>
      <c r="D205" s="43" t="n">
        <v>1.029261112606332</v>
      </c>
      <c r="E205" s="21" t="n">
        <v>2</v>
      </c>
      <c r="F205" s="18" t="n">
        <v>0.4516299414039675</v>
      </c>
      <c r="G205" s="16" t="n">
        <v>33.89741774048599</v>
      </c>
      <c r="H205" s="16" t="n">
        <v>36.5881192379554</v>
      </c>
    </row>
    <row r="206">
      <c r="A206" s="21" t="n">
        <v>174</v>
      </c>
      <c r="B206" s="18" t="n">
        <v>0.04569550596351733</v>
      </c>
      <c r="C206" s="18" t="n">
        <v>0.08725002408039277</v>
      </c>
      <c r="D206" s="43" t="n">
        <v>1.354874322855716</v>
      </c>
      <c r="E206" s="21" t="n">
        <v>0</v>
      </c>
      <c r="F206" s="18" t="n">
        <v>0.7374310960637664</v>
      </c>
      <c r="G206" s="16" t="n">
        <v>74.86707030047272</v>
      </c>
      <c r="H206" s="16" t="n">
        <v>34.67565055663238</v>
      </c>
    </row>
    <row r="207">
      <c r="A207" s="21" t="n">
        <v>175</v>
      </c>
      <c r="B207" s="18" t="n">
        <v>-0.07464106087145582</v>
      </c>
      <c r="C207" s="18" t="n">
        <v>0.0688380608467849</v>
      </c>
      <c r="D207" s="43" t="n">
        <v>1.170192794192263</v>
      </c>
      <c r="E207" s="21" t="n">
        <v>2</v>
      </c>
      <c r="F207" s="18" t="n">
        <v>0.4942927284577314</v>
      </c>
      <c r="G207" s="16" t="n">
        <v>43.85928855641983</v>
      </c>
      <c r="H207" s="16" t="n">
        <v>36.47941713411069</v>
      </c>
    </row>
    <row r="208">
      <c r="A208" s="21" t="n">
        <v>176</v>
      </c>
      <c r="B208" s="18" t="n">
        <v>-0.1106373734484683</v>
      </c>
      <c r="C208" s="18" t="n">
        <v>0.03930054900273072</v>
      </c>
      <c r="D208" s="43" t="n">
        <v>1.353024374667462</v>
      </c>
      <c r="E208" s="21" t="n">
        <v>3</v>
      </c>
      <c r="F208" s="18" t="n">
        <v>0.3821877369414086</v>
      </c>
      <c r="G208" s="16" t="n">
        <v>32.23799130869539</v>
      </c>
      <c r="H208" s="16" t="n">
        <v>37.30453276978778</v>
      </c>
    </row>
    <row r="209">
      <c r="A209" s="21" t="n">
        <v>177</v>
      </c>
      <c r="B209" s="18" t="n">
        <v>-0.02748123176384441</v>
      </c>
      <c r="C209" s="18" t="n">
        <v>0.1400016442903314</v>
      </c>
      <c r="D209" s="43" t="n">
        <v>1.14558706483281</v>
      </c>
      <c r="E209" s="21" t="n">
        <v>1</v>
      </c>
      <c r="F209" s="18" t="n">
        <v>0.5740401041179959</v>
      </c>
      <c r="G209" s="16" t="n">
        <v>49.73763798075719</v>
      </c>
      <c r="H209" s="16" t="n">
        <v>35.56650522214963</v>
      </c>
    </row>
    <row r="210">
      <c r="A210" s="21" t="n">
        <v>178</v>
      </c>
      <c r="B210" s="18" t="n">
        <v>0.06815560802013888</v>
      </c>
      <c r="C210" s="18" t="n">
        <v>0.05377741397287439</v>
      </c>
      <c r="D210" s="43" t="n">
        <v>1.088890635821363</v>
      </c>
      <c r="E210" s="21" t="n">
        <v>0</v>
      </c>
      <c r="F210" s="18" t="n">
        <v>1.025616043988466</v>
      </c>
      <c r="G210" s="16" t="n">
        <v>95.33645594907063</v>
      </c>
      <c r="H210" s="16" t="n">
        <v>34.50623674256068</v>
      </c>
    </row>
    <row r="211">
      <c r="A211" s="21" t="n">
        <v>179</v>
      </c>
      <c r="B211" s="18" t="n">
        <v>0.03535542249153226</v>
      </c>
      <c r="C211" s="18" t="n">
        <v>0.001839543461157431</v>
      </c>
      <c r="D211" s="43" t="n">
        <v>1.009652844113997</v>
      </c>
      <c r="E211" s="21" t="n">
        <v>2</v>
      </c>
      <c r="F211" s="18" t="n">
        <v>0.7874240415135163</v>
      </c>
      <c r="G211" s="16" t="n">
        <v>86.03458250813452</v>
      </c>
      <c r="H211" s="16" t="n">
        <v>37.12179659695054</v>
      </c>
    </row>
    <row r="212">
      <c r="A212" s="21" t="n">
        <v>180</v>
      </c>
      <c r="B212" s="18" t="n">
        <v>0.01198814484229875</v>
      </c>
      <c r="C212" s="18" t="n">
        <v>0.03577023621146858</v>
      </c>
      <c r="D212" s="43" t="n">
        <v>1.004200699389609</v>
      </c>
      <c r="E212" s="21" t="n">
        <v>1</v>
      </c>
      <c r="F212" s="18" t="n">
        <v>0.829389974451396</v>
      </c>
      <c r="G212" s="16" t="n">
        <v>79.81662263288844</v>
      </c>
      <c r="H212" s="16" t="n">
        <v>35.71890081707637</v>
      </c>
    </row>
    <row r="213">
      <c r="A213" s="21" t="n">
        <v>181</v>
      </c>
      <c r="B213" s="18" t="n">
        <v>0.03517346580611944</v>
      </c>
      <c r="C213" s="18" t="n">
        <v>-0.01334848738516597</v>
      </c>
      <c r="D213" s="43" t="n">
        <v>1.354121819839899</v>
      </c>
      <c r="E213" s="21" t="n">
        <v>1</v>
      </c>
      <c r="F213" s="18" t="n">
        <v>0.7445083645795516</v>
      </c>
      <c r="G213" s="16" t="n">
        <v>83.79281743711121</v>
      </c>
      <c r="H213" s="16" t="n">
        <v>35.98524726586754</v>
      </c>
    </row>
    <row r="214">
      <c r="A214" s="21" t="n">
        <v>182</v>
      </c>
      <c r="B214" s="18" t="n">
        <v>0.03572154215016837</v>
      </c>
      <c r="C214" s="18" t="n">
        <v>0.01355769625919138</v>
      </c>
      <c r="D214" s="43" t="n">
        <v>0.954214362517867</v>
      </c>
      <c r="E214" s="21" t="n">
        <v>2</v>
      </c>
      <c r="F214" s="18" t="n">
        <v>0.8294074191442515</v>
      </c>
      <c r="G214" s="16" t="n">
        <v>87.0819446879276</v>
      </c>
      <c r="H214" s="16" t="n">
        <v>37.12393473575699</v>
      </c>
    </row>
    <row r="215">
      <c r="A215" s="21" t="n">
        <v>183</v>
      </c>
      <c r="B215" s="18" t="n">
        <v>-0.01620682590904537</v>
      </c>
      <c r="C215" s="18" t="n">
        <v>-0.03120171231206832</v>
      </c>
      <c r="D215" s="43" t="n">
        <v>0.931135311881236</v>
      </c>
      <c r="E215" s="21" t="n">
        <v>1</v>
      </c>
      <c r="F215" s="18" t="n">
        <v>0.9276478879533603</v>
      </c>
      <c r="G215" s="16" t="n">
        <v>86.05139639342063</v>
      </c>
      <c r="H215" s="16" t="n">
        <v>35.58952617985734</v>
      </c>
    </row>
    <row r="216">
      <c r="A216" s="21" t="n">
        <v>184</v>
      </c>
      <c r="B216" s="18" t="n">
        <v>-0.04559907908374392</v>
      </c>
      <c r="C216" s="18" t="n">
        <v>0.04756770831368096</v>
      </c>
      <c r="D216" s="43" t="n">
        <v>0.9877718642513463</v>
      </c>
      <c r="E216" s="21" t="n">
        <v>0</v>
      </c>
      <c r="F216" s="18" t="n">
        <v>0.9182901520473148</v>
      </c>
      <c r="G216" s="16" t="n">
        <v>70.00334192235955</v>
      </c>
      <c r="H216" s="16" t="n">
        <v>34.14085668758301</v>
      </c>
    </row>
    <row r="217">
      <c r="A217" s="21" t="n">
        <v>185</v>
      </c>
      <c r="B217" s="18" t="n">
        <v>0.01523140229125058</v>
      </c>
      <c r="C217" s="18" t="n">
        <v>0.07537239976815481</v>
      </c>
      <c r="D217" s="43" t="n">
        <v>0.9872679959063597</v>
      </c>
      <c r="E217" s="21" t="n">
        <v>0</v>
      </c>
      <c r="F217" s="18" t="n">
        <v>1.019543550577151</v>
      </c>
      <c r="G217" s="16" t="n">
        <v>82.09563316015718</v>
      </c>
      <c r="H217" s="16" t="n">
        <v>34.3362441937595</v>
      </c>
    </row>
    <row r="218">
      <c r="A218" s="21" t="n">
        <v>186</v>
      </c>
      <c r="B218" s="18" t="n">
        <v>0.001098588366790318</v>
      </c>
      <c r="C218" s="18" t="n">
        <v>0.03293692703384024</v>
      </c>
      <c r="D218" s="43" t="n">
        <v>1.423816664703924</v>
      </c>
      <c r="E218" s="21" t="n">
        <v>0</v>
      </c>
      <c r="F218" s="18" t="n">
        <v>0.6751674078186429</v>
      </c>
      <c r="G218" s="16" t="n">
        <v>69.26165112645006</v>
      </c>
      <c r="H218" s="16" t="n">
        <v>34.39830817797442</v>
      </c>
    </row>
    <row r="219">
      <c r="A219" s="21" t="n">
        <v>187</v>
      </c>
      <c r="B219" s="18" t="n">
        <v>-0.0364606163212826</v>
      </c>
      <c r="C219" s="18" t="n">
        <v>0.04304849567135166</v>
      </c>
      <c r="D219" s="43" t="n">
        <v>1.106318011463012</v>
      </c>
      <c r="E219" s="21" t="n">
        <v>1</v>
      </c>
      <c r="F219" s="18" t="n">
        <v>0.7053286597331159</v>
      </c>
      <c r="G219" s="16" t="n">
        <v>64.3167024237512</v>
      </c>
      <c r="H219" s="16" t="n">
        <v>35.49659021585148</v>
      </c>
    </row>
    <row r="220">
      <c r="A220" s="21" t="n">
        <v>188</v>
      </c>
      <c r="B220" s="18" t="n">
        <v>-0.09291147183433193</v>
      </c>
      <c r="C220" s="18" t="n">
        <v>0.1583634066702675</v>
      </c>
      <c r="D220" s="43" t="n">
        <v>1.712311721925824</v>
      </c>
      <c r="E220" s="21" t="n">
        <v>1</v>
      </c>
      <c r="F220" s="18" t="n">
        <v>0.2591839850456055</v>
      </c>
      <c r="G220" s="16" t="n">
        <v>14.10242893011636</v>
      </c>
      <c r="H220" s="16" t="n">
        <v>66.94592413246698</v>
      </c>
    </row>
    <row r="221">
      <c r="A221" s="21" t="n">
        <v>189</v>
      </c>
      <c r="B221" s="18" t="n">
        <v>0.01174261101406002</v>
      </c>
      <c r="C221" s="18" t="n">
        <v>0.09732786486555327</v>
      </c>
      <c r="D221" s="43" t="n">
        <v>0.9656570299085507</v>
      </c>
      <c r="E221" s="21" t="n">
        <v>1</v>
      </c>
      <c r="F221" s="18" t="n">
        <v>0.8211391550658733</v>
      </c>
      <c r="G221" s="16" t="n">
        <v>72.60068121850206</v>
      </c>
      <c r="H221" s="16" t="n">
        <v>35.71777416756737</v>
      </c>
    </row>
    <row r="222">
      <c r="A222" s="21" t="n">
        <v>190</v>
      </c>
      <c r="B222" s="18" t="n">
        <v>-0.05484282581255982</v>
      </c>
      <c r="C222" s="18" t="n">
        <v>0.0603089375448824</v>
      </c>
      <c r="D222" s="43" t="n">
        <v>1.273532394685974</v>
      </c>
      <c r="E222" s="21" t="n">
        <v>0</v>
      </c>
      <c r="F222" s="18" t="n">
        <v>0.6161310186989162</v>
      </c>
      <c r="G222" s="16" t="n">
        <v>54.79861719558838</v>
      </c>
      <c r="H222" s="16" t="n">
        <v>34.32949708032736</v>
      </c>
    </row>
    <row r="223">
      <c r="A223" s="21" t="n">
        <v>191</v>
      </c>
      <c r="B223" s="18" t="n">
        <v>0.04590252164487141</v>
      </c>
      <c r="C223" s="18" t="n">
        <v>0.02543750726420184</v>
      </c>
      <c r="D223" s="43" t="n">
        <v>1.135909347875609</v>
      </c>
      <c r="E223" s="21" t="n">
        <v>2</v>
      </c>
      <c r="F223" s="18" t="n">
        <v>0.7296193839603973</v>
      </c>
      <c r="G223" s="16" t="n">
        <v>82.05816185749771</v>
      </c>
      <c r="H223" s="16" t="n">
        <v>37.18339165600605</v>
      </c>
    </row>
    <row r="224">
      <c r="A224" s="21" t="n">
        <v>192</v>
      </c>
      <c r="B224" s="18" t="n">
        <v>-0.05882168658230114</v>
      </c>
      <c r="C224" s="18" t="n">
        <v>0.1338362935428516</v>
      </c>
      <c r="D224" s="43" t="n">
        <v>1.103102978452095</v>
      </c>
      <c r="E224" s="21" t="n">
        <v>3</v>
      </c>
      <c r="F224" s="18" t="n">
        <v>0.4419397989114888</v>
      </c>
      <c r="G224" s="16" t="n">
        <v>37.09365447929731</v>
      </c>
      <c r="H224" s="16" t="n">
        <v>37.64720080502968</v>
      </c>
    </row>
    <row r="225">
      <c r="A225" s="21" t="n">
        <v>193</v>
      </c>
      <c r="B225" s="18" t="n">
        <v>-0.08492198014539572</v>
      </c>
      <c r="C225" s="18" t="n">
        <v>0.01857071049371728</v>
      </c>
      <c r="D225" s="43" t="n">
        <v>1.483878756239423</v>
      </c>
      <c r="E225" s="21" t="n">
        <v>0</v>
      </c>
      <c r="F225" s="18" t="n">
        <v>0.5403702125072789</v>
      </c>
      <c r="G225" s="16" t="n">
        <v>49.28016053258483</v>
      </c>
      <c r="H225" s="16" t="n">
        <v>34.11277660737233</v>
      </c>
    </row>
    <row r="226">
      <c r="A226" s="21" t="n">
        <v>194</v>
      </c>
      <c r="B226" s="18" t="n">
        <v>0.02425480439623764</v>
      </c>
      <c r="C226" s="18" t="n">
        <v>0.03066915829347205</v>
      </c>
      <c r="D226" s="43" t="n">
        <v>1.660273541026475</v>
      </c>
      <c r="E226" s="21" t="n">
        <v>1</v>
      </c>
      <c r="F226" s="18" t="n">
        <v>0.5578137454411884</v>
      </c>
      <c r="G226" s="16" t="n">
        <v>64.81182759442484</v>
      </c>
      <c r="H226" s="16" t="n">
        <v>35.43181803096532</v>
      </c>
    </row>
    <row r="227">
      <c r="A227" s="21" t="n">
        <v>195</v>
      </c>
      <c r="B227" s="18" t="n">
        <v>-0.07727924007860586</v>
      </c>
      <c r="C227" s="18" t="n">
        <v>0.1378329236088371</v>
      </c>
      <c r="D227" s="43" t="n">
        <v>1.481075505831463</v>
      </c>
      <c r="E227" s="21" t="n">
        <v>1</v>
      </c>
      <c r="F227" s="18" t="n">
        <v>0.3651817174675198</v>
      </c>
      <c r="G227" s="16" t="n">
        <v>28.22178556281968</v>
      </c>
      <c r="H227" s="16" t="n">
        <v>42.93680689753686</v>
      </c>
    </row>
    <row r="228">
      <c r="A228" s="21" t="n">
        <v>196</v>
      </c>
      <c r="B228" s="18" t="n">
        <v>-0.0713567763158071</v>
      </c>
      <c r="C228" s="18" t="n">
        <v>0.05859822260528541</v>
      </c>
      <c r="D228" s="43" t="n">
        <v>0.996112559024216</v>
      </c>
      <c r="E228" s="21" t="n">
        <v>1</v>
      </c>
      <c r="F228" s="18" t="n">
        <v>0.7097527952470446</v>
      </c>
      <c r="G228" s="16" t="n">
        <v>56.91290193221912</v>
      </c>
      <c r="H228" s="16" t="n">
        <v>35.33646669313375</v>
      </c>
    </row>
    <row r="229">
      <c r="A229" s="21" t="n">
        <v>197</v>
      </c>
      <c r="B229" s="18" t="n">
        <v>-0.006199074038206909</v>
      </c>
      <c r="C229" s="18" t="n">
        <v>0.09535064668266703</v>
      </c>
      <c r="D229" s="43" t="n">
        <v>1.010467440169278</v>
      </c>
      <c r="E229" s="21" t="n">
        <v>0</v>
      </c>
      <c r="F229" s="18" t="n">
        <v>0.846717901439608</v>
      </c>
      <c r="G229" s="16" t="n">
        <v>69.90810004303796</v>
      </c>
      <c r="H229" s="16" t="n">
        <v>34.26740950378927</v>
      </c>
    </row>
    <row r="230">
      <c r="A230" s="21" t="n">
        <v>198</v>
      </c>
      <c r="B230" s="18" t="n">
        <v>0.03195774309432733</v>
      </c>
      <c r="C230" s="18" t="n">
        <v>0.06811616381057178</v>
      </c>
      <c r="D230" s="43" t="n">
        <v>1.275461253362586</v>
      </c>
      <c r="E230" s="21" t="n">
        <v>2</v>
      </c>
      <c r="F230" s="18" t="n">
        <v>0.6035410932795771</v>
      </c>
      <c r="G230" s="16" t="n">
        <v>67.12925776968892</v>
      </c>
      <c r="H230" s="16" t="n">
        <v>37.18967055743389</v>
      </c>
    </row>
    <row r="231">
      <c r="A231" s="21" t="n">
        <v>199</v>
      </c>
      <c r="B231" s="18" t="n">
        <v>-0.06767748809011731</v>
      </c>
      <c r="C231" s="18" t="n">
        <v>0.07863759388881393</v>
      </c>
      <c r="D231" s="43" t="n">
        <v>1.045856025224993</v>
      </c>
      <c r="E231" s="21" t="n">
        <v>3</v>
      </c>
      <c r="F231" s="18" t="n">
        <v>0.500755804626176</v>
      </c>
      <c r="G231" s="16" t="n">
        <v>44.69038764498007</v>
      </c>
      <c r="H231" s="16" t="n">
        <v>37.58536420841423</v>
      </c>
    </row>
    <row r="232">
      <c r="A232" s="21" t="n">
        <v>200</v>
      </c>
      <c r="B232" s="18" t="n">
        <v>-0.04652939202337086</v>
      </c>
      <c r="C232" s="18" t="n">
        <v>0.02738000924202912</v>
      </c>
      <c r="D232" s="43" t="n">
        <v>1.339326693441506</v>
      </c>
      <c r="E232" s="21" t="n">
        <v>1</v>
      </c>
      <c r="F232" s="18" t="n">
        <v>0.5751256190695646</v>
      </c>
      <c r="G232" s="16" t="n">
        <v>56.57051567710535</v>
      </c>
      <c r="H232" s="16" t="n">
        <v>35.59772282995772</v>
      </c>
    </row>
    <row r="233">
      <c r="A233" s="21" t="n">
        <v>201</v>
      </c>
      <c r="B233" s="18" t="n">
        <v>0.01600194552674017</v>
      </c>
      <c r="C233" s="18" t="n">
        <v>0.01947979010139034</v>
      </c>
      <c r="D233" s="43" t="n">
        <v>1.211048831096937</v>
      </c>
      <c r="E233" s="21" t="n">
        <v>3</v>
      </c>
      <c r="F233" s="18" t="n">
        <v>0.6030910427272307</v>
      </c>
      <c r="G233" s="16" t="n">
        <v>69.17538962493165</v>
      </c>
      <c r="H233" s="16" t="n">
        <v>38.16966494923453</v>
      </c>
    </row>
    <row r="234">
      <c r="A234" s="21" t="n">
        <v>202</v>
      </c>
      <c r="B234" s="18" t="n">
        <v>0.05723173786873051</v>
      </c>
      <c r="C234" s="18" t="n">
        <v>0.03031182938892962</v>
      </c>
      <c r="D234" s="43" t="n">
        <v>1.20060615184365</v>
      </c>
      <c r="E234" s="21" t="n">
        <v>3</v>
      </c>
      <c r="F234" s="18" t="n">
        <v>0.6398509438271687</v>
      </c>
      <c r="G234" s="16" t="n">
        <v>77.26788422732285</v>
      </c>
      <c r="H234" s="16" t="n">
        <v>38.45755645576165</v>
      </c>
    </row>
    <row r="235">
      <c r="A235" s="21" t="n">
        <v>203</v>
      </c>
      <c r="B235" s="18" t="n">
        <v>-0.01856343383981454</v>
      </c>
      <c r="C235" s="18" t="n">
        <v>0.005756894476543872</v>
      </c>
      <c r="D235" s="43" t="n">
        <v>1.429645493980468</v>
      </c>
      <c r="E235" s="21" t="n">
        <v>0</v>
      </c>
      <c r="F235" s="18" t="n">
        <v>0.6768680209843845</v>
      </c>
      <c r="G235" s="16" t="n">
        <v>68.73251242780549</v>
      </c>
      <c r="H235" s="16" t="n">
        <v>34.33304322821918</v>
      </c>
    </row>
    <row r="236">
      <c r="A236" s="21" t="n">
        <v>204</v>
      </c>
      <c r="B236" s="18" t="n">
        <v>-0.07954104856004347</v>
      </c>
      <c r="C236" s="18" t="n">
        <v>0.1269134795250131</v>
      </c>
      <c r="D236" s="43" t="n">
        <v>1.318778863093216</v>
      </c>
      <c r="E236" s="21" t="n">
        <v>1</v>
      </c>
      <c r="F236" s="18" t="n">
        <v>0.4263929325038369</v>
      </c>
      <c r="G236" s="16" t="n">
        <v>33.84759722839581</v>
      </c>
      <c r="H236" s="16" t="n">
        <v>35.44114539903698</v>
      </c>
    </row>
    <row r="237">
      <c r="A237" s="21" t="n">
        <v>205</v>
      </c>
      <c r="B237" s="18" t="n">
        <v>-0.1280728039655556</v>
      </c>
      <c r="C237" s="18" t="n">
        <v>0.0252657868158055</v>
      </c>
      <c r="D237" s="43" t="n">
        <v>0.8729078390809819</v>
      </c>
      <c r="E237" s="21" t="n">
        <v>0</v>
      </c>
      <c r="F237" s="18" t="n">
        <v>0.8285730352914833</v>
      </c>
      <c r="G237" s="16" t="n">
        <v>53.4130629221992</v>
      </c>
      <c r="H237" s="16" t="n">
        <v>33.87595108326263</v>
      </c>
    </row>
    <row r="238">
      <c r="A238" s="21" t="n">
        <v>206</v>
      </c>
      <c r="B238" s="18" t="n">
        <v>-0.06098801746416101</v>
      </c>
      <c r="C238" s="18" t="n">
        <v>0.0634836979061158</v>
      </c>
      <c r="D238" s="43" t="n">
        <v>0.8994576665179872</v>
      </c>
      <c r="E238" s="21" t="n">
        <v>3</v>
      </c>
      <c r="F238" s="18" t="n">
        <v>0.5807789022019465</v>
      </c>
      <c r="G238" s="16" t="n">
        <v>52.30140003709977</v>
      </c>
      <c r="H238" s="16" t="n">
        <v>37.63207416417632</v>
      </c>
    </row>
    <row r="239">
      <c r="A239" s="21" t="n">
        <v>207</v>
      </c>
      <c r="B239" s="18" t="n">
        <v>-0.08256212849121811</v>
      </c>
      <c r="C239" s="18" t="n">
        <v>0.1059729457470266</v>
      </c>
      <c r="D239" s="43" t="n">
        <v>1.23541764282331</v>
      </c>
      <c r="E239" s="21" t="n">
        <v>0</v>
      </c>
      <c r="F239" s="18" t="n">
        <v>0.551345368089887</v>
      </c>
      <c r="G239" s="16" t="n">
        <v>42.72662489776017</v>
      </c>
      <c r="H239" s="16" t="n">
        <v>34.11937978726614</v>
      </c>
    </row>
    <row r="240">
      <c r="A240" s="21" t="n">
        <v>208</v>
      </c>
      <c r="B240" s="18" t="n">
        <v>0.002986492058058926</v>
      </c>
      <c r="C240" s="18" t="n">
        <v>0.1041486810130806</v>
      </c>
      <c r="D240" s="43" t="n">
        <v>1.158871043001348</v>
      </c>
      <c r="E240" s="21" t="n">
        <v>0</v>
      </c>
      <c r="F240" s="18" t="n">
        <v>0.7728843011473974</v>
      </c>
      <c r="G240" s="16" t="n">
        <v>67.85999987675129</v>
      </c>
      <c r="H240" s="16" t="n">
        <v>34.40323011024864</v>
      </c>
    </row>
    <row r="241">
      <c r="A241" s="21" t="n">
        <v>209</v>
      </c>
      <c r="B241" s="18" t="n">
        <v>-0.08516774406451427</v>
      </c>
      <c r="C241" s="18" t="n">
        <v>0.04550539164691927</v>
      </c>
      <c r="D241" s="43" t="n">
        <v>1.030680641264236</v>
      </c>
      <c r="E241" s="21" t="n">
        <v>2</v>
      </c>
      <c r="F241" s="18" t="n">
        <v>0.5658622951619618</v>
      </c>
      <c r="G241" s="16" t="n">
        <v>49.05478251277497</v>
      </c>
      <c r="H241" s="16" t="n">
        <v>36.41794130426323</v>
      </c>
    </row>
    <row r="242">
      <c r="A242" s="21" t="n">
        <v>210</v>
      </c>
      <c r="B242" s="18" t="n">
        <v>-0.0178319908566682</v>
      </c>
      <c r="C242" s="18" t="n">
        <v>0.05080528030434805</v>
      </c>
      <c r="D242" s="43" t="n">
        <v>1.118035829278283</v>
      </c>
      <c r="E242" s="21" t="n">
        <v>0</v>
      </c>
      <c r="F242" s="18" t="n">
        <v>0.8487998567635915</v>
      </c>
      <c r="G242" s="16" t="n">
        <v>72.50767462828868</v>
      </c>
      <c r="H242" s="16" t="n">
        <v>34.23004457496838</v>
      </c>
    </row>
    <row r="243">
      <c r="A243" s="21" t="n">
        <v>211</v>
      </c>
      <c r="B243" s="18" t="n">
        <v>0.004996192202189567</v>
      </c>
      <c r="C243" s="18" t="n">
        <v>0.184994145467137</v>
      </c>
      <c r="D243" s="43" t="n">
        <v>1.359918479127206</v>
      </c>
      <c r="E243" s="21" t="n">
        <v>2</v>
      </c>
      <c r="F243" s="18" t="n">
        <v>0.4344764678736259</v>
      </c>
      <c r="G243" s="16" t="n">
        <v>40.56060508726871</v>
      </c>
      <c r="H243" s="16" t="n">
        <v>37.02992336839797</v>
      </c>
    </row>
    <row r="244">
      <c r="A244" s="21" t="n">
        <v>212</v>
      </c>
      <c r="B244" s="18" t="n">
        <v>-0.008407192915313916</v>
      </c>
      <c r="C244" s="18" t="n">
        <v>0.0824006495409457</v>
      </c>
      <c r="D244" s="43" t="n">
        <v>1.427560995230553</v>
      </c>
      <c r="E244" s="21" t="n">
        <v>0</v>
      </c>
      <c r="F244" s="18" t="n">
        <v>0.5930449136053508</v>
      </c>
      <c r="G244" s="16" t="n">
        <v>58.42671101188296</v>
      </c>
      <c r="H244" s="16" t="n">
        <v>34.36675525166594</v>
      </c>
    </row>
    <row r="245">
      <c r="A245" s="21" t="n">
        <v>213</v>
      </c>
      <c r="B245" s="18" t="n">
        <v>-0.06698036387533375</v>
      </c>
      <c r="C245" s="18" t="n">
        <v>0.111242655698303</v>
      </c>
      <c r="D245" s="43" t="n">
        <v>1.207529287063095</v>
      </c>
      <c r="E245" s="21" t="n">
        <v>3</v>
      </c>
      <c r="F245" s="18" t="n">
        <v>0.419792434231183</v>
      </c>
      <c r="G245" s="16" t="n">
        <v>35.9297857718215</v>
      </c>
      <c r="H245" s="16" t="n">
        <v>37.59023195401831</v>
      </c>
    </row>
    <row r="246">
      <c r="A246" s="21" t="n">
        <v>214</v>
      </c>
      <c r="B246" s="18" t="n">
        <v>0.01996577044513384</v>
      </c>
      <c r="C246" s="18" t="n">
        <v>0.1356458524399348</v>
      </c>
      <c r="D246" s="43" t="n">
        <v>1.098783617337475</v>
      </c>
      <c r="E246" s="21" t="n">
        <v>2</v>
      </c>
      <c r="F246" s="18" t="n">
        <v>0.609919903625556</v>
      </c>
      <c r="G246" s="16" t="n">
        <v>59.69094915575222</v>
      </c>
      <c r="H246" s="16" t="n">
        <v>37.03192102899958</v>
      </c>
    </row>
    <row r="247">
      <c r="A247" s="21" t="n">
        <v>215</v>
      </c>
      <c r="B247" s="18" t="n">
        <v>0.007636274176426983</v>
      </c>
      <c r="C247" s="18" t="n">
        <v>0.1049872010713657</v>
      </c>
      <c r="D247" s="43" t="n">
        <v>1.036165861718714</v>
      </c>
      <c r="E247" s="21" t="n">
        <v>0</v>
      </c>
      <c r="F247" s="18" t="n">
        <v>0.8629117459403335</v>
      </c>
      <c r="G247" s="16" t="n">
        <v>72.0582823695527</v>
      </c>
      <c r="H247" s="16" t="n">
        <v>34.31184864225468</v>
      </c>
    </row>
    <row r="248">
      <c r="A248" s="21" t="n">
        <v>216</v>
      </c>
      <c r="B248" s="18" t="n">
        <v>0.01069852578801782</v>
      </c>
      <c r="C248" s="18" t="n">
        <v>0.01085710228947277</v>
      </c>
      <c r="D248" s="43" t="n">
        <v>1.181562272023612</v>
      </c>
      <c r="E248" s="21" t="n">
        <v>2</v>
      </c>
      <c r="F248" s="18" t="n">
        <v>0.6738767815306628</v>
      </c>
      <c r="G248" s="16" t="n">
        <v>73.87955642482916</v>
      </c>
      <c r="H248" s="16" t="n">
        <v>36.97780032020202</v>
      </c>
    </row>
    <row r="249">
      <c r="A249" s="21" t="n">
        <v>217</v>
      </c>
      <c r="B249" s="18" t="n">
        <v>-0.08275795639090594</v>
      </c>
      <c r="C249" s="18" t="n">
        <v>0.06358979577702709</v>
      </c>
      <c r="D249" s="43" t="n">
        <v>1.059594499514965</v>
      </c>
      <c r="E249" s="21" t="n">
        <v>0</v>
      </c>
      <c r="F249" s="18" t="n">
        <v>0.7189651024883761</v>
      </c>
      <c r="G249" s="16" t="n">
        <v>54.36598390256882</v>
      </c>
      <c r="H249" s="16" t="n">
        <v>34.0215023736724</v>
      </c>
    </row>
    <row r="250">
      <c r="A250" s="21" t="n">
        <v>218</v>
      </c>
      <c r="B250" s="18" t="n">
        <v>-0.08465854129316602</v>
      </c>
      <c r="C250" s="18" t="n">
        <v>-0.004857080884252761</v>
      </c>
      <c r="D250" s="43" t="n">
        <v>1.209471516044974</v>
      </c>
      <c r="E250" s="21" t="n">
        <v>1</v>
      </c>
      <c r="F250" s="18" t="n">
        <v>0.62460631498842</v>
      </c>
      <c r="G250" s="16" t="n">
        <v>56.78712902175251</v>
      </c>
      <c r="H250" s="16" t="n">
        <v>35.30245496128517</v>
      </c>
    </row>
    <row r="251">
      <c r="A251" s="21" t="n">
        <v>219</v>
      </c>
      <c r="B251" s="18" t="n">
        <v>0.0434917946006619</v>
      </c>
      <c r="C251" s="18" t="n">
        <v>0.07854708887379411</v>
      </c>
      <c r="D251" s="43" t="n">
        <v>1.291395935926295</v>
      </c>
      <c r="E251" s="21" t="n">
        <v>1</v>
      </c>
      <c r="F251" s="18" t="n">
        <v>0.6819990752612133</v>
      </c>
      <c r="G251" s="16" t="n">
        <v>72.95934123464696</v>
      </c>
      <c r="H251" s="16" t="n">
        <v>36.02470189156185</v>
      </c>
    </row>
    <row r="252">
      <c r="A252" s="21" t="n">
        <v>220</v>
      </c>
      <c r="B252" s="18" t="n">
        <v>-0.03288276093178916</v>
      </c>
      <c r="C252" s="18" t="n">
        <v>0.1564379832650274</v>
      </c>
      <c r="D252" s="43" t="n">
        <v>0.9149601765129081</v>
      </c>
      <c r="E252" s="21" t="n">
        <v>2</v>
      </c>
      <c r="F252" s="18" t="n">
        <v>0.6000047234742028</v>
      </c>
      <c r="G252" s="16" t="n">
        <v>48.91328360957272</v>
      </c>
      <c r="H252" s="16" t="n">
        <v>36.72328560575835</v>
      </c>
    </row>
    <row r="253">
      <c r="A253" s="21" t="n">
        <v>221</v>
      </c>
      <c r="B253" s="18" t="n">
        <v>-0.04810431870563689</v>
      </c>
      <c r="C253" s="18" t="n">
        <v>0.05609417222626017</v>
      </c>
      <c r="D253" s="43" t="n">
        <v>0.8146113998148518</v>
      </c>
      <c r="E253" s="21" t="n">
        <v>0</v>
      </c>
      <c r="F253" s="18" t="n">
        <v>1.045379544483297</v>
      </c>
      <c r="G253" s="16" t="n">
        <v>71.94749193991872</v>
      </c>
      <c r="H253" s="16" t="n">
        <v>34.13280985791749</v>
      </c>
    </row>
    <row r="254">
      <c r="A254" s="21" t="n">
        <v>222</v>
      </c>
      <c r="B254" s="18" t="n">
        <v>-0.02016876506545931</v>
      </c>
      <c r="C254" s="18" t="n">
        <v>0.04476253978784664</v>
      </c>
      <c r="D254" s="43" t="n">
        <v>1.006162303158003</v>
      </c>
      <c r="E254" s="21" t="n">
        <v>0</v>
      </c>
      <c r="F254" s="18" t="n">
        <v>0.8936926967269778</v>
      </c>
      <c r="G254" s="16" t="n">
        <v>74.64139917655866</v>
      </c>
      <c r="H254" s="16" t="n">
        <v>34.22253885620974</v>
      </c>
    </row>
    <row r="255">
      <c r="A255" s="21" t="n">
        <v>223</v>
      </c>
      <c r="B255" s="18" t="n">
        <v>0.001238978643302982</v>
      </c>
      <c r="C255" s="18" t="n">
        <v>-0.02322585149134966</v>
      </c>
      <c r="D255" s="43" t="n">
        <v>1.509499050216742</v>
      </c>
      <c r="E255" s="21" t="n">
        <v>1</v>
      </c>
      <c r="F255" s="18" t="n">
        <v>0.6212557550974382</v>
      </c>
      <c r="G255" s="16" t="n">
        <v>70.95452595761232</v>
      </c>
      <c r="H255" s="16" t="n">
        <v>35.48829727515946</v>
      </c>
    </row>
    <row r="256">
      <c r="A256" s="21" t="n">
        <v>224</v>
      </c>
      <c r="B256" s="18" t="n">
        <v>0.05142497470979679</v>
      </c>
      <c r="C256" s="18" t="n">
        <v>0.1586528985174518</v>
      </c>
      <c r="D256" s="43" t="n">
        <v>1.268053208095817</v>
      </c>
      <c r="E256" s="21" t="n">
        <v>1</v>
      </c>
      <c r="F256" s="18" t="n">
        <v>0.6045175691375102</v>
      </c>
      <c r="G256" s="16" t="n">
        <v>61.98430245849346</v>
      </c>
      <c r="H256" s="16" t="n">
        <v>36.06232972036044</v>
      </c>
    </row>
    <row r="257">
      <c r="A257" s="21" t="n">
        <v>225</v>
      </c>
      <c r="B257" s="18" t="n">
        <v>-0.05058976497648293</v>
      </c>
      <c r="C257" s="18" t="n">
        <v>-0.004612185747679194</v>
      </c>
      <c r="D257" s="43" t="n">
        <v>0.9854509918749549</v>
      </c>
      <c r="E257" s="21" t="n">
        <v>0</v>
      </c>
      <c r="F257" s="18" t="n">
        <v>0.9907146216293936</v>
      </c>
      <c r="G257" s="16" t="n">
        <v>77.44336472972623</v>
      </c>
      <c r="H257" s="16" t="n">
        <v>34.12482660449553</v>
      </c>
    </row>
    <row r="258">
      <c r="A258" s="21" t="n">
        <v>226</v>
      </c>
      <c r="B258" s="18" t="n">
        <v>0.04280423544731603</v>
      </c>
      <c r="C258" s="18" t="n">
        <v>-0.02133675060121518</v>
      </c>
      <c r="D258" s="43" t="n">
        <v>1.503708200347858</v>
      </c>
      <c r="E258" s="21" t="n">
        <v>0</v>
      </c>
      <c r="F258" s="18" t="n">
        <v>0.7631612180691911</v>
      </c>
      <c r="G258" s="16" t="n">
        <v>86.06967927107259</v>
      </c>
      <c r="H258" s="16" t="n">
        <v>34.41378420336776</v>
      </c>
    </row>
    <row r="259">
      <c r="A259" s="21" t="n">
        <v>227</v>
      </c>
      <c r="B259" s="18" t="n">
        <v>-0.1207142961015815</v>
      </c>
      <c r="C259" s="18" t="n">
        <v>0.02015220759248257</v>
      </c>
      <c r="D259" s="43" t="n">
        <v>1.148820111052155</v>
      </c>
      <c r="E259" s="21" t="n">
        <v>0</v>
      </c>
      <c r="F259" s="18" t="n">
        <v>0.6298526934970634</v>
      </c>
      <c r="G259" s="16" t="n">
        <v>48.61696618126381</v>
      </c>
      <c r="H259" s="16" t="n">
        <v>33.99279089513495</v>
      </c>
    </row>
    <row r="260">
      <c r="A260" s="21" t="n">
        <v>228</v>
      </c>
      <c r="B260" s="18" t="n">
        <v>-0.01160082203901841</v>
      </c>
      <c r="C260" s="18" t="n">
        <v>-0.01379767026326002</v>
      </c>
      <c r="D260" s="43" t="n">
        <v>1.152600127697671</v>
      </c>
      <c r="E260" s="21" t="n">
        <v>2</v>
      </c>
      <c r="F260" s="18" t="n">
        <v>0.6909636913323531</v>
      </c>
      <c r="G260" s="16" t="n">
        <v>73.92106196961612</v>
      </c>
      <c r="H260" s="16" t="n">
        <v>36.84757212889212</v>
      </c>
    </row>
    <row r="261">
      <c r="A261" s="21" t="n">
        <v>229</v>
      </c>
      <c r="B261" s="18" t="n">
        <v>-0.002107669728963174</v>
      </c>
      <c r="C261" s="18" t="n">
        <v>0.04782414219890169</v>
      </c>
      <c r="D261" s="43" t="n">
        <v>1.572917537167936</v>
      </c>
      <c r="E261" s="21" t="n">
        <v>0</v>
      </c>
      <c r="F261" s="18" t="n">
        <v>0.6009308393470565</v>
      </c>
      <c r="G261" s="16" t="n">
        <v>62.82162971755044</v>
      </c>
      <c r="H261" s="16" t="n">
        <v>34.27000194693913</v>
      </c>
    </row>
    <row r="262">
      <c r="A262" s="21" t="n">
        <v>230</v>
      </c>
      <c r="B262" s="18" t="n">
        <v>-0.08955613819914392</v>
      </c>
      <c r="C262" s="18" t="n">
        <v>0.05659055663390669</v>
      </c>
      <c r="D262" s="43" t="n">
        <v>0.9090749212086262</v>
      </c>
      <c r="E262" s="21" t="n">
        <v>0</v>
      </c>
      <c r="F262" s="18" t="n">
        <v>0.8351302380545718</v>
      </c>
      <c r="G262" s="16" t="n">
        <v>57.80284936473782</v>
      </c>
      <c r="H262" s="16" t="n">
        <v>33.99966661370435</v>
      </c>
    </row>
    <row r="263">
      <c r="A263" s="21" t="n">
        <v>231</v>
      </c>
      <c r="B263" s="18" t="n">
        <v>-0.08041755897710266</v>
      </c>
      <c r="C263" s="18" t="n">
        <v>0.02906578893915926</v>
      </c>
      <c r="D263" s="43" t="n">
        <v>1.007625479778012</v>
      </c>
      <c r="E263" s="21" t="n">
        <v>3</v>
      </c>
      <c r="F263" s="18" t="n">
        <v>0.5296269740225203</v>
      </c>
      <c r="G263" s="16" t="n">
        <v>49.03380782247234</v>
      </c>
      <c r="H263" s="16" t="n">
        <v>37.49640527865552</v>
      </c>
    </row>
    <row r="264">
      <c r="A264" s="21" t="n">
        <v>232</v>
      </c>
      <c r="B264" s="18" t="n">
        <v>-0.02975257168482778</v>
      </c>
      <c r="C264" s="18" t="n">
        <v>-0.01807493693823423</v>
      </c>
      <c r="D264" s="43" t="n">
        <v>1.224341299139653</v>
      </c>
      <c r="E264" s="21" t="n">
        <v>0</v>
      </c>
      <c r="F264" s="18" t="n">
        <v>0.848441932797465</v>
      </c>
      <c r="G264" s="16" t="n">
        <v>77.87010522615358</v>
      </c>
      <c r="H264" s="16" t="n">
        <v>34.29460189674974</v>
      </c>
    </row>
    <row r="265">
      <c r="A265" s="21" t="n">
        <v>233</v>
      </c>
      <c r="B265" s="18" t="n">
        <v>0.05507345157135757</v>
      </c>
      <c r="C265" s="18" t="n">
        <v>-0.002755874809829167</v>
      </c>
      <c r="D265" s="43" t="n">
        <v>0.9977303768175261</v>
      </c>
      <c r="E265" s="21" t="n">
        <v>1</v>
      </c>
      <c r="F265" s="18" t="n">
        <v>1.016610363994238</v>
      </c>
      <c r="G265" s="16" t="n">
        <v>100.2821734434831</v>
      </c>
      <c r="H265" s="16" t="n">
        <v>35.91660082452456</v>
      </c>
    </row>
    <row r="266">
      <c r="A266" s="21" t="n">
        <v>234</v>
      </c>
      <c r="B266" s="18" t="n">
        <v>-0.006600320479486915</v>
      </c>
      <c r="C266" s="18" t="n">
        <v>0.0382639065161148</v>
      </c>
      <c r="D266" s="43" t="n">
        <v>1.293661780394928</v>
      </c>
      <c r="E266" s="21" t="n">
        <v>0</v>
      </c>
      <c r="F266" s="18" t="n">
        <v>0.7410078762816021</v>
      </c>
      <c r="G266" s="16" t="n">
        <v>71.33322008562931</v>
      </c>
      <c r="H266" s="16" t="n">
        <v>34.49559602618913</v>
      </c>
    </row>
    <row r="267">
      <c r="A267" s="21" t="n">
        <v>235</v>
      </c>
      <c r="B267" s="18" t="n">
        <v>0.04489483339227524</v>
      </c>
      <c r="C267" s="18" t="n">
        <v>-0.01520676766193284</v>
      </c>
      <c r="D267" s="43" t="n">
        <v>1.007077451114787</v>
      </c>
      <c r="E267" s="21" t="n">
        <v>2</v>
      </c>
      <c r="F267" s="18" t="n">
        <v>0.8157919343947344</v>
      </c>
      <c r="G267" s="16" t="n">
        <v>91.07565637316</v>
      </c>
      <c r="H267" s="16" t="n">
        <v>37.17750675661088</v>
      </c>
    </row>
    <row r="268">
      <c r="A268" s="21" t="n">
        <v>236</v>
      </c>
      <c r="B268" s="18" t="n">
        <v>0.02000200709422574</v>
      </c>
      <c r="C268" s="18" t="n">
        <v>0.08674393322396068</v>
      </c>
      <c r="D268" s="43" t="n">
        <v>0.9408239827577778</v>
      </c>
      <c r="E268" s="21" t="n">
        <v>1</v>
      </c>
      <c r="F268" s="18" t="n">
        <v>0.8495525965904507</v>
      </c>
      <c r="G268" s="16" t="n">
        <v>76.500063047769</v>
      </c>
      <c r="H268" s="16" t="n">
        <v>35.75567299643807</v>
      </c>
    </row>
    <row r="269">
      <c r="A269" s="21" t="n">
        <v>237</v>
      </c>
      <c r="B269" s="18" t="n">
        <v>-0.02301706707727388</v>
      </c>
      <c r="C269" s="18" t="n">
        <v>0.01434602420115977</v>
      </c>
      <c r="D269" s="43" t="n">
        <v>1.003500237107802</v>
      </c>
      <c r="E269" s="21" t="n">
        <v>2</v>
      </c>
      <c r="F269" s="18" t="n">
        <v>0.6941871607155758</v>
      </c>
      <c r="G269" s="16" t="n">
        <v>69.4686841870174</v>
      </c>
      <c r="H269" s="16" t="n">
        <v>36.78090125786872</v>
      </c>
    </row>
    <row r="270">
      <c r="A270" s="21" t="n">
        <v>238</v>
      </c>
      <c r="B270" s="18" t="n">
        <v>0.01706866810753366</v>
      </c>
      <c r="C270" s="18" t="n">
        <v>0.0277266452104603</v>
      </c>
      <c r="D270" s="43" t="n">
        <v>1.120431922039925</v>
      </c>
      <c r="E270" s="21" t="n">
        <v>0</v>
      </c>
      <c r="F270" s="18" t="n">
        <v>0.9584036914540159</v>
      </c>
      <c r="G270" s="16" t="n">
        <v>85.8772031320577</v>
      </c>
      <c r="H270" s="16" t="n">
        <v>34.3421454915614</v>
      </c>
    </row>
    <row r="271">
      <c r="A271" s="21" t="n">
        <v>239</v>
      </c>
      <c r="B271" s="18" t="n">
        <v>-0.125193366870813</v>
      </c>
      <c r="C271" s="18" t="n">
        <v>0.03953301127667766</v>
      </c>
      <c r="D271" s="43" t="n">
        <v>0.9876903296246665</v>
      </c>
      <c r="E271" s="21" t="n">
        <v>1</v>
      </c>
      <c r="F271" s="18" t="n">
        <v>0.6232809545063849</v>
      </c>
      <c r="G271" s="16" t="n">
        <v>45.77241228182508</v>
      </c>
      <c r="H271" s="16" t="n">
        <v>35.08943365190135</v>
      </c>
    </row>
    <row r="272">
      <c r="A272" s="21" t="n">
        <v>240</v>
      </c>
      <c r="B272" s="18" t="n">
        <v>-0.08863659161668205</v>
      </c>
      <c r="C272" s="18" t="n">
        <v>0.04253860601861414</v>
      </c>
      <c r="D272" s="43" t="n">
        <v>0.9641292325719872</v>
      </c>
      <c r="E272" s="21" t="n">
        <v>2</v>
      </c>
      <c r="F272" s="18" t="n">
        <v>0.6079170479127802</v>
      </c>
      <c r="G272" s="16" t="n">
        <v>51.09242238838779</v>
      </c>
      <c r="H272" s="16" t="n">
        <v>36.39768323455857</v>
      </c>
    </row>
    <row r="273">
      <c r="A273" s="21" t="n">
        <v>241</v>
      </c>
      <c r="B273" s="18" t="n">
        <v>0.02397756265425743</v>
      </c>
      <c r="C273" s="18" t="n">
        <v>-0.04423682782696798</v>
      </c>
      <c r="D273" s="43" t="n">
        <v>1.465673077624838</v>
      </c>
      <c r="E273" s="21" t="n">
        <v>0</v>
      </c>
      <c r="F273" s="18" t="n">
        <v>0.8177556477924144</v>
      </c>
      <c r="G273" s="16" t="n">
        <v>88.26299444340559</v>
      </c>
      <c r="H273" s="16" t="n">
        <v>34.47425128757082</v>
      </c>
    </row>
    <row r="274">
      <c r="A274" s="21" t="n">
        <v>242</v>
      </c>
      <c r="B274" s="18" t="n">
        <v>0.01885618939895042</v>
      </c>
      <c r="C274" s="18" t="n">
        <v>-0.002656495482759723</v>
      </c>
      <c r="D274" s="43" t="n">
        <v>1.062651888778337</v>
      </c>
      <c r="E274" s="21" t="n">
        <v>0</v>
      </c>
      <c r="F274" s="18" t="n">
        <v>1.05000626266016</v>
      </c>
      <c r="G274" s="16" t="n">
        <v>93.31268571620912</v>
      </c>
      <c r="H274" s="16" t="n">
        <v>34.34788700994942</v>
      </c>
    </row>
    <row r="275">
      <c r="A275" s="21" t="n">
        <v>243</v>
      </c>
      <c r="B275" s="18" t="n">
        <v>-0.06041146503127778</v>
      </c>
      <c r="C275" s="18" t="n">
        <v>0.1236291545089837</v>
      </c>
      <c r="D275" s="43" t="n">
        <v>1.08488249162435</v>
      </c>
      <c r="E275" s="21" t="n">
        <v>0</v>
      </c>
      <c r="F275" s="18" t="n">
        <v>0.6383762383697149</v>
      </c>
      <c r="G275" s="16" t="n">
        <v>48.64848452278194</v>
      </c>
      <c r="H275" s="16" t="n">
        <v>34.09327930391953</v>
      </c>
    </row>
    <row r="276">
      <c r="A276" s="21" t="n">
        <v>244</v>
      </c>
      <c r="B276" s="18" t="n">
        <v>-0.01467982088517861</v>
      </c>
      <c r="C276" s="18" t="n">
        <v>-0.04503399051167211</v>
      </c>
      <c r="D276" s="43" t="n">
        <v>0.9051383940349363</v>
      </c>
      <c r="E276" s="21" t="n">
        <v>3</v>
      </c>
      <c r="F276" s="18" t="n">
        <v>0.7373823199395335</v>
      </c>
      <c r="G276" s="16" t="n">
        <v>79.78947487656261</v>
      </c>
      <c r="H276" s="16" t="n">
        <v>37.95542618028871</v>
      </c>
    </row>
    <row r="277">
      <c r="A277" s="21" t="n">
        <v>245</v>
      </c>
      <c r="B277" s="18" t="n">
        <v>-0.005405581663224718</v>
      </c>
      <c r="C277" s="18" t="n">
        <v>0.05542169119140725</v>
      </c>
      <c r="D277" s="43" t="n">
        <v>1.082989329787655</v>
      </c>
      <c r="E277" s="21" t="n">
        <v>1</v>
      </c>
      <c r="F277" s="18" t="n">
        <v>0.7756935696397929</v>
      </c>
      <c r="G277" s="16" t="n">
        <v>72.08106797418122</v>
      </c>
      <c r="H277" s="16" t="n">
        <v>35.63908846059674</v>
      </c>
    </row>
    <row r="278">
      <c r="A278" s="21" t="n">
        <v>246</v>
      </c>
      <c r="B278" s="18" t="n">
        <v>0.0306684355557074</v>
      </c>
      <c r="C278" s="18" t="n">
        <v>0.05270381972554872</v>
      </c>
      <c r="D278" s="43" t="n">
        <v>1.033087841964455</v>
      </c>
      <c r="E278" s="21" t="n">
        <v>1</v>
      </c>
      <c r="F278" s="18" t="n">
        <v>0.8410458925460154</v>
      </c>
      <c r="G278" s="16" t="n">
        <v>81.95697628819948</v>
      </c>
      <c r="H278" s="16" t="n">
        <v>35.80461666532133</v>
      </c>
    </row>
    <row r="279">
      <c r="A279" s="21" t="n">
        <v>247</v>
      </c>
      <c r="B279" s="18" t="n">
        <v>-0.005753000280123571</v>
      </c>
      <c r="C279" s="18" t="n">
        <v>0.03164472637589313</v>
      </c>
      <c r="D279" s="43" t="n">
        <v>1.241777870264382</v>
      </c>
      <c r="E279" s="21" t="n">
        <v>1</v>
      </c>
      <c r="F279" s="18" t="n">
        <v>0.7137868551813085</v>
      </c>
      <c r="G279" s="16" t="n">
        <v>71.15306787400169</v>
      </c>
      <c r="H279" s="16" t="n">
        <v>35.66684826449683</v>
      </c>
    </row>
    <row r="280">
      <c r="A280" s="21" t="n">
        <v>248</v>
      </c>
      <c r="B280" s="18" t="n">
        <v>-0.03069484864457038</v>
      </c>
      <c r="C280" s="18" t="n">
        <v>0.04453745903345113</v>
      </c>
      <c r="D280" s="43" t="n">
        <v>1.002699704087554</v>
      </c>
      <c r="E280" s="21" t="n">
        <v>1</v>
      </c>
      <c r="F280" s="18" t="n">
        <v>0.744019076225183</v>
      </c>
      <c r="G280" s="16" t="n">
        <v>67.23131060104953</v>
      </c>
      <c r="H280" s="16" t="n">
        <v>35.52304685267662</v>
      </c>
    </row>
    <row r="281">
      <c r="A281" s="21" t="n">
        <v>249</v>
      </c>
      <c r="B281" s="18" t="n">
        <v>-0.03638068167099485</v>
      </c>
      <c r="C281" s="18" t="n">
        <v>0.103432398522485</v>
      </c>
      <c r="D281" s="43" t="n">
        <v>1.501156165280715</v>
      </c>
      <c r="E281" s="21" t="n">
        <v>0</v>
      </c>
      <c r="F281" s="18" t="n">
        <v>0.4742456701366191</v>
      </c>
      <c r="G281" s="16" t="n">
        <v>44.60236077270933</v>
      </c>
      <c r="H281" s="16" t="n">
        <v>35.5067764754797</v>
      </c>
    </row>
    <row r="282">
      <c r="A282" s="21" t="n">
        <v>250</v>
      </c>
      <c r="B282" s="18" t="n">
        <v>-0.02878559499842401</v>
      </c>
      <c r="C282" s="18" t="n">
        <v>0.1178486610829479</v>
      </c>
      <c r="D282" s="43" t="n">
        <v>1.562793964527974</v>
      </c>
      <c r="E282" s="21" t="n">
        <v>0</v>
      </c>
      <c r="F282" s="18" t="n">
        <v>0.4691762122787912</v>
      </c>
      <c r="G282" s="16" t="n">
        <v>44.12131715453245</v>
      </c>
      <c r="H282" s="16" t="n">
        <v>36.75743471509367</v>
      </c>
    </row>
    <row r="283">
      <c r="A283" s="21" t="n">
        <v>251</v>
      </c>
      <c r="B283" s="18" t="n">
        <v>-2.793465945363782e-05</v>
      </c>
      <c r="C283" s="18" t="n">
        <v>0.02215934359668885</v>
      </c>
      <c r="D283" s="43" t="n">
        <v>0.9413018451236856</v>
      </c>
      <c r="E283" s="21" t="n">
        <v>1</v>
      </c>
      <c r="F283" s="18" t="n">
        <v>0.8921623693831715</v>
      </c>
      <c r="G283" s="16" t="n">
        <v>81.67658224695839</v>
      </c>
      <c r="H283" s="16" t="n">
        <v>35.66376417799119</v>
      </c>
    </row>
    <row r="284">
      <c r="A284" s="21" t="n">
        <v>252</v>
      </c>
      <c r="B284" s="18" t="n">
        <v>0.03062214691020658</v>
      </c>
      <c r="C284" s="18" t="n">
        <v>0.03031159067611164</v>
      </c>
      <c r="D284" s="43" t="n">
        <v>0.9465625847810943</v>
      </c>
      <c r="E284" s="21" t="n">
        <v>0</v>
      </c>
      <c r="F284" s="18" t="n">
        <v>1.124787634049491</v>
      </c>
      <c r="G284" s="16" t="n">
        <v>93.95846505752147</v>
      </c>
      <c r="H284" s="16" t="n">
        <v>34.38567926547558</v>
      </c>
    </row>
    <row r="285">
      <c r="A285" s="21" t="n">
        <v>253</v>
      </c>
      <c r="B285" s="18" t="n">
        <v>-0.02486230611189791</v>
      </c>
      <c r="C285" s="18" t="n">
        <v>0.01963947918075389</v>
      </c>
      <c r="D285" s="43" t="n">
        <v>0.9518726032640437</v>
      </c>
      <c r="E285" s="21" t="n">
        <v>2</v>
      </c>
      <c r="F285" s="18" t="n">
        <v>0.7352806485436751</v>
      </c>
      <c r="G285" s="16" t="n">
        <v>70.7990878740296</v>
      </c>
      <c r="H285" s="16" t="n">
        <v>36.77012506190652</v>
      </c>
    </row>
    <row r="286">
      <c r="A286" s="21" t="n">
        <v>254</v>
      </c>
      <c r="B286" s="18" t="n">
        <v>-0.05753127598035185</v>
      </c>
      <c r="C286" s="18" t="n">
        <v>0.05131978787821248</v>
      </c>
      <c r="D286" s="43" t="n">
        <v>1.248325644105374</v>
      </c>
      <c r="E286" s="21" t="n">
        <v>2</v>
      </c>
      <c r="F286" s="18" t="n">
        <v>0.5386161316209288</v>
      </c>
      <c r="G286" s="16" t="n">
        <v>50.80189464291314</v>
      </c>
      <c r="H286" s="16" t="n">
        <v>36.57933827787474</v>
      </c>
    </row>
    <row r="287">
      <c r="A287" s="21" t="n">
        <v>255</v>
      </c>
      <c r="B287" s="18" t="n">
        <v>-0.05964043203170707</v>
      </c>
      <c r="C287" s="18" t="n">
        <v>0.0839762102002333</v>
      </c>
      <c r="D287" s="43" t="n">
        <v>0.956185123625538</v>
      </c>
      <c r="E287" s="21" t="n">
        <v>0</v>
      </c>
      <c r="F287" s="18" t="n">
        <v>0.8227550753130524</v>
      </c>
      <c r="G287" s="16" t="n">
        <v>59.97508308849026</v>
      </c>
      <c r="H287" s="16" t="n">
        <v>34.09575586191416</v>
      </c>
    </row>
    <row r="288">
      <c r="A288" s="21" t="n">
        <v>256</v>
      </c>
      <c r="B288" s="18" t="n">
        <v>0.01163818870509219</v>
      </c>
      <c r="C288" s="18" t="n">
        <v>0.01756520931121587</v>
      </c>
      <c r="D288" s="43" t="n">
        <v>1.456351712275782</v>
      </c>
      <c r="E288" s="21" t="n">
        <v>1</v>
      </c>
      <c r="F288" s="18" t="n">
        <v>0.6324385609205723</v>
      </c>
      <c r="G288" s="16" t="n">
        <v>69.90320506126855</v>
      </c>
      <c r="H288" s="16" t="n">
        <v>35.69928563520435</v>
      </c>
    </row>
    <row r="289">
      <c r="A289" s="21" t="n">
        <v>257</v>
      </c>
      <c r="B289" s="18" t="n">
        <v>0.02190409004929823</v>
      </c>
      <c r="C289" s="18" t="n">
        <v>0.0313473066842152</v>
      </c>
      <c r="D289" s="43" t="n">
        <v>1.356623424108032</v>
      </c>
      <c r="E289" s="21" t="n">
        <v>0</v>
      </c>
      <c r="F289" s="18" t="n">
        <v>0.7706011169528169</v>
      </c>
      <c r="G289" s="16" t="n">
        <v>78.05009397634582</v>
      </c>
      <c r="H289" s="16" t="n">
        <v>34.59373671163974</v>
      </c>
    </row>
    <row r="290">
      <c r="A290" s="21" t="n">
        <v>258</v>
      </c>
      <c r="B290" s="18" t="n">
        <v>-0.08973314546977493</v>
      </c>
      <c r="C290" s="18" t="n">
        <v>0.14560649163309</v>
      </c>
      <c r="D290" s="43" t="n">
        <v>1.420325253131604</v>
      </c>
      <c r="E290" s="21" t="n">
        <v>3</v>
      </c>
      <c r="F290" s="18" t="n">
        <v>0.2914325325767992</v>
      </c>
      <c r="G290" s="16" t="n">
        <v>18.78405594580446</v>
      </c>
      <c r="H290" s="16" t="n">
        <v>47.82141630562961</v>
      </c>
    </row>
    <row r="291">
      <c r="A291" s="21" t="n">
        <v>259</v>
      </c>
      <c r="B291" s="18" t="n">
        <v>-0.1020804782478618</v>
      </c>
      <c r="C291" s="18" t="n">
        <v>-0.01883293730652243</v>
      </c>
      <c r="D291" s="43" t="n">
        <v>1.184247144958967</v>
      </c>
      <c r="E291" s="21" t="n">
        <v>3</v>
      </c>
      <c r="F291" s="18" t="n">
        <v>0.4927239592975781</v>
      </c>
      <c r="G291" s="16" t="n">
        <v>47.06010190872296</v>
      </c>
      <c r="H291" s="16" t="n">
        <v>37.34514159018232</v>
      </c>
    </row>
    <row r="292">
      <c r="A292" s="21" t="n">
        <v>260</v>
      </c>
      <c r="B292" s="18" t="n">
        <v>-0.006793989652676968</v>
      </c>
      <c r="C292" s="18" t="n">
        <v>0.04861541763667465</v>
      </c>
      <c r="D292" s="43" t="n">
        <v>1.748441966826912</v>
      </c>
      <c r="E292" s="21" t="n">
        <v>3</v>
      </c>
      <c r="F292" s="18" t="n">
        <v>0.4123766248073504</v>
      </c>
      <c r="G292" s="16" t="n">
        <v>45.31635405353251</v>
      </c>
      <c r="H292" s="16" t="n">
        <v>37.07207810763039</v>
      </c>
    </row>
    <row r="293">
      <c r="A293" s="21" t="n">
        <v>261</v>
      </c>
      <c r="B293" s="18" t="n">
        <v>-0.07898607936011355</v>
      </c>
      <c r="C293" s="18" t="n">
        <v>0.08928061040568847</v>
      </c>
      <c r="D293" s="43" t="n">
        <v>0.8939947902217579</v>
      </c>
      <c r="E293" s="21" t="n">
        <v>0</v>
      </c>
      <c r="F293" s="18" t="n">
        <v>0.8065903472626894</v>
      </c>
      <c r="G293" s="16" t="n">
        <v>55.21328387149045</v>
      </c>
      <c r="H293" s="16" t="n">
        <v>34.03361764269531</v>
      </c>
    </row>
    <row r="294">
      <c r="A294" s="21" t="n">
        <v>262</v>
      </c>
      <c r="B294" s="18" t="n">
        <v>0.02320053789336276</v>
      </c>
      <c r="C294" s="18" t="n">
        <v>0.004855083913430314</v>
      </c>
      <c r="D294" s="43" t="n">
        <v>1.107910389724633</v>
      </c>
      <c r="E294" s="21" t="n">
        <v>0</v>
      </c>
      <c r="F294" s="18" t="n">
        <v>1.005090320077431</v>
      </c>
      <c r="G294" s="16" t="n">
        <v>91.40590040587402</v>
      </c>
      <c r="H294" s="16" t="n">
        <v>34.36184105731348</v>
      </c>
    </row>
    <row r="295">
      <c r="A295" s="21" t="n">
        <v>263</v>
      </c>
      <c r="B295" s="18" t="n">
        <v>-0.04652755801480006</v>
      </c>
      <c r="C295" s="18" t="n">
        <v>-0.01921883042979626</v>
      </c>
      <c r="D295" s="43" t="n">
        <v>1.064574500816098</v>
      </c>
      <c r="E295" s="21" t="n">
        <v>0</v>
      </c>
      <c r="F295" s="18" t="n">
        <v>0.9336982461881036</v>
      </c>
      <c r="G295" s="16" t="n">
        <v>78.25432930255704</v>
      </c>
      <c r="H295" s="16" t="n">
        <v>34.13787441325646</v>
      </c>
    </row>
    <row r="296">
      <c r="A296" s="21" t="n">
        <v>264</v>
      </c>
      <c r="B296" s="18" t="n">
        <v>-0.07954730886967892</v>
      </c>
      <c r="C296" s="18" t="n">
        <v>0.002574779436252651</v>
      </c>
      <c r="D296" s="43" t="n">
        <v>1.597309099785197</v>
      </c>
      <c r="E296" s="21" t="n">
        <v>0</v>
      </c>
      <c r="F296" s="18" t="n">
        <v>0.5104434952032919</v>
      </c>
      <c r="G296" s="16" t="n">
        <v>48.97667448992311</v>
      </c>
      <c r="H296" s="16" t="n">
        <v>33.84679826549593</v>
      </c>
    </row>
    <row r="297">
      <c r="A297" s="21" t="n">
        <v>265</v>
      </c>
      <c r="B297" s="18" t="n">
        <v>0.04186676900351984</v>
      </c>
      <c r="C297" s="18" t="n">
        <v>0.1412631778613622</v>
      </c>
      <c r="D297" s="43" t="n">
        <v>1.218182818058863</v>
      </c>
      <c r="E297" s="21" t="n">
        <v>0</v>
      </c>
      <c r="F297" s="18" t="n">
        <v>0.7607065146361411</v>
      </c>
      <c r="G297" s="16" t="n">
        <v>70.15233031276985</v>
      </c>
      <c r="H297" s="16" t="n">
        <v>34.53223486915368</v>
      </c>
    </row>
    <row r="298">
      <c r="A298" s="21" t="n">
        <v>266</v>
      </c>
      <c r="B298" s="18" t="n">
        <v>-0.07442987075327252</v>
      </c>
      <c r="C298" s="18" t="n">
        <v>-0.03639133965364452</v>
      </c>
      <c r="D298" s="43" t="n">
        <v>1.406239631699405</v>
      </c>
      <c r="E298" s="21" t="n">
        <v>0</v>
      </c>
      <c r="F298" s="18" t="n">
        <v>0.6544142284686452</v>
      </c>
      <c r="G298" s="16" t="n">
        <v>62.81831717755342</v>
      </c>
      <c r="H298" s="16" t="n">
        <v>34.35995572518988</v>
      </c>
    </row>
    <row r="299">
      <c r="A299" s="21" t="n">
        <v>267</v>
      </c>
      <c r="B299" s="18" t="n">
        <v>-0.05088974401880109</v>
      </c>
      <c r="C299" s="18" t="n">
        <v>0.0113713247064705</v>
      </c>
      <c r="D299" s="43" t="n">
        <v>0.9845758346363461</v>
      </c>
      <c r="E299" s="21" t="n">
        <v>3</v>
      </c>
      <c r="F299" s="18" t="n">
        <v>0.6226616131924163</v>
      </c>
      <c r="G299" s="16" t="n">
        <v>61.19966228046898</v>
      </c>
      <c r="H299" s="16" t="n">
        <v>37.70258645614697</v>
      </c>
    </row>
    <row r="300">
      <c r="A300" s="21" t="n">
        <v>268</v>
      </c>
      <c r="B300" s="18" t="n">
        <v>-0.07720122161652695</v>
      </c>
      <c r="C300" s="18" t="n">
        <v>-0.02498659843138301</v>
      </c>
      <c r="D300" s="43" t="n">
        <v>1.66926100474744</v>
      </c>
      <c r="E300" s="21" t="n">
        <v>0</v>
      </c>
      <c r="F300" s="18" t="n">
        <v>0.5100837936582516</v>
      </c>
      <c r="G300" s="16" t="n">
        <v>51.32940980855573</v>
      </c>
      <c r="H300" s="16" t="n">
        <v>33.76527936858782</v>
      </c>
    </row>
    <row r="301">
      <c r="A301" s="21" t="n">
        <v>269</v>
      </c>
      <c r="B301" s="18" t="n">
        <v>-0.08687783910182774</v>
      </c>
      <c r="C301" s="18" t="n">
        <v>-0.002961830911013708</v>
      </c>
      <c r="D301" s="43" t="n">
        <v>1.166684626351967</v>
      </c>
      <c r="E301" s="21" t="n">
        <v>0</v>
      </c>
      <c r="F301" s="18" t="n">
        <v>0.7069759810398843</v>
      </c>
      <c r="G301" s="16" t="n">
        <v>59.9748592685302</v>
      </c>
      <c r="H301" s="16" t="n">
        <v>34.10506025946013</v>
      </c>
    </row>
    <row r="302">
      <c r="A302" s="21" t="n">
        <v>270</v>
      </c>
      <c r="B302" s="18" t="n">
        <v>-0.1229887696761665</v>
      </c>
      <c r="C302" s="18" t="n">
        <v>0.07294231499709508</v>
      </c>
      <c r="D302" s="43" t="n">
        <v>1.163554920685623</v>
      </c>
      <c r="E302" s="21" t="n">
        <v>2</v>
      </c>
      <c r="F302" s="18" t="n">
        <v>0.4318695143199482</v>
      </c>
      <c r="G302" s="16" t="n">
        <v>32.81218433684209</v>
      </c>
      <c r="H302" s="16" t="n">
        <v>36.19706651469119</v>
      </c>
    </row>
    <row r="303">
      <c r="A303" s="21" t="n">
        <v>271</v>
      </c>
      <c r="B303" s="18" t="n">
        <v>-0.1062833942744067</v>
      </c>
      <c r="C303" s="18" t="n">
        <v>0.01951818592844404</v>
      </c>
      <c r="D303" s="43" t="n">
        <v>1.647382120433385</v>
      </c>
      <c r="E303" s="21" t="n">
        <v>1</v>
      </c>
      <c r="F303" s="18" t="n">
        <v>0.3914934554762415</v>
      </c>
      <c r="G303" s="16" t="n">
        <v>34.83422084718322</v>
      </c>
      <c r="H303" s="16" t="n">
        <v>40.8493750531072</v>
      </c>
    </row>
    <row r="304">
      <c r="A304" s="21" t="n">
        <v>272</v>
      </c>
      <c r="B304" s="18" t="n">
        <v>-0.07237828430595651</v>
      </c>
      <c r="C304" s="18" t="n">
        <v>0.06469113903111801</v>
      </c>
      <c r="D304" s="43" t="n">
        <v>1.096143401660335</v>
      </c>
      <c r="E304" s="21" t="n">
        <v>2</v>
      </c>
      <c r="F304" s="18" t="n">
        <v>0.5429470491181234</v>
      </c>
      <c r="G304" s="16" t="n">
        <v>47.75129725252581</v>
      </c>
      <c r="H304" s="16" t="n">
        <v>36.49263174925321</v>
      </c>
    </row>
    <row r="305">
      <c r="A305" s="21" t="n">
        <v>273</v>
      </c>
      <c r="B305" s="18" t="n">
        <v>-0.1070852394200136</v>
      </c>
      <c r="C305" s="18" t="n">
        <v>0.06802766868604754</v>
      </c>
      <c r="D305" s="43" t="n">
        <v>1.105752219768759</v>
      </c>
      <c r="E305" s="21" t="n">
        <v>1</v>
      </c>
      <c r="F305" s="18" t="n">
        <v>0.54057560736701</v>
      </c>
      <c r="G305" s="16" t="n">
        <v>41.91546056637521</v>
      </c>
      <c r="H305" s="16" t="n">
        <v>35.17252408814701</v>
      </c>
    </row>
    <row r="306">
      <c r="A306" s="21" t="n">
        <v>274</v>
      </c>
      <c r="B306" s="18" t="n">
        <v>-0.007190820827831568</v>
      </c>
      <c r="C306" s="18" t="n">
        <v>0.1200062605969418</v>
      </c>
      <c r="D306" s="43" t="n">
        <v>1.223633937713149</v>
      </c>
      <c r="E306" s="21" t="n">
        <v>2</v>
      </c>
      <c r="F306" s="18" t="n">
        <v>0.5418353423612858</v>
      </c>
      <c r="G306" s="16" t="n">
        <v>52.50033760051133</v>
      </c>
      <c r="H306" s="16" t="n">
        <v>36.87332653596546</v>
      </c>
    </row>
    <row r="307">
      <c r="A307" s="21" t="n">
        <v>275</v>
      </c>
      <c r="B307" s="18" t="n">
        <v>0.00335241225655511</v>
      </c>
      <c r="C307" s="18" t="n">
        <v>-0.0402620403452531</v>
      </c>
      <c r="D307" s="43" t="n">
        <v>0.9600328782143138</v>
      </c>
      <c r="E307" s="21" t="n">
        <v>1</v>
      </c>
      <c r="F307" s="18" t="n">
        <v>0.972446126528508</v>
      </c>
      <c r="G307" s="16" t="n">
        <v>92.69084556820803</v>
      </c>
      <c r="H307" s="16" t="n">
        <v>35.67927514126865</v>
      </c>
    </row>
    <row r="308">
      <c r="A308" s="21" t="n">
        <v>276</v>
      </c>
      <c r="B308" s="18" t="n">
        <v>-0.03346566703024823</v>
      </c>
      <c r="C308" s="18" t="n">
        <v>0.1210582621299137</v>
      </c>
      <c r="D308" s="43" t="n">
        <v>1.063025442182353</v>
      </c>
      <c r="E308" s="21" t="n">
        <v>1</v>
      </c>
      <c r="F308" s="18" t="n">
        <v>0.6420982003173152</v>
      </c>
      <c r="G308" s="16" t="n">
        <v>54.09991726274272</v>
      </c>
      <c r="H308" s="16" t="n">
        <v>35.51033275459834</v>
      </c>
    </row>
    <row r="309">
      <c r="A309" s="21" t="n">
        <v>277</v>
      </c>
      <c r="B309" s="18" t="n">
        <v>-0.04525892474847461</v>
      </c>
      <c r="C309" s="18" t="n">
        <v>0.07277013390381329</v>
      </c>
      <c r="D309" s="43" t="n">
        <v>0.9965748317792136</v>
      </c>
      <c r="E309" s="21" t="n">
        <v>1</v>
      </c>
      <c r="F309" s="18" t="n">
        <v>0.7431760980158069</v>
      </c>
      <c r="G309" s="16" t="n">
        <v>61.51407116325298</v>
      </c>
      <c r="H309" s="16" t="n">
        <v>35.45621854918272</v>
      </c>
    </row>
    <row r="310">
      <c r="A310" s="21" t="n">
        <v>278</v>
      </c>
      <c r="B310" s="18" t="n">
        <v>-0.01806761134100945</v>
      </c>
      <c r="C310" s="18" t="n">
        <v>0.007051465556102511</v>
      </c>
      <c r="D310" s="43" t="n">
        <v>0.9437243744860625</v>
      </c>
      <c r="E310" s="21" t="n">
        <v>0</v>
      </c>
      <c r="F310" s="18" t="n">
        <v>1.049066249833926</v>
      </c>
      <c r="G310" s="16" t="n">
        <v>84.44937936688042</v>
      </c>
      <c r="H310" s="16" t="n">
        <v>34.22928776197267</v>
      </c>
    </row>
    <row r="311">
      <c r="A311" s="21" t="n">
        <v>279</v>
      </c>
      <c r="B311" s="18" t="n">
        <v>0.03204263286122556</v>
      </c>
      <c r="C311" s="18" t="n">
        <v>0.1017647669914178</v>
      </c>
      <c r="D311" s="43" t="n">
        <v>1.472762601563966</v>
      </c>
      <c r="E311" s="21" t="n">
        <v>0</v>
      </c>
      <c r="F311" s="18" t="n">
        <v>0.6384492619207549</v>
      </c>
      <c r="G311" s="16" t="n">
        <v>65.6920329777054</v>
      </c>
      <c r="H311" s="16" t="n">
        <v>34.50102200302925</v>
      </c>
    </row>
    <row r="312">
      <c r="A312" s="21" t="n">
        <v>280</v>
      </c>
      <c r="B312" s="18" t="n">
        <v>0.02766284239212632</v>
      </c>
      <c r="C312" s="18" t="n">
        <v>0.1216315785925217</v>
      </c>
      <c r="D312" s="43" t="n">
        <v>1.226820213983414</v>
      </c>
      <c r="E312" s="21" t="n">
        <v>0</v>
      </c>
      <c r="F312" s="18" t="n">
        <v>0.7604994983359317</v>
      </c>
      <c r="G312" s="16" t="n">
        <v>69.66035616869827</v>
      </c>
      <c r="H312" s="16" t="n">
        <v>34.48510624065707</v>
      </c>
    </row>
    <row r="313">
      <c r="A313" s="21" t="n">
        <v>281</v>
      </c>
      <c r="B313" s="18" t="n">
        <v>-0.1112715913128189</v>
      </c>
      <c r="C313" s="18" t="n">
        <v>0.02131107680496169</v>
      </c>
      <c r="D313" s="43" t="n">
        <v>1.083716699358647</v>
      </c>
      <c r="E313" s="21" t="n">
        <v>0</v>
      </c>
      <c r="F313" s="18" t="n">
        <v>0.6832365470277868</v>
      </c>
      <c r="G313" s="16" t="n">
        <v>52.13875602016803</v>
      </c>
      <c r="H313" s="16" t="n">
        <v>33.92991657830322</v>
      </c>
    </row>
    <row r="314">
      <c r="A314" s="21" t="n">
        <v>282</v>
      </c>
      <c r="B314" s="18" t="n">
        <v>-0.07086912656187801</v>
      </c>
      <c r="C314" s="18" t="n">
        <v>0.1412525016563593</v>
      </c>
      <c r="D314" s="43" t="n">
        <v>1.112203156370553</v>
      </c>
      <c r="E314" s="21" t="n">
        <v>2</v>
      </c>
      <c r="F314" s="18" t="n">
        <v>0.4602095414283356</v>
      </c>
      <c r="G314" s="16" t="n">
        <v>36.21672049030911</v>
      </c>
      <c r="H314" s="16" t="n">
        <v>36.50144523047862</v>
      </c>
    </row>
    <row r="315">
      <c r="A315" s="21" t="n">
        <v>283</v>
      </c>
      <c r="B315" s="18" t="n">
        <v>-0.05962468227938747</v>
      </c>
      <c r="C315" s="18" t="n">
        <v>0.0477319494696703</v>
      </c>
      <c r="D315" s="43" t="n">
        <v>1.125622659744475</v>
      </c>
      <c r="E315" s="21" t="n">
        <v>0</v>
      </c>
      <c r="F315" s="18" t="n">
        <v>0.7240877239466603</v>
      </c>
      <c r="G315" s="16" t="n">
        <v>60.48528638806862</v>
      </c>
      <c r="H315" s="16" t="n">
        <v>34.19548623379698</v>
      </c>
    </row>
    <row r="316">
      <c r="A316" s="21" t="n">
        <v>284</v>
      </c>
      <c r="B316" s="18" t="n">
        <v>-0.05724294438582417</v>
      </c>
      <c r="C316" s="18" t="n">
        <v>0.07017526934041482</v>
      </c>
      <c r="D316" s="43" t="n">
        <v>1.258261452096832</v>
      </c>
      <c r="E316" s="21" t="n">
        <v>0</v>
      </c>
      <c r="F316" s="18" t="n">
        <v>0.5973843106165675</v>
      </c>
      <c r="G316" s="16" t="n">
        <v>52.49408251039391</v>
      </c>
      <c r="H316" s="16" t="n">
        <v>34.32123347207961</v>
      </c>
    </row>
    <row r="317">
      <c r="A317" s="21" t="n">
        <v>285</v>
      </c>
      <c r="B317" s="18" t="n">
        <v>-0.009616502091144424</v>
      </c>
      <c r="C317" s="18" t="n">
        <v>0.1744579793037014</v>
      </c>
      <c r="D317" s="43" t="n">
        <v>1.557957675583783</v>
      </c>
      <c r="E317" s="21" t="n">
        <v>0</v>
      </c>
      <c r="F317" s="18" t="n">
        <v>0.4324192834258247</v>
      </c>
      <c r="G317" s="16" t="n">
        <v>39.48961453195028</v>
      </c>
      <c r="H317" s="16" t="n">
        <v>43.74730386847787</v>
      </c>
    </row>
    <row r="318">
      <c r="A318" s="21" t="n">
        <v>286</v>
      </c>
      <c r="B318" s="18" t="n">
        <v>-0.03016238617712662</v>
      </c>
      <c r="C318" s="18" t="n">
        <v>0.03527381307808394</v>
      </c>
      <c r="D318" s="43" t="n">
        <v>1.568102815294333</v>
      </c>
      <c r="E318" s="21" t="n">
        <v>2</v>
      </c>
      <c r="F318" s="18" t="n">
        <v>0.4700710864542663</v>
      </c>
      <c r="G318" s="16" t="n">
        <v>49.90488926955894</v>
      </c>
      <c r="H318" s="16" t="n">
        <v>36.42212806009253</v>
      </c>
    </row>
    <row r="319">
      <c r="A319" s="21" t="n">
        <v>287</v>
      </c>
      <c r="B319" s="18" t="n">
        <v>-0.1087778319650459</v>
      </c>
      <c r="C319" s="18" t="n">
        <v>0.1108892385699392</v>
      </c>
      <c r="D319" s="43" t="n">
        <v>1.102284860150312</v>
      </c>
      <c r="E319" s="21" t="n">
        <v>0</v>
      </c>
      <c r="F319" s="18" t="n">
        <v>0.5432070443582682</v>
      </c>
      <c r="G319" s="16" t="n">
        <v>37.67807905408149</v>
      </c>
      <c r="H319" s="16" t="n">
        <v>33.93792653332827</v>
      </c>
    </row>
    <row r="320">
      <c r="A320" s="21" t="n">
        <v>288</v>
      </c>
      <c r="B320" s="18" t="n">
        <v>-0.03646723919125713</v>
      </c>
      <c r="C320" s="18" t="n">
        <v>0.02979963882480417</v>
      </c>
      <c r="D320" s="43" t="n">
        <v>1.067476940757641</v>
      </c>
      <c r="E320" s="21" t="n">
        <v>1</v>
      </c>
      <c r="F320" s="18" t="n">
        <v>0.7518805918338827</v>
      </c>
      <c r="G320" s="16" t="n">
        <v>68.11104017266845</v>
      </c>
      <c r="H320" s="16" t="n">
        <v>35.49655982633955</v>
      </c>
    </row>
    <row r="321">
      <c r="A321" s="21" t="n">
        <v>289</v>
      </c>
      <c r="B321" s="18" t="n">
        <v>-0.01557724623130768</v>
      </c>
      <c r="C321" s="18" t="n">
        <v>0.1076234591211782</v>
      </c>
      <c r="D321" s="43" t="n">
        <v>1.137306405756178</v>
      </c>
      <c r="E321" s="21" t="n">
        <v>2</v>
      </c>
      <c r="F321" s="18" t="n">
        <v>0.5646594545911336</v>
      </c>
      <c r="G321" s="16" t="n">
        <v>54.04770444449343</v>
      </c>
      <c r="H321" s="16" t="n">
        <v>36.82434981160915</v>
      </c>
    </row>
    <row r="322">
      <c r="A322" s="21" t="n">
        <v>290</v>
      </c>
      <c r="B322" s="18" t="n">
        <v>-0.09077432440082932</v>
      </c>
      <c r="C322" s="18" t="n">
        <v>0.06973562095362487</v>
      </c>
      <c r="D322" s="43" t="n">
        <v>1.212077712909941</v>
      </c>
      <c r="E322" s="21" t="n">
        <v>0</v>
      </c>
      <c r="F322" s="18" t="n">
        <v>0.5882291979251404</v>
      </c>
      <c r="G322" s="16" t="n">
        <v>46.64277194881729</v>
      </c>
      <c r="H322" s="16" t="n">
        <v>34.09213172123805</v>
      </c>
    </row>
    <row r="323">
      <c r="A323" s="21" t="n">
        <v>291</v>
      </c>
      <c r="B323" s="18" t="n">
        <v>0.02464331467392126</v>
      </c>
      <c r="C323" s="18" t="n">
        <v>0.0157808019448534</v>
      </c>
      <c r="D323" s="43" t="n">
        <v>1.143840209369546</v>
      </c>
      <c r="E323" s="21" t="n">
        <v>2</v>
      </c>
      <c r="F323" s="18" t="n">
        <v>0.7109992592320378</v>
      </c>
      <c r="G323" s="16" t="n">
        <v>78.29556930735626</v>
      </c>
      <c r="H323" s="16" t="n">
        <v>37.05923788729569</v>
      </c>
    </row>
    <row r="324">
      <c r="A324" s="21" t="n">
        <v>292</v>
      </c>
      <c r="B324" s="18" t="n">
        <v>-0.1076598961616047</v>
      </c>
      <c r="C324" s="18" t="n">
        <v>0.0421903329515031</v>
      </c>
      <c r="D324" s="43" t="n">
        <v>1.277508591317868</v>
      </c>
      <c r="E324" s="21" t="n">
        <v>0</v>
      </c>
      <c r="F324" s="18" t="n">
        <v>0.5357314113470804</v>
      </c>
      <c r="G324" s="16" t="n">
        <v>43.83640356398068</v>
      </c>
      <c r="H324" s="16" t="n">
        <v>34.14764790711559</v>
      </c>
    </row>
    <row r="325">
      <c r="A325" s="21" t="n">
        <v>293</v>
      </c>
      <c r="B325" s="18" t="n">
        <v>0.04281250734362886</v>
      </c>
      <c r="C325" s="18" t="n">
        <v>0.02970390634888126</v>
      </c>
      <c r="D325" s="43" t="n">
        <v>1.202939884688159</v>
      </c>
      <c r="E325" s="21" t="n">
        <v>0</v>
      </c>
      <c r="F325" s="18" t="n">
        <v>0.9224992977575102</v>
      </c>
      <c r="G325" s="16" t="n">
        <v>89.25774454621703</v>
      </c>
      <c r="H325" s="16" t="n">
        <v>34.53537282896616</v>
      </c>
    </row>
    <row r="326">
      <c r="A326" s="21" t="n">
        <v>294</v>
      </c>
      <c r="B326" s="18" t="n">
        <v>-0.09152433510847692</v>
      </c>
      <c r="C326" s="18" t="n">
        <v>-0.01047573072646026</v>
      </c>
      <c r="D326" s="43" t="n">
        <v>1.062824605236488</v>
      </c>
      <c r="E326" s="21" t="n">
        <v>1</v>
      </c>
      <c r="F326" s="18" t="n">
        <v>0.7015237912570487</v>
      </c>
      <c r="G326" s="16" t="n">
        <v>60.2407585631491</v>
      </c>
      <c r="H326" s="16" t="n">
        <v>35.24392640907367</v>
      </c>
    </row>
    <row r="327">
      <c r="A327" s="21" t="n">
        <v>295</v>
      </c>
      <c r="B327" s="18" t="n">
        <v>0.02635094697386216</v>
      </c>
      <c r="C327" s="18" t="n">
        <v>-0.02557265053277475</v>
      </c>
      <c r="D327" s="43" t="n">
        <v>1.076525497761052</v>
      </c>
      <c r="E327" s="21" t="n">
        <v>3</v>
      </c>
      <c r="F327" s="18" t="n">
        <v>0.7086023353436643</v>
      </c>
      <c r="G327" s="16" t="n">
        <v>82.79588504346751</v>
      </c>
      <c r="H327" s="16" t="n">
        <v>38.24192797673053</v>
      </c>
    </row>
    <row r="328">
      <c r="A328" s="21" t="n">
        <v>296</v>
      </c>
      <c r="B328" s="18" t="n">
        <v>0.0376776400500652</v>
      </c>
      <c r="C328" s="18" t="n">
        <v>0.0333426954940324</v>
      </c>
      <c r="D328" s="43" t="n">
        <v>1.094928535570886</v>
      </c>
      <c r="E328" s="21" t="n">
        <v>0</v>
      </c>
      <c r="F328" s="18" t="n">
        <v>0.9930175349531782</v>
      </c>
      <c r="G328" s="16" t="n">
        <v>90.52001324094755</v>
      </c>
      <c r="H328" s="16" t="n">
        <v>34.4083415094408</v>
      </c>
    </row>
    <row r="329">
      <c r="A329" s="21" t="n">
        <v>297</v>
      </c>
      <c r="B329" s="18" t="n">
        <v>0.06061187277722022</v>
      </c>
      <c r="C329" s="18" t="n">
        <v>-0.03048890171339062</v>
      </c>
      <c r="D329" s="43" t="n">
        <v>0.9375788997262217</v>
      </c>
      <c r="E329" s="21" t="n">
        <v>1</v>
      </c>
      <c r="F329" s="18" t="n">
        <v>1.056966684627139</v>
      </c>
      <c r="G329" s="16" t="n">
        <v>106.2427333982422</v>
      </c>
      <c r="H329" s="16" t="n">
        <v>35.94201426582919</v>
      </c>
    </row>
    <row r="330">
      <c r="A330" s="21" t="n">
        <v>298</v>
      </c>
      <c r="B330" s="18" t="n">
        <v>0.0196450184080396</v>
      </c>
      <c r="C330" s="18" t="n">
        <v>0.007530471505416157</v>
      </c>
      <c r="D330" s="43" t="n">
        <v>0.9822430423439936</v>
      </c>
      <c r="E330" s="21" t="n">
        <v>0</v>
      </c>
      <c r="F330" s="18" t="n">
        <v>1.134795317585497</v>
      </c>
      <c r="G330" s="16" t="n">
        <v>94.77813527325259</v>
      </c>
      <c r="H330" s="16" t="n">
        <v>34.35042072872662</v>
      </c>
    </row>
    <row r="331">
      <c r="A331" s="21" t="n">
        <v>299</v>
      </c>
      <c r="B331" s="18" t="n">
        <v>0.01630060243764038</v>
      </c>
      <c r="C331" s="18" t="n">
        <v>0.09192729824864156</v>
      </c>
      <c r="D331" s="43" t="n">
        <v>1.329352617893512</v>
      </c>
      <c r="E331" s="21" t="n">
        <v>1</v>
      </c>
      <c r="F331" s="18" t="n">
        <v>0.6254595268423693</v>
      </c>
      <c r="G331" s="16" t="n">
        <v>63.88946396692466</v>
      </c>
      <c r="H331" s="16" t="n">
        <v>35.89573147749529</v>
      </c>
    </row>
    <row r="332">
      <c r="A332" s="21" t="n">
        <v>300</v>
      </c>
      <c r="B332" s="18" t="n">
        <v>-0.001118594103070109</v>
      </c>
      <c r="C332" s="18" t="n">
        <v>0.08861722537372525</v>
      </c>
      <c r="D332" s="43" t="n">
        <v>1.100913001993074</v>
      </c>
      <c r="E332" s="21" t="n">
        <v>1</v>
      </c>
      <c r="F332" s="18" t="n">
        <v>0.7117424360680462</v>
      </c>
      <c r="G332" s="16" t="n">
        <v>66.1117745449376</v>
      </c>
      <c r="H332" s="16" t="n">
        <v>35.6587596092299</v>
      </c>
    </row>
    <row r="333">
      <c r="A333" s="21" t="n">
        <v>301</v>
      </c>
      <c r="B333" s="18" t="n">
        <v>0.01623114337105905</v>
      </c>
      <c r="C333" s="18" t="n">
        <v>0.09459443290052828</v>
      </c>
      <c r="D333" s="43" t="n">
        <v>1.007302818251582</v>
      </c>
      <c r="E333" s="21" t="n">
        <v>1</v>
      </c>
      <c r="F333" s="18" t="n">
        <v>0.7661786693621131</v>
      </c>
      <c r="G333" s="16" t="n">
        <v>71.38894451470247</v>
      </c>
      <c r="H333" s="16" t="n">
        <v>35.73837011889692</v>
      </c>
    </row>
    <row r="334">
      <c r="A334" s="21" t="n">
        <v>302</v>
      </c>
      <c r="B334" s="18" t="n">
        <v>-0.08186739994500743</v>
      </c>
      <c r="C334" s="18" t="n">
        <v>0.0296433514023586</v>
      </c>
      <c r="D334" s="43" t="n">
        <v>1.208508604001619</v>
      </c>
      <c r="E334" s="21" t="n">
        <v>1</v>
      </c>
      <c r="F334" s="18" t="n">
        <v>0.5869380363131083</v>
      </c>
      <c r="G334" s="16" t="n">
        <v>51.91187711340869</v>
      </c>
      <c r="H334" s="16" t="n">
        <v>35.31534471785396</v>
      </c>
    </row>
    <row r="335">
      <c r="A335" s="21" t="n">
        <v>303</v>
      </c>
      <c r="B335" s="18" t="n">
        <v>-0.01400607645856566</v>
      </c>
      <c r="C335" s="18" t="n">
        <v>0.1316320757043338</v>
      </c>
      <c r="D335" s="43" t="n">
        <v>1.35776887714538</v>
      </c>
      <c r="E335" s="21" t="n">
        <v>0</v>
      </c>
      <c r="F335" s="18" t="n">
        <v>0.5661467722465667</v>
      </c>
      <c r="G335" s="16" t="n">
        <v>51.63967581497488</v>
      </c>
      <c r="H335" s="16" t="n">
        <v>34.47009800835315</v>
      </c>
    </row>
    <row r="336">
      <c r="A336" s="21" t="n">
        <v>304</v>
      </c>
      <c r="B336" s="18" t="n">
        <v>-0.01680582211834747</v>
      </c>
      <c r="C336" s="18" t="n">
        <v>0.0686143017342033</v>
      </c>
      <c r="D336" s="43" t="n">
        <v>1.029245752445241</v>
      </c>
      <c r="E336" s="21" t="n">
        <v>1</v>
      </c>
      <c r="F336" s="18" t="n">
        <v>0.7392236036062501</v>
      </c>
      <c r="G336" s="16" t="n">
        <v>66.96032711559337</v>
      </c>
      <c r="H336" s="16" t="n">
        <v>35.58677764296552</v>
      </c>
    </row>
    <row r="337">
      <c r="A337" s="21" t="n">
        <v>305</v>
      </c>
      <c r="B337" s="18" t="n">
        <v>0.02880749519563493</v>
      </c>
      <c r="C337" s="18" t="n">
        <v>0.0002048487193471241</v>
      </c>
      <c r="D337" s="43" t="n">
        <v>1.427752643446586</v>
      </c>
      <c r="E337" s="21" t="n">
        <v>1</v>
      </c>
      <c r="F337" s="18" t="n">
        <v>0.675632092494642</v>
      </c>
      <c r="G337" s="16" t="n">
        <v>77.00107507164935</v>
      </c>
      <c r="H337" s="16" t="n">
        <v>35.77776257302497</v>
      </c>
    </row>
    <row r="338">
      <c r="A338" s="21" t="n">
        <v>306</v>
      </c>
      <c r="B338" s="18" t="n">
        <v>-0.02364107426471093</v>
      </c>
      <c r="C338" s="18" t="n">
        <v>0.003613181486558717</v>
      </c>
      <c r="D338" s="43" t="n">
        <v>1.559176179957297</v>
      </c>
      <c r="E338" s="21" t="n">
        <v>1</v>
      </c>
      <c r="F338" s="18" t="n">
        <v>0.5580003295420957</v>
      </c>
      <c r="G338" s="16" t="n">
        <v>60.47002202936104</v>
      </c>
      <c r="H338" s="16" t="n">
        <v>35.37863805563117</v>
      </c>
    </row>
    <row r="339">
      <c r="A339" s="21" t="n">
        <v>307</v>
      </c>
      <c r="B339" s="18" t="n">
        <v>-0.03473687660200166</v>
      </c>
      <c r="C339" s="18" t="n">
        <v>0.08579210029298462</v>
      </c>
      <c r="D339" s="43" t="n">
        <v>1.232475219271504</v>
      </c>
      <c r="E339" s="21" t="n">
        <v>0</v>
      </c>
      <c r="F339" s="18" t="n">
        <v>0.684795355944491</v>
      </c>
      <c r="G339" s="16" t="n">
        <v>58.9814391158515</v>
      </c>
      <c r="H339" s="16" t="n">
        <v>34.27806397303456</v>
      </c>
    </row>
    <row r="340">
      <c r="A340" s="21" t="n">
        <v>308</v>
      </c>
      <c r="B340" s="18" t="n">
        <v>-0.001457302913672992</v>
      </c>
      <c r="C340" s="18" t="n">
        <v>0.008812232816324539</v>
      </c>
      <c r="D340" s="43" t="n">
        <v>1.285372102576302</v>
      </c>
      <c r="E340" s="21" t="n">
        <v>0</v>
      </c>
      <c r="F340" s="18" t="n">
        <v>0.7919367205328636</v>
      </c>
      <c r="G340" s="16" t="n">
        <v>77.67566519609375</v>
      </c>
      <c r="H340" s="16" t="n">
        <v>34.51330343566822</v>
      </c>
    </row>
    <row r="341">
      <c r="A341" s="21" t="n">
        <v>309</v>
      </c>
      <c r="B341" s="18" t="n">
        <v>-0.05411994757104485</v>
      </c>
      <c r="C341" s="18" t="n">
        <v>0.05529319234133054</v>
      </c>
      <c r="D341" s="43" t="n">
        <v>0.9025436398057485</v>
      </c>
      <c r="E341" s="21" t="n">
        <v>0</v>
      </c>
      <c r="F341" s="18" t="n">
        <v>0.9297097160509358</v>
      </c>
      <c r="G341" s="16" t="n">
        <v>67.86015656067293</v>
      </c>
      <c r="H341" s="16" t="n">
        <v>34.1134876580018</v>
      </c>
    </row>
    <row r="342">
      <c r="A342" s="21" t="n">
        <v>310</v>
      </c>
      <c r="B342" s="18" t="n">
        <v>-0.08055930459801319</v>
      </c>
      <c r="C342" s="18" t="n">
        <v>0.1813028137670452</v>
      </c>
      <c r="D342" s="43" t="n">
        <v>1.591231977586425</v>
      </c>
      <c r="E342" s="21" t="n">
        <v>0</v>
      </c>
      <c r="F342" s="18" t="n">
        <v>0.294605365109291</v>
      </c>
      <c r="G342" s="16" t="n">
        <v>18.51564137947947</v>
      </c>
      <c r="H342" s="16" t="n">
        <v>61.4370319627499</v>
      </c>
    </row>
    <row r="343">
      <c r="A343" s="21" t="n">
        <v>311</v>
      </c>
      <c r="B343" s="18" t="n">
        <v>-0.02159919800165097</v>
      </c>
      <c r="C343" s="18" t="n">
        <v>-0.04104722977694669</v>
      </c>
      <c r="D343" s="43" t="n">
        <v>1.102854238635818</v>
      </c>
      <c r="E343" s="21" t="n">
        <v>0</v>
      </c>
      <c r="F343" s="18" t="n">
        <v>0.9798742732886085</v>
      </c>
      <c r="G343" s="16" t="n">
        <v>87.00715616301773</v>
      </c>
      <c r="H343" s="16" t="n">
        <v>34.21794430561869</v>
      </c>
    </row>
    <row r="344">
      <c r="A344" s="21" t="n">
        <v>312</v>
      </c>
      <c r="B344" s="18" t="n">
        <v>-0.03007217496959459</v>
      </c>
      <c r="C344" s="18" t="n">
        <v>-0.03179022136457617</v>
      </c>
      <c r="D344" s="43" t="n">
        <v>1.553261921131626</v>
      </c>
      <c r="E344" s="21" t="n">
        <v>0</v>
      </c>
      <c r="F344" s="18" t="n">
        <v>0.6568261529091173</v>
      </c>
      <c r="G344" s="16" t="n">
        <v>69.07676570860637</v>
      </c>
      <c r="H344" s="16" t="n">
        <v>34.18047558087591</v>
      </c>
    </row>
    <row r="345">
      <c r="A345" s="21" t="n">
        <v>313</v>
      </c>
      <c r="B345" s="18" t="n">
        <v>-0.06042509867018472</v>
      </c>
      <c r="C345" s="18" t="n">
        <v>0.1828563344656555</v>
      </c>
      <c r="D345" s="43" t="n">
        <v>1.219639784099732</v>
      </c>
      <c r="E345" s="21" t="n">
        <v>1</v>
      </c>
      <c r="F345" s="18" t="n">
        <v>0.4339585562738213</v>
      </c>
      <c r="G345" s="16" t="n">
        <v>32.59018300647477</v>
      </c>
      <c r="H345" s="16" t="n">
        <v>35.41436730726502</v>
      </c>
    </row>
    <row r="346">
      <c r="A346" s="21" t="n">
        <v>314</v>
      </c>
      <c r="B346" s="18" t="n">
        <v>-0.03739823514273004</v>
      </c>
      <c r="C346" s="18" t="n">
        <v>0.06713597345670289</v>
      </c>
      <c r="D346" s="43" t="n">
        <v>0.8303934165349262</v>
      </c>
      <c r="E346" s="21" t="n">
        <v>0</v>
      </c>
      <c r="F346" s="18" t="n">
        <v>1.055483691553706</v>
      </c>
      <c r="G346" s="16" t="n">
        <v>73.08261615179447</v>
      </c>
      <c r="H346" s="16" t="n">
        <v>34.16719779832155</v>
      </c>
    </row>
    <row r="347">
      <c r="A347" s="21" t="n">
        <v>315</v>
      </c>
      <c r="B347" s="18" t="n">
        <v>-0.03756984604206247</v>
      </c>
      <c r="C347" s="18" t="n">
        <v>0.0003805469439372225</v>
      </c>
      <c r="D347" s="43" t="n">
        <v>0.8877974934988873</v>
      </c>
      <c r="E347" s="21" t="n">
        <v>2</v>
      </c>
      <c r="F347" s="18" t="n">
        <v>0.7614327827702607</v>
      </c>
      <c r="G347" s="16" t="n">
        <v>71.99656279149325</v>
      </c>
      <c r="H347" s="16" t="n">
        <v>36.69591302871436</v>
      </c>
    </row>
    <row r="348">
      <c r="A348" s="21" t="n">
        <v>316</v>
      </c>
      <c r="B348" s="18" t="n">
        <v>-0.04370514136500854</v>
      </c>
      <c r="C348" s="18" t="n">
        <v>0.1339344529240012</v>
      </c>
      <c r="D348" s="43" t="n">
        <v>1.294366777729091</v>
      </c>
      <c r="E348" s="21" t="n">
        <v>1</v>
      </c>
      <c r="F348" s="18" t="n">
        <v>0.4793750671317103</v>
      </c>
      <c r="G348" s="16" t="n">
        <v>41.82115085502569</v>
      </c>
      <c r="H348" s="16" t="n">
        <v>35.61111851980658</v>
      </c>
    </row>
    <row r="349">
      <c r="A349" s="21" t="n">
        <v>317</v>
      </c>
      <c r="B349" s="18" t="n">
        <v>-0.03558186004579934</v>
      </c>
      <c r="C349" s="18" t="n">
        <v>0.1286989674368381</v>
      </c>
      <c r="D349" s="43" t="n">
        <v>1.208505630682376</v>
      </c>
      <c r="E349" s="21" t="n">
        <v>2</v>
      </c>
      <c r="F349" s="18" t="n">
        <v>0.4908496118209544</v>
      </c>
      <c r="G349" s="16" t="n">
        <v>44.16562708942073</v>
      </c>
      <c r="H349" s="16" t="n">
        <v>36.70752286693253</v>
      </c>
    </row>
    <row r="350">
      <c r="A350" s="21" t="n">
        <v>318</v>
      </c>
      <c r="B350" s="18" t="n">
        <v>0.003958416352560071</v>
      </c>
      <c r="C350" s="18" t="n">
        <v>0.05960241297384578</v>
      </c>
      <c r="D350" s="43" t="n">
        <v>0.8728456411957152</v>
      </c>
      <c r="E350" s="21" t="n">
        <v>0</v>
      </c>
      <c r="F350" s="18" t="n">
        <v>1.122940037518212</v>
      </c>
      <c r="G350" s="16" t="n">
        <v>84.41920818638927</v>
      </c>
      <c r="H350" s="16" t="n">
        <v>34.30003536292442</v>
      </c>
    </row>
    <row r="351">
      <c r="A351" s="21" t="n">
        <v>319</v>
      </c>
      <c r="B351" s="18" t="n">
        <v>-0.04879605554767472</v>
      </c>
      <c r="C351" s="18" t="n">
        <v>0.07321735634986212</v>
      </c>
      <c r="D351" s="43" t="n">
        <v>1.346974580159025</v>
      </c>
      <c r="E351" s="21" t="n">
        <v>0</v>
      </c>
      <c r="F351" s="18" t="n">
        <v>0.5800985571114015</v>
      </c>
      <c r="G351" s="16" t="n">
        <v>52.34220742716719</v>
      </c>
      <c r="H351" s="16" t="n">
        <v>34.35031611034935</v>
      </c>
    </row>
    <row r="352">
      <c r="A352" s="21" t="n">
        <v>320</v>
      </c>
      <c r="B352" s="18" t="n">
        <v>0.04932404608756663</v>
      </c>
      <c r="C352" s="18" t="n">
        <v>0.02391714165210615</v>
      </c>
      <c r="D352" s="43" t="n">
        <v>1.45607598172757</v>
      </c>
      <c r="E352" s="21" t="n">
        <v>1</v>
      </c>
      <c r="F352" s="18" t="n">
        <v>0.6788631554072271</v>
      </c>
      <c r="G352" s="16" t="n">
        <v>78.27466448437612</v>
      </c>
      <c r="H352" s="16" t="n">
        <v>35.87153899256332</v>
      </c>
    </row>
    <row r="353">
      <c r="A353" s="21" t="n">
        <v>321</v>
      </c>
      <c r="B353" s="18" t="n">
        <v>0.04076740589130606</v>
      </c>
      <c r="C353" s="18" t="n">
        <v>-0.01821330581139173</v>
      </c>
      <c r="D353" s="43" t="n">
        <v>1.165282729045007</v>
      </c>
      <c r="E353" s="21" t="n">
        <v>3</v>
      </c>
      <c r="F353" s="18" t="n">
        <v>0.6794757741081836</v>
      </c>
      <c r="G353" s="16" t="n">
        <v>82.34122331549545</v>
      </c>
      <c r="H353" s="16" t="n">
        <v>38.34259246812799</v>
      </c>
    </row>
    <row r="354">
      <c r="A354" s="21" t="n">
        <v>322</v>
      </c>
      <c r="B354" s="18" t="n">
        <v>-0.02119235357963911</v>
      </c>
      <c r="C354" s="18" t="n">
        <v>0.06873356627782462</v>
      </c>
      <c r="D354" s="43" t="n">
        <v>1.146246187227794</v>
      </c>
      <c r="E354" s="21" t="n">
        <v>0</v>
      </c>
      <c r="F354" s="18" t="n">
        <v>0.7746906148301205</v>
      </c>
      <c r="G354" s="16" t="n">
        <v>67.31506029286852</v>
      </c>
      <c r="H354" s="16" t="n">
        <v>34.32300470042275</v>
      </c>
    </row>
    <row r="355">
      <c r="A355" s="21" t="n">
        <v>323</v>
      </c>
      <c r="B355" s="18" t="n">
        <v>-0.04356475408652563</v>
      </c>
      <c r="C355" s="18" t="n">
        <v>0.02677957973351547</v>
      </c>
      <c r="D355" s="43" t="n">
        <v>0.8330850686401812</v>
      </c>
      <c r="E355" s="21" t="n">
        <v>1</v>
      </c>
      <c r="F355" s="18" t="n">
        <v>0.9109678965678589</v>
      </c>
      <c r="G355" s="16" t="n">
        <v>73.34850590749961</v>
      </c>
      <c r="H355" s="16" t="n">
        <v>35.46399237227725</v>
      </c>
    </row>
    <row r="356">
      <c r="A356" s="21" t="n">
        <v>324</v>
      </c>
      <c r="B356" s="18" t="n">
        <v>-0.01408642360258813</v>
      </c>
      <c r="C356" s="18" t="n">
        <v>0.08043367732954634</v>
      </c>
      <c r="D356" s="43" t="n">
        <v>1.386865360923197</v>
      </c>
      <c r="E356" s="21" t="n">
        <v>1</v>
      </c>
      <c r="F356" s="18" t="n">
        <v>0.5428559198628948</v>
      </c>
      <c r="G356" s="16" t="n">
        <v>54.83745742832092</v>
      </c>
      <c r="H356" s="16" t="n">
        <v>35.8558822395645</v>
      </c>
    </row>
    <row r="357">
      <c r="A357" s="21" t="n">
        <v>325</v>
      </c>
      <c r="B357" s="18" t="n">
        <v>0.02721281399273771</v>
      </c>
      <c r="C357" s="18" t="n">
        <v>0.116575902856612</v>
      </c>
      <c r="D357" s="43" t="n">
        <v>1.068271124935529</v>
      </c>
      <c r="E357" s="21" t="n">
        <v>1</v>
      </c>
      <c r="F357" s="18" t="n">
        <v>0.758829223717979</v>
      </c>
      <c r="G357" s="16" t="n">
        <v>70.69726769291113</v>
      </c>
      <c r="H357" s="16" t="n">
        <v>35.78876029894953</v>
      </c>
    </row>
    <row r="358">
      <c r="A358" s="21" t="n">
        <v>326</v>
      </c>
      <c r="B358" s="18" t="n">
        <v>4.755830061146937e-05</v>
      </c>
      <c r="C358" s="18" t="n">
        <v>-0.03094190780043078</v>
      </c>
      <c r="D358" s="43" t="n">
        <v>1.488569262637792</v>
      </c>
      <c r="E358" s="21" t="n">
        <v>0</v>
      </c>
      <c r="F358" s="18" t="n">
        <v>0.7587026199613074</v>
      </c>
      <c r="G358" s="16" t="n">
        <v>79.78237252414144</v>
      </c>
      <c r="H358" s="16" t="n">
        <v>34.39481945114157</v>
      </c>
    </row>
    <row r="359">
      <c r="A359" s="21" t="n">
        <v>327</v>
      </c>
      <c r="B359" s="18" t="n">
        <v>0.02000674733127254</v>
      </c>
      <c r="C359" s="18" t="n">
        <v>0.06891924406742009</v>
      </c>
      <c r="D359" s="43" t="n">
        <v>1.091796971233844</v>
      </c>
      <c r="E359" s="21" t="n">
        <v>1</v>
      </c>
      <c r="F359" s="18" t="n">
        <v>0.771952715847396</v>
      </c>
      <c r="G359" s="16" t="n">
        <v>74.79475439710544</v>
      </c>
      <c r="H359" s="16" t="n">
        <v>35.75569474735435</v>
      </c>
    </row>
    <row r="360">
      <c r="A360" s="21" t="n">
        <v>328</v>
      </c>
      <c r="B360" s="18" t="n">
        <v>-0.01443112995872528</v>
      </c>
      <c r="C360" s="18" t="n">
        <v>0.01801184304029001</v>
      </c>
      <c r="D360" s="43" t="n">
        <v>1.210137582570787</v>
      </c>
      <c r="E360" s="21" t="n">
        <v>0</v>
      </c>
      <c r="F360" s="18" t="n">
        <v>0.8264760081930946</v>
      </c>
      <c r="G360" s="16" t="n">
        <v>75.88112188936449</v>
      </c>
      <c r="H360" s="16" t="n">
        <v>34.34543844039695</v>
      </c>
    </row>
    <row r="361">
      <c r="A361" s="21" t="n">
        <v>329</v>
      </c>
      <c r="B361" s="18" t="n">
        <v>-0.00223106480138352</v>
      </c>
      <c r="C361" s="18" t="n">
        <v>0.1267897627439411</v>
      </c>
      <c r="D361" s="43" t="n">
        <v>1.035979994083573</v>
      </c>
      <c r="E361" s="21" t="n">
        <v>3</v>
      </c>
      <c r="F361" s="18" t="n">
        <v>0.545848901954052</v>
      </c>
      <c r="G361" s="16" t="n">
        <v>53.19972433426786</v>
      </c>
      <c r="H361" s="16" t="n">
        <v>38.04235097276948</v>
      </c>
    </row>
    <row r="362">
      <c r="A362" s="21" t="n">
        <v>330</v>
      </c>
      <c r="B362" s="18" t="n">
        <v>-0.05029358752168982</v>
      </c>
      <c r="C362" s="18" t="n">
        <v>0.02122703230681852</v>
      </c>
      <c r="D362" s="43" t="n">
        <v>0.9792140131713583</v>
      </c>
      <c r="E362" s="21" t="n">
        <v>0</v>
      </c>
      <c r="F362" s="18" t="n">
        <v>0.9497391743948771</v>
      </c>
      <c r="G362" s="16" t="n">
        <v>73.15869376186436</v>
      </c>
      <c r="H362" s="16" t="n">
        <v>34.12577792648033</v>
      </c>
    </row>
    <row r="363">
      <c r="A363" s="21" t="n">
        <v>331</v>
      </c>
      <c r="B363" s="18" t="n">
        <v>0.01015756437887744</v>
      </c>
      <c r="C363" s="18" t="n">
        <v>0.0713832462799083</v>
      </c>
      <c r="D363" s="43" t="n">
        <v>1.375649110646699</v>
      </c>
      <c r="E363" s="21" t="n">
        <v>0</v>
      </c>
      <c r="F363" s="18" t="n">
        <v>0.6618162660857652</v>
      </c>
      <c r="G363" s="16" t="n">
        <v>66.78055953078928</v>
      </c>
      <c r="H363" s="16" t="n">
        <v>34.66013701229654</v>
      </c>
    </row>
    <row r="364">
      <c r="A364" s="21" t="n">
        <v>332</v>
      </c>
      <c r="B364" s="18" t="n">
        <v>-0.06643590207010379</v>
      </c>
      <c r="C364" s="18" t="n">
        <v>0.0622519898648568</v>
      </c>
      <c r="D364" s="43" t="n">
        <v>1.165391761065951</v>
      </c>
      <c r="E364" s="21" t="n">
        <v>3</v>
      </c>
      <c r="F364" s="18" t="n">
        <v>0.4836723686725815</v>
      </c>
      <c r="G364" s="16" t="n">
        <v>44.90985702039969</v>
      </c>
      <c r="H364" s="16" t="n">
        <v>37.59403371775396</v>
      </c>
    </row>
    <row r="365">
      <c r="A365" s="21" t="n">
        <v>333</v>
      </c>
      <c r="B365" s="18" t="n">
        <v>0.005061929370048276</v>
      </c>
      <c r="C365" s="18" t="n">
        <v>0.03980348397208533</v>
      </c>
      <c r="D365" s="43" t="n">
        <v>1.191058573425818</v>
      </c>
      <c r="E365" s="21" t="n">
        <v>0</v>
      </c>
      <c r="F365" s="18" t="n">
        <v>0.8338296559350571</v>
      </c>
      <c r="G365" s="16" t="n">
        <v>77.42659628249166</v>
      </c>
      <c r="H365" s="16" t="n">
        <v>34.41011641124982</v>
      </c>
    </row>
    <row r="366">
      <c r="A366" s="21" t="n">
        <v>334</v>
      </c>
      <c r="B366" s="18" t="n">
        <v>0.02937619983838087</v>
      </c>
      <c r="C366" s="18" t="n">
        <v>0.08294822706593141</v>
      </c>
      <c r="D366" s="43" t="n">
        <v>1.633665285599753</v>
      </c>
      <c r="E366" s="21" t="n">
        <v>0</v>
      </c>
      <c r="F366" s="18" t="n">
        <v>0.5630362388716446</v>
      </c>
      <c r="G366" s="16" t="n">
        <v>61.76064541080578</v>
      </c>
      <c r="H366" s="16" t="n">
        <v>34.2556458322311</v>
      </c>
    </row>
    <row r="367">
      <c r="A367" s="21" t="n">
        <v>335</v>
      </c>
      <c r="B367" s="18" t="n">
        <v>-0.08249038670749724</v>
      </c>
      <c r="C367" s="18" t="n">
        <v>0.09204264487959118</v>
      </c>
      <c r="D367" s="43" t="n">
        <v>1.629307087955366</v>
      </c>
      <c r="E367" s="21" t="n">
        <v>0</v>
      </c>
      <c r="F367" s="18" t="n">
        <v>0.3779428624940679</v>
      </c>
      <c r="G367" s="16" t="n">
        <v>31.77884989406938</v>
      </c>
      <c r="H367" s="16" t="n">
        <v>49.62238754592384</v>
      </c>
    </row>
    <row r="368">
      <c r="A368" s="21" t="n">
        <v>336</v>
      </c>
      <c r="B368" s="18" t="n">
        <v>-0.004411191883798182</v>
      </c>
      <c r="C368" s="18" t="n">
        <v>0.0643344417365776</v>
      </c>
      <c r="D368" s="43" t="n">
        <v>1.460167243135572</v>
      </c>
      <c r="E368" s="21" t="n">
        <v>0</v>
      </c>
      <c r="F368" s="18" t="n">
        <v>0.6238860262888499</v>
      </c>
      <c r="G368" s="16" t="n">
        <v>62.52061306930619</v>
      </c>
      <c r="H368" s="16" t="n">
        <v>34.38001934036461</v>
      </c>
    </row>
    <row r="369">
      <c r="A369" s="21" t="n">
        <v>337</v>
      </c>
      <c r="B369" s="18" t="n">
        <v>-0.09272170294140419</v>
      </c>
      <c r="C369" s="18" t="n">
        <v>0.09867352310650514</v>
      </c>
      <c r="D369" s="43" t="n">
        <v>0.9937055976295128</v>
      </c>
      <c r="E369" s="21" t="n">
        <v>0</v>
      </c>
      <c r="F369" s="18" t="n">
        <v>0.7111821002828707</v>
      </c>
      <c r="G369" s="16" t="n">
        <v>48.3601461836187</v>
      </c>
      <c r="H369" s="16" t="n">
        <v>33.98949881975221</v>
      </c>
    </row>
    <row r="370">
      <c r="A370" s="21" t="n">
        <v>338</v>
      </c>
      <c r="B370" s="18" t="n">
        <v>0.008958938353894622</v>
      </c>
      <c r="C370" s="18" t="n">
        <v>0.17345241498177</v>
      </c>
      <c r="D370" s="43" t="n">
        <v>1.230279152076444</v>
      </c>
      <c r="E370" s="21" t="n">
        <v>0</v>
      </c>
      <c r="F370" s="18" t="n">
        <v>0.6466895903041576</v>
      </c>
      <c r="G370" s="16" t="n">
        <v>55.88717056583296</v>
      </c>
      <c r="H370" s="16" t="n">
        <v>34.42304668705822</v>
      </c>
    </row>
    <row r="371">
      <c r="A371" s="21" t="n">
        <v>339</v>
      </c>
      <c r="B371" s="18" t="n">
        <v>-0.09600911142228304</v>
      </c>
      <c r="C371" s="18" t="n">
        <v>0.04289836565389976</v>
      </c>
      <c r="D371" s="43" t="n">
        <v>1.48777882795113</v>
      </c>
      <c r="E371" s="21" t="n">
        <v>2</v>
      </c>
      <c r="F371" s="18" t="n">
        <v>0.405034315959836</v>
      </c>
      <c r="G371" s="16" t="n">
        <v>35.74266656271949</v>
      </c>
      <c r="H371" s="16" t="n">
        <v>36.240162518086</v>
      </c>
    </row>
    <row r="372">
      <c r="A372" s="21" t="n">
        <v>340</v>
      </c>
      <c r="B372" s="18" t="n">
        <v>0.04566769360633514</v>
      </c>
      <c r="C372" s="18" t="n">
        <v>0.05636776025256399</v>
      </c>
      <c r="D372" s="43" t="n">
        <v>1.09259004047098</v>
      </c>
      <c r="E372" s="21" t="n">
        <v>1</v>
      </c>
      <c r="F372" s="18" t="n">
        <v>0.8294041952247442</v>
      </c>
      <c r="G372" s="16" t="n">
        <v>83.4975799753997</v>
      </c>
      <c r="H372" s="16" t="n">
        <v>35.87344183226221</v>
      </c>
    </row>
    <row r="373">
      <c r="A373" s="21" t="n">
        <v>341</v>
      </c>
      <c r="B373" s="18" t="n">
        <v>-0.08114817659419488</v>
      </c>
      <c r="C373" s="18" t="n">
        <v>-0.03420767405274749</v>
      </c>
      <c r="D373" s="43" t="n">
        <v>0.9422013825077555</v>
      </c>
      <c r="E373" s="21" t="n">
        <v>0</v>
      </c>
      <c r="F373" s="18" t="n">
        <v>0.9647952535472786</v>
      </c>
      <c r="G373" s="16" t="n">
        <v>74.00959585123434</v>
      </c>
      <c r="H373" s="16" t="n">
        <v>34.02667298637945</v>
      </c>
    </row>
    <row r="374">
      <c r="A374" s="21" t="n">
        <v>342</v>
      </c>
      <c r="B374" s="18" t="n">
        <v>0.05249357392766336</v>
      </c>
      <c r="C374" s="18" t="n">
        <v>0.1068936825086025</v>
      </c>
      <c r="D374" s="43" t="n">
        <v>1.411117397910292</v>
      </c>
      <c r="E374" s="21" t="n">
        <v>1</v>
      </c>
      <c r="F374" s="18" t="n">
        <v>0.6121987573354928</v>
      </c>
      <c r="G374" s="16" t="n">
        <v>67.26112030605995</v>
      </c>
      <c r="H374" s="16" t="n">
        <v>36.17871962392602</v>
      </c>
    </row>
    <row r="375">
      <c r="A375" s="21" t="n">
        <v>343</v>
      </c>
      <c r="B375" s="18" t="n">
        <v>0.01947123691967412</v>
      </c>
      <c r="C375" s="18" t="n">
        <v>0.05720566485134901</v>
      </c>
      <c r="D375" s="43" t="n">
        <v>1.156114017150348</v>
      </c>
      <c r="E375" s="21" t="n">
        <v>0</v>
      </c>
      <c r="F375" s="18" t="n">
        <v>0.8758964799885021</v>
      </c>
      <c r="G375" s="16" t="n">
        <v>80.24437047811216</v>
      </c>
      <c r="H375" s="16" t="n">
        <v>34.45792649369947</v>
      </c>
    </row>
    <row r="376">
      <c r="A376" s="21" t="n">
        <v>344</v>
      </c>
      <c r="B376" s="18" t="n">
        <v>-0.006884560042987625</v>
      </c>
      <c r="C376" s="18" t="n">
        <v>0.04137579248527046</v>
      </c>
      <c r="D376" s="43" t="n">
        <v>1.209673094198937</v>
      </c>
      <c r="E376" s="21" t="n">
        <v>3</v>
      </c>
      <c r="F376" s="18" t="n">
        <v>0.5585660170926428</v>
      </c>
      <c r="G376" s="16" t="n">
        <v>60.5176848500584</v>
      </c>
      <c r="H376" s="16" t="n">
        <v>38.00985743643026</v>
      </c>
    </row>
    <row r="377">
      <c r="A377" s="21" t="n">
        <v>345</v>
      </c>
      <c r="B377" s="18" t="n">
        <v>0.01675668829973927</v>
      </c>
      <c r="C377" s="18" t="n">
        <v>-0.006624439349007652</v>
      </c>
      <c r="D377" s="43" t="n">
        <v>1.68048195556434</v>
      </c>
      <c r="E377" s="21" t="n">
        <v>0</v>
      </c>
      <c r="F377" s="18" t="n">
        <v>0.6343629055525966</v>
      </c>
      <c r="G377" s="16" t="n">
        <v>71.9578257640178</v>
      </c>
      <c r="H377" s="16" t="n">
        <v>34.03916667599373</v>
      </c>
    </row>
    <row r="378">
      <c r="A378" s="21" t="n">
        <v>346</v>
      </c>
      <c r="B378" s="18" t="n">
        <v>0.01860059476907598</v>
      </c>
      <c r="C378" s="18" t="n">
        <v>0.1315193306195419</v>
      </c>
      <c r="D378" s="43" t="n">
        <v>1.239437019056072</v>
      </c>
      <c r="E378" s="21" t="n">
        <v>1</v>
      </c>
      <c r="F378" s="18" t="n">
        <v>0.6363124538757294</v>
      </c>
      <c r="G378" s="16" t="n">
        <v>61.21473560827493</v>
      </c>
      <c r="H378" s="16" t="n">
        <v>35.77931548582404</v>
      </c>
    </row>
    <row r="379">
      <c r="A379" s="21" t="n">
        <v>347</v>
      </c>
      <c r="B379" s="18" t="n">
        <v>0.04848647839163128</v>
      </c>
      <c r="C379" s="18" t="n">
        <v>0.0396497823566293</v>
      </c>
      <c r="D379" s="43" t="n">
        <v>1.121754844125578</v>
      </c>
      <c r="E379" s="21" t="n">
        <v>0</v>
      </c>
      <c r="F379" s="18" t="n">
        <v>1.006029362829309</v>
      </c>
      <c r="G379" s="16" t="n">
        <v>92.38697755318813</v>
      </c>
      <c r="H379" s="16" t="n">
        <v>34.44305949819392</v>
      </c>
    </row>
    <row r="380">
      <c r="A380" s="21" t="n">
        <v>348</v>
      </c>
      <c r="B380" s="18" t="n">
        <v>-0.05650280374550284</v>
      </c>
      <c r="C380" s="18" t="n">
        <v>0.08385232642834325</v>
      </c>
      <c r="D380" s="43" t="n">
        <v>1.090061618362381</v>
      </c>
      <c r="E380" s="21" t="n">
        <v>1</v>
      </c>
      <c r="F380" s="18" t="n">
        <v>0.617272061958408</v>
      </c>
      <c r="G380" s="16" t="n">
        <v>52.49318057937995</v>
      </c>
      <c r="H380" s="16" t="n">
        <v>35.40462520727063</v>
      </c>
    </row>
    <row r="381">
      <c r="A381" s="21" t="n">
        <v>349</v>
      </c>
      <c r="B381" s="18" t="n">
        <v>-0.00731987387914998</v>
      </c>
      <c r="C381" s="18" t="n">
        <v>0.004657873425180155</v>
      </c>
      <c r="D381" s="43" t="n">
        <v>1.117427977516831</v>
      </c>
      <c r="E381" s="21" t="n">
        <v>0</v>
      </c>
      <c r="F381" s="18" t="n">
        <v>0.9414666740740811</v>
      </c>
      <c r="G381" s="16" t="n">
        <v>83.15811893287292</v>
      </c>
      <c r="H381" s="16" t="n">
        <v>34.26380949470017</v>
      </c>
    </row>
    <row r="382">
      <c r="A382" s="21" t="n">
        <v>350</v>
      </c>
      <c r="B382" s="18" t="n">
        <v>-0.09273572391122156</v>
      </c>
      <c r="C382" s="18" t="n">
        <v>0.1595754932682399</v>
      </c>
      <c r="D382" s="43" t="n">
        <v>0.9538824767013248</v>
      </c>
      <c r="E382" s="21" t="n">
        <v>2</v>
      </c>
      <c r="F382" s="18" t="n">
        <v>0.461181195633263</v>
      </c>
      <c r="G382" s="16" t="n">
        <v>31.84815351922932</v>
      </c>
      <c r="H382" s="16" t="n">
        <v>36.37374430195846</v>
      </c>
    </row>
    <row r="383">
      <c r="A383" s="21" t="n">
        <v>351</v>
      </c>
      <c r="B383" s="18" t="n">
        <v>-0.004199737137300791</v>
      </c>
      <c r="C383" s="18" t="n">
        <v>0.009739729129253825</v>
      </c>
      <c r="D383" s="43" t="n">
        <v>1.394784559442829</v>
      </c>
      <c r="E383" s="21" t="n">
        <v>0</v>
      </c>
      <c r="F383" s="18" t="n">
        <v>0.7184787047181511</v>
      </c>
      <c r="G383" s="16" t="n">
        <v>73.4336063490174</v>
      </c>
      <c r="H383" s="16" t="n">
        <v>34.60918626243905</v>
      </c>
    </row>
    <row r="384">
      <c r="A384" s="21" t="n">
        <v>352</v>
      </c>
      <c r="B384" s="18" t="n">
        <v>-0.07312640250904597</v>
      </c>
      <c r="C384" s="18" t="n">
        <v>0.01317309441518444</v>
      </c>
      <c r="D384" s="43" t="n">
        <v>1.439685535330085</v>
      </c>
      <c r="E384" s="21" t="n">
        <v>3</v>
      </c>
      <c r="F384" s="18" t="n">
        <v>0.427367439074493</v>
      </c>
      <c r="G384" s="16" t="n">
        <v>42.34897650233219</v>
      </c>
      <c r="H384" s="16" t="n">
        <v>37.34169942832921</v>
      </c>
    </row>
    <row r="385">
      <c r="A385" s="21" t="n">
        <v>353</v>
      </c>
      <c r="B385" s="18" t="n">
        <v>-0.01039055871539618</v>
      </c>
      <c r="C385" s="18" t="n">
        <v>0.1225840557359328</v>
      </c>
      <c r="D385" s="43" t="n">
        <v>1.043374404119664</v>
      </c>
      <c r="E385" s="21" t="n">
        <v>1</v>
      </c>
      <c r="F385" s="18" t="n">
        <v>0.68350077117757</v>
      </c>
      <c r="G385" s="16" t="n">
        <v>59.88788387090041</v>
      </c>
      <c r="H385" s="16" t="n">
        <v>35.61621453732307</v>
      </c>
    </row>
    <row r="386">
      <c r="A386" s="21" t="n">
        <v>354</v>
      </c>
      <c r="B386" s="18" t="n">
        <v>-0.009469388622379449</v>
      </c>
      <c r="C386" s="18" t="n">
        <v>0.1390472857538901</v>
      </c>
      <c r="D386" s="43" t="n">
        <v>1.053700659740313</v>
      </c>
      <c r="E386" s="21" t="n">
        <v>2</v>
      </c>
      <c r="F386" s="18" t="n">
        <v>0.5858134514844096</v>
      </c>
      <c r="G386" s="16" t="n">
        <v>53.4630571401512</v>
      </c>
      <c r="H386" s="16" t="n">
        <v>36.86001970004531</v>
      </c>
    </row>
    <row r="387">
      <c r="A387" s="21" t="n">
        <v>355</v>
      </c>
      <c r="B387" s="18" t="n">
        <v>-0.02320690958158508</v>
      </c>
      <c r="C387" s="18" t="n">
        <v>0.01513791638106049</v>
      </c>
      <c r="D387" s="43" t="n">
        <v>1.482931245733438</v>
      </c>
      <c r="E387" s="21" t="n">
        <v>2</v>
      </c>
      <c r="F387" s="18" t="n">
        <v>0.5282002113214743</v>
      </c>
      <c r="G387" s="16" t="n">
        <v>57.45181438859386</v>
      </c>
      <c r="H387" s="16" t="n">
        <v>36.65610901107751</v>
      </c>
    </row>
    <row r="388">
      <c r="A388" s="21" t="n">
        <v>356</v>
      </c>
      <c r="B388" s="18" t="n">
        <v>-0.01572119953171039</v>
      </c>
      <c r="C388" s="18" t="n">
        <v>0.04988850059848909</v>
      </c>
      <c r="D388" s="43" t="n">
        <v>0.8692392309719793</v>
      </c>
      <c r="E388" s="21" t="n">
        <v>3</v>
      </c>
      <c r="F388" s="18" t="n">
        <v>0.6757323283366008</v>
      </c>
      <c r="G388" s="16" t="n">
        <v>66.37486326650804</v>
      </c>
      <c r="H388" s="16" t="n">
        <v>37.94815464069597</v>
      </c>
    </row>
    <row r="389">
      <c r="A389" s="21" t="n">
        <v>357</v>
      </c>
      <c r="B389" s="18" t="n">
        <v>0.014092416036705</v>
      </c>
      <c r="C389" s="18" t="n">
        <v>0.09357412647255495</v>
      </c>
      <c r="D389" s="43" t="n">
        <v>1.180618013673131</v>
      </c>
      <c r="E389" s="21" t="n">
        <v>0</v>
      </c>
      <c r="F389" s="18" t="n">
        <v>0.7738343478215683</v>
      </c>
      <c r="G389" s="16" t="n">
        <v>70.76212038859191</v>
      </c>
      <c r="H389" s="16" t="n">
        <v>34.44007956600979</v>
      </c>
    </row>
    <row r="390">
      <c r="A390" s="21" t="n">
        <v>358</v>
      </c>
      <c r="B390" s="18" t="n">
        <v>0.01922255997347393</v>
      </c>
      <c r="C390" s="18" t="n">
        <v>0.1281010687628743</v>
      </c>
      <c r="D390" s="43" t="n">
        <v>1.144973719416694</v>
      </c>
      <c r="E390" s="21" t="n">
        <v>0</v>
      </c>
      <c r="F390" s="18" t="n">
        <v>0.7714341171485517</v>
      </c>
      <c r="G390" s="16" t="n">
        <v>68.19699985345395</v>
      </c>
      <c r="H390" s="16" t="n">
        <v>34.45710138359198</v>
      </c>
    </row>
    <row r="391">
      <c r="A391" s="21" t="n">
        <v>359</v>
      </c>
      <c r="B391" s="18" t="n">
        <v>-0.01969541091215435</v>
      </c>
      <c r="C391" s="18" t="n">
        <v>0.03754920603175088</v>
      </c>
      <c r="D391" s="43" t="n">
        <v>1.30210585026812</v>
      </c>
      <c r="E391" s="21" t="n">
        <v>0</v>
      </c>
      <c r="F391" s="18" t="n">
        <v>0.7169066298371245</v>
      </c>
      <c r="G391" s="16" t="n">
        <v>67.97698834285234</v>
      </c>
      <c r="H391" s="16" t="n">
        <v>34.45050962982945</v>
      </c>
    </row>
    <row r="392">
      <c r="A392" s="21" t="n">
        <v>360</v>
      </c>
      <c r="B392" s="18" t="n">
        <v>-0.006173807209777948</v>
      </c>
      <c r="C392" s="18" t="n">
        <v>0.05672867764657416</v>
      </c>
      <c r="D392" s="43" t="n">
        <v>0.9807715133252219</v>
      </c>
      <c r="E392" s="21" t="n">
        <v>0</v>
      </c>
      <c r="F392" s="18" t="n">
        <v>0.9985799232381081</v>
      </c>
      <c r="G392" s="16" t="n">
        <v>79.33771704275043</v>
      </c>
      <c r="H392" s="16" t="n">
        <v>34.26749066084219</v>
      </c>
    </row>
    <row r="393">
      <c r="A393" s="21" t="n">
        <v>361</v>
      </c>
      <c r="B393" s="18" t="n">
        <v>0.04442960130526893</v>
      </c>
      <c r="C393" s="18" t="n">
        <v>0.09522856995864157</v>
      </c>
      <c r="D393" s="43" t="n">
        <v>1.284892819537645</v>
      </c>
      <c r="E393" s="21" t="n">
        <v>1</v>
      </c>
      <c r="F393" s="18" t="n">
        <v>0.6648251816772441</v>
      </c>
      <c r="G393" s="16" t="n">
        <v>70.49264465808884</v>
      </c>
      <c r="H393" s="16" t="n">
        <v>36.02914999807673</v>
      </c>
    </row>
    <row r="394">
      <c r="A394" s="21" t="n">
        <v>362</v>
      </c>
      <c r="B394" s="18" t="n">
        <v>-0.08572863154336344</v>
      </c>
      <c r="C394" s="18" t="n">
        <v>0.09310415820876757</v>
      </c>
      <c r="D394" s="43" t="n">
        <v>1.093874803097851</v>
      </c>
      <c r="E394" s="21" t="n">
        <v>3</v>
      </c>
      <c r="F394" s="18" t="n">
        <v>0.4426110291767198</v>
      </c>
      <c r="G394" s="16" t="n">
        <v>36.76233327221553</v>
      </c>
      <c r="H394" s="16" t="n">
        <v>37.45932013717113</v>
      </c>
    </row>
    <row r="395">
      <c r="A395" s="21" t="n">
        <v>363</v>
      </c>
      <c r="B395" s="18" t="n">
        <v>-0.08643843123747014</v>
      </c>
      <c r="C395" s="18" t="n">
        <v>0.1039573299314758</v>
      </c>
      <c r="D395" s="43" t="n">
        <v>1.247706439052304</v>
      </c>
      <c r="E395" s="21" t="n">
        <v>3</v>
      </c>
      <c r="F395" s="18" t="n">
        <v>0.3995000930554831</v>
      </c>
      <c r="G395" s="16" t="n">
        <v>32.42464511915738</v>
      </c>
      <c r="H395" s="16" t="n">
        <v>37.45436388365487</v>
      </c>
    </row>
    <row r="396">
      <c r="A396" s="21" t="n">
        <v>364</v>
      </c>
      <c r="B396" s="18" t="n">
        <v>-0.09499126513978429</v>
      </c>
      <c r="C396" s="18" t="n">
        <v>0.06480453887894339</v>
      </c>
      <c r="D396" s="43" t="n">
        <v>0.8895488803646098</v>
      </c>
      <c r="E396" s="21" t="n">
        <v>1</v>
      </c>
      <c r="F396" s="18" t="n">
        <v>0.6834352942557009</v>
      </c>
      <c r="G396" s="16" t="n">
        <v>51.04902986470193</v>
      </c>
      <c r="H396" s="16" t="n">
        <v>35.22801815298716</v>
      </c>
    </row>
    <row r="397">
      <c r="A397" s="21" t="n">
        <v>365</v>
      </c>
      <c r="B397" s="18" t="n">
        <v>0.0006569753837535608</v>
      </c>
      <c r="C397" s="18" t="n">
        <v>-0.004258312929063236</v>
      </c>
      <c r="D397" s="43" t="n">
        <v>1.143784911593468</v>
      </c>
      <c r="E397" s="21" t="n">
        <v>1</v>
      </c>
      <c r="F397" s="18" t="n">
        <v>0.7949023621002966</v>
      </c>
      <c r="G397" s="16" t="n">
        <v>80.40416469152633</v>
      </c>
      <c r="H397" s="16" t="n">
        <v>35.69645014258649</v>
      </c>
    </row>
    <row r="398">
      <c r="A398" s="21" t="n">
        <v>366</v>
      </c>
      <c r="B398" s="18" t="n">
        <v>-0.02982518409721573</v>
      </c>
      <c r="C398" s="18" t="n">
        <v>0.1361162372923816</v>
      </c>
      <c r="D398" s="43" t="n">
        <v>1.181777317777726</v>
      </c>
      <c r="E398" s="21" t="n">
        <v>2</v>
      </c>
      <c r="F398" s="18" t="n">
        <v>0.4917821002573153</v>
      </c>
      <c r="G398" s="16" t="n">
        <v>44.42756462751573</v>
      </c>
      <c r="H398" s="16" t="n">
        <v>36.74114185447226</v>
      </c>
    </row>
    <row r="399">
      <c r="A399" s="21" t="n">
        <v>367</v>
      </c>
      <c r="B399" s="18" t="n">
        <v>0.01556021459540632</v>
      </c>
      <c r="C399" s="18" t="n">
        <v>0.124414504838188</v>
      </c>
      <c r="D399" s="43" t="n">
        <v>1.007195561493245</v>
      </c>
      <c r="E399" s="21" t="n">
        <v>3</v>
      </c>
      <c r="F399" s="18" t="n">
        <v>0.5711861324747101</v>
      </c>
      <c r="G399" s="16" t="n">
        <v>57.8212328029803</v>
      </c>
      <c r="H399" s="16" t="n">
        <v>38.16658051499228</v>
      </c>
    </row>
    <row r="400">
      <c r="A400" s="21" t="n">
        <v>368</v>
      </c>
      <c r="B400" s="18" t="n">
        <v>0.002222484000053745</v>
      </c>
      <c r="C400" s="18" t="n">
        <v>0.1073670740086396</v>
      </c>
      <c r="D400" s="43" t="n">
        <v>0.9671069443076025</v>
      </c>
      <c r="E400" s="21" t="n">
        <v>0</v>
      </c>
      <c r="F400" s="18" t="n">
        <v>0.9376270450068658</v>
      </c>
      <c r="G400" s="16" t="n">
        <v>73.09822193997503</v>
      </c>
      <c r="H400" s="16" t="n">
        <v>34.29445954820817</v>
      </c>
    </row>
    <row r="401">
      <c r="A401" s="21" t="n">
        <v>369</v>
      </c>
      <c r="B401" s="18" t="n">
        <v>-0.04271298931219951</v>
      </c>
      <c r="C401" s="18" t="n">
        <v>-0.005309402071413387</v>
      </c>
      <c r="D401" s="43" t="n">
        <v>0.9941516433164044</v>
      </c>
      <c r="E401" s="21" t="n">
        <v>1</v>
      </c>
      <c r="F401" s="18" t="n">
        <v>0.8479799933731389</v>
      </c>
      <c r="G401" s="16" t="n">
        <v>74.84648916366385</v>
      </c>
      <c r="H401" s="16" t="n">
        <v>35.46790075578459</v>
      </c>
    </row>
    <row r="402">
      <c r="A402" s="21" t="n">
        <v>370</v>
      </c>
      <c r="B402" s="18" t="n">
        <v>0.03675586133881562</v>
      </c>
      <c r="C402" s="18" t="n">
        <v>0.01393705765538936</v>
      </c>
      <c r="D402" s="43" t="n">
        <v>1.075647090466725</v>
      </c>
      <c r="E402" s="21" t="n">
        <v>2</v>
      </c>
      <c r="F402" s="18" t="n">
        <v>0.7779462472334902</v>
      </c>
      <c r="G402" s="16" t="n">
        <v>84.50342339168776</v>
      </c>
      <c r="H402" s="16" t="n">
        <v>37.12997515981868</v>
      </c>
    </row>
    <row r="403">
      <c r="A403" s="21" t="n">
        <v>371</v>
      </c>
      <c r="B403" s="18" t="n">
        <v>0.01389849855033551</v>
      </c>
      <c r="C403" s="18" t="n">
        <v>0.09561137761745875</v>
      </c>
      <c r="D403" s="43" t="n">
        <v>0.939147511156306</v>
      </c>
      <c r="E403" s="21" t="n">
        <v>0</v>
      </c>
      <c r="F403" s="18" t="n">
        <v>0.9843956111718519</v>
      </c>
      <c r="G403" s="16" t="n">
        <v>78.3076450014446</v>
      </c>
      <c r="H403" s="16" t="n">
        <v>34.33196290694367</v>
      </c>
    </row>
    <row r="404">
      <c r="A404" s="21" t="n">
        <v>372</v>
      </c>
      <c r="B404" s="18" t="n">
        <v>-0.05339018962133782</v>
      </c>
      <c r="C404" s="18" t="n">
        <v>-0.02848716913935015</v>
      </c>
      <c r="D404" s="43" t="n">
        <v>1.594709563261421</v>
      </c>
      <c r="E404" s="21" t="n">
        <v>0</v>
      </c>
      <c r="F404" s="18" t="n">
        <v>0.5943529910879415</v>
      </c>
      <c r="G404" s="16" t="n">
        <v>60.91460244926103</v>
      </c>
      <c r="H404" s="16" t="n">
        <v>33.92555718908611</v>
      </c>
    </row>
    <row r="405">
      <c r="A405" s="21" t="n">
        <v>373</v>
      </c>
      <c r="B405" s="18" t="n">
        <v>-0.03790796364979418</v>
      </c>
      <c r="C405" s="18" t="n">
        <v>0.1702854737974738</v>
      </c>
      <c r="D405" s="43" t="n">
        <v>1.110069024609457</v>
      </c>
      <c r="E405" s="21" t="n">
        <v>3</v>
      </c>
      <c r="F405" s="18" t="n">
        <v>0.4368059923864687</v>
      </c>
      <c r="G405" s="16" t="n">
        <v>36.63628469137982</v>
      </c>
      <c r="H405" s="16" t="n">
        <v>37.79323314863665</v>
      </c>
    </row>
    <row r="406">
      <c r="A406" s="21" t="n">
        <v>374</v>
      </c>
      <c r="B406" s="18" t="n">
        <v>-0.04584540664451198</v>
      </c>
      <c r="C406" s="18" t="n">
        <v>0.03729981227766341</v>
      </c>
      <c r="D406" s="43" t="n">
        <v>1.409072490102576</v>
      </c>
      <c r="E406" s="21" t="n">
        <v>3</v>
      </c>
      <c r="F406" s="18" t="n">
        <v>0.4503985516103406</v>
      </c>
      <c r="G406" s="16" t="n">
        <v>46.35336923276924</v>
      </c>
      <c r="H406" s="16" t="n">
        <v>37.85926435378294</v>
      </c>
    </row>
    <row r="407">
      <c r="A407" s="21" t="n">
        <v>375</v>
      </c>
      <c r="B407" s="18" t="n">
        <v>-0.07625990318990293</v>
      </c>
      <c r="C407" s="18" t="n">
        <v>0.090779043594464</v>
      </c>
      <c r="D407" s="43" t="n">
        <v>1.656939517990038</v>
      </c>
      <c r="E407" s="21" t="n">
        <v>3</v>
      </c>
      <c r="F407" s="18" t="n">
        <v>0.314093560152837</v>
      </c>
      <c r="G407" s="16" t="n">
        <v>24.9926914485769</v>
      </c>
      <c r="H407" s="16" t="n">
        <v>49.7052143050812</v>
      </c>
    </row>
    <row r="408">
      <c r="A408" s="21" t="n">
        <v>376</v>
      </c>
      <c r="B408" s="18" t="n">
        <v>-0.07859603405478369</v>
      </c>
      <c r="C408" s="18" t="n">
        <v>0.1308752668051575</v>
      </c>
      <c r="D408" s="43" t="n">
        <v>0.9270710667325486</v>
      </c>
      <c r="E408" s="21" t="n">
        <v>2</v>
      </c>
      <c r="F408" s="18" t="n">
        <v>0.5230118101051366</v>
      </c>
      <c r="G408" s="16" t="n">
        <v>39.89229122981146</v>
      </c>
      <c r="H408" s="16" t="n">
        <v>36.45632009072006</v>
      </c>
    </row>
    <row r="409">
      <c r="A409" s="21" t="n">
        <v>377</v>
      </c>
      <c r="B409" s="18" t="n">
        <v>0.04571801239883676</v>
      </c>
      <c r="C409" s="18" t="n">
        <v>0.03959978256367136</v>
      </c>
      <c r="D409" s="43" t="n">
        <v>1.272113245428525</v>
      </c>
      <c r="E409" s="21" t="n">
        <v>0</v>
      </c>
      <c r="F409" s="18" t="n">
        <v>0.8366335790350794</v>
      </c>
      <c r="G409" s="16" t="n">
        <v>84.98387125148594</v>
      </c>
      <c r="H409" s="16" t="n">
        <v>34.67572804628919</v>
      </c>
    </row>
    <row r="410">
      <c r="A410" s="21" t="n">
        <v>378</v>
      </c>
      <c r="B410" s="18" t="n">
        <v>-0.0270866594573356</v>
      </c>
      <c r="C410" s="18" t="n">
        <v>0.02989148748141644</v>
      </c>
      <c r="D410" s="43" t="n">
        <v>1.479262208950943</v>
      </c>
      <c r="E410" s="21" t="n">
        <v>0</v>
      </c>
      <c r="F410" s="18" t="n">
        <v>0.6294944639243898</v>
      </c>
      <c r="G410" s="16" t="n">
        <v>62.43376410711995</v>
      </c>
      <c r="H410" s="16" t="n">
        <v>34.30475173887821</v>
      </c>
    </row>
    <row r="411">
      <c r="A411" s="21" t="n">
        <v>379</v>
      </c>
      <c r="B411" s="18" t="n">
        <v>-0.03500202660124554</v>
      </c>
      <c r="C411" s="18" t="n">
        <v>0.0710484508746618</v>
      </c>
      <c r="D411" s="43" t="n">
        <v>1.259063355995716</v>
      </c>
      <c r="E411" s="21" t="n">
        <v>1</v>
      </c>
      <c r="F411" s="18" t="n">
        <v>0.5675215661303921</v>
      </c>
      <c r="G411" s="16" t="n">
        <v>54.23007220492525</v>
      </c>
      <c r="H411" s="16" t="n">
        <v>35.65239822199919</v>
      </c>
    </row>
    <row r="412">
      <c r="A412" s="21" t="n">
        <v>380</v>
      </c>
      <c r="B412" s="18" t="n">
        <v>0.009474947994799421</v>
      </c>
      <c r="C412" s="18" t="n">
        <v>0.06655356274629196</v>
      </c>
      <c r="D412" s="43" t="n">
        <v>1.124145649629989</v>
      </c>
      <c r="E412" s="21" t="n">
        <v>1</v>
      </c>
      <c r="F412" s="18" t="n">
        <v>0.7568473374931548</v>
      </c>
      <c r="G412" s="16" t="n">
        <v>72.44170858602472</v>
      </c>
      <c r="H412" s="16" t="n">
        <v>35.70736883382756</v>
      </c>
    </row>
    <row r="413">
      <c r="A413" s="21" t="n">
        <v>381</v>
      </c>
      <c r="B413" s="18" t="n">
        <v>-0.01187592262308124</v>
      </c>
      <c r="C413" s="18" t="n">
        <v>0.04153375453761102</v>
      </c>
      <c r="D413" s="43" t="n">
        <v>1.125360159870728</v>
      </c>
      <c r="E413" s="21" t="n">
        <v>1</v>
      </c>
      <c r="F413" s="18" t="n">
        <v>0.7208361859168579</v>
      </c>
      <c r="G413" s="16" t="n">
        <v>69.73847790334325</v>
      </c>
      <c r="H413" s="16" t="n">
        <v>35.6385720259816</v>
      </c>
    </row>
    <row r="414">
      <c r="A414" s="21" t="n">
        <v>382</v>
      </c>
      <c r="B414" s="18" t="n">
        <v>0.04572137339139307</v>
      </c>
      <c r="C414" s="18" t="n">
        <v>0.06990552327011576</v>
      </c>
      <c r="D414" s="43" t="n">
        <v>0.8847335659669283</v>
      </c>
      <c r="E414" s="21" t="n">
        <v>1</v>
      </c>
      <c r="F414" s="18" t="n">
        <v>0.9523860838897837</v>
      </c>
      <c r="G414" s="16" t="n">
        <v>87.63529934503703</v>
      </c>
      <c r="H414" s="16" t="n">
        <v>35.87368814579021</v>
      </c>
    </row>
    <row r="415">
      <c r="A415" s="21" t="n">
        <v>383</v>
      </c>
      <c r="B415" s="18" t="n">
        <v>0.0164197160114302</v>
      </c>
      <c r="C415" s="18" t="n">
        <v>0.1475949258809419</v>
      </c>
      <c r="D415" s="43" t="n">
        <v>1.189820191280816</v>
      </c>
      <c r="E415" s="21" t="n">
        <v>0</v>
      </c>
      <c r="F415" s="18" t="n">
        <v>0.6998747075275786</v>
      </c>
      <c r="G415" s="16" t="n">
        <v>62.25761761018875</v>
      </c>
      <c r="H415" s="16" t="n">
        <v>34.44780154732592</v>
      </c>
    </row>
    <row r="416">
      <c r="A416" s="21" t="n">
        <v>384</v>
      </c>
      <c r="B416" s="18" t="n">
        <v>-0.021398872624317</v>
      </c>
      <c r="C416" s="18" t="n">
        <v>0.04958294945927955</v>
      </c>
      <c r="D416" s="43" t="n">
        <v>1.728127873479895</v>
      </c>
      <c r="E416" s="21" t="n">
        <v>1</v>
      </c>
      <c r="F416" s="18" t="n">
        <v>0.4632568747545331</v>
      </c>
      <c r="G416" s="16" t="n">
        <v>49.03619239018644</v>
      </c>
      <c r="H416" s="16" t="n">
        <v>35.02808660329585</v>
      </c>
    </row>
    <row r="417">
      <c r="A417" s="21" t="n">
        <v>385</v>
      </c>
      <c r="B417" s="18" t="n">
        <v>-0.03605088049884499</v>
      </c>
      <c r="C417" s="18" t="n">
        <v>0.01272833183667987</v>
      </c>
      <c r="D417" s="43" t="n">
        <v>1.618247478085027</v>
      </c>
      <c r="E417" s="21" t="n">
        <v>0</v>
      </c>
      <c r="F417" s="18" t="n">
        <v>0.5702247618501342</v>
      </c>
      <c r="G417" s="16" t="n">
        <v>58.38386551732675</v>
      </c>
      <c r="H417" s="16" t="n">
        <v>33.97776574115636</v>
      </c>
    </row>
    <row r="418">
      <c r="A418" s="21" t="n">
        <v>386</v>
      </c>
      <c r="B418" s="18" t="n">
        <v>0.06431626404862431</v>
      </c>
      <c r="C418" s="18" t="n">
        <v>0.03730781909546996</v>
      </c>
      <c r="D418" s="43" t="n">
        <v>0.8898879623110494</v>
      </c>
      <c r="E418" s="21" t="n">
        <v>0</v>
      </c>
      <c r="F418" s="18" t="n">
        <v>1.240868255490527</v>
      </c>
      <c r="G418" s="16" t="n">
        <v>103.7805925869102</v>
      </c>
      <c r="H418" s="16" t="n">
        <v>34.49390476972418</v>
      </c>
    </row>
    <row r="419">
      <c r="A419" s="21" t="n">
        <v>387</v>
      </c>
      <c r="B419" s="18" t="n">
        <v>0.007936058548446298</v>
      </c>
      <c r="C419" s="18" t="n">
        <v>0.03953052240443836</v>
      </c>
      <c r="D419" s="43" t="n">
        <v>1.314858374187074</v>
      </c>
      <c r="E419" s="21" t="n">
        <v>0</v>
      </c>
      <c r="F419" s="18" t="n">
        <v>0.7668582638801007</v>
      </c>
      <c r="G419" s="16" t="n">
        <v>74.97887732010351</v>
      </c>
      <c r="H419" s="16" t="n">
        <v>34.5456447791823</v>
      </c>
    </row>
    <row r="420">
      <c r="A420" s="21" t="n">
        <v>388</v>
      </c>
      <c r="B420" s="18" t="n">
        <v>0.05003304726987871</v>
      </c>
      <c r="C420" s="18" t="n">
        <v>0.001207166105188805</v>
      </c>
      <c r="D420" s="43" t="n">
        <v>1.052612478935823</v>
      </c>
      <c r="E420" s="21" t="n">
        <v>0</v>
      </c>
      <c r="F420" s="18" t="n">
        <v>1.10923454673782</v>
      </c>
      <c r="G420" s="16" t="n">
        <v>101.1745832872697</v>
      </c>
      <c r="H420" s="16" t="n">
        <v>34.44802707743085</v>
      </c>
    </row>
    <row r="421">
      <c r="A421" s="21" t="n">
        <v>389</v>
      </c>
      <c r="B421" s="18" t="n">
        <v>-0.08606635538319495</v>
      </c>
      <c r="C421" s="18" t="n">
        <v>0.007073899560929756</v>
      </c>
      <c r="D421" s="43" t="n">
        <v>1.521416660090574</v>
      </c>
      <c r="E421" s="21" t="n">
        <v>2</v>
      </c>
      <c r="F421" s="18" t="n">
        <v>0.4258631539505897</v>
      </c>
      <c r="G421" s="16" t="n">
        <v>41.09635242384854</v>
      </c>
      <c r="H421" s="16" t="n">
        <v>36.11392415367192</v>
      </c>
    </row>
    <row r="422">
      <c r="A422" s="21" t="n">
        <v>390</v>
      </c>
      <c r="B422" s="18" t="n">
        <v>0.02755783849907024</v>
      </c>
      <c r="C422" s="18" t="n">
        <v>0.08421523467757636</v>
      </c>
      <c r="D422" s="43" t="n">
        <v>0.8949892053964855</v>
      </c>
      <c r="E422" s="21" t="n">
        <v>0</v>
      </c>
      <c r="F422" s="18" t="n">
        <v>1.083997401106638</v>
      </c>
      <c r="G422" s="16" t="n">
        <v>85.64881051305966</v>
      </c>
      <c r="H422" s="16" t="n">
        <v>34.37583670685901</v>
      </c>
    </row>
    <row r="423">
      <c r="A423" s="21" t="n">
        <v>391</v>
      </c>
      <c r="B423" s="18" t="n">
        <v>-0.001746672895018425</v>
      </c>
      <c r="C423" s="18" t="n">
        <v>0.03245240841443994</v>
      </c>
      <c r="D423" s="43" t="n">
        <v>1.573503381060256</v>
      </c>
      <c r="E423" s="21" t="n">
        <v>0</v>
      </c>
      <c r="F423" s="18" t="n">
        <v>0.6211051400102472</v>
      </c>
      <c r="G423" s="16" t="n">
        <v>65.51213795694295</v>
      </c>
      <c r="H423" s="16" t="n">
        <v>34.27115765251752</v>
      </c>
    </row>
    <row r="424">
      <c r="A424" s="21" t="n">
        <v>392</v>
      </c>
      <c r="B424" s="18" t="n">
        <v>-0.08514402184407836</v>
      </c>
      <c r="C424" s="18" t="n">
        <v>0.1562185159442011</v>
      </c>
      <c r="D424" s="43" t="n">
        <v>1.439417963606368</v>
      </c>
      <c r="E424" s="21" t="n">
        <v>2</v>
      </c>
      <c r="F424" s="18" t="n">
        <v>0.3085021557612202</v>
      </c>
      <c r="G424" s="16" t="n">
        <v>20.70967871059867</v>
      </c>
      <c r="H424" s="16" t="n">
        <v>48.48091832689547</v>
      </c>
    </row>
    <row r="425">
      <c r="A425" s="21" t="n">
        <v>393</v>
      </c>
      <c r="B425" s="18" t="n">
        <v>-0.007539826621830503</v>
      </c>
      <c r="C425" s="18" t="n">
        <v>0.0197992471819872</v>
      </c>
      <c r="D425" s="43" t="n">
        <v>0.9532999558073005</v>
      </c>
      <c r="E425" s="21" t="n">
        <v>1</v>
      </c>
      <c r="F425" s="18" t="n">
        <v>0.881485512867954</v>
      </c>
      <c r="G425" s="16" t="n">
        <v>80.07347839088968</v>
      </c>
      <c r="H425" s="16" t="n">
        <v>35.62929532515811</v>
      </c>
    </row>
    <row r="426">
      <c r="A426" s="21" t="n">
        <v>394</v>
      </c>
      <c r="B426" s="18" t="n">
        <v>0.004001138942351629</v>
      </c>
      <c r="C426" s="18" t="n">
        <v>-0.005519778529143475</v>
      </c>
      <c r="D426" s="43" t="n">
        <v>0.9093840366025128</v>
      </c>
      <c r="E426" s="21" t="n">
        <v>0</v>
      </c>
      <c r="F426" s="18" t="n">
        <v>1.168270182237038</v>
      </c>
      <c r="G426" s="16" t="n">
        <v>94.27262942603505</v>
      </c>
      <c r="H426" s="16" t="n">
        <v>34.30017258788283</v>
      </c>
    </row>
    <row r="427">
      <c r="A427" s="21" t="n">
        <v>395</v>
      </c>
      <c r="B427" s="18" t="n">
        <v>-0.1293979937103981</v>
      </c>
      <c r="C427" s="18" t="n">
        <v>0.09764739342601461</v>
      </c>
      <c r="D427" s="43" t="n">
        <v>1.436360248957225</v>
      </c>
      <c r="E427" s="21" t="n">
        <v>0</v>
      </c>
      <c r="F427" s="18" t="n">
        <v>0.3542370308197973</v>
      </c>
      <c r="G427" s="16" t="n">
        <v>24.33102290751852</v>
      </c>
      <c r="H427" s="16" t="n">
        <v>45.40357920300876</v>
      </c>
    </row>
    <row r="428">
      <c r="A428" s="21" t="n">
        <v>396</v>
      </c>
      <c r="B428" s="18" t="n">
        <v>-0.0248042744997248</v>
      </c>
      <c r="C428" s="18" t="n">
        <v>0.1288946711315493</v>
      </c>
      <c r="D428" s="43" t="n">
        <v>0.9764979722119093</v>
      </c>
      <c r="E428" s="21" t="n">
        <v>0</v>
      </c>
      <c r="F428" s="18" t="n">
        <v>0.8357110719233782</v>
      </c>
      <c r="G428" s="16" t="n">
        <v>62.0002820929872</v>
      </c>
      <c r="H428" s="16" t="n">
        <v>34.20764959990688</v>
      </c>
    </row>
    <row r="429">
      <c r="A429" s="21" t="n">
        <v>397</v>
      </c>
      <c r="B429" s="18" t="n">
        <v>0.02331976540285238</v>
      </c>
      <c r="C429" s="18" t="n">
        <v>0.02458060832032517</v>
      </c>
      <c r="D429" s="43" t="n">
        <v>1.1900151824682</v>
      </c>
      <c r="E429" s="21" t="n">
        <v>1</v>
      </c>
      <c r="F429" s="18" t="n">
        <v>0.7682806064470629</v>
      </c>
      <c r="G429" s="16" t="n">
        <v>79.76525461960367</v>
      </c>
      <c r="H429" s="16" t="n">
        <v>35.80110906525564</v>
      </c>
    </row>
    <row r="430">
      <c r="A430" s="21" t="n">
        <v>398</v>
      </c>
      <c r="B430" s="18" t="n">
        <v>-0.04905503294184944</v>
      </c>
      <c r="C430" s="18" t="n">
        <v>0.01357485377812173</v>
      </c>
      <c r="D430" s="43" t="n">
        <v>1.540376977721481</v>
      </c>
      <c r="E430" s="21" t="n">
        <v>0</v>
      </c>
      <c r="F430" s="18" t="n">
        <v>0.5661193846982728</v>
      </c>
      <c r="G430" s="16" t="n">
        <v>56.52432941530716</v>
      </c>
      <c r="H430" s="16" t="n">
        <v>34.11970331699616</v>
      </c>
    </row>
    <row r="431">
      <c r="A431" s="21" t="n">
        <v>399</v>
      </c>
      <c r="B431" s="18" t="n">
        <v>-0.02422278098936193</v>
      </c>
      <c r="C431" s="18" t="n">
        <v>0.01095344696915625</v>
      </c>
      <c r="D431" s="43" t="n">
        <v>1.211747070419074</v>
      </c>
      <c r="E431" s="21" t="n">
        <v>0</v>
      </c>
      <c r="F431" s="18" t="n">
        <v>0.8170440905186978</v>
      </c>
      <c r="G431" s="16" t="n">
        <v>74.44781868097741</v>
      </c>
      <c r="H431" s="16" t="n">
        <v>34.3129497422773</v>
      </c>
    </row>
    <row r="432">
      <c r="A432" s="21" t="n">
        <v>400</v>
      </c>
      <c r="B432" s="18" t="n">
        <v>-0.02646928566610522</v>
      </c>
      <c r="C432" s="18" t="n">
        <v>0.05747113558326783</v>
      </c>
      <c r="D432" s="43" t="n">
        <v>1.105584160015239</v>
      </c>
      <c r="E432" s="21" t="n">
        <v>0</v>
      </c>
      <c r="F432" s="18" t="n">
        <v>0.8195758512952116</v>
      </c>
      <c r="G432" s="16" t="n">
        <v>69.03769106193792</v>
      </c>
      <c r="H432" s="16" t="n">
        <v>34.20230158404047</v>
      </c>
    </row>
    <row r="433">
      <c r="A433" s="21" t="n">
        <v>401</v>
      </c>
      <c r="B433" s="18" t="n">
        <v>-0.04793876835562899</v>
      </c>
      <c r="C433" s="18" t="n">
        <v>0.04969267234425251</v>
      </c>
      <c r="D433" s="43" t="n">
        <v>1.13367638784386</v>
      </c>
      <c r="E433" s="21" t="n">
        <v>1</v>
      </c>
      <c r="F433" s="18" t="n">
        <v>0.6492883114372725</v>
      </c>
      <c r="G433" s="16" t="n">
        <v>59.08922020102004</v>
      </c>
      <c r="H433" s="16" t="n">
        <v>35.47203036983195</v>
      </c>
    </row>
    <row r="434">
      <c r="A434" s="21" t="n">
        <v>402</v>
      </c>
      <c r="B434" s="18" t="n">
        <v>0.04126152916655328</v>
      </c>
      <c r="C434" s="18" t="n">
        <v>0.02203330338871518</v>
      </c>
      <c r="D434" s="43" t="n">
        <v>0.9123540570730502</v>
      </c>
      <c r="E434" s="21" t="n">
        <v>0</v>
      </c>
      <c r="F434" s="18" t="n">
        <v>1.21176495527339</v>
      </c>
      <c r="G434" s="16" t="n">
        <v>99.9611108095212</v>
      </c>
      <c r="H434" s="16" t="n">
        <v>34.41985296128296</v>
      </c>
    </row>
    <row r="435">
      <c r="A435" s="21" t="n">
        <v>403</v>
      </c>
      <c r="B435" s="18" t="n">
        <v>0.01656349829900684</v>
      </c>
      <c r="C435" s="18" t="n">
        <v>-0.01994234972941951</v>
      </c>
      <c r="D435" s="43" t="n">
        <v>1.641891989732585</v>
      </c>
      <c r="E435" s="21" t="n">
        <v>2</v>
      </c>
      <c r="F435" s="18" t="n">
        <v>0.5448514362626524</v>
      </c>
      <c r="G435" s="16" t="n">
        <v>66.59812702400971</v>
      </c>
      <c r="H435" s="16" t="n">
        <v>36.48750499454391</v>
      </c>
    </row>
    <row r="436">
      <c r="A436" s="21" t="n">
        <v>404</v>
      </c>
      <c r="B436" s="18" t="n">
        <v>-0.08823188379620264</v>
      </c>
      <c r="C436" s="18" t="n">
        <v>0.05155264220561867</v>
      </c>
      <c r="D436" s="43" t="n">
        <v>1.057385260087619</v>
      </c>
      <c r="E436" s="21" t="n">
        <v>0</v>
      </c>
      <c r="F436" s="18" t="n">
        <v>0.7254103994651073</v>
      </c>
      <c r="G436" s="16" t="n">
        <v>54.90507556310087</v>
      </c>
      <c r="H436" s="16" t="n">
        <v>34.00392011884659</v>
      </c>
    </row>
    <row r="437">
      <c r="A437" s="21" t="n">
        <v>405</v>
      </c>
      <c r="B437" s="18" t="n">
        <v>0.07261337047167954</v>
      </c>
      <c r="C437" s="18" t="n">
        <v>0.1584262676021668</v>
      </c>
      <c r="D437" s="43" t="n">
        <v>0.994609091089216</v>
      </c>
      <c r="E437" s="21" t="n">
        <v>1</v>
      </c>
      <c r="F437" s="18" t="n">
        <v>0.8575853137819527</v>
      </c>
      <c r="G437" s="16" t="n">
        <v>78.78560316610651</v>
      </c>
      <c r="H437" s="16" t="n">
        <v>35.99708399525004</v>
      </c>
    </row>
    <row r="438">
      <c r="A438" s="21" t="n">
        <v>406</v>
      </c>
      <c r="B438" s="18" t="n">
        <v>0.03285427322930012</v>
      </c>
      <c r="C438" s="18" t="n">
        <v>0.07847661143626791</v>
      </c>
      <c r="D438" s="43" t="n">
        <v>1.044247290095706</v>
      </c>
      <c r="E438" s="21" t="n">
        <v>0</v>
      </c>
      <c r="F438" s="18" t="n">
        <v>0.9587757385032398</v>
      </c>
      <c r="G438" s="16" t="n">
        <v>83.42551351559577</v>
      </c>
      <c r="H438" s="16" t="n">
        <v>34.39284885521251</v>
      </c>
    </row>
    <row r="439">
      <c r="A439" s="21" t="n">
        <v>407</v>
      </c>
      <c r="B439" s="18" t="n">
        <v>-0.05103111041186051</v>
      </c>
      <c r="C439" s="18" t="n">
        <v>0.05357264141123178</v>
      </c>
      <c r="D439" s="43" t="n">
        <v>1.631176292876809</v>
      </c>
      <c r="E439" s="21" t="n">
        <v>0</v>
      </c>
      <c r="F439" s="18" t="n">
        <v>0.472848280352578</v>
      </c>
      <c r="G439" s="16" t="n">
        <v>46.27901603628519</v>
      </c>
      <c r="H439" s="16" t="n">
        <v>36.44251497915529</v>
      </c>
    </row>
    <row r="440">
      <c r="A440" s="21" t="n">
        <v>408</v>
      </c>
      <c r="B440" s="18" t="n">
        <v>0.02521767680867544</v>
      </c>
      <c r="C440" s="18" t="n">
        <v>-0.002948523077459915</v>
      </c>
      <c r="D440" s="43" t="n">
        <v>0.9373215594784788</v>
      </c>
      <c r="E440" s="21" t="n">
        <v>0</v>
      </c>
      <c r="F440" s="18" t="n">
        <v>1.163212239637391</v>
      </c>
      <c r="G440" s="16" t="n">
        <v>98.08712518670254</v>
      </c>
      <c r="H440" s="16" t="n">
        <v>34.36832010750946</v>
      </c>
    </row>
    <row r="441">
      <c r="A441" s="21" t="n">
        <v>409</v>
      </c>
      <c r="B441" s="18" t="n">
        <v>-0.08940731191337763</v>
      </c>
      <c r="C441" s="18" t="n">
        <v>0.02105438628960034</v>
      </c>
      <c r="D441" s="43" t="n">
        <v>1.474181695420508</v>
      </c>
      <c r="E441" s="21" t="n">
        <v>2</v>
      </c>
      <c r="F441" s="18" t="n">
        <v>0.4356450186403555</v>
      </c>
      <c r="G441" s="16" t="n">
        <v>40.71778305177274</v>
      </c>
      <c r="H441" s="16" t="n">
        <v>36.27788109367484</v>
      </c>
    </row>
    <row r="442">
      <c r="A442" s="21" t="n">
        <v>410</v>
      </c>
      <c r="B442" s="18" t="n">
        <v>0.07594131064578614</v>
      </c>
      <c r="C442" s="18" t="n">
        <v>0.02678202258009914</v>
      </c>
      <c r="D442" s="43" t="n">
        <v>1.316548984406029</v>
      </c>
      <c r="E442" s="21" t="n">
        <v>2</v>
      </c>
      <c r="F442" s="18" t="n">
        <v>0.6954758963058909</v>
      </c>
      <c r="G442" s="16" t="n">
        <v>84.24565459458</v>
      </c>
      <c r="H442" s="16" t="n">
        <v>37.45027319517628</v>
      </c>
    </row>
    <row r="443">
      <c r="A443" s="21" t="n">
        <v>411</v>
      </c>
      <c r="B443" s="18" t="n">
        <v>0.001569133272418061</v>
      </c>
      <c r="C443" s="18" t="n">
        <v>0.1000207570833198</v>
      </c>
      <c r="D443" s="43" t="n">
        <v>1.431239025013794</v>
      </c>
      <c r="E443" s="21" t="n">
        <v>0</v>
      </c>
      <c r="F443" s="18" t="n">
        <v>0.5875329286736171</v>
      </c>
      <c r="G443" s="16" t="n">
        <v>58.04811386738488</v>
      </c>
      <c r="H443" s="16" t="n">
        <v>34.39987007681172</v>
      </c>
    </row>
    <row r="444">
      <c r="A444" s="21" t="n">
        <v>412</v>
      </c>
      <c r="B444" s="18" t="n">
        <v>-0.0002358085629996232</v>
      </c>
      <c r="C444" s="18" t="n">
        <v>0.1276135985405154</v>
      </c>
      <c r="D444" s="43" t="n">
        <v>1.661140474919137</v>
      </c>
      <c r="E444" s="21" t="n">
        <v>0</v>
      </c>
      <c r="F444" s="18" t="n">
        <v>0.4648055058346994</v>
      </c>
      <c r="G444" s="16" t="n">
        <v>46.68327470016052</v>
      </c>
      <c r="H444" s="16" t="n">
        <v>40.96899837487302</v>
      </c>
    </row>
    <row r="445">
      <c r="A445" s="21" t="n">
        <v>413</v>
      </c>
      <c r="B445" s="18" t="n">
        <v>-0.09414120408608345</v>
      </c>
      <c r="C445" s="18" t="n">
        <v>0.1353453696675453</v>
      </c>
      <c r="D445" s="43" t="n">
        <v>1.444646266958538</v>
      </c>
      <c r="E445" s="21" t="n">
        <v>3</v>
      </c>
      <c r="F445" s="18" t="n">
        <v>0.2948439855852074</v>
      </c>
      <c r="G445" s="16" t="n">
        <v>19.30739008344248</v>
      </c>
      <c r="H445" s="16" t="n">
        <v>46.76601543824972</v>
      </c>
    </row>
    <row r="446">
      <c r="A446" s="21" t="n">
        <v>414</v>
      </c>
      <c r="B446" s="18" t="n">
        <v>0.03647316390659557</v>
      </c>
      <c r="C446" s="18" t="n">
        <v>0.1743907409450615</v>
      </c>
      <c r="D446" s="43" t="n">
        <v>1.587175849637036</v>
      </c>
      <c r="E446" s="21" t="n">
        <v>1</v>
      </c>
      <c r="F446" s="18" t="n">
        <v>0.4466788290132071</v>
      </c>
      <c r="G446" s="16" t="n">
        <v>45.92249549929758</v>
      </c>
      <c r="H446" s="16" t="n">
        <v>38.22145617316238</v>
      </c>
    </row>
    <row r="447">
      <c r="A447" s="21" t="n">
        <v>415</v>
      </c>
      <c r="B447" s="18" t="n">
        <v>-0.1183695896239996</v>
      </c>
      <c r="C447" s="18" t="n">
        <v>0.1726245371170208</v>
      </c>
      <c r="D447" s="43" t="n">
        <v>0.9593331458240374</v>
      </c>
      <c r="E447" s="21" t="n">
        <v>0</v>
      </c>
      <c r="F447" s="18" t="n">
        <v>0.5060983055034827</v>
      </c>
      <c r="G447" s="16" t="n">
        <v>28.78407412219285</v>
      </c>
      <c r="H447" s="16" t="n">
        <v>33.90711780772771</v>
      </c>
    </row>
    <row r="448">
      <c r="A448" s="21" t="n">
        <v>416</v>
      </c>
      <c r="B448" s="18" t="n">
        <v>-0.05884865331538117</v>
      </c>
      <c r="C448" s="18" t="n">
        <v>0.1553061877061176</v>
      </c>
      <c r="D448" s="43" t="n">
        <v>1.395810505002389</v>
      </c>
      <c r="E448" s="21" t="n">
        <v>0</v>
      </c>
      <c r="F448" s="18" t="n">
        <v>0.4269117090584482</v>
      </c>
      <c r="G448" s="16" t="n">
        <v>34.5090233596936</v>
      </c>
      <c r="H448" s="16" t="n">
        <v>38.71637543324965</v>
      </c>
    </row>
    <row r="449">
      <c r="A449" s="21" t="n">
        <v>417</v>
      </c>
      <c r="B449" s="18" t="n">
        <v>-0.07975574974954243</v>
      </c>
      <c r="C449" s="18" t="n">
        <v>-0.01209956715210646</v>
      </c>
      <c r="D449" s="43" t="n">
        <v>1.197124022094791</v>
      </c>
      <c r="E449" s="21" t="n">
        <v>1</v>
      </c>
      <c r="F449" s="18" t="n">
        <v>0.6420382320332292</v>
      </c>
      <c r="G449" s="16" t="n">
        <v>59.22341219140098</v>
      </c>
      <c r="H449" s="16" t="n">
        <v>35.32509651956615</v>
      </c>
    </row>
    <row r="450">
      <c r="A450" s="21" t="n">
        <v>418</v>
      </c>
      <c r="B450" s="18" t="n">
        <v>0.01591045411876303</v>
      </c>
      <c r="C450" s="18" t="n">
        <v>0.002496387671497013</v>
      </c>
      <c r="D450" s="43" t="n">
        <v>1.195679287185925</v>
      </c>
      <c r="E450" s="21" t="n">
        <v>1</v>
      </c>
      <c r="F450" s="18" t="n">
        <v>0.7818861660765484</v>
      </c>
      <c r="G450" s="16" t="n">
        <v>81.44291733585709</v>
      </c>
      <c r="H450" s="16" t="n">
        <v>35.76689216009702</v>
      </c>
    </row>
    <row r="451">
      <c r="A451" s="21" t="n">
        <v>419</v>
      </c>
      <c r="B451" s="18" t="n">
        <v>-0.06730752247728349</v>
      </c>
      <c r="C451" s="18" t="n">
        <v>0.02803416257973591</v>
      </c>
      <c r="D451" s="43" t="n">
        <v>1.515636255926342</v>
      </c>
      <c r="E451" s="21" t="n">
        <v>1</v>
      </c>
      <c r="F451" s="18" t="n">
        <v>0.4690336816915472</v>
      </c>
      <c r="G451" s="16" t="n">
        <v>45.74669783895136</v>
      </c>
      <c r="H451" s="16" t="n">
        <v>35.18617750708382</v>
      </c>
    </row>
    <row r="452">
      <c r="A452" s="21" t="n">
        <v>420</v>
      </c>
      <c r="B452" s="18" t="n">
        <v>0.0394505657155157</v>
      </c>
      <c r="C452" s="18" t="n">
        <v>0.06215289556084108</v>
      </c>
      <c r="D452" s="43" t="n">
        <v>1.649810303007726</v>
      </c>
      <c r="E452" s="21" t="n">
        <v>3</v>
      </c>
      <c r="F452" s="18" t="n">
        <v>0.4595611011960858</v>
      </c>
      <c r="G452" s="16" t="n">
        <v>55.09727461510145</v>
      </c>
      <c r="H452" s="16" t="n">
        <v>37.63665273133964</v>
      </c>
    </row>
    <row r="453">
      <c r="A453" s="21" t="n">
        <v>421</v>
      </c>
      <c r="B453" s="18" t="n">
        <v>0.0004723338933287913</v>
      </c>
      <c r="C453" s="18" t="n">
        <v>-0.005959589305847911</v>
      </c>
      <c r="D453" s="43" t="n">
        <v>1.314068583475553</v>
      </c>
      <c r="E453" s="21" t="n">
        <v>0</v>
      </c>
      <c r="F453" s="18" t="n">
        <v>0.8161787786818251</v>
      </c>
      <c r="G453" s="16" t="n">
        <v>80.68422886600783</v>
      </c>
      <c r="H453" s="16" t="n">
        <v>34.51994717519472</v>
      </c>
    </row>
    <row r="454">
      <c r="A454" s="21" t="n">
        <v>422</v>
      </c>
      <c r="B454" s="18" t="n">
        <v>-0.1146784271008917</v>
      </c>
      <c r="C454" s="18" t="n">
        <v>0.11904551097432</v>
      </c>
      <c r="D454" s="43" t="n">
        <v>1.156844273583316</v>
      </c>
      <c r="E454" s="21" t="n">
        <v>0</v>
      </c>
      <c r="F454" s="18" t="n">
        <v>0.4881886797070538</v>
      </c>
      <c r="G454" s="16" t="n">
        <v>33.53923211995559</v>
      </c>
      <c r="H454" s="16" t="n">
        <v>34.01281790847924</v>
      </c>
    </row>
    <row r="455">
      <c r="A455" s="21" t="n">
        <v>423</v>
      </c>
      <c r="B455" s="18" t="n">
        <v>-0.136313171388515</v>
      </c>
      <c r="C455" s="18" t="n">
        <v>0.07237609005670465</v>
      </c>
      <c r="D455" s="43" t="n">
        <v>1.140548020187578</v>
      </c>
      <c r="E455" s="21" t="n">
        <v>0</v>
      </c>
      <c r="F455" s="18" t="n">
        <v>0.51091306981999</v>
      </c>
      <c r="G455" s="16" t="n">
        <v>35.56990334443539</v>
      </c>
      <c r="H455" s="16" t="n">
        <v>33.9410338269329</v>
      </c>
    </row>
    <row r="456">
      <c r="A456" s="21" t="n">
        <v>424</v>
      </c>
      <c r="B456" s="18" t="n">
        <v>-0.1077839113962844</v>
      </c>
      <c r="C456" s="18" t="n">
        <v>0.06053848953149732</v>
      </c>
      <c r="D456" s="43" t="n">
        <v>1.099338288314928</v>
      </c>
      <c r="E456" s="21" t="n">
        <v>0</v>
      </c>
      <c r="F456" s="18" t="n">
        <v>0.6278961587545833</v>
      </c>
      <c r="G456" s="16" t="n">
        <v>46.45624910823927</v>
      </c>
      <c r="H456" s="16" t="n">
        <v>33.94111900619513</v>
      </c>
    </row>
    <row r="457">
      <c r="A457" s="21" t="n">
        <v>425</v>
      </c>
      <c r="B457" s="18" t="n">
        <v>-0.005416395712215666</v>
      </c>
      <c r="C457" s="18" t="n">
        <v>0.007499795367860426</v>
      </c>
      <c r="D457" s="43" t="n">
        <v>1.085352690943379</v>
      </c>
      <c r="E457" s="21" t="n">
        <v>0</v>
      </c>
      <c r="F457" s="18" t="n">
        <v>0.9412328382679362</v>
      </c>
      <c r="G457" s="16" t="n">
        <v>83.19434950938266</v>
      </c>
      <c r="H457" s="16" t="n">
        <v>34.26992346657236</v>
      </c>
    </row>
    <row r="458">
      <c r="A458" s="21" t="n">
        <v>426</v>
      </c>
      <c r="B458" s="18" t="n">
        <v>0.01956214199537877</v>
      </c>
      <c r="C458" s="18" t="n">
        <v>0.02116958260383398</v>
      </c>
      <c r="D458" s="43" t="n">
        <v>1.102293380673184</v>
      </c>
      <c r="E458" s="21" t="n">
        <v>0</v>
      </c>
      <c r="F458" s="18" t="n">
        <v>0.9733786364208761</v>
      </c>
      <c r="G458" s="16" t="n">
        <v>87.66179877485899</v>
      </c>
      <c r="H458" s="16" t="n">
        <v>34.35015452968916</v>
      </c>
    </row>
    <row r="459">
      <c r="A459" s="21" t="n">
        <v>427</v>
      </c>
      <c r="B459" s="18" t="n">
        <v>-0.0592802540146584</v>
      </c>
      <c r="C459" s="18" t="n">
        <v>0.00662367437428589</v>
      </c>
      <c r="D459" s="43" t="n">
        <v>0.9339800248180268</v>
      </c>
      <c r="E459" s="21" t="n">
        <v>0</v>
      </c>
      <c r="F459" s="18" t="n">
        <v>0.9516085663312281</v>
      </c>
      <c r="G459" s="16" t="n">
        <v>73.14587123460464</v>
      </c>
      <c r="H459" s="16" t="n">
        <v>34.09691275370491</v>
      </c>
    </row>
    <row r="460">
      <c r="A460" s="21" t="n">
        <v>428</v>
      </c>
      <c r="B460" s="18" t="n">
        <v>0.02736087680996712</v>
      </c>
      <c r="C460" s="18" t="n">
        <v>0.1206725722481747</v>
      </c>
      <c r="D460" s="43" t="n">
        <v>0.9244476478367014</v>
      </c>
      <c r="E460" s="21" t="n">
        <v>1</v>
      </c>
      <c r="F460" s="18" t="n">
        <v>0.8210953024675332</v>
      </c>
      <c r="G460" s="16" t="n">
        <v>72.94435885849202</v>
      </c>
      <c r="H460" s="16" t="n">
        <v>35.7894396957623</v>
      </c>
    </row>
    <row r="461">
      <c r="A461" s="21" t="n">
        <v>429</v>
      </c>
      <c r="B461" s="18" t="n">
        <v>-0.1055646319325756</v>
      </c>
      <c r="C461" s="18" t="n">
        <v>0.06707025935706401</v>
      </c>
      <c r="D461" s="43" t="n">
        <v>1.380352380082824</v>
      </c>
      <c r="E461" s="21" t="n">
        <v>0</v>
      </c>
      <c r="F461" s="18" t="n">
        <v>0.4559693191628951</v>
      </c>
      <c r="G461" s="16" t="n">
        <v>37.17299584747447</v>
      </c>
      <c r="H461" s="16" t="n">
        <v>34.24946564270942</v>
      </c>
    </row>
    <row r="462">
      <c r="A462" s="21" t="n">
        <v>430</v>
      </c>
      <c r="B462" s="18" t="n">
        <v>0.01948334863037152</v>
      </c>
      <c r="C462" s="18" t="n">
        <v>0.09390099279250734</v>
      </c>
      <c r="D462" s="43" t="n">
        <v>1.134311119468096</v>
      </c>
      <c r="E462" s="21" t="n">
        <v>0</v>
      </c>
      <c r="F462" s="18" t="n">
        <v>0.8222842711812559</v>
      </c>
      <c r="G462" s="16" t="n">
        <v>74.04670449327301</v>
      </c>
      <c r="H462" s="16" t="n">
        <v>34.45796668035557</v>
      </c>
    </row>
    <row r="463">
      <c r="A463" s="21" t="n">
        <v>431</v>
      </c>
      <c r="B463" s="18" t="n">
        <v>0.04355052696087307</v>
      </c>
      <c r="C463" s="18" t="n">
        <v>0.02694580728149204</v>
      </c>
      <c r="D463" s="43" t="n">
        <v>1.564516647797974</v>
      </c>
      <c r="E463" s="21" t="n">
        <v>1</v>
      </c>
      <c r="F463" s="18" t="n">
        <v>0.6256057525589667</v>
      </c>
      <c r="G463" s="16" t="n">
        <v>73.24980875372245</v>
      </c>
      <c r="H463" s="16" t="n">
        <v>35.67478608138077</v>
      </c>
    </row>
    <row r="464">
      <c r="A464" s="21" t="n">
        <v>432</v>
      </c>
      <c r="B464" s="18" t="n">
        <v>0.01524503527543701</v>
      </c>
      <c r="C464" s="18" t="n">
        <v>0.03653207371551989</v>
      </c>
      <c r="D464" s="43" t="n">
        <v>1.243023166437923</v>
      </c>
      <c r="E464" s="21" t="n">
        <v>1</v>
      </c>
      <c r="F464" s="18" t="n">
        <v>0.7418279075950085</v>
      </c>
      <c r="G464" s="16" t="n">
        <v>75.75364931043231</v>
      </c>
      <c r="H464" s="16" t="n">
        <v>35.76381919250532</v>
      </c>
    </row>
    <row r="465">
      <c r="A465" s="21" t="n">
        <v>433</v>
      </c>
      <c r="B465" s="18" t="n">
        <v>0.005470961533150881</v>
      </c>
      <c r="C465" s="18" t="n">
        <v>0.04096018104929725</v>
      </c>
      <c r="D465" s="43" t="n">
        <v>0.8838760778582544</v>
      </c>
      <c r="E465" s="21" t="n">
        <v>2</v>
      </c>
      <c r="F465" s="18" t="n">
        <v>0.7859685354888144</v>
      </c>
      <c r="G465" s="16" t="n">
        <v>76.64306697140387</v>
      </c>
      <c r="H465" s="16" t="n">
        <v>36.94727134495361</v>
      </c>
    </row>
    <row r="466">
      <c r="A466" s="21" t="n">
        <v>434</v>
      </c>
      <c r="B466" s="18" t="n">
        <v>0.02539996358297047</v>
      </c>
      <c r="C466" s="18" t="n">
        <v>0.09900810081556781</v>
      </c>
      <c r="D466" s="43" t="n">
        <v>0.9774955443482903</v>
      </c>
      <c r="E466" s="21" t="n">
        <v>2</v>
      </c>
      <c r="F466" s="18" t="n">
        <v>0.7306258351408594</v>
      </c>
      <c r="G466" s="16" t="n">
        <v>71.1761471096253</v>
      </c>
      <c r="H466" s="16" t="n">
        <v>37.06365671692455</v>
      </c>
    </row>
    <row r="467">
      <c r="A467" s="21" t="n">
        <v>435</v>
      </c>
      <c r="B467" s="18" t="n">
        <v>-0.1127814584598779</v>
      </c>
      <c r="C467" s="18" t="n">
        <v>0.1016384321809028</v>
      </c>
      <c r="D467" s="43" t="n">
        <v>1.002915208030166</v>
      </c>
      <c r="E467" s="21" t="n">
        <v>1</v>
      </c>
      <c r="F467" s="18" t="n">
        <v>0.5094481672951836</v>
      </c>
      <c r="G467" s="16" t="n">
        <v>36.50330772212006</v>
      </c>
      <c r="H467" s="16" t="n">
        <v>35.14638658020981</v>
      </c>
    </row>
    <row r="468">
      <c r="A468" s="21" t="n">
        <v>436</v>
      </c>
      <c r="B468" s="18" t="n">
        <v>-0.0665644990438278</v>
      </c>
      <c r="C468" s="18" t="n">
        <v>0.01431384415723129</v>
      </c>
      <c r="D468" s="43" t="n">
        <v>1.660675987395311</v>
      </c>
      <c r="E468" s="21" t="n">
        <v>0</v>
      </c>
      <c r="F468" s="18" t="n">
        <v>0.4956048148091841</v>
      </c>
      <c r="G468" s="16" t="n">
        <v>48.96337210586029</v>
      </c>
      <c r="H468" s="16" t="n">
        <v>33.95923078603241</v>
      </c>
    </row>
    <row r="469">
      <c r="A469" s="21" t="n">
        <v>437</v>
      </c>
      <c r="B469" s="18" t="n">
        <v>-0.08435042318457273</v>
      </c>
      <c r="C469" s="18" t="n">
        <v>0.1501542520506434</v>
      </c>
      <c r="D469" s="43" t="n">
        <v>1.009407425358237</v>
      </c>
      <c r="E469" s="21" t="n">
        <v>0</v>
      </c>
      <c r="F469" s="18" t="n">
        <v>0.5722705469224427</v>
      </c>
      <c r="G469" s="16" t="n">
        <v>39.30302111782842</v>
      </c>
      <c r="H469" s="16" t="n">
        <v>34.01638737033115</v>
      </c>
    </row>
    <row r="470">
      <c r="A470" s="21" t="n">
        <v>438</v>
      </c>
      <c r="B470" s="18" t="n">
        <v>-0.01806698987115454</v>
      </c>
      <c r="C470" s="18" t="n">
        <v>-0.0008766170864248427</v>
      </c>
      <c r="D470" s="43" t="n">
        <v>1.177588995141025</v>
      </c>
      <c r="E470" s="21" t="n">
        <v>1</v>
      </c>
      <c r="F470" s="18" t="n">
        <v>0.7318741439018148</v>
      </c>
      <c r="G470" s="16" t="n">
        <v>73.26326695083043</v>
      </c>
      <c r="H470" s="16" t="n">
        <v>35.60998108780455</v>
      </c>
    </row>
    <row r="471">
      <c r="A471" s="21" t="n">
        <v>439</v>
      </c>
      <c r="B471" s="18" t="n">
        <v>0.01152709704745052</v>
      </c>
      <c r="C471" s="18" t="n">
        <v>0.1335559521326725</v>
      </c>
      <c r="D471" s="43" t="n">
        <v>1.574038820396416</v>
      </c>
      <c r="E471" s="21" t="n">
        <v>0</v>
      </c>
      <c r="F471" s="18" t="n">
        <v>0.5163701356259307</v>
      </c>
      <c r="G471" s="16" t="n">
        <v>51.84406987365396</v>
      </c>
      <c r="H471" s="16" t="n">
        <v>34.31365267886191</v>
      </c>
    </row>
    <row r="472">
      <c r="A472" s="21" t="n">
        <v>440</v>
      </c>
      <c r="B472" s="18" t="n">
        <v>-0.002570665612688344</v>
      </c>
      <c r="C472" s="18" t="n">
        <v>-0.005190258726520354</v>
      </c>
      <c r="D472" s="43" t="n">
        <v>1.664922925451748</v>
      </c>
      <c r="E472" s="21" t="n">
        <v>0</v>
      </c>
      <c r="F472" s="18" t="n">
        <v>0.6210978308955775</v>
      </c>
      <c r="G472" s="16" t="n">
        <v>68.53135252808704</v>
      </c>
      <c r="H472" s="16" t="n">
        <v>34.15694390792879</v>
      </c>
    </row>
    <row r="473">
      <c r="A473" s="21" t="n">
        <v>441</v>
      </c>
      <c r="B473" s="18" t="n">
        <v>0.02766274974379725</v>
      </c>
      <c r="C473" s="18" t="n">
        <v>0.02273785962637491</v>
      </c>
      <c r="D473" s="43" t="n">
        <v>1.018391625113213</v>
      </c>
      <c r="E473" s="21" t="n">
        <v>0</v>
      </c>
      <c r="F473" s="18" t="n">
        <v>1.030961957493497</v>
      </c>
      <c r="G473" s="16" t="n">
        <v>91.42662020150874</v>
      </c>
      <c r="H473" s="16" t="n">
        <v>34.37617368177708</v>
      </c>
    </row>
    <row r="474">
      <c r="A474" s="21" t="n">
        <v>442</v>
      </c>
      <c r="B474" s="18" t="n">
        <v>-0.07682317143236095</v>
      </c>
      <c r="C474" s="18" t="n">
        <v>0.1192246187436306</v>
      </c>
      <c r="D474" s="43" t="n">
        <v>0.8991137162556628</v>
      </c>
      <c r="E474" s="21" t="n">
        <v>0</v>
      </c>
      <c r="F474" s="18" t="n">
        <v>0.7598085773313397</v>
      </c>
      <c r="G474" s="16" t="n">
        <v>50.75369801592626</v>
      </c>
      <c r="H474" s="16" t="n">
        <v>34.04056490295925</v>
      </c>
    </row>
    <row r="475">
      <c r="A475" s="21" t="n">
        <v>443</v>
      </c>
      <c r="B475" s="18" t="n">
        <v>0.01012173507883136</v>
      </c>
      <c r="C475" s="18" t="n">
        <v>0.00991528558658257</v>
      </c>
      <c r="D475" s="43" t="n">
        <v>0.9752722639425637</v>
      </c>
      <c r="E475" s="21" t="n">
        <v>0</v>
      </c>
      <c r="F475" s="18" t="n">
        <v>1.109573027241967</v>
      </c>
      <c r="G475" s="16" t="n">
        <v>91.74645656335731</v>
      </c>
      <c r="H475" s="16" t="n">
        <v>34.3198319426732</v>
      </c>
    </row>
    <row r="476">
      <c r="A476" s="21" t="n">
        <v>444</v>
      </c>
      <c r="B476" s="18" t="n">
        <v>-0.06839159703206298</v>
      </c>
      <c r="C476" s="18" t="n">
        <v>0.04212865073317995</v>
      </c>
      <c r="D476" s="43" t="n">
        <v>0.9125419732389282</v>
      </c>
      <c r="E476" s="21" t="n">
        <v>0</v>
      </c>
      <c r="F476" s="18" t="n">
        <v>0.9152061719146702</v>
      </c>
      <c r="G476" s="16" t="n">
        <v>66.12255114206215</v>
      </c>
      <c r="H476" s="16" t="n">
        <v>34.06764711993301</v>
      </c>
    </row>
    <row r="477">
      <c r="A477" s="21" t="n">
        <v>445</v>
      </c>
      <c r="B477" s="18" t="n">
        <v>-0.0533502357971624</v>
      </c>
      <c r="C477" s="18" t="n">
        <v>0.04709159685493203</v>
      </c>
      <c r="D477" s="43" t="n">
        <v>0.9975470784862871</v>
      </c>
      <c r="E477" s="21" t="n">
        <v>2</v>
      </c>
      <c r="F477" s="18" t="n">
        <v>0.6617148894179292</v>
      </c>
      <c r="G477" s="16" t="n">
        <v>59.31686264680118</v>
      </c>
      <c r="H477" s="16" t="n">
        <v>36.60375555254456</v>
      </c>
    </row>
    <row r="478">
      <c r="A478" s="21" t="n">
        <v>446</v>
      </c>
      <c r="B478" s="18" t="n">
        <v>0.006940068642079827</v>
      </c>
      <c r="C478" s="18" t="n">
        <v>0.02003698637480193</v>
      </c>
      <c r="D478" s="43" t="n">
        <v>1.21251023137674</v>
      </c>
      <c r="E478" s="21" t="n">
        <v>3</v>
      </c>
      <c r="F478" s="18" t="n">
        <v>0.592359172926564</v>
      </c>
      <c r="G478" s="16" t="n">
        <v>66.95823181593954</v>
      </c>
      <c r="H478" s="16" t="n">
        <v>38.10638940890079</v>
      </c>
    </row>
    <row r="479">
      <c r="A479" s="21" t="n">
        <v>447</v>
      </c>
      <c r="B479" s="18" t="n">
        <v>0.06091513799200385</v>
      </c>
      <c r="C479" s="18" t="n">
        <v>0.08902892744854374</v>
      </c>
      <c r="D479" s="43" t="n">
        <v>1.535347467490888</v>
      </c>
      <c r="E479" s="21" t="n">
        <v>0</v>
      </c>
      <c r="F479" s="18" t="n">
        <v>0.6519148149528304</v>
      </c>
      <c r="G479" s="16" t="n">
        <v>72.08159949579323</v>
      </c>
      <c r="H479" s="16" t="n">
        <v>34.47176496422868</v>
      </c>
    </row>
    <row r="480">
      <c r="A480" s="21" t="n">
        <v>448</v>
      </c>
      <c r="B480" s="18" t="n">
        <v>-0.004747618242560647</v>
      </c>
      <c r="C480" s="18" t="n">
        <v>0.1205124072549285</v>
      </c>
      <c r="D480" s="43" t="n">
        <v>1.191538914108283</v>
      </c>
      <c r="E480" s="21" t="n">
        <v>3</v>
      </c>
      <c r="F480" s="18" t="n">
        <v>0.4931474857749449</v>
      </c>
      <c r="G480" s="16" t="n">
        <v>49.20921353846532</v>
      </c>
      <c r="H480" s="16" t="n">
        <v>38.02477886482802</v>
      </c>
    </row>
    <row r="481">
      <c r="A481" s="21" t="n">
        <v>449</v>
      </c>
      <c r="B481" s="18" t="n">
        <v>-0.106638025100329</v>
      </c>
      <c r="C481" s="18" t="n">
        <v>0.1269893394349962</v>
      </c>
      <c r="D481" s="43" t="n">
        <v>1.253000589908238</v>
      </c>
      <c r="E481" s="21" t="n">
        <v>0</v>
      </c>
      <c r="F481" s="18" t="n">
        <v>0.4169522827177325</v>
      </c>
      <c r="G481" s="16" t="n">
        <v>29.77802404247819</v>
      </c>
      <c r="H481" s="16" t="n">
        <v>34.42248688486607</v>
      </c>
    </row>
    <row r="482">
      <c r="A482" s="21" t="n">
        <v>450</v>
      </c>
      <c r="B482" s="18" t="n">
        <v>-0.004182787495783324</v>
      </c>
      <c r="C482" s="18" t="n">
        <v>0.03243267381080475</v>
      </c>
      <c r="D482" s="43" t="n">
        <v>1.000934171227197</v>
      </c>
      <c r="E482" s="21" t="n">
        <v>3</v>
      </c>
      <c r="F482" s="18" t="n">
        <v>0.6256125703498112</v>
      </c>
      <c r="G482" s="16" t="n">
        <v>66.81509778925522</v>
      </c>
      <c r="H482" s="16" t="n">
        <v>38.02872285691205</v>
      </c>
    </row>
    <row r="483">
      <c r="A483" s="21" t="n">
        <v>451</v>
      </c>
      <c r="B483" s="18" t="n">
        <v>-0.1117757403012725</v>
      </c>
      <c r="C483" s="18" t="n">
        <v>0.05879497798318969</v>
      </c>
      <c r="D483" s="43" t="n">
        <v>1.400584047062564</v>
      </c>
      <c r="E483" s="21" t="n">
        <v>3</v>
      </c>
      <c r="F483" s="18" t="n">
        <v>0.3510601634867421</v>
      </c>
      <c r="G483" s="16" t="n">
        <v>27.97110366790393</v>
      </c>
      <c r="H483" s="16" t="n">
        <v>37.39050629656701</v>
      </c>
    </row>
    <row r="484">
      <c r="A484" s="21" t="n">
        <v>452</v>
      </c>
      <c r="B484" s="18" t="n">
        <v>0.03382945840852022</v>
      </c>
      <c r="C484" s="18" t="n">
        <v>0.02048494929637837</v>
      </c>
      <c r="D484" s="43" t="n">
        <v>1.247036282206931</v>
      </c>
      <c r="E484" s="21" t="n">
        <v>0</v>
      </c>
      <c r="F484" s="18" t="n">
        <v>0.9182454049848257</v>
      </c>
      <c r="G484" s="16" t="n">
        <v>88.40640457763814</v>
      </c>
      <c r="H484" s="16" t="n">
        <v>34.50556707259946</v>
      </c>
    </row>
    <row r="485">
      <c r="A485" s="21" t="n">
        <v>453</v>
      </c>
      <c r="B485" s="18" t="n">
        <v>0.006898977064964548</v>
      </c>
      <c r="C485" s="18" t="n">
        <v>0.01997092275369039</v>
      </c>
      <c r="D485" s="43" t="n">
        <v>1.47031752147586</v>
      </c>
      <c r="E485" s="21" t="n">
        <v>2</v>
      </c>
      <c r="F485" s="18" t="n">
        <v>0.5612029381359736</v>
      </c>
      <c r="G485" s="16" t="n">
        <v>63.89153521824712</v>
      </c>
      <c r="H485" s="16" t="n">
        <v>36.82811531929926</v>
      </c>
    </row>
    <row r="486">
      <c r="A486" s="21" t="n">
        <v>454</v>
      </c>
      <c r="B486" s="18" t="n">
        <v>-0.07271539156095592</v>
      </c>
      <c r="C486" s="18" t="n">
        <v>0.006789798881828082</v>
      </c>
      <c r="D486" s="43" t="n">
        <v>1.597699445390348</v>
      </c>
      <c r="E486" s="21" t="n">
        <v>3</v>
      </c>
      <c r="F486" s="18" t="n">
        <v>0.3983908943570187</v>
      </c>
      <c r="G486" s="16" t="n">
        <v>39.50414900579826</v>
      </c>
      <c r="H486" s="16" t="n">
        <v>36.85576862003095</v>
      </c>
    </row>
    <row r="487">
      <c r="A487" s="21" t="n">
        <v>455</v>
      </c>
      <c r="B487" s="18" t="n">
        <v>-0.09374722494903177</v>
      </c>
      <c r="C487" s="18" t="n">
        <v>0.1495104759313318</v>
      </c>
      <c r="D487" s="43" t="n">
        <v>1.077726243454238</v>
      </c>
      <c r="E487" s="21" t="n">
        <v>3</v>
      </c>
      <c r="F487" s="18" t="n">
        <v>0.3909076332546484</v>
      </c>
      <c r="G487" s="16" t="n">
        <v>27.85965202342707</v>
      </c>
      <c r="H487" s="16" t="n">
        <v>37.40332943712979</v>
      </c>
    </row>
    <row r="488">
      <c r="A488" s="21" t="n">
        <v>456</v>
      </c>
      <c r="B488" s="18" t="n">
        <v>-0.07042678593665451</v>
      </c>
      <c r="C488" s="18" t="n">
        <v>0.131003806016108</v>
      </c>
      <c r="D488" s="43" t="n">
        <v>0.9345949913893079</v>
      </c>
      <c r="E488" s="21" t="n">
        <v>3</v>
      </c>
      <c r="F488" s="18" t="n">
        <v>0.4804535442349558</v>
      </c>
      <c r="G488" s="16" t="n">
        <v>38.60769521242102</v>
      </c>
      <c r="H488" s="16" t="n">
        <v>37.56616693736404</v>
      </c>
    </row>
    <row r="489">
      <c r="A489" s="21" t="n">
        <v>457</v>
      </c>
      <c r="B489" s="18" t="n">
        <v>0.0608297131945592</v>
      </c>
      <c r="C489" s="18" t="n">
        <v>0.1027258786543251</v>
      </c>
      <c r="D489" s="43" t="n">
        <v>1.013071265191965</v>
      </c>
      <c r="E489" s="21" t="n">
        <v>1</v>
      </c>
      <c r="F489" s="18" t="n">
        <v>0.8331407197661826</v>
      </c>
      <c r="G489" s="16" t="n">
        <v>81.7354192867321</v>
      </c>
      <c r="H489" s="16" t="n">
        <v>35.94301384214418</v>
      </c>
    </row>
    <row r="490">
      <c r="A490" s="21" t="n">
        <v>458</v>
      </c>
      <c r="B490" s="18" t="n">
        <v>-0.02422105834115992</v>
      </c>
      <c r="C490" s="18" t="n">
        <v>0.05682393585074524</v>
      </c>
      <c r="D490" s="43" t="n">
        <v>1.129383308096696</v>
      </c>
      <c r="E490" s="21" t="n">
        <v>0</v>
      </c>
      <c r="F490" s="18" t="n">
        <v>0.786085023460277</v>
      </c>
      <c r="G490" s="16" t="n">
        <v>68.50969453850172</v>
      </c>
      <c r="H490" s="16" t="n">
        <v>34.31295545802403</v>
      </c>
    </row>
    <row r="491">
      <c r="A491" s="21" t="n">
        <v>459</v>
      </c>
      <c r="B491" s="18" t="n">
        <v>0.01696897152577873</v>
      </c>
      <c r="C491" s="18" t="n">
        <v>0.05286345256617769</v>
      </c>
      <c r="D491" s="43" t="n">
        <v>1.591565169560312</v>
      </c>
      <c r="E491" s="21" t="n">
        <v>2</v>
      </c>
      <c r="F491" s="18" t="n">
        <v>0.4976870785719718</v>
      </c>
      <c r="G491" s="16" t="n">
        <v>56.72035986654024</v>
      </c>
      <c r="H491" s="16" t="n">
        <v>36.40975902909765</v>
      </c>
    </row>
    <row r="492">
      <c r="A492" s="21" t="n">
        <v>460</v>
      </c>
      <c r="B492" s="18" t="n">
        <v>-0.001824132185033911</v>
      </c>
      <c r="C492" s="18" t="n">
        <v>0.05862882476528733</v>
      </c>
      <c r="D492" s="43" t="n">
        <v>1.094768022490991</v>
      </c>
      <c r="E492" s="21" t="n">
        <v>1</v>
      </c>
      <c r="F492" s="18" t="n">
        <v>0.7469730449526568</v>
      </c>
      <c r="G492" s="16" t="n">
        <v>70.79060700634079</v>
      </c>
      <c r="H492" s="16" t="n">
        <v>35.65552219734524</v>
      </c>
    </row>
    <row r="493">
      <c r="A493" s="21" t="n">
        <v>461</v>
      </c>
      <c r="B493" s="18" t="n">
        <v>-0.00947152006239807</v>
      </c>
      <c r="C493" s="18" t="n">
        <v>0.05965806249387282</v>
      </c>
      <c r="D493" s="43" t="n">
        <v>1.371769420676543</v>
      </c>
      <c r="E493" s="21" t="n">
        <v>1</v>
      </c>
      <c r="F493" s="18" t="n">
        <v>0.5962937689089371</v>
      </c>
      <c r="G493" s="16" t="n">
        <v>60.68942801443367</v>
      </c>
      <c r="H493" s="16" t="n">
        <v>35.77349184598975</v>
      </c>
    </row>
    <row r="494">
      <c r="A494" s="21" t="n">
        <v>462</v>
      </c>
      <c r="B494" s="18" t="n">
        <v>-0.07923988562795976</v>
      </c>
      <c r="C494" s="18" t="n">
        <v>0.04498042413827807</v>
      </c>
      <c r="D494" s="43" t="n">
        <v>1.193684367459162</v>
      </c>
      <c r="E494" s="21" t="n">
        <v>0</v>
      </c>
      <c r="F494" s="18" t="n">
        <v>0.6509834902054685</v>
      </c>
      <c r="G494" s="16" t="n">
        <v>53.92640868793575</v>
      </c>
      <c r="H494" s="16" t="n">
        <v>34.13040298908643</v>
      </c>
    </row>
    <row r="495">
      <c r="A495" s="21" t="n">
        <v>463</v>
      </c>
      <c r="B495" s="18" t="n">
        <v>0.04848571665845706</v>
      </c>
      <c r="C495" s="18" t="n">
        <v>0.001333192554538717</v>
      </c>
      <c r="D495" s="43" t="n">
        <v>0.9912112812733478</v>
      </c>
      <c r="E495" s="21" t="n">
        <v>1</v>
      </c>
      <c r="F495" s="18" t="n">
        <v>1.000935683894128</v>
      </c>
      <c r="G495" s="16" t="n">
        <v>97.87773575534752</v>
      </c>
      <c r="H495" s="16" t="n">
        <v>35.88637253232423</v>
      </c>
    </row>
    <row r="496">
      <c r="A496" s="21" t="n">
        <v>464</v>
      </c>
      <c r="B496" s="18" t="n">
        <v>-0.04803764997923121</v>
      </c>
      <c r="C496" s="18" t="n">
        <v>0.0001325947600033933</v>
      </c>
      <c r="D496" s="43" t="n">
        <v>1.062834682830752</v>
      </c>
      <c r="E496" s="21" t="n">
        <v>0</v>
      </c>
      <c r="F496" s="18" t="n">
        <v>0.9004071093550561</v>
      </c>
      <c r="G496" s="16" t="n">
        <v>74.5718156602115</v>
      </c>
      <c r="H496" s="16" t="n">
        <v>34.13302399786671</v>
      </c>
    </row>
    <row r="497">
      <c r="A497" s="21" t="n">
        <v>465</v>
      </c>
      <c r="B497" s="18" t="n">
        <v>-0.00878529132784997</v>
      </c>
      <c r="C497" s="18" t="n">
        <v>0.1549512810774994</v>
      </c>
      <c r="D497" s="43" t="n">
        <v>1.273268102369199</v>
      </c>
      <c r="E497" s="21" t="n">
        <v>1</v>
      </c>
      <c r="F497" s="18" t="n">
        <v>0.5129040383494543</v>
      </c>
      <c r="G497" s="16" t="n">
        <v>47.29256715380627</v>
      </c>
      <c r="H497" s="16" t="n">
        <v>35.77674669423283</v>
      </c>
    </row>
    <row r="498">
      <c r="A498" s="21" t="n">
        <v>466</v>
      </c>
      <c r="B498" s="18" t="n">
        <v>0.005675558397246039</v>
      </c>
      <c r="C498" s="18" t="n">
        <v>0.05162987929646987</v>
      </c>
      <c r="D498" s="43" t="n">
        <v>1.288416884316844</v>
      </c>
      <c r="E498" s="21" t="n">
        <v>0</v>
      </c>
      <c r="F498" s="18" t="n">
        <v>0.7457205798150313</v>
      </c>
      <c r="G498" s="16" t="n">
        <v>72.33406774841865</v>
      </c>
      <c r="H498" s="16" t="n">
        <v>34.53786187716172</v>
      </c>
    </row>
    <row r="499">
      <c r="A499" s="21" t="n">
        <v>467</v>
      </c>
      <c r="B499" s="18" t="n">
        <v>-0.0003385692438991894</v>
      </c>
      <c r="C499" s="18" t="n">
        <v>0.1554044263235748</v>
      </c>
      <c r="D499" s="43" t="n">
        <v>1.127547620605918</v>
      </c>
      <c r="E499" s="21" t="n">
        <v>1</v>
      </c>
      <c r="F499" s="18" t="n">
        <v>0.6034460716154249</v>
      </c>
      <c r="G499" s="16" t="n">
        <v>54.25982768337892</v>
      </c>
      <c r="H499" s="16" t="n">
        <v>35.69185262268223</v>
      </c>
    </row>
    <row r="500">
      <c r="A500" s="21" t="n">
        <v>468</v>
      </c>
      <c r="B500" s="18" t="n">
        <v>0.04693849879992652</v>
      </c>
      <c r="C500" s="18" t="n">
        <v>0.007197356181926795</v>
      </c>
      <c r="D500" s="43" t="n">
        <v>1.014453363656677</v>
      </c>
      <c r="E500" s="21" t="n">
        <v>2</v>
      </c>
      <c r="F500" s="18" t="n">
        <v>0.7977855719338931</v>
      </c>
      <c r="G500" s="16" t="n">
        <v>88.1022797709872</v>
      </c>
      <c r="H500" s="16" t="n">
        <v>37.18944176259157</v>
      </c>
    </row>
    <row r="501">
      <c r="A501" s="21" t="n">
        <v>469</v>
      </c>
      <c r="B501" s="18" t="n">
        <v>-0.07843782317283801</v>
      </c>
      <c r="C501" s="18" t="n">
        <v>0.06238714980677559</v>
      </c>
      <c r="D501" s="43" t="n">
        <v>1.328327893139886</v>
      </c>
      <c r="E501" s="21" t="n">
        <v>0</v>
      </c>
      <c r="F501" s="18" t="n">
        <v>0.5660751486308495</v>
      </c>
      <c r="G501" s="16" t="n">
        <v>48.18249434623748</v>
      </c>
      <c r="H501" s="16" t="n">
        <v>34.24825950441591</v>
      </c>
    </row>
    <row r="502">
      <c r="A502" s="21" t="n">
        <v>470</v>
      </c>
      <c r="B502" s="18" t="n">
        <v>-0.01756824596638651</v>
      </c>
      <c r="C502" s="18" t="n">
        <v>0.01445420907148566</v>
      </c>
      <c r="D502" s="43" t="n">
        <v>0.9837786938753863</v>
      </c>
      <c r="E502" s="21" t="n">
        <v>1</v>
      </c>
      <c r="F502" s="18" t="n">
        <v>0.8698021119734809</v>
      </c>
      <c r="G502" s="16" t="n">
        <v>78.28909696557346</v>
      </c>
      <c r="H502" s="16" t="n">
        <v>35.58327920667995</v>
      </c>
    </row>
    <row r="503">
      <c r="A503" s="21" t="n">
        <v>471</v>
      </c>
      <c r="B503" s="18" t="n">
        <v>-0.03193566804256069</v>
      </c>
      <c r="C503" s="18" t="n">
        <v>0.02115962424389291</v>
      </c>
      <c r="D503" s="43" t="n">
        <v>1.574912802434482</v>
      </c>
      <c r="E503" s="21" t="n">
        <v>0</v>
      </c>
      <c r="F503" s="18" t="n">
        <v>0.5852271405214331</v>
      </c>
      <c r="G503" s="16" t="n">
        <v>59.64938089802251</v>
      </c>
      <c r="H503" s="16" t="n">
        <v>34.17450974090946</v>
      </c>
    </row>
    <row r="504">
      <c r="A504" s="21" t="n">
        <v>472</v>
      </c>
      <c r="B504" s="18" t="n">
        <v>-0.02209839263265562</v>
      </c>
      <c r="C504" s="18" t="n">
        <v>-0.02548283101123673</v>
      </c>
      <c r="D504" s="43" t="n">
        <v>0.9938574626040879</v>
      </c>
      <c r="E504" s="21" t="n">
        <v>3</v>
      </c>
      <c r="F504" s="18" t="n">
        <v>0.6914674705902517</v>
      </c>
      <c r="G504" s="16" t="n">
        <v>73.67971035040051</v>
      </c>
      <c r="H504" s="16" t="n">
        <v>37.90362519669546</v>
      </c>
    </row>
    <row r="505">
      <c r="A505" s="21" t="n">
        <v>473</v>
      </c>
      <c r="B505" s="18" t="n">
        <v>-0.08586728873794443</v>
      </c>
      <c r="C505" s="18" t="n">
        <v>-0.001224327633499236</v>
      </c>
      <c r="D505" s="43" t="n">
        <v>0.9465007596106727</v>
      </c>
      <c r="E505" s="21" t="n">
        <v>1</v>
      </c>
      <c r="F505" s="18" t="n">
        <v>0.7601431788838309</v>
      </c>
      <c r="G505" s="16" t="n">
        <v>62.77638211110929</v>
      </c>
      <c r="H505" s="16" t="n">
        <v>35.2698841704196</v>
      </c>
    </row>
    <row r="506">
      <c r="A506" s="21" t="n">
        <v>474</v>
      </c>
      <c r="B506" s="18" t="n">
        <v>-0.08198335467982558</v>
      </c>
      <c r="C506" s="18" t="n">
        <v>0.1405530263532349</v>
      </c>
      <c r="D506" s="43" t="n">
        <v>1.166058489994781</v>
      </c>
      <c r="E506" s="21" t="n">
        <v>0</v>
      </c>
      <c r="F506" s="18" t="n">
        <v>0.530882703675077</v>
      </c>
      <c r="G506" s="16" t="n">
        <v>38.75415452283917</v>
      </c>
      <c r="H506" s="16" t="n">
        <v>34.12130015877234</v>
      </c>
    </row>
    <row r="507">
      <c r="A507" s="21" t="n">
        <v>475</v>
      </c>
      <c r="B507" s="18" t="n">
        <v>-0.05205304328641251</v>
      </c>
      <c r="C507" s="18" t="n">
        <v>0.0301917320564134</v>
      </c>
      <c r="D507" s="43" t="n">
        <v>1.180031999606234</v>
      </c>
      <c r="E507" s="21" t="n">
        <v>0</v>
      </c>
      <c r="F507" s="18" t="n">
        <v>0.7313793662632346</v>
      </c>
      <c r="G507" s="16" t="n">
        <v>63.73294060388453</v>
      </c>
      <c r="H507" s="16" t="n">
        <v>34.22060893197568</v>
      </c>
    </row>
    <row r="508">
      <c r="A508" s="21" t="n">
        <v>476</v>
      </c>
      <c r="B508" s="18" t="n">
        <v>-0.04747044899274805</v>
      </c>
      <c r="C508" s="18" t="n">
        <v>0.07094765211887907</v>
      </c>
      <c r="D508" s="43" t="n">
        <v>1.172747524375229</v>
      </c>
      <c r="E508" s="21" t="n">
        <v>0</v>
      </c>
      <c r="F508" s="18" t="n">
        <v>0.6801471252214055</v>
      </c>
      <c r="G508" s="16" t="n">
        <v>58.07485141470667</v>
      </c>
      <c r="H508" s="16" t="n">
        <v>34.23581397984206</v>
      </c>
    </row>
    <row r="509">
      <c r="A509" s="21" t="n">
        <v>477</v>
      </c>
      <c r="B509" s="18" t="n">
        <v>-0.02849830918046213</v>
      </c>
      <c r="C509" s="18" t="n">
        <v>0.0492124030616049</v>
      </c>
      <c r="D509" s="43" t="n">
        <v>1.128683376841502</v>
      </c>
      <c r="E509" s="21" t="n">
        <v>0</v>
      </c>
      <c r="F509" s="18" t="n">
        <v>0.7884357135469315</v>
      </c>
      <c r="G509" s="16" t="n">
        <v>68.64084538172831</v>
      </c>
      <c r="H509" s="16" t="n">
        <v>34.29876353973922</v>
      </c>
    </row>
    <row r="510">
      <c r="A510" s="21" t="n">
        <v>478</v>
      </c>
      <c r="B510" s="18" t="n">
        <v>-0.004813670158779509</v>
      </c>
      <c r="C510" s="18" t="n">
        <v>0.04037286547370567</v>
      </c>
      <c r="D510" s="43" t="n">
        <v>1.735594365647769</v>
      </c>
      <c r="E510" s="21" t="n">
        <v>3</v>
      </c>
      <c r="F510" s="18" t="n">
        <v>0.4208464240854335</v>
      </c>
      <c r="G510" s="16" t="n">
        <v>46.98576637699197</v>
      </c>
      <c r="H510" s="16" t="n">
        <v>37.08403483666353</v>
      </c>
    </row>
    <row r="511">
      <c r="A511" s="21" t="n">
        <v>479</v>
      </c>
      <c r="B511" s="18" t="n">
        <v>-0.002031406876560227</v>
      </c>
      <c r="C511" s="18" t="n">
        <v>0.05895092656173845</v>
      </c>
      <c r="D511" s="43" t="n">
        <v>1.158926283596391</v>
      </c>
      <c r="E511" s="21" t="n">
        <v>1</v>
      </c>
      <c r="F511" s="18" t="n">
        <v>0.7166466124962769</v>
      </c>
      <c r="G511" s="16" t="n">
        <v>69.46049475000069</v>
      </c>
      <c r="H511" s="16" t="n">
        <v>35.68403493727196</v>
      </c>
    </row>
    <row r="512">
      <c r="A512" s="21" t="n">
        <v>480</v>
      </c>
      <c r="B512" s="18" t="n">
        <v>-0.03080488293473523</v>
      </c>
      <c r="C512" s="18" t="n">
        <v>0.01119459855499364</v>
      </c>
      <c r="D512" s="43" t="n">
        <v>1.153747158297826</v>
      </c>
      <c r="E512" s="21" t="n">
        <v>0</v>
      </c>
      <c r="F512" s="18" t="n">
        <v>0.8402532014657673</v>
      </c>
      <c r="G512" s="16" t="n">
        <v>74.4423656697454</v>
      </c>
      <c r="H512" s="16" t="n">
        <v>34.29111032802254</v>
      </c>
    </row>
    <row r="513">
      <c r="A513" s="21" t="n">
        <v>481</v>
      </c>
      <c r="B513" s="18" t="n">
        <v>-0.03124387478832913</v>
      </c>
      <c r="C513" s="18" t="n">
        <v>0.1779924032907272</v>
      </c>
      <c r="D513" s="43" t="n">
        <v>1.119862403753218</v>
      </c>
      <c r="E513" s="21" t="n">
        <v>2</v>
      </c>
      <c r="F513" s="18" t="n">
        <v>0.4851461802058727</v>
      </c>
      <c r="G513" s="16" t="n">
        <v>40.36113648953523</v>
      </c>
      <c r="H513" s="16" t="n">
        <v>36.73285670083615</v>
      </c>
    </row>
    <row r="514">
      <c r="A514" s="21" t="n">
        <v>482</v>
      </c>
      <c r="B514" s="18" t="n">
        <v>-0.06335022117140063</v>
      </c>
      <c r="C514" s="18" t="n">
        <v>0.1121255692474436</v>
      </c>
      <c r="D514" s="43" t="n">
        <v>0.9156077460220231</v>
      </c>
      <c r="E514" s="21" t="n">
        <v>0</v>
      </c>
      <c r="F514" s="18" t="n">
        <v>0.8087773586073035</v>
      </c>
      <c r="G514" s="16" t="n">
        <v>55.69379242557569</v>
      </c>
      <c r="H514" s="16" t="n">
        <v>34.08384001919746</v>
      </c>
    </row>
    <row r="515">
      <c r="A515" s="21" t="n">
        <v>483</v>
      </c>
      <c r="B515" s="18" t="n">
        <v>-0.007533984508196534</v>
      </c>
      <c r="C515" s="18" t="n">
        <v>0.09520792916966189</v>
      </c>
      <c r="D515" s="43" t="n">
        <v>1.229355894553964</v>
      </c>
      <c r="E515" s="21" t="n">
        <v>2</v>
      </c>
      <c r="F515" s="18" t="n">
        <v>0.5664054913107814</v>
      </c>
      <c r="G515" s="16" t="n">
        <v>56.27363631382526</v>
      </c>
      <c r="H515" s="16" t="n">
        <v>36.87132246007213</v>
      </c>
    </row>
    <row r="516">
      <c r="A516" s="21" t="n">
        <v>484</v>
      </c>
      <c r="B516" s="18" t="n">
        <v>-0.04541552964017695</v>
      </c>
      <c r="C516" s="18" t="n">
        <v>0.04974112379993315</v>
      </c>
      <c r="D516" s="43" t="n">
        <v>1.014108288489149</v>
      </c>
      <c r="E516" s="21" t="n">
        <v>0</v>
      </c>
      <c r="F516" s="18" t="n">
        <v>0.8287874404526405</v>
      </c>
      <c r="G516" s="16" t="n">
        <v>66.9048841472918</v>
      </c>
      <c r="H516" s="16" t="n">
        <v>34.14144624839575</v>
      </c>
    </row>
    <row r="517">
      <c r="A517" s="21" t="n">
        <v>485</v>
      </c>
      <c r="B517" s="18" t="n">
        <v>-0.1147287045521568</v>
      </c>
      <c r="C517" s="18" t="n">
        <v>0.005295048987470109</v>
      </c>
      <c r="D517" s="43" t="n">
        <v>1.261564473853406</v>
      </c>
      <c r="E517" s="21" t="n">
        <v>1</v>
      </c>
      <c r="F517" s="18" t="n">
        <v>0.5122724042296858</v>
      </c>
      <c r="G517" s="16" t="n">
        <v>44.61909936579843</v>
      </c>
      <c r="H517" s="16" t="n">
        <v>35.27424699546106</v>
      </c>
    </row>
    <row r="518">
      <c r="A518" s="21" t="n">
        <v>486</v>
      </c>
      <c r="B518" s="18" t="n">
        <v>-0.02985508115857882</v>
      </c>
      <c r="C518" s="18" t="n">
        <v>0.1419336498187344</v>
      </c>
      <c r="D518" s="43" t="n">
        <v>0.9008300173048455</v>
      </c>
      <c r="E518" s="21" t="n">
        <v>3</v>
      </c>
      <c r="F518" s="18" t="n">
        <v>0.5513181393489508</v>
      </c>
      <c r="G518" s="16" t="n">
        <v>48.18313650668712</v>
      </c>
      <c r="H518" s="16" t="n">
        <v>37.84946327594487</v>
      </c>
    </row>
    <row r="519">
      <c r="A519" s="21" t="n">
        <v>487</v>
      </c>
      <c r="B519" s="18" t="n">
        <v>-0.02210325535569377</v>
      </c>
      <c r="C519" s="18" t="n">
        <v>0.03269474115773716</v>
      </c>
      <c r="D519" s="43" t="n">
        <v>1.677974105216972</v>
      </c>
      <c r="E519" s="21" t="n">
        <v>0</v>
      </c>
      <c r="F519" s="18" t="n">
        <v>0.5261735831652736</v>
      </c>
      <c r="G519" s="16" t="n">
        <v>55.4984839379408</v>
      </c>
      <c r="H519" s="16" t="n">
        <v>33.92588994023815</v>
      </c>
    </row>
    <row r="520">
      <c r="A520" s="21" t="n">
        <v>488</v>
      </c>
      <c r="B520" s="18" t="n">
        <v>-0.06177894835672566</v>
      </c>
      <c r="C520" s="18" t="n">
        <v>-0.01834350313223721</v>
      </c>
      <c r="D520" s="43" t="n">
        <v>1.148236287608874</v>
      </c>
      <c r="E520" s="21" t="n">
        <v>1</v>
      </c>
      <c r="F520" s="18" t="n">
        <v>0.7082156748002768</v>
      </c>
      <c r="G520" s="16" t="n">
        <v>66.54096031041439</v>
      </c>
      <c r="H520" s="16" t="n">
        <v>35.4081151004745</v>
      </c>
    </row>
    <row r="521">
      <c r="A521" s="21" t="n">
        <v>489</v>
      </c>
      <c r="B521" s="18" t="n">
        <v>-0.00946602299545854</v>
      </c>
      <c r="C521" s="18" t="n">
        <v>0.03282391398424153</v>
      </c>
      <c r="D521" s="43" t="n">
        <v>1.512605318895006</v>
      </c>
      <c r="E521" s="21" t="n">
        <v>3</v>
      </c>
      <c r="F521" s="18" t="n">
        <v>0.457364231404283</v>
      </c>
      <c r="G521" s="16" t="n">
        <v>51.28397472480282</v>
      </c>
      <c r="H521" s="16" t="n">
        <v>37.54373420720582</v>
      </c>
    </row>
    <row r="522">
      <c r="A522" s="21" t="n">
        <v>490</v>
      </c>
      <c r="B522" s="18" t="n">
        <v>-0.01028911794387213</v>
      </c>
      <c r="C522" s="18" t="n">
        <v>0.1065356955628251</v>
      </c>
      <c r="D522" s="43" t="n">
        <v>1.152272386404862</v>
      </c>
      <c r="E522" s="21" t="n">
        <v>0</v>
      </c>
      <c r="F522" s="18" t="n">
        <v>0.741312837332174</v>
      </c>
      <c r="G522" s="16" t="n">
        <v>63.8715296018075</v>
      </c>
      <c r="H522" s="16" t="n">
        <v>34.35918163626223</v>
      </c>
    </row>
    <row r="523">
      <c r="A523" s="21" t="n">
        <v>491</v>
      </c>
      <c r="B523" s="18" t="n">
        <v>0.005951638319479577</v>
      </c>
      <c r="C523" s="18" t="n">
        <v>0.07337109991000809</v>
      </c>
      <c r="D523" s="43" t="n">
        <v>0.909846091031244</v>
      </c>
      <c r="E523" s="21" t="n">
        <v>0</v>
      </c>
      <c r="F523" s="18" t="n">
        <v>1.04934274209277</v>
      </c>
      <c r="G523" s="16" t="n">
        <v>81.48281717037889</v>
      </c>
      <c r="H523" s="16" t="n">
        <v>34.30643759188217</v>
      </c>
    </row>
    <row r="524">
      <c r="A524" s="21" t="n">
        <v>492</v>
      </c>
      <c r="B524" s="18" t="n">
        <v>-0.0004867141825123655</v>
      </c>
      <c r="C524" s="18" t="n">
        <v>0.09709538325058753</v>
      </c>
      <c r="D524" s="43" t="n">
        <v>1.422867181055594</v>
      </c>
      <c r="E524" s="21" t="n">
        <v>1</v>
      </c>
      <c r="F524" s="18" t="n">
        <v>0.5278530821490528</v>
      </c>
      <c r="G524" s="16" t="n">
        <v>53.98385531672831</v>
      </c>
      <c r="H524" s="16" t="n">
        <v>35.64386550215962</v>
      </c>
    </row>
    <row r="525">
      <c r="A525" s="21" t="n">
        <v>493</v>
      </c>
      <c r="B525" s="18" t="n">
        <v>2.980705279610751e-05</v>
      </c>
      <c r="C525" s="18" t="n">
        <v>0.1063490726909287</v>
      </c>
      <c r="D525" s="43" t="n">
        <v>1.269478543067019</v>
      </c>
      <c r="E525" s="21" t="n">
        <v>0</v>
      </c>
      <c r="F525" s="18" t="n">
        <v>0.658670332470793</v>
      </c>
      <c r="G525" s="16" t="n">
        <v>61.58832106979713</v>
      </c>
      <c r="H525" s="16" t="n">
        <v>34.51842355528277</v>
      </c>
    </row>
    <row r="526">
      <c r="A526" s="21" t="n">
        <v>494</v>
      </c>
      <c r="B526" s="18" t="n">
        <v>-0.04555198308282973</v>
      </c>
      <c r="C526" s="18" t="n">
        <v>0.01510831146336734</v>
      </c>
      <c r="D526" s="43" t="n">
        <v>1.382155098223224</v>
      </c>
      <c r="E526" s="21" t="n">
        <v>0</v>
      </c>
      <c r="F526" s="18" t="n">
        <v>0.6371253368368648</v>
      </c>
      <c r="G526" s="16" t="n">
        <v>61.68597387650615</v>
      </c>
      <c r="H526" s="16" t="n">
        <v>34.46243668440437</v>
      </c>
    </row>
    <row r="527">
      <c r="A527" s="21" t="n">
        <v>495</v>
      </c>
      <c r="B527" s="18" t="n">
        <v>0.01746003585339652</v>
      </c>
      <c r="C527" s="18" t="n">
        <v>0.1430859501876748</v>
      </c>
      <c r="D527" s="43" t="n">
        <v>1.123639068844968</v>
      </c>
      <c r="E527" s="21" t="n">
        <v>0</v>
      </c>
      <c r="F527" s="18" t="n">
        <v>0.7848775653241422</v>
      </c>
      <c r="G527" s="16" t="n">
        <v>66.48947382892743</v>
      </c>
      <c r="H527" s="16" t="n">
        <v>34.34340256476111</v>
      </c>
    </row>
    <row r="528">
      <c r="A528" s="21" t="n">
        <v>496</v>
      </c>
      <c r="B528" s="18" t="n">
        <v>-0.01235741489572009</v>
      </c>
      <c r="C528" s="18" t="n">
        <v>0.04545084317316977</v>
      </c>
      <c r="D528" s="43" t="n">
        <v>1.261808022539648</v>
      </c>
      <c r="E528" s="21" t="n">
        <v>2</v>
      </c>
      <c r="F528" s="18" t="n">
        <v>0.5670897431564177</v>
      </c>
      <c r="G528" s="16" t="n">
        <v>59.87230420014482</v>
      </c>
      <c r="H528" s="16" t="n">
        <v>36.92710324634286</v>
      </c>
    </row>
    <row r="529">
      <c r="A529" s="21" t="n">
        <v>497</v>
      </c>
      <c r="B529" s="18" t="n">
        <v>-0.02800029617369472</v>
      </c>
      <c r="C529" s="18" t="n">
        <v>0.07613749596317293</v>
      </c>
      <c r="D529" s="43" t="n">
        <v>1.460858735977596</v>
      </c>
      <c r="E529" s="21" t="n">
        <v>0</v>
      </c>
      <c r="F529" s="18" t="n">
        <v>0.566544184760416</v>
      </c>
      <c r="G529" s="16" t="n">
        <v>54.38090077939763</v>
      </c>
      <c r="H529" s="16" t="n">
        <v>34.30171906737773</v>
      </c>
    </row>
    <row r="530">
      <c r="A530" s="21" t="n">
        <v>498</v>
      </c>
      <c r="B530" s="18" t="n">
        <v>-0.003039356994920334</v>
      </c>
      <c r="C530" s="18" t="n">
        <v>-0.04320474785347593</v>
      </c>
      <c r="D530" s="43" t="n">
        <v>1.256725073556224</v>
      </c>
      <c r="E530" s="21" t="n">
        <v>0</v>
      </c>
      <c r="F530" s="18" t="n">
        <v>0.861512645860911</v>
      </c>
      <c r="G530" s="16" t="n">
        <v>86.04565518019031</v>
      </c>
      <c r="H530" s="16" t="n">
        <v>34.50785642346649</v>
      </c>
    </row>
    <row r="531">
      <c r="A531" s="21" t="n">
        <v>499</v>
      </c>
      <c r="B531" s="18" t="n">
        <v>-0.03845324729722621</v>
      </c>
      <c r="C531" s="18" t="n">
        <v>0.1832119442005653</v>
      </c>
      <c r="D531" s="43" t="n">
        <v>1.077600462257016</v>
      </c>
      <c r="E531" s="21" t="n">
        <v>2</v>
      </c>
      <c r="F531" s="18" t="n">
        <v>0.4898073825762164</v>
      </c>
      <c r="G531" s="16" t="n">
        <v>39.33319564086896</v>
      </c>
      <c r="H531" s="16" t="n">
        <v>36.6907539653842</v>
      </c>
    </row>
    <row r="532">
      <c r="A532" s="21" t="n">
        <v>500</v>
      </c>
      <c r="B532" s="18" t="n">
        <v>-0.01699810550622538</v>
      </c>
      <c r="C532" s="18" t="n">
        <v>0.0249528366326659</v>
      </c>
      <c r="D532" s="43" t="n">
        <v>1.280407539982497</v>
      </c>
      <c r="E532" s="21" t="n">
        <v>1</v>
      </c>
      <c r="F532" s="18" t="n">
        <v>0.6495162079064545</v>
      </c>
      <c r="G532" s="16" t="n">
        <v>66.28157906382158</v>
      </c>
      <c r="H532" s="16" t="n">
        <v>35.73779253441202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{"info": {"name": "Project Aurora (Sample)", "location": "Sample City, Rajasthan", "project_type": "Mixed Development", "start_date": "2027-06-30", "deal_type": "JV", "entity": "Company", "scenario": "Base Case", "lifecycle_override_years": null}, "land": {"area_sqyd": 30000, "market_rate": 60000, "dlc_rate_sqm": 13000, "lo_share": 0.32, "stamp_duty_jv": 0.0275, "purchase_rate": 60000, "stamp_duty_outright": 0.088, "payment_curve": "Upfront", "payment_start_q": 1, "payment_end_q": 1}, "scenarios": [{"name": "Best Case", "sales_period_mult": 0.75, "price_change": 0.05, "cost_change": 0.0, "delay_q": 0}, {"name": "Base Case", "sales_period_mult": 1.0, "price_change": 0.0, "cost_change": 0.0, "delay_q": 0}, {"name": "Worst Case", "sales_period_mult": 1.5, "price_change": -0.075, "cost_change": 0.075, "delay_q": 2}], "zones": [{"name": "Villa Development", "share": 0.35}, {"name": "Apartment Development", "share": 0.5}, {"name": "Plotted Development", "share": 0.15}, {"name": "Other / Clubhouse", "share": 0.0}], "products": [{"name": "Villas", "zone": "Villa Development", "category": "Villa", "include": true, "area_sqft": 250000, "rate": 11000, "construction_rate": 2900, "launch_q": 3, "sales_period_q": 8, "sales_curve": "Front-loaded", "clp_plan": "CLP – Villa", "construction_start_q": 4, "construction_duration_q": 12, "construction_curve": "S-curve", "timing": {"launch_mode": "Fixed quarter", "launch_link_product": null, "launch_link_event": null, "launch_offset": 0, "cons_mode": "After own launch", "cons_link_product": null, "cons_link_event": null, "cons_offset": 1}}, {"name": "Apartments – Towers A &amp; B", "zone": "Apartment Development", "category": "Apartment", "include": true, "area_sqft": 600000, "rate": 7500, "construction_rate": 2900, "launch_q": 4, "sales_period_q": 12, "sales_curve": "Even", "clp_plan": "CLP – Apartment", "construction_start_q": 5, "construction_duration_q": 16, "construction_curve": "S-curve", "timing": {"launch_mode": "Linked to another product", "launch_link_product": "Villas", "launch_link_event": "Launch", "launch_offset": 1, "cons_mode": "After own launch", "cons_link_product": null, "cons_link_event": null, "cons_offset": 1}}, {"name": "Studios", "zone": "Apartment Development", "category": "Studio", "include": true, "area_sqft": 40000, "rate": 9000, "construction_rate": 3800, "launch_q": 6, "sales_period_q": 8, "sales_curve": "Even", "clp_plan": "CLP – Apartment", "construction_start_q": 6, "construction_duration_q": 12, "construction_curve": "S-curve", "timing": {"launch_mode": "Linked to another product", "launch_link_product": "Apartments – Towers A &amp; B", "launch_link_event": "Construction start", "launch_offset": 1, "cons_mode": "After own launch", "cons_link_product": null, "cons_link_event": null, "cons_offset": 0}}, {"name": "High-street retail", "zone": "Apartment Development", "category": "Commercial", "include": true, "area_sqft": 30000, "rate": 14000, "construction_rate": 2900, "launch_q": 8, "sales_period_q": 8, "sales_curve": "Back-loaded", "clp_plan": "Down Payment Plan", "construction_start_q": 6, "construction_duration_q": 12, "construction_curve": "S-curve", "timing": {"launch_mode": "Linked to another product", "launch_link_product": "Apartments – Towers A &amp; B", "launch_link_event": "Launch", "launch_offset": 4, "cons_mode": "Linked to another product", "cons_link_product": "Apartments – Towers A &amp; B", "cons_link_event": "Construction start", "cons_offset": 1}}, {"name": "Residential plots", "zone": "Plotted Development", "category": "Plot", "include": false, "area_sqft": 150000, "rate": 4500, "construction_rate": 450, "launch_q": 10, "sales_period_q": 8, "sales_curve": "Even", "clp_plan": "Plot – Development Linked", "construction_start_q": 9, "construction_duration_q": 8, "construction_curve": "Even", "timing": {"launch_mode": "Fixed quarter", "launch_link_product": null, "launch_link_event": null, "launch_offset": 0, "cons_mode": "Fixed quarter", "cons_link_product": null, "cons_link_event": null, "cons_offset": 0}}, {"name": "Institutional plots", "zone": "Plotted Development", "category": "Institutional", "include": false, "area_sqft": 30000, "rate": 4000, "construction_rate": 400, "launch_q": 12, "sales_period_q": 8, "sales_curve": "Even", "clp_plan": "Plot – Development Linked", "construction_start_q": 9, "construction_duration_q": 8, "construction_curve": "Even", "timing": {"launch_mode": "Fixed quarter", "launch_link_product": null, "launch_link_event": null, "launch_offset": 0, "cons_mode": "Fixed quarter", "cons_link_product": null, "cons_link_event": null, "cons_offset": 0}}, {"name": "EWS / LIG plots", "zone": "Plotted Development", "category": "EWS/LIG", "include": false, "area_sqft": 20000, "rate": 1500, "construction_rate": 400, "launch_q": 10, "sales_period_q": 8, "sales_curve": "Even", "clp_plan": "Plot – Development Linked", "construction_start_q": 9, "construction_duration_q": 8, "construction_curve": "Even", "timing": {"launch_mode": "Fixed quarter", "launch_link_product": null, "launch_link_event": null, "launch_offset": 0, "cons_mode": "Fixed quarter", "cons_link_product": null, "cons_link_event": null, "cons_offset": 0}}], "costs": [{"key": "land", "name": "Land Cost", "rate1": null, "rate2": null, "applicable": true, "curve": "Follow Collections", "start_q": null, "end_q": null, "basis": null}, {"key": "sd", "name": "Stamp Duty", "rate1": null, "rate2": null, "applicable": true, "curve": "Upfront", "start_q": 1, "end_q": 1, "basis": null}, {"key": "brok", "name": "Brokerage", "rate1": 0.0118, "rate2": null, "applicable": true, "curve": "Upfront", "start_q": 1, "end_q": 1, "basis": null}, {"key": "villa", "name": "Villa Construction Cost", "rate1": null, "rate2": null, "applicable": true, "curve": "Follow Construction", "start_q": null, "end_q": null, "basis": null}, {"key": "apt", "name": "APT Construction Cost", "rate1": null, "rate2": null, "applicable": true, "curve": "Follow Construction", "start_q": null, "end_q": null, "basis": null}, {"key": "studio", "name": "Studio Construction cost with furnishing", "rate1": null, "rate2": null, "applicable": true, "curve": "Follow Construction", "start_q": null, "end_q": null, "basis": null}, {"key": "plot", "name": "Plotted Construction Development Cost", "rate1": null, "rate2": null, "applicable": true, "curve": "Follow Construction", "start_q": null, "end_q": null, "basis": null}, {"key": "inst", "name": "Institutional Plotted Development Cost", "rate1": null, "rate2": null, "applicable": true, "curve": "Follow Construction", "start_q": null, "end_q": null, "basis": null}, {"key": "comm", "name": "Commercial Construction Cost", "rate1": null, "rate2": null, "applicable": true, "curve": "Follow Construction", "start_q": null, "end_q": null, "basis": null}, {"key": "ews_dev", "name": "EWS/LIG plots development cost", "rate1": null, "rate2": null, "applicable": true, "curve": "Follow Construction", "start_q": null, "end_q": null, "basis": null}, {"key": "ovh", "name": "Corporate Overheads (Rs/Sq Ft SA)", "rate1": 0.04, "rate2": null, "applicable": true, "curve": "Follow Project Life", "start_q": null, "end_q": null, "basis": null}, {"key": "mkt", "name": "Marketing &amp; Sales @ %", "rate1": 0.07, "rate2": 0.05, "applicable": true, "curve": "Follow Sales", "start_q": null, "end_q": null, "basis": null}, {"key": "legal", "name": "Legal &amp; Compliance (Rs/Sq Ft SA)", "rate1": 75, "rate2": null, "applicable": true, "curve": "Front-loaded", "start_q": 1, "end_q": 8, "basis": null}, {"key": "ews", "name": "EWS / LIG @ Rs/Sq Ft (Builtup)", "rate1": 400, "rate2": 0.05, "applicable": true, "curve": "Follow Construction", "start_q": null, "end_q": null, "basis": null}, {"key": "cont", "name": "Contingency @ %", "rate1": 0.0, "rate2": "Construction cost", "applicable": true, "curve": "Follow Construction", "start_q": null, "end_q": null, "basis": null}, {"key": "edc", "name": "External Development &amp; Landscaping", "rate1": 0.0, "rate2": "Rs/sq ft (total saleable area)", "applicable": true, "curve": "Follow Construction", "start_q": null, "end_q": null, "basis": null}, {"key": "hotel", "name": "Hotel Brand Key fee Rs 50K per Key for smaller brand", "rate1": 50000, "rate2": 0, "applicable": true, "curve": "Follow Construction", "start_q": null, "end_q": null, "basis": null}, {"key": "furn", "name": "Furnishing Cost for Studios", "rate1": 500, "rate2": null, "applicable": false, "curve": "Follow Construction", "start_q": null, "end_q": null, "basis": null}, {"key": "gst", "name": "GST cost in case of commercial/Plotting development", "rate1": 0.18, "rate2": 0.2, "applicable": false, "curve": "At Project End", "start_q": null, "end_q": null, "basis": null}, {"key": "aif", "name": "AIF Cost", "rate1": null, "rate2": null, "applicable": false, "curve": "Follow Project Life", "start_q": null, "end_q": null, "basis": null}, {"key": "bar", "name": "BAR / Premium FAR Cost", "rate1": null, "rate2": null, "applicable": true, "curve": "Upfront", "start_q": 2, "end_q": 2, "basis": null}], "bar": {"authority": "JDA", "land_use": "Residential", "free_far": 2.0, "loading_factor": 1.35, "reserved_price_sqm": 12000, "gst_applicable": false, "gst_rate": 0.18, "pct_table": {"Industrial": {"RIICO": 0.2, "JDA": null}, "Residential": {"RIICO": 0.3, "JDA": 0.2}, "Commercial": {"RIICO": 0.4, "JDA": 0.4}}}, "aif": {"rate": 0.18, "tenure_years": 3, "compounding": "Annually"}, "initial": {"advance_pct": 0.1, "dd_amount": 0.0, "da_amount": 0.0, "legal_share": 1.0, "bar_share": 0.25, "dev_cost_pre_da": 0.0, "marketing_pre_launch": 0.0, "payout_q": {"token": 1, "dd": 1, "da": 2, "legal": 2, "dev": 2, "marketing": 2, "sd": 2, "brok": 2, "bar": 2}, "outright_construction_share": 0.1, "outright_legal_share": 0.1}, "catch_up_lag": 1, "plans": [{"name": "CLP – Villa", "milestones": [{"name": "Earnest money", "trigger": "Booking + quarters", "value": 0, "pct": 0.1}, {"name": "Agreement to sell (ATS)", "trigger": "Booking + quarters", "value": 1, "pct": 0.1}, {"name": "Commencement of construction", "trigger": "Construction % complete", "value": 0.05, "pct": 0.1}, {"name": "Ground plinth", "trigger": "Construction % complete", "value": 0.15, "pct": 0.1}, {"name": "First floor roof casting", "trigger": "Construction % complete", "value": 0.35, "pct": 0.15}, {"name": "Second floor roof casting", "trigger": "Construction % complete", "value": 0.55, "pct": 0.15}, {"name": "Third floor roof casting", "trigger": "Construction % complete", "value": 0.75, "pct": 0.15}, {"name": "Completion certificate (CC)", "trigger": "Construction % complete", "value": 0.95, "pct": 0.05}, {"name": "Possession", "trigger": "Construction % complete", "value": 1.0, "pct": 0.1}]}, {"name": "CLP – Apartment", "milestones": [{"name": "Booking amount", "trigger": "Booking + quarters", "value": 0, "pct": 0.1}, {"name": "Agreement to sell (ATS)", "trigger": "Booking + quarters", "value": 1, "pct": 0.1}, {"name": "Foundation completion", "trigger": "Construction % complete", "value": 0.1, "pct": 0.1}, {"name": "Podium / plinth", "trigger": "Construction % complete", "value": 0.2, "pct": 0.1}, {"name": "Slab casting – 25% floors", "trigger": "Construction % complete", "value": 0.35, "pct": 0.1}, {"name": "Slab casting – 50% floors", "trigger": "Construction % complete", "value": 0.5, "pct": 0.1}, {"name": "Slab casting – 75% floors", "trigger": "Construction % complete", "value": 0.65, "pct": 0.1}, {"name": "Top slab casting", "trigger": "Construction % complete", "value": 0.8, "pct": 0.1}, {"name": "Brickwork &amp; plaster", "trigger": "Construction % complete", "value": 0.9, "pct": 0.05}, {"name": "Flooring &amp; finishing", "trigger": "Construction % complete", "value": 0.95, "pct": 0.05}, {"name": "Possession", "trigger": "Construction % complete", "value": 1.0, "pct": 0.1}]}, {"name": "Plot – Development Linked", "milestones": [{"name": "Booking amount", "trigger": "Booking + quarters", "value": 0, "pct": 0.1}, {"name": "Agreement to sell (ATS)", "trigger": "Booking + quarters", "value": 1, "pct": 0.2}, {"name": "Roads &amp; services start", "trigger": "Construction % complete", "value": 0.25, "pct": 0.2}, {"name": "Services 60% complete", "trigger": "Construction % complete", "value": 0.6, "pct": 0.2}, {"name": "Possession / registry", "trigger": "Construction % complete", "value": 1.0, "pct": 0.3}]}, {"name": "Down Payment Plan", "milestones": [{"name": "Booking amount", "trigger": "Booking + quarters", "value": 0, "pct": 0.1}, {"name": "Down payment", "trigger": "Booking + quarters", "value": 1, "pct": 0.8}, {"name": "Possession", "trigger": "Construction % complete", "value": 1.0, "pct": 0.1}]}, {"name": "CLP – 17-Floor Tower", "milestones": [{"name": "Booking amount", "trigger": "Booking + quarters", "value": 0, "pct": 0.1}, {"name": "Agreement to sell (ATS)", "trigger": "Booking + quarters", "value": 1, "pct": 0.1}, {"name": "Excavation", "trigger": "Construction % complete", "value": 0.03, "pct": 0.05}, {"name": "Foundation / raft", "trigger": "Construction % complete", "value": 0.08, "pct": 0.05}, {"name": "Slab casting – floor 1", "trigger": "Construction % complete", "value": 0.12, "pct": 0.025}, {"name": "Slab casting – floor 2", "trigger": "Construction % complete", "value": 0.15625, "pct": 0.025}, {"name": "Slab casting – floor 3", "trigger": "Construction % complete", "value": 0.1925, "pct": 0.025}, {"name": "Slab casting – floor 4", "trigger": "Construction % complete", "value": 0.22875, "pct": 0.025}, {"name": "Slab casting – floor 5", "trigger": "Construction % complete", "value": 0.265, "pct": 0.025}, {"name": "Slab casting – floor 6", "trigger": "Construction % complete", "value": 0.30125, "pct": 0.025}, {"name": "Slab casting – floor 7", "trigger": "Construction % complete", "value": 0.3375, "pct": 0.025}, {"name": "Slab casting – floor 8", "trigger": "Construction % complete", "value": 0.37375, "pct": 0.025}, {"name": "Slab casting – floor 9", "trigger": "Construction % complete", "value": 0.41, "pct": 0.025}, {"name": "Slab casting – floor 10", "trigger": "Construction % complete", "value": 0.44625, "pct": 0.025}, {"name": "Slab casting – floor 11", "trigger": "Construction % complete", "value": 0.4825, "pct": 0.025}, {"name": "Slab casting – floor 12", "trigger": "Construction % complete", "value": 0.51875, "pct": 0.025}, {"name": "Slab casting – floor 13", "trigger": "Construction % complete", "value": 0.555, "pct": 0.025}, {"name": "Slab casting – floor 14", "trigger": "Construction % complete", "value": 0.59125, "pct": 0.025}, {"name": "Slab casting – floor 15", "trigger": "Construction % complete", "value": 0.6275, "pct": 0.025}, {"name": "Slab casting – floor 16", "trigger": "Construction % complete", "value": 0.66375, "pct": 0.025}, {"name": "Slab casting – floor 17", "trigger": "Construction % complete", "value": 0.7, "pct": 0.025}, {"name": "Brickwork", "trigger": "Construction % complete", "value": 0.78, "pct": 0.05}, {"name": "Plaster &amp; MEP", "trigger": "Construction % complete", "value": 0.85, "pct": 0.05}, {"name": "Flooring &amp; finishing", "trigger": "Construction % complete", "value": 0.92, "pct": 0.075}, {"name": "Possession", "trigger": "Construction % complete", "value": 1.0, "pct": 0.1}]}], "finance": {"tax_company": 0.26, "tax_llp": 0.35, "cost_of_equity": 0.18, "benchmarks": {"project_irr": 0.22, "developer_irr": 0.18, "equity_multiple": 2.0, "roce": 0.3, "cagr": 0.3, "pat_margin": 0.15, "ebitda_margin": 0.2}}}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2026-10-26T11:55:14Z</dcterms:created>
  <dcterms:modified xmlns:dcterms="http://purl.org/dc/terms/" xmlns:xsi="http://www.w3.org/2001/XMLSchema-instance" xsi:type="dcterms:W3CDTF">2026-10-26T11:55:15Z</dcterms:modified>
</cp:coreProperties>
</file>