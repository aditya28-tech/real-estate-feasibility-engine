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STRESS" sheetId="3" state="visible" r:id="rId5"/>
    <sheet name="INPUTS" sheetId="4" state="visible" r:id="rId6"/>
    <sheet name="TIMELINE" sheetId="5" state="visible" r:id="rId7"/>
    <sheet name="CURVES" sheetId="6" state="visible" r:id="rId8"/>
    <sheet name="COLLECTIONS" sheetId="7" state="visible" r:id="rId9"/>
    <sheet name="CASHFLOW" sheetId="8" state="visible" r:id="rId10"/>
    <sheet name="OUTPUT" sheetId="9" state="visible" r:id="rId11"/>
    <sheet name="LISTS" sheetId="10" state="visible" r:id="rId12"/>
  </sheets>
  <definedNames>
    <definedName function="false" hidden="false" localSheetId="1" name="_xlnm.Print_Area" vbProcedure="false">DASHBOARD!$A$1:$Q$94</definedName>
    <definedName function="false" hidden="false" name="CF_Developer" vbProcedure="false">CASHFLOW!$D$55:$AQ$55</definedName>
    <definedName function="false" hidden="false" name="CF_Developer_Cum" vbProcedure="false">CASHFLOW!$D$56:$AQ$56</definedName>
    <definedName function="false" hidden="false" name="CF_Project" vbProcedure="false">CASHFLOW!$D$53:$AQ$53</definedName>
    <definedName function="false" hidden="false" name="CL_Bookings" vbProcedure="false">COLLECTIONS!$D$448:$AQ$448</definedName>
    <definedName function="false" hidden="false" name="CL_Developer" vbProcedure="false">COLLECTIONS!$D$453:$AQ$453</definedName>
    <definedName function="false" hidden="false" name="CL_Landowner" vbProcedure="false">COLLECTIONS!$D$452:$AQ$452</definedName>
    <definedName function="false" hidden="false" name="CL_Total" vbProcedure="false">COLLECTIONS!$D$449:$AQ$449</definedName>
    <definedName function="false" hidden="false" name="Costs" vbProcedure="false">INPUTS!$B$128:$M$151</definedName>
    <definedName function="false" hidden="false" name="Cost_of_Equity" vbProcedure="false">INPUTS!$C$426</definedName>
    <definedName function="false" hidden="false" name="Crore" vbProcedure="false">INPUTS!$C$25</definedName>
    <definedName function="false" hidden="false" name="CV_ConsProfile" vbProcedure="false">CURVES!$D$100:$AQ$100</definedName>
    <definedName function="false" hidden="false" name="CV_SalesProfile" vbProcedure="false">CURVES!$D$99:$AQ$99</definedName>
    <definedName function="false" hidden="false" name="Deal_Type" vbProcedure="false">INPUTS!$C$21</definedName>
    <definedName function="false" hidden="false" name="Dev_Share" vbProcedure="false">INPUTS!$C$46</definedName>
    <definedName function="false" hidden="false" name="Horizon_Q" vbProcedure="false">INPUTS!$C$24</definedName>
    <definedName function="false" hidden="false" name="Initial_Investment" vbProcedure="false">INPUTS!$C$208</definedName>
    <definedName function="false" hidden="false" name="Initial_Inv_Items" vbProcedure="false">INPUTS!$B$191:$E$199</definedName>
    <definedName function="false" hidden="false" name="Last_Q" vbProcedure="false">INPUTS!$C$29</definedName>
    <definedName function="false" hidden="false" name="Lifecycle_Yrs" vbProcedure="false">INPUTS!$C$32</definedName>
    <definedName function="false" hidden="false" name="LO_Share" vbProcedure="false">INPUTS!$C$45</definedName>
    <definedName function="false" hidden="false" name="Products" vbProcedure="false">INPUTS!$B$88:$W$97</definedName>
    <definedName function="false" hidden="false" name="Sc_CostAdj" vbProcedure="false">INPUTS!$E$74</definedName>
    <definedName function="false" hidden="false" name="Sc_Delay" vbProcedure="false">INPUTS!$F$74</definedName>
    <definedName function="false" hidden="false" name="Sc_PriceAdj" vbProcedure="false">INPUTS!$D$74</definedName>
    <definedName function="false" hidden="false" name="Sc_SalesMult" vbProcedure="false">INPUTS!$C$74</definedName>
    <definedName function="false" hidden="false" name="Start_Date" vbProcedure="false">INPUTS!$C$20</definedName>
    <definedName function="false" hidden="false" name="Tax_Rate" vbProcedure="false">INPUTS!$C$425</definedName>
    <definedName function="false" hidden="false" name="TL_Active" vbProcedure="false">TIMELINE!$D$17:$AQ$17</definedName>
    <definedName function="false" hidden="false" name="TL_End" vbProcedure="false">TIMELINE!$D$9:$AQ$9</definedName>
    <definedName function="false" hidden="false" name="TL_FY" vbProcedure="false">TIMELINE!$D$13:$AQ$13</definedName>
    <definedName function="false" hidden="false" name="TL_Q" vbProcedure="false">TIMELINE!$D$7:$AQ$7</definedName>
    <definedName function="false" hidden="false" name="Total_Construction" vbProcedure="false">INPUTS!$U$98</definedName>
    <definedName function="false" hidden="false" name="Total_Cost" vbProcedure="false">INPUTS!$G$152</definedName>
    <definedName function="false" hidden="false" name="Total_Revenue" vbProcedure="false">INPUTS!$T$98</definedName>
    <definedName function="false" hidden="false" name="Total_SA" vbProcedure="false">INPUTS!$F$98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<sst xmlns="http://schemas.openxmlformats.org/spreadsheetml/2006/main" count="1767" uniqueCount="942">
  <si>
    <t xml:space="preserve">REAL ESTATE FEASIBILITY ENGINE</t>
  </si>
  <si>
    <t xml:space="preserve">What it is</t>
  </si>
  <si>
    <t xml:space="preserve">An adaptive feasibility model: describe the project with rules (quarters, curves, payment plans) and the engine builds every quarter itself.</t>
  </si>
  <si>
    <t xml:space="preserve">Sheets</t>
  </si>
  <si>
    <t xml:space="preserve">DASHBOARD (one-page summary) → STRESS (live what-if tables) → INPUTS (everything you type) → TIMELINE (calendar, Gantt &amp; on/off flags) → CURVES (quarterly % for sales, construction &amp; every cost head) → COLLECTIONS (bookings → CLP cash received) → CASHFLOW (outflows, net cash, IRR, NPV) → OUTPUT (revenue, cost, P&amp;L, JV split, key metrics) → LISTS (dropdown sources &amp; conversions).</t>
  </si>
  <si>
    <t xml:space="preserve">HOW TO USE</t>
  </si>
  <si>
    <t xml:space="preserve">1. Type only in inputs</t>
  </si>
  <si>
    <t xml:space="preserve">Blue-on-yellow cells. Black cells are formulas – never overwrite them.</t>
  </si>
  <si>
    <t xml:space="preserve">2. Quarters</t>
  </si>
  <si>
    <t xml:space="preserve">All timing is a quarter number from the project start (Q1). Type 3 → shows Q3.</t>
  </si>
  <si>
    <t xml:space="preserve">3. Products</t>
  </si>
  <si>
    <t xml:space="preserve">One row per product with zone and category. Category decides which construction cost head it lands in. Project type (Villa / Apartments / Plotted / Mixed) automatically switches off products of other zones.</t>
  </si>
  <si>
    <t xml:space="preserve">4. Product timing</t>
  </si>
  <si>
    <t xml:space="preserve">Section 5B: each product's launch and construction start can be a fixed quarter, or linked to another product's launch / sales end / construction start / 50% / end.</t>
  </si>
  <si>
    <t xml:space="preserve">5. Cost heads</t>
  </si>
  <si>
    <t xml:space="preserve">All 21 standard heads + 3 spare rows. Each has an Applicable switch, its own calculation and a phasing curve.</t>
  </si>
  <si>
    <t xml:space="preserve">6. Payment plans</t>
  </si>
  <si>
    <t xml:space="preserve">Milestones tied to booking or construction %, so they move automatically with the schedule.</t>
  </si>
  <si>
    <t xml:space="preserve">7. Scenarios</t>
  </si>
  <si>
    <t xml:space="preserve">One dropdown switches Best / Base / Worst case.</t>
  </si>
  <si>
    <t xml:space="preserve">8. Checks</t>
  </si>
  <si>
    <t xml:space="preserve">INPUTS must show ✔ ALL CHECKS PASSED before results are used.</t>
  </si>
  <si>
    <t xml:space="preserve">9. Stress tests</t>
  </si>
  <si>
    <t xml:space="preserve">STRESS sheet tables re-run the whole model automatically. If Excel is slow: Formulas → Calculation Options → Automatic except for Data Tables, then F9.</t>
  </si>
  <si>
    <t xml:space="preserve">COLOUR CODE</t>
  </si>
  <si>
    <t xml:space="preserve">Blue on yellow</t>
  </si>
  <si>
    <t xml:space="preserve">Input</t>
  </si>
  <si>
    <t xml:space="preserve">Black</t>
  </si>
  <si>
    <t xml:space="preserve">Formula</t>
  </si>
  <si>
    <t xml:space="preserve">Green</t>
  </si>
  <si>
    <t xml:space="preserve">Link from another sheet</t>
  </si>
  <si>
    <t xml:space="preserve">ROADMAP</t>
  </si>
  <si>
    <t xml:space="preserve">Step 1 ✔</t>
  </si>
  <si>
    <t xml:space="preserve">Inputs, cost heads, calculators, output statements</t>
  </si>
  <si>
    <t xml:space="preserve">Step 2 ✔</t>
  </si>
  <si>
    <t xml:space="preserve">Timeline engine (TIMELINE sheet: 40 self-switching quarter columns + Gantt)</t>
  </si>
  <si>
    <t xml:space="preserve">Step 3 ✔</t>
  </si>
  <si>
    <t xml:space="preserve">Curve engine (CURVES sheet: curve names → quarterly %, always 100%)</t>
  </si>
  <si>
    <t xml:space="preserve">Step 4 ✔</t>
  </si>
  <si>
    <t xml:space="preserve">COLLECTIONS sheet: bookings, CLP milestone triggers, catch-up, collections, LO/developer split</t>
  </si>
  <si>
    <t xml:space="preserve">Step 5 ✔</t>
  </si>
  <si>
    <t xml:space="preserve">CASHFLOW sheet: outflows, landowner payments, project &amp; developer cash flow, IRR, NPV, peak investment, break-even, FY summary</t>
  </si>
  <si>
    <t xml:space="preserve">Step 6 ✔</t>
  </si>
  <si>
    <t xml:space="preserve">DASHBOARD sheet: KPI tiles with benchmark colours, auto-written takeaways, 6 charts incl. Gantt</t>
  </si>
  <si>
    <t xml:space="preserve">Step 7 ✔</t>
  </si>
  <si>
    <t xml:space="preserve">STRESS sheet: scenario comparison, price / cost / speed / delay sensitivities, 2-way grids, headroom</t>
  </si>
  <si>
    <t xml:space="preserve">Disclaimer</t>
  </si>
  <si>
    <t xml:space="preserve">Illustrative sample figures. Tax, stamp duty, BAR and regulatory rates must be verified before real use.</t>
  </si>
  <si>
    <t xml:space="preserve">GDV (total revenue)</t>
  </si>
  <si>
    <t xml:space="preserve">Total cost</t>
  </si>
  <si>
    <t xml:space="preserve">EBITDA</t>
  </si>
  <si>
    <t xml:space="preserve">PAT</t>
  </si>
  <si>
    <t xml:space="preserve">Developer IRR (pre-tax)</t>
  </si>
  <si>
    <t xml:space="preserve">Project IRR</t>
  </si>
  <si>
    <t xml:space="preserve">Developer NPV</t>
  </si>
  <si>
    <t xml:space="preserve">Equity multiple</t>
  </si>
  <si>
    <t xml:space="preserve">Peak investment</t>
  </si>
  <si>
    <t xml:space="preserve">Payback (developer)</t>
  </si>
  <si>
    <t xml:space="preserve">ROCE (annualised)</t>
  </si>
  <si>
    <t xml:space="preserve">CAGR</t>
  </si>
  <si>
    <t xml:space="preserve">Green = beats the benchmark set in INPUTS Section 9; amber = review.</t>
  </si>
  <si>
    <t xml:space="preserve">KEY TAKEAWAYS (auto-written from the model)</t>
  </si>
  <si>
    <t xml:space="preserve">CHART DATA (linked – do not edit)</t>
  </si>
  <si>
    <t xml:space="preserve">Cost group</t>
  </si>
  <si>
    <t xml:space="preserve">₹ Cr</t>
  </si>
  <si>
    <t xml:space="preserve">Land / landowner share</t>
  </si>
  <si>
    <t xml:space="preserve">Construction</t>
  </si>
  <si>
    <t xml:space="preserve">Marketing &amp; sales</t>
  </si>
  <si>
    <t xml:space="preserve">Corporate overheads</t>
  </si>
  <si>
    <t xml:space="preserve">Approvals, legal &amp; BAR</t>
  </si>
  <si>
    <t xml:space="preserve">Other (EWS, contingency, EDC, GST, AIF…)</t>
  </si>
  <si>
    <t xml:space="preserve">Revenue by type</t>
  </si>
  <si>
    <t xml:space="preserve">Timeline (Gantt) – included products only</t>
  </si>
  <si>
    <t xml:space="preserve">Offset</t>
  </si>
  <si>
    <t xml:space="preserve">Selling</t>
  </si>
  <si>
    <t xml:space="preserve">Building</t>
  </si>
  <si>
    <t xml:space="preserve"># included up to row</t>
  </si>
  <si>
    <t xml:space="preserve">STRESS TESTING — how the deal holds up when things go wrong</t>
  </si>
  <si>
    <t xml:space="preserve">Tables below are live Excel Data Tables: each cell re-runs the WHOLE model with the lever value shown. Keep the levers at neutral – the tables flex them automatically.</t>
  </si>
  <si>
    <t xml:space="preserve">If Excel feels slow: Formulas → Calculation Options → 'Automatic except for Data Tables', then press F9 to refresh the tables.</t>
  </si>
  <si>
    <t xml:space="preserve">A.  STRESS LEVERS (inputs – keep at neutral: 0%, 0%, 1.00x, 0, 0)</t>
  </si>
  <si>
    <t xml:space="preserve">Lever</t>
  </si>
  <si>
    <t xml:space="preserve">Value</t>
  </si>
  <si>
    <t xml:space="preserve">Neutral</t>
  </si>
  <si>
    <t xml:space="preserve">What it does</t>
  </si>
  <si>
    <t xml:space="preserve">Sales price shock</t>
  </si>
  <si>
    <t xml:space="preserve">0%</t>
  </si>
  <si>
    <t xml:space="preserve">Changes every product's sales rate (on top of the scenario)</t>
  </si>
  <si>
    <t xml:space="preserve">Construction cost shock</t>
  </si>
  <si>
    <t xml:space="preserve">Changes every product's construction rate</t>
  </si>
  <si>
    <t xml:space="preserve">Sales period multiplier</t>
  </si>
  <si>
    <t xml:space="preserve">1.00x</t>
  </si>
  <si>
    <t xml:space="preserve">1.5x = every product takes 50% longer to sell</t>
  </si>
  <si>
    <t xml:space="preserve">Extra delay (quarters)</t>
  </si>
  <si>
    <t xml:space="preserve">0</t>
  </si>
  <si>
    <t xml:space="preserve">Pushes every fixed launch &amp; construction start later</t>
  </si>
  <si>
    <t xml:space="preserve">Scenario override (0 = use INPUTS)</t>
  </si>
  <si>
    <t xml:space="preserve">1 = Best, 2 = Base, 3 = Worst – used by the scenario table</t>
  </si>
  <si>
    <t xml:space="preserve">Output selector (technical – keep 1)</t>
  </si>
  <si>
    <t xml:space="preserve">1</t>
  </si>
  <si>
    <t xml:space="preserve">Lets one table show several outputs; does not change the model</t>
  </si>
  <si>
    <t xml:space="preserve">Levers status</t>
  </si>
  <si>
    <t xml:space="preserve">B.  SCENARIO COMPARISON – Best / Base / Worst side by side (scenario table in INPUTS Section 3)</t>
  </si>
  <si>
    <t xml:space="preserve">Current model →</t>
  </si>
  <si>
    <t xml:space="preserve">Scenario #</t>
  </si>
  <si>
    <t xml:space="preserve">GDV (₹ Cr)</t>
  </si>
  <si>
    <t xml:space="preserve">Total cost (₹ Cr)</t>
  </si>
  <si>
    <t xml:space="preserve">Developer IRR</t>
  </si>
  <si>
    <t xml:space="preserve">Developer NPV (₹ Cr)</t>
  </si>
  <si>
    <t xml:space="preserve">PAT (₹ Cr)</t>
  </si>
  <si>
    <t xml:space="preserve">PAT margin</t>
  </si>
  <si>
    <t xml:space="preserve">EBITDA (₹ Cr)</t>
  </si>
  <si>
    <t xml:space="preserve">Peak investment (₹ Cr)</t>
  </si>
  <si>
    <t xml:space="preserve">Payback</t>
  </si>
  <si>
    <t xml:space="preserve">C1.  PRICE SENSITIVITY – sales price shock</t>
  </si>
  <si>
    <t xml:space="preserve">Lever value</t>
  </si>
  <si>
    <t xml:space="preserve">C2.  CONSTRUCTION COST SENSITIVITY – cost overrun</t>
  </si>
  <si>
    <t xml:space="preserve">C3.  SALES SPEED SENSITIVITY – how long products take to sell</t>
  </si>
  <si>
    <t xml:space="preserve">C4.  DELAY SENSITIVITY – approvals / launch slip</t>
  </si>
  <si>
    <t xml:space="preserve">D1.  DEVELOPER IRR – price × construction cost</t>
  </si>
  <si>
    <t xml:space="preserve">Down: construction cost shock   |   Across: price shock</t>
  </si>
  <si>
    <t xml:space="preserve">D2.  PAT (₹ Cr) – price × construction cost</t>
  </si>
  <si>
    <t xml:space="preserve">D3.  PEAK INVESTMENT (₹ Cr) – sales speed × delay</t>
  </si>
  <si>
    <t xml:space="preserve">Down: sales period multiplier   |   Across: extra delay</t>
  </si>
  <si>
    <t xml:space="preserve">E.  HEADROOM – how much can go wrong before profit disappears</t>
  </si>
  <si>
    <t xml:space="preserve">Price fall that wipes out EBITDA</t>
  </si>
  <si>
    <t xml:space="preserve">Price shock (all products) at which EBITDA reaches zero</t>
  </si>
  <si>
    <t xml:space="preserve">Construction overrun that wipes out EBITDA</t>
  </si>
  <si>
    <t xml:space="preserve">Construction cost shock at which EBITDA reaches zero</t>
  </si>
  <si>
    <t xml:space="preserve">Exact because EBITDA moves in a straight line with price and construction cost (read from the tables above).</t>
  </si>
  <si>
    <t xml:space="preserve">F.  DEVELOPER IRR UNDER EACH STRESS</t>
  </si>
  <si>
    <t xml:space="preserve">Base case</t>
  </si>
  <si>
    <t xml:space="preserve">Price −10%</t>
  </si>
  <si>
    <t xml:space="preserve">Construction cost +10%</t>
  </si>
  <si>
    <t xml:space="preserve">Sales 1.5x slower</t>
  </si>
  <si>
    <t xml:space="preserve">Delay +2 quarters</t>
  </si>
  <si>
    <t xml:space="preserve">Worst Case scenario</t>
  </si>
  <si>
    <t xml:space="preserve">REAL ESTATE FEASIBILITY ENGINE — INPUT SHEET</t>
  </si>
  <si>
    <t xml:space="preserve">Amounts in ₹ Crore | Areas in sq ft unless stated | Q1 = project start quarter; all timing inputs are quarter numbers (type 3 → shows Q3)</t>
  </si>
  <si>
    <t xml:space="preserve">Legend:</t>
  </si>
  <si>
    <t xml:space="preserve">Blue on yellow = input</t>
  </si>
  <si>
    <t xml:space="preserve">Black = formula</t>
  </si>
  <si>
    <t xml:space="preserve">OK / ERROR</t>
  </si>
  <si>
    <t xml:space="preserve">0.  MODEL HEALTH</t>
  </si>
  <si>
    <t xml:space="preserve">Model status</t>
  </si>
  <si>
    <t xml:space="preserve">Number of errors</t>
  </si>
  <si>
    <t xml:space="preserve">EBITDA margin</t>
  </si>
  <si>
    <t xml:space="preserve">Full statements and key metrics are on the OUTPUT sheet.</t>
  </si>
  <si>
    <t xml:space="preserve">1.  PROJECT &amp; TIMELINE</t>
  </si>
  <si>
    <t xml:space="preserve">Parameter</t>
  </si>
  <si>
    <t xml:space="preserve">Unit</t>
  </si>
  <si>
    <t xml:space="preserve">Notes</t>
  </si>
  <si>
    <t xml:space="preserve">Project name</t>
  </si>
  <si>
    <t xml:space="preserve">Project Aurora (Sample)</t>
  </si>
  <si>
    <t xml:space="preserve">Text</t>
  </si>
  <si>
    <t xml:space="preserve">Dummy project – illustrative figures only</t>
  </si>
  <si>
    <t xml:space="preserve">Location</t>
  </si>
  <si>
    <t xml:space="preserve">Sample City, Rajasthan</t>
  </si>
  <si>
    <t xml:space="preserve">Project type</t>
  </si>
  <si>
    <t xml:space="preserve">Mixed Development</t>
  </si>
  <si>
    <t xml:space="preserve">List</t>
  </si>
  <si>
    <t xml:space="preserve">Villa / Plotted / Apartments / Mixed Development</t>
  </si>
  <si>
    <t xml:space="preserve">Project start (quarter-end date) = Q1</t>
  </si>
  <si>
    <t xml:space="preserve">Date</t>
  </si>
  <si>
    <t xml:space="preserve">31-Mar, 30-Jun, 30-Sep or 31-Dec</t>
  </si>
  <si>
    <t xml:space="preserve">Deal type</t>
  </si>
  <si>
    <t xml:space="preserve">JV</t>
  </si>
  <si>
    <t xml:space="preserve">JV = landowner revenue share | Outright = land bought for cash</t>
  </si>
  <si>
    <t xml:space="preserve">Taxable entity</t>
  </si>
  <si>
    <t xml:space="preserve">Company</t>
  </si>
  <si>
    <t xml:space="preserve">Drives the tax rate (Section 9)</t>
  </si>
  <si>
    <t xml:space="preserve">Active scenario</t>
  </si>
  <si>
    <t xml:space="preserve">Base Case</t>
  </si>
  <si>
    <t xml:space="preserve">Section 3</t>
  </si>
  <si>
    <t xml:space="preserve">Model horizon (quarters)</t>
  </si>
  <si>
    <t xml:space="preserve">Quarters</t>
  </si>
  <si>
    <t xml:space="preserve">Engine length (40 = 10 years). Change only if the engine is extended</t>
  </si>
  <si>
    <t xml:space="preserve">Crore divisor</t>
  </si>
  <si>
    <t xml:space="preserve">₹</t>
  </si>
  <si>
    <t xml:space="preserve">1 Crore = 1,00,00,000 – unit constant</t>
  </si>
  <si>
    <t xml:space="preserve">Project lifecycle for ROCE / CAGR – override (optional)</t>
  </si>
  <si>
    <t xml:space="preserve">Years</t>
  </si>
  <si>
    <t xml:space="preserve">Leave blank to use the derived span below</t>
  </si>
  <si>
    <t xml:space="preserve">Derived</t>
  </si>
  <si>
    <t xml:space="preserve">Horizon end date</t>
  </si>
  <si>
    <t xml:space="preserve">Project last active quarter</t>
  </si>
  <si>
    <t xml:space="preserve">Quarter</t>
  </si>
  <si>
    <t xml:space="preserve">Latest product sales-end / construction-end</t>
  </si>
  <si>
    <t xml:space="preserve">Project last active date</t>
  </si>
  <si>
    <t xml:space="preserve">Project span (years)</t>
  </si>
  <si>
    <t xml:space="preserve">Project lifecycle used for ROCE / CAGR</t>
  </si>
  <si>
    <t xml:space="preserve">2.  LAND</t>
  </si>
  <si>
    <t xml:space="preserve">Land area</t>
  </si>
  <si>
    <t xml:space="preserve">Sq yd</t>
  </si>
  <si>
    <t xml:space="preserve">As per title / sale deed</t>
  </si>
  <si>
    <t xml:space="preserve">Sq ft</t>
  </si>
  <si>
    <t xml:space="preserve">Conversion factors in LISTS</t>
  </si>
  <si>
    <t xml:space="preserve">Sq m</t>
  </si>
  <si>
    <t xml:space="preserve">Acres</t>
  </si>
  <si>
    <t xml:space="preserve">Bigha</t>
  </si>
  <si>
    <t xml:space="preserve">Current market rate</t>
  </si>
  <si>
    <t xml:space="preserve">₹/sq yd</t>
  </si>
  <si>
    <t xml:space="preserve">Put sq yd rate only</t>
  </si>
  <si>
    <t xml:space="preserve">DLC rate</t>
  </si>
  <si>
    <t xml:space="preserve">₹/sq m</t>
  </si>
  <si>
    <t xml:space="preserve">Government guideline value (usually notified per sq m)</t>
  </si>
  <si>
    <t xml:space="preserve">Converted from ₹/sq m</t>
  </si>
  <si>
    <t xml:space="preserve">If JV</t>
  </si>
  <si>
    <t xml:space="preserve">JV ratio – Landowner (revenue share)</t>
  </si>
  <si>
    <t xml:space="preserve">%</t>
  </si>
  <si>
    <t xml:space="preserve">As per JV / JDA revenue share</t>
  </si>
  <si>
    <t xml:space="preserve">JV ratio – Developer</t>
  </si>
  <si>
    <t xml:space="preserve">100% for Outright</t>
  </si>
  <si>
    <t xml:space="preserve">Stamp duty + registration – JV (% of DLC value)</t>
  </si>
  <si>
    <t xml:space="preserve">Verify current state rate</t>
  </si>
  <si>
    <t xml:space="preserve">If Outright</t>
  </si>
  <si>
    <t xml:space="preserve">Land rate for purchase</t>
  </si>
  <si>
    <t xml:space="preserve">Negotiated price (often = market rate)</t>
  </si>
  <si>
    <t xml:space="preserve">Stamp duty + registration – Outright</t>
  </si>
  <si>
    <t xml:space="preserve">On higher of DLC value and purchase price. Verify rate</t>
  </si>
  <si>
    <t xml:space="preserve">Land payment curve</t>
  </si>
  <si>
    <t xml:space="preserve">Upfront</t>
  </si>
  <si>
    <t xml:space="preserve">Land payment start quarter</t>
  </si>
  <si>
    <t xml:space="preserve">Land payment end quarter</t>
  </si>
  <si>
    <t xml:space="preserve">Ignored when Upfront</t>
  </si>
  <si>
    <t xml:space="preserve">Land value at market rate</t>
  </si>
  <si>
    <t xml:space="preserve">Land value at purchase rate</t>
  </si>
  <si>
    <t xml:space="preserve">Land cost (Outright) / LO revenue share (JV)</t>
  </si>
  <si>
    <t xml:space="preserve">JV: LO % × total revenue | Outright: purchase rate × area</t>
  </si>
  <si>
    <t xml:space="preserve">Stamp duty + registration</t>
  </si>
  <si>
    <t xml:space="preserve">JV: on DLC value | Outright: on higher of DLC &amp; price</t>
  </si>
  <si>
    <t xml:space="preserve">Brokerage base (land value)</t>
  </si>
  <si>
    <t xml:space="preserve">Brokerage % is entered in the cost table</t>
  </si>
  <si>
    <t xml:space="preserve">Total land cost + stamp duty + brokerage</t>
  </si>
  <si>
    <t xml:space="preserve">From cost heads 1–3</t>
  </si>
  <si>
    <t xml:space="preserve">Land price check</t>
  </si>
  <si>
    <t xml:space="preserve">₹ Cr per bigha</t>
  </si>
  <si>
    <t xml:space="preserve">₹ per sq yd</t>
  </si>
  <si>
    <t xml:space="preserve">Total for land (₹ Cr)</t>
  </si>
  <si>
    <t xml:space="preserve">Current market price</t>
  </si>
  <si>
    <t xml:space="preserve">Land price being offered to LO</t>
  </si>
  <si>
    <t xml:space="preserve">Difference / return to the LO</t>
  </si>
  <si>
    <t xml:space="preserve">JV: what the landowner's revenue share is worth per sq yd vs selling at today's market price.</t>
  </si>
  <si>
    <t xml:space="preserve">3.  SCENARIOS</t>
  </si>
  <si>
    <t xml:space="preserve">Scenario name</t>
  </si>
  <si>
    <t xml:space="preserve">Sales price change %</t>
  </si>
  <si>
    <t xml:space="preserve">Construction cost change %</t>
  </si>
  <si>
    <t xml:space="preserve">Launch &amp; construction delay (quarters)</t>
  </si>
  <si>
    <t xml:space="preserve">Row check</t>
  </si>
  <si>
    <t xml:space="preserve">Best Case</t>
  </si>
  <si>
    <t xml:space="preserve">Worst Case</t>
  </si>
  <si>
    <t xml:space="preserve">Active scenario values (incl. STRESS levers) →</t>
  </si>
  <si>
    <t xml:space="preserve">4.  DEVELOPMENT ZONES (share of land)</t>
  </si>
  <si>
    <t xml:space="preserve">Development zone</t>
  </si>
  <si>
    <t xml:space="preserve">Area share % of land</t>
  </si>
  <si>
    <t xml:space="preserve">Land area (sq ft)</t>
  </si>
  <si>
    <t xml:space="preserve">Saleable area (sq ft)</t>
  </si>
  <si>
    <t xml:space="preserve">Revenue (₹ Cr)</t>
  </si>
  <si>
    <t xml:space="preserve">In this project type?</t>
  </si>
  <si>
    <t xml:space="preserve">Villa Development</t>
  </si>
  <si>
    <t xml:space="preserve">Apartment Development</t>
  </si>
  <si>
    <t xml:space="preserve">Plotted Development</t>
  </si>
  <si>
    <t xml:space="preserve">Other / Clubhouse</t>
  </si>
  <si>
    <t xml:space="preserve">TOTAL</t>
  </si>
  <si>
    <t xml:space="preserve">Total share must not exceed 100%. Saleable area and revenue come from the product mix below.</t>
  </si>
  <si>
    <t xml:space="preserve">5.  PRODUCT MIX (one row per product – fill a spare row and set 'Include? (your choice)' = Yes in column X)</t>
  </si>
  <si>
    <t xml:space="preserve">Column E is automatic: a product is active only if you include it (column X) AND its development zone belongs to the selected Project type (Mixed Development = all zones). Inactive products disappear from every calculation.</t>
  </si>
  <si>
    <t xml:space="preserve">Product name</t>
  </si>
  <si>
    <t xml:space="preserve">Category</t>
  </si>
  <si>
    <t xml:space="preserve">Active? (auto: your choice × project type)</t>
  </si>
  <si>
    <t xml:space="preserve">Base sales rate (₹/sq ft)</t>
  </si>
  <si>
    <t xml:space="preserve">Construction cost (₹/sq ft)</t>
  </si>
  <si>
    <t xml:space="preserve">Launch quarter (used if 'Fixed')</t>
  </si>
  <si>
    <t xml:space="preserve">Sales period (quarters)</t>
  </si>
  <si>
    <t xml:space="preserve">Sales curve</t>
  </si>
  <si>
    <t xml:space="preserve">CLP / payment plan</t>
  </si>
  <si>
    <t xml:space="preserve">Construction start quarter (used if 'Fixed')</t>
  </si>
  <si>
    <t xml:space="preserve">Construction duration (quarters)</t>
  </si>
  <si>
    <t xml:space="preserve">Construction curve</t>
  </si>
  <si>
    <t xml:space="preserve">Launch Q (after scenario)</t>
  </si>
  <si>
    <t xml:space="preserve">Sales end Q</t>
  </si>
  <si>
    <t xml:space="preserve">Constr. start Q</t>
  </si>
  <si>
    <t xml:space="preserve">Constr. end Q</t>
  </si>
  <si>
    <t xml:space="preserve">Construction cost (₹ Cr)</t>
  </si>
  <si>
    <t xml:space="preserve">Launch date</t>
  </si>
  <si>
    <t xml:space="preserve">Include? (your choice)</t>
  </si>
  <si>
    <t xml:space="preserve">Villas</t>
  </si>
  <si>
    <t xml:space="preserve">Villa</t>
  </si>
  <si>
    <t xml:space="preserve">Front-loaded</t>
  </si>
  <si>
    <t xml:space="preserve">CLP – Villa</t>
  </si>
  <si>
    <t xml:space="preserve">S-curve</t>
  </si>
  <si>
    <t xml:space="preserve">Yes</t>
  </si>
  <si>
    <t xml:space="preserve">Apartments – Towers A &amp; B</t>
  </si>
  <si>
    <t xml:space="preserve">Apartment</t>
  </si>
  <si>
    <t xml:space="preserve">Even</t>
  </si>
  <si>
    <t xml:space="preserve">CLP – Apartment</t>
  </si>
  <si>
    <t xml:space="preserve">Studios</t>
  </si>
  <si>
    <t xml:space="preserve">Studio</t>
  </si>
  <si>
    <t xml:space="preserve">High-street retail</t>
  </si>
  <si>
    <t xml:space="preserve">Commercial</t>
  </si>
  <si>
    <t xml:space="preserve">Back-loaded</t>
  </si>
  <si>
    <t xml:space="preserve">Down Payment Plan</t>
  </si>
  <si>
    <t xml:space="preserve">Residential plots</t>
  </si>
  <si>
    <t xml:space="preserve">Plot</t>
  </si>
  <si>
    <t xml:space="preserve">Plot – Development Linked</t>
  </si>
  <si>
    <t xml:space="preserve">No</t>
  </si>
  <si>
    <t xml:space="preserve">Institutional plots</t>
  </si>
  <si>
    <t xml:space="preserve">Institutional</t>
  </si>
  <si>
    <t xml:space="preserve">EWS / LIG plots</t>
  </si>
  <si>
    <t xml:space="preserve">EWS/LIG</t>
  </si>
  <si>
    <t xml:space="preserve">TOTAL (included products)</t>
  </si>
  <si>
    <t xml:space="preserve">Totals row shows weighted-average rates. Revenue is before price escalation. Zone 'Plotted Development' revenue attracts the plotted marketing rate.</t>
  </si>
  <si>
    <t xml:space="preserve">5B.  PRODUCT TIMING – how each product's launch and construction start are decided</t>
  </si>
  <si>
    <t xml:space="preserve">Fixed quarter = uses the quarter typed in Section 5. Linked = X quarters after an event of another product listed ABOVE it (put your lead product first).</t>
  </si>
  <si>
    <t xml:space="preserve">Offset 0 = same quarter as the event; 1 = next quarter; −1 = one quarter before. Scenario delay is applied once, to fixed quarters only – linked products inherit it.</t>
  </si>
  <si>
    <t xml:space="preserve">Product</t>
  </si>
  <si>
    <t xml:space="preserve">Launch timing</t>
  </si>
  <si>
    <t xml:space="preserve">Launch – linked product</t>
  </si>
  <si>
    <t xml:space="preserve">Launch – linked event</t>
  </si>
  <si>
    <t xml:space="preserve">Launch offset (quarters)</t>
  </si>
  <si>
    <t xml:space="preserve">Construction timing</t>
  </si>
  <si>
    <t xml:space="preserve">Construction – linked product</t>
  </si>
  <si>
    <t xml:space="preserve">Construction – linked event</t>
  </si>
  <si>
    <t xml:space="preserve">Construction offset (quarters)</t>
  </si>
  <si>
    <t xml:space="preserve">Constr. start (pre-calc)</t>
  </si>
  <si>
    <t xml:space="preserve">Launch Q (final)</t>
  </si>
  <si>
    <t xml:space="preserve">Constr. start Q (final)</t>
  </si>
  <si>
    <t xml:space="preserve">Plain-English result</t>
  </si>
  <si>
    <t xml:space="preserve">Fixed quarter</t>
  </si>
  <si>
    <t xml:space="preserve">After own launch</t>
  </si>
  <si>
    <t xml:space="preserve">Linked to another product</t>
  </si>
  <si>
    <t xml:space="preserve">Launch</t>
  </si>
  <si>
    <t xml:space="preserve">Construction start</t>
  </si>
  <si>
    <t xml:space="preserve">Tip: a product can only link to a product listed above it – this rule makes circular links impossible.</t>
  </si>
  <si>
    <t xml:space="preserve">Summarised view (included products)</t>
  </si>
  <si>
    <t xml:space="preserve">Area type</t>
  </si>
  <si>
    <t xml:space="preserve">Residential saleable area</t>
  </si>
  <si>
    <t xml:space="preserve">Commercial saleable area</t>
  </si>
  <si>
    <t xml:space="preserve">Studio saleable area</t>
  </si>
  <si>
    <t xml:space="preserve">Institutional saleable area</t>
  </si>
  <si>
    <t xml:space="preserve">EWS / LIG area</t>
  </si>
  <si>
    <t xml:space="preserve">Total saleable area</t>
  </si>
  <si>
    <t xml:space="preserve">6.  COST HEADS (each head: how it is calculated + when it is spent)</t>
  </si>
  <si>
    <t xml:space="preserve">Cost head</t>
  </si>
  <si>
    <t xml:space="preserve">How it is calculated</t>
  </si>
  <si>
    <t xml:space="preserve">Rate / input 1</t>
  </si>
  <si>
    <t xml:space="preserve">Input 2</t>
  </si>
  <si>
    <t xml:space="preserve">Applicable?</t>
  </si>
  <si>
    <t xml:space="preserve">Amount (₹ Cr)</t>
  </si>
  <si>
    <t xml:space="preserve">₹ per sq ft (saleable)</t>
  </si>
  <si>
    <t xml:space="preserve">% of total revenue</t>
  </si>
  <si>
    <t xml:space="preserve">Phasing curve</t>
  </si>
  <si>
    <t xml:space="preserve">Start quarter</t>
  </si>
  <si>
    <t xml:space="preserve">End quarter</t>
  </si>
  <si>
    <t xml:space="preserve">Land Cost</t>
  </si>
  <si>
    <t xml:space="preserve">JV: LO share × total revenue | Outright: rate × area</t>
  </si>
  <si>
    <t xml:space="preserve">Auto</t>
  </si>
  <si>
    <t xml:space="preserve">Section 2. JV: LO is paid his share of each collection</t>
  </si>
  <si>
    <t xml:space="preserve">Stamp Duty</t>
  </si>
  <si>
    <t xml:space="preserve">JV: DLC value × JV % | Outright: higher of DLC/price × %</t>
  </si>
  <si>
    <t xml:space="preserve">Paid at JDA / sale deed registration</t>
  </si>
  <si>
    <t xml:space="preserve">Brokerage</t>
  </si>
  <si>
    <t xml:space="preserve">% (incl. GST) × land value</t>
  </si>
  <si>
    <t xml:space="preserve">e.g. 1% + 18% GST = 1.18%. JV: on market value | Outright: on price</t>
  </si>
  <si>
    <t xml:space="preserve">Villa Construction Cost</t>
  </si>
  <si>
    <t xml:space="preserve">Σ Villa products: area × ₹/sq ft</t>
  </si>
  <si>
    <t xml:space="preserve">Follow Construction</t>
  </si>
  <si>
    <t xml:space="preserve">Structure + finishes + MEP + clubhouse</t>
  </si>
  <si>
    <t xml:space="preserve">APT Construction Cost</t>
  </si>
  <si>
    <t xml:space="preserve">Σ Apartment products: area × ₹/sq ft</t>
  </si>
  <si>
    <t xml:space="preserve">Depends on height &amp; type of development</t>
  </si>
  <si>
    <t xml:space="preserve">Studio Construction cost with furnishing</t>
  </si>
  <si>
    <t xml:space="preserve">Σ Studio products: area × ₹/sq ft</t>
  </si>
  <si>
    <t xml:space="preserve">Rate in product table already includes furnishing (e.g. 3,000 + 800)</t>
  </si>
  <si>
    <t xml:space="preserve">Plotted Construction Development Cost</t>
  </si>
  <si>
    <t xml:space="preserve">Σ Plot products: area × ₹/sq ft</t>
  </si>
  <si>
    <t xml:space="preserve">Services + clubhouse</t>
  </si>
  <si>
    <t xml:space="preserve">Institutional Plotted Development Cost</t>
  </si>
  <si>
    <t xml:space="preserve">Σ Institutional products: area × ₹/sq ft</t>
  </si>
  <si>
    <t xml:space="preserve">Commercial Construction Cost</t>
  </si>
  <si>
    <t xml:space="preserve">Σ Commercial products: area × ₹/sq ft</t>
  </si>
  <si>
    <t xml:space="preserve">Take rate as per type of commercial</t>
  </si>
  <si>
    <t xml:space="preserve">EWS/LIG plots development cost</t>
  </si>
  <si>
    <t xml:space="preserve">Σ EWS/LIG products: area × ₹/sq ft</t>
  </si>
  <si>
    <t xml:space="preserve">Corporate Overheads (₹/Sq Ft SA)</t>
  </si>
  <si>
    <t xml:space="preserve">% × total revenue</t>
  </si>
  <si>
    <t xml:space="preserve">Follow Project Life</t>
  </si>
  <si>
    <t xml:space="preserve">RO + HO charges (typically 4%–6% of revenue)</t>
  </si>
  <si>
    <t xml:space="preserve">Marketing &amp; Sales @ %</t>
  </si>
  <si>
    <t xml:space="preserve">Input 1 % × built-up revenue + Input 2 % × plotted revenue</t>
  </si>
  <si>
    <t xml:space="preserve">Follow Sales</t>
  </si>
  <si>
    <t xml:space="preserve">7% of built-up &amp; 5% of plotted revenue</t>
  </si>
  <si>
    <t xml:space="preserve">Legal &amp; Compliance (₹/Sq Ft SA)</t>
  </si>
  <si>
    <t xml:space="preserve">₹/sq ft × total saleable area</t>
  </si>
  <si>
    <t xml:space="preserve">Approvals, land conversion &amp; compliance</t>
  </si>
  <si>
    <t xml:space="preserve">EWS / LIG @ ₹/Sq Ft (Builtup)</t>
  </si>
  <si>
    <t xml:space="preserve">Loss ₹/sq ft (Input 1) × EWS share of SA (Input 2) × total SA</t>
  </si>
  <si>
    <t xml:space="preserve">Mandatory EWS @ 5% of saleable area; loss ~₹400/sq ft</t>
  </si>
  <si>
    <t xml:space="preserve">Contingency @ %</t>
  </si>
  <si>
    <t xml:space="preserve">% (Input 1) × base chosen in Input 2</t>
  </si>
  <si>
    <t xml:space="preserve">Construction cost</t>
  </si>
  <si>
    <t xml:space="preserve">Buffer for overruns. Base excludes land heads &amp; contingency itself</t>
  </si>
  <si>
    <t xml:space="preserve">External Development &amp; Landscaping</t>
  </si>
  <si>
    <t xml:space="preserve">Input 1 applied as per basis chosen in Input 2</t>
  </si>
  <si>
    <t xml:space="preserve">₹/sq ft (total saleable area)</t>
  </si>
  <si>
    <t xml:space="preserve">Roads, landscaping &amp; external services</t>
  </si>
  <si>
    <t xml:space="preserve">Hotel Brand Key fee ₹50K per Key for smaller brand</t>
  </si>
  <si>
    <t xml:space="preserve">Fee per key (₹) × number of keys</t>
  </si>
  <si>
    <t xml:space="preserve">Enter number of keys in Input 2 (0 = not applicable)</t>
  </si>
  <si>
    <t xml:space="preserve">Furnishing Cost for Studios</t>
  </si>
  <si>
    <t xml:space="preserve">₹/sq ft × studio saleable area</t>
  </si>
  <si>
    <t xml:space="preserve">Keep 'No' if furnishing is already in the studio construction rate (avoid double counting)</t>
  </si>
  <si>
    <t xml:space="preserve">GST cost in case of commercial/Plotting development</t>
  </si>
  <si>
    <t xml:space="preserve">Commercial + plot revenue × unsold % (Input 2) × GST % (Input 1) × developer share</t>
  </si>
  <si>
    <t xml:space="preserve">At Project End</t>
  </si>
  <si>
    <t xml:space="preserve">GST on unsold inventory at completion. Switched off by default</t>
  </si>
  <si>
    <t xml:space="preserve">AIF Cost</t>
  </si>
  <si>
    <t xml:space="preserve">Calculator in Section 7B</t>
  </si>
  <si>
    <t xml:space="preserve">Switched off by default – set 'Yes' if land is AIF-funded</t>
  </si>
  <si>
    <t xml:space="preserve">BAR / Premium FAR Cost</t>
  </si>
  <si>
    <t xml:space="preserve">Calculator in Section 7A</t>
  </si>
  <si>
    <t xml:space="preserve">Paid at approval stage</t>
  </si>
  <si>
    <t xml:space="preserve">Spare row – add any other cost head here</t>
  </si>
  <si>
    <t xml:space="preserve">TOTAL COST</t>
  </si>
  <si>
    <t xml:space="preserve">Total development cost (construction heads)</t>
  </si>
  <si>
    <t xml:space="preserve">Construction heads pick up every product by its Category. Start/End quarters are needed only for Upfront, Even, Front-loaded, Back-loaded and S-curve.</t>
  </si>
  <si>
    <t xml:space="preserve">7.  CALCULATORS (BAR / premium FAR, AIF cost, initial investment)</t>
  </si>
  <si>
    <t xml:space="preserve">7A.  BAR / Premium FAR cost</t>
  </si>
  <si>
    <t xml:space="preserve">Authority</t>
  </si>
  <si>
    <t xml:space="preserve">JDA</t>
  </si>
  <si>
    <t xml:space="preserve">RIICO or JDA – picks the % from the table below</t>
  </si>
  <si>
    <t xml:space="preserve">Land use</t>
  </si>
  <si>
    <t xml:space="preserve">Residential</t>
  </si>
  <si>
    <t xml:space="preserve">Free FAR / BAR (× land area)</t>
  </si>
  <si>
    <t xml:space="preserve">×</t>
  </si>
  <si>
    <t xml:space="preserve">Free BAR area = land area (sq m) × this</t>
  </si>
  <si>
    <t xml:space="preserve">Loading factor (saleable ÷ planned BUA)</t>
  </si>
  <si>
    <t xml:space="preserve">Planned area = saleable area ÷ this</t>
  </si>
  <si>
    <t xml:space="preserve">BAR reserved price</t>
  </si>
  <si>
    <t xml:space="preserve">As notified by the authority</t>
  </si>
  <si>
    <t xml:space="preserve">GST on BAR applicable?</t>
  </si>
  <si>
    <t xml:space="preserve">Typically Yes for RIICO land</t>
  </si>
  <si>
    <t xml:space="preserve">GST rate on BAR</t>
  </si>
  <si>
    <t xml:space="preserve">BAR reserved price % table</t>
  </si>
  <si>
    <t xml:space="preserve">RIICO</t>
  </si>
  <si>
    <t xml:space="preserve">Industrial</t>
  </si>
  <si>
    <t xml:space="preserve">Free BAR area</t>
  </si>
  <si>
    <t xml:space="preserve">Planned development area</t>
  </si>
  <si>
    <t xml:space="preserve">Total saleable area (sq ft → sq m) ÷ loading</t>
  </si>
  <si>
    <t xml:space="preserve">Extra BAR area</t>
  </si>
  <si>
    <t xml:space="preserve">Zero if planned area is within free FAR</t>
  </si>
  <si>
    <t xml:space="preserve">Applicable reserved price %</t>
  </si>
  <si>
    <t xml:space="preserve">Blank in table = combination not allowed → ERROR</t>
  </si>
  <si>
    <t xml:space="preserve">BAR cost (excl. GST)</t>
  </si>
  <si>
    <t xml:space="preserve">Extra BAR × reserved price × %</t>
  </si>
  <si>
    <t xml:space="preserve">BAR cost used in model</t>
  </si>
  <si>
    <t xml:space="preserve">Incl. GST if applicable</t>
  </si>
  <si>
    <t xml:space="preserve">7B.  AIF cost</t>
  </si>
  <si>
    <t xml:space="preserve">Principal (land cost + stamp duty + brokerage)</t>
  </si>
  <si>
    <t xml:space="preserve">Linked from land heads</t>
  </si>
  <si>
    <t xml:space="preserve">Interest rate (annual)</t>
  </si>
  <si>
    <t xml:space="preserve">Tenure</t>
  </si>
  <si>
    <t xml:space="preserve">Compounding</t>
  </si>
  <si>
    <t xml:space="preserve">Annually</t>
  </si>
  <si>
    <t xml:space="preserve">Compounding periods per year</t>
  </si>
  <si>
    <t xml:space="preserve">No.</t>
  </si>
  <si>
    <t xml:space="preserve">AIF cost (interest)</t>
  </si>
  <si>
    <t xml:space="preserve">Principal × [(1 + r/m)^(m × t) − 1]</t>
  </si>
  <si>
    <t xml:space="preserve">7C.  Initial investment – JV (outlay till DA / conveyance)</t>
  </si>
  <si>
    <t xml:space="preserve">Advance to LO (% of land value at market)</t>
  </si>
  <si>
    <t xml:space="preserve">10% standard; negotiable at DA</t>
  </si>
  <si>
    <t xml:space="preserve">Item</t>
  </si>
  <si>
    <t xml:space="preserve">How calculated</t>
  </si>
  <si>
    <t xml:space="preserve">Payout quarter</t>
  </si>
  <si>
    <t xml:space="preserve">Remarks</t>
  </si>
  <si>
    <t xml:space="preserve">Term sheet token</t>
  </si>
  <si>
    <t xml:space="preserve">Total advance − DD − DA instalments</t>
  </si>
  <si>
    <t xml:space="preserve">Balancing figure</t>
  </si>
  <si>
    <t xml:space="preserve">On completion of due diligence</t>
  </si>
  <si>
    <t xml:space="preserve">Advance to LO at DA</t>
  </si>
  <si>
    <t xml:space="preserve">Approval cost / legal &amp; compliance</t>
  </si>
  <si>
    <t xml:space="preserve">Legal head × % (Input in C)</t>
  </si>
  <si>
    <t xml:space="preserve">Development cost (pre-DA)</t>
  </si>
  <si>
    <t xml:space="preserve">Depends on project size, type &amp; city</t>
  </si>
  <si>
    <t xml:space="preserve">Marketing cost (pre-launch)</t>
  </si>
  <si>
    <t xml:space="preserve">Stamp duty</t>
  </si>
  <si>
    <t xml:space="preserve">Linked: cost head</t>
  </si>
  <si>
    <t xml:space="preserve">BAR cost (upfront share)</t>
  </si>
  <si>
    <t xml:space="preserve">BAR head × % (Input in C)</t>
  </si>
  <si>
    <t xml:space="preserve">Part of BAR paid upfront</t>
  </si>
  <si>
    <t xml:space="preserve">Share of legal &amp; compliance paid before DA</t>
  </si>
  <si>
    <t xml:space="preserve">Share of BAR cost paid upfront</t>
  </si>
  <si>
    <t xml:space="preserve">e.g. 1/4 in Jaipur</t>
  </si>
  <si>
    <t xml:space="preserve">Initial investment – JV (total)</t>
  </si>
  <si>
    <t xml:space="preserve">7D.  Initial investment – Outright</t>
  </si>
  <si>
    <t xml:space="preserve">Share of built-up construction (villa + apt + studio) in initial outlay</t>
  </si>
  <si>
    <t xml:space="preserve">Share of legal &amp; compliance in initial outlay</t>
  </si>
  <si>
    <t xml:space="preserve">Initial investment – Outright (total)</t>
  </si>
  <si>
    <t xml:space="preserve">Land + SD + brokerage + shares above</t>
  </si>
  <si>
    <t xml:space="preserve">INITIAL INVESTMENT USED</t>
  </si>
  <si>
    <t xml:space="preserve">Picked by deal type</t>
  </si>
  <si>
    <t xml:space="preserve">Step 5 note: stamp duty, brokerage, legal and BAR here are the early timing of those cost heads (not extra cost); the LO advance is recovered from the LO's share.</t>
  </si>
  <si>
    <t xml:space="preserve">8.  CLP / PAYMENT PLAN LIBRARY (milestones tied to booking or construction %)</t>
  </si>
  <si>
    <t xml:space="preserve">Booking + quarters: due that many quarters after booking (0 = at booking). Construction % complete: due when that product's construction reaches the %.</t>
  </si>
  <si>
    <t xml:space="preserve">Late buyers pay all milestones already reached in one go (catch-up). Each plan must total exactly 100%. Each plan holds up to 30 milestones and there are 6 plan slots – adding milestones needs NO change anywhere else.</t>
  </si>
  <si>
    <t xml:space="preserve">Catch-up payment lag (quarters after booking)</t>
  </si>
  <si>
    <t xml:space="preserve">Late buyers pay construction milestones already reached this many quarters after booking (1 = together with ATS, 0 = at booking)</t>
  </si>
  <si>
    <t xml:space="preserve">Plan name →</t>
  </si>
  <si>
    <t xml:space="preserve">Up to 30 milestones – just fill the next empty row. Booking-linked lag max 12 quarters.</t>
  </si>
  <si>
    <t xml:space="preserve">Milestone</t>
  </si>
  <si>
    <t xml:space="preserve">Trigger type</t>
  </si>
  <si>
    <t xml:space="preserve">Trigger value</t>
  </si>
  <si>
    <t xml:space="preserve">% of sale value</t>
  </si>
  <si>
    <t xml:space="preserve">Cumulative %</t>
  </si>
  <si>
    <t xml:space="preserve">Earnest money</t>
  </si>
  <si>
    <t xml:space="preserve">Booking + quarters</t>
  </si>
  <si>
    <t xml:space="preserve">Agreement to sell (ATS)</t>
  </si>
  <si>
    <t xml:space="preserve">Commencement of construction</t>
  </si>
  <si>
    <t xml:space="preserve">Construction % complete</t>
  </si>
  <si>
    <t xml:space="preserve">Ground plinth</t>
  </si>
  <si>
    <t xml:space="preserve">First floor roof casting</t>
  </si>
  <si>
    <t xml:space="preserve">Second floor roof casting</t>
  </si>
  <si>
    <t xml:space="preserve">Third floor roof casting</t>
  </si>
  <si>
    <t xml:space="preserve">Completion certificate (CC)</t>
  </si>
  <si>
    <t xml:space="preserve">Possession</t>
  </si>
  <si>
    <t xml:space="preserve">Plan total &amp; status</t>
  </si>
  <si>
    <t xml:space="preserve">Booking amount</t>
  </si>
  <si>
    <t xml:space="preserve">Foundation completion</t>
  </si>
  <si>
    <t xml:space="preserve">Podium / plinth</t>
  </si>
  <si>
    <t xml:space="preserve">Slab casting – 25% floors</t>
  </si>
  <si>
    <t xml:space="preserve">Slab casting – 50% floors</t>
  </si>
  <si>
    <t xml:space="preserve">Slab casting – 75% floors</t>
  </si>
  <si>
    <t xml:space="preserve">Top slab casting</t>
  </si>
  <si>
    <t xml:space="preserve">Brickwork &amp; plaster</t>
  </si>
  <si>
    <t xml:space="preserve">Flooring &amp; finishing</t>
  </si>
  <si>
    <t xml:space="preserve">Roads &amp; services start</t>
  </si>
  <si>
    <t xml:space="preserve">Services 60% complete</t>
  </si>
  <si>
    <t xml:space="preserve">Possession / registry</t>
  </si>
  <si>
    <t xml:space="preserve">Down payment</t>
  </si>
  <si>
    <t xml:space="preserve">CLP – 17-Floor Tower</t>
  </si>
  <si>
    <t xml:space="preserve">Excavation</t>
  </si>
  <si>
    <t xml:space="preserve">Foundation / raft</t>
  </si>
  <si>
    <t xml:space="preserve">Slab casting – floor 1</t>
  </si>
  <si>
    <t xml:space="preserve">Slab casting – floor 2</t>
  </si>
  <si>
    <t xml:space="preserve">Slab casting – floor 3</t>
  </si>
  <si>
    <t xml:space="preserve">Slab casting – floor 4</t>
  </si>
  <si>
    <t xml:space="preserve">Slab casting – floor 5</t>
  </si>
  <si>
    <t xml:space="preserve">Slab casting – floor 6</t>
  </si>
  <si>
    <t xml:space="preserve">Slab casting – floor 7</t>
  </si>
  <si>
    <t xml:space="preserve">Slab casting – floor 8</t>
  </si>
  <si>
    <t xml:space="preserve">Slab casting – floor 9</t>
  </si>
  <si>
    <t xml:space="preserve">Slab casting – floor 10</t>
  </si>
  <si>
    <t xml:space="preserve">Slab casting – floor 11</t>
  </si>
  <si>
    <t xml:space="preserve">Slab casting – floor 12</t>
  </si>
  <si>
    <t xml:space="preserve">Slab casting – floor 13</t>
  </si>
  <si>
    <t xml:space="preserve">Slab casting – floor 14</t>
  </si>
  <si>
    <t xml:space="preserve">Slab casting – floor 15</t>
  </si>
  <si>
    <t xml:space="preserve">Slab casting – floor 16</t>
  </si>
  <si>
    <t xml:space="preserve">Slab casting – floor 17</t>
  </si>
  <si>
    <t xml:space="preserve">Brickwork</t>
  </si>
  <si>
    <t xml:space="preserve">Plaster &amp; MEP</t>
  </si>
  <si>
    <t xml:space="preserve">9.  TAX, RETURNS &amp; KPI BENCHMARKS</t>
  </si>
  <si>
    <t xml:space="preserve">Tax rate – Company</t>
  </si>
  <si>
    <t xml:space="preserve">As per existing model (statutory 115BAA: 25.17%). Verify with Finance</t>
  </si>
  <si>
    <t xml:space="preserve">Tax rate – LLP</t>
  </si>
  <si>
    <t xml:space="preserve">As per existing model (statutory: 34.94%). Verify with Finance</t>
  </si>
  <si>
    <t xml:space="preserve">Applied tax rate</t>
  </si>
  <si>
    <t xml:space="preserve">Cost of equity / discount rate</t>
  </si>
  <si>
    <t xml:space="preserve">Used for NPV and as developer IRR hurdle</t>
  </si>
  <si>
    <t xml:space="preserve">KPI benchmarks (Status shows ✅ Strong if metric beats benchmark)</t>
  </si>
  <si>
    <t xml:space="preserve">Cost of equity</t>
  </si>
  <si>
    <t xml:space="preserve">x</t>
  </si>
  <si>
    <t xml:space="preserve">Should exceed cost of borrowing</t>
  </si>
  <si>
    <t xml:space="preserve">Ideally &gt; 15% for large-scale development</t>
  </si>
  <si>
    <t xml:space="preserve">Group housing target &gt; 20%</t>
  </si>
  <si>
    <t xml:space="preserve">10.  MODEL CHECKS (all must be OK)</t>
  </si>
  <si>
    <t xml:space="preserve">Check</t>
  </si>
  <si>
    <t xml:space="preserve">Result</t>
  </si>
  <si>
    <t xml:space="preserve">What to fix if ERROR</t>
  </si>
  <si>
    <t xml:space="preserve">Project start is a valid quarter-end date</t>
  </si>
  <si>
    <t xml:space="preserve">Enter 31-Mar, 30-Jun, 30-Sep or 31-Dec</t>
  </si>
  <si>
    <t xml:space="preserve">Project type, deal type &amp; entity selected</t>
  </si>
  <si>
    <t xml:space="preserve">Pick from dropdowns</t>
  </si>
  <si>
    <t xml:space="preserve">Lifecycle override valid (if used)</t>
  </si>
  <si>
    <t xml:space="preserve">Blank or a positive number of years</t>
  </si>
  <si>
    <t xml:space="preserve">Scenario table valid &amp; active scenario exists</t>
  </si>
  <si>
    <t xml:space="preserve">Land inputs valid</t>
  </si>
  <si>
    <t xml:space="preserve">Area &amp; rates &gt; 0; JV share 0%–99.9%</t>
  </si>
  <si>
    <t xml:space="preserve">Zone shares total ≤ 100%</t>
  </si>
  <si>
    <t xml:space="preserve">Section 4</t>
  </si>
  <si>
    <t xml:space="preserve">At least one product active for the project type</t>
  </si>
  <si>
    <t xml:space="preserve">Include a product whose zone matches the Project type</t>
  </si>
  <si>
    <t xml:space="preserve">All included products valid</t>
  </si>
  <si>
    <t xml:space="preserve">Section 5 rows marked ERROR</t>
  </si>
  <si>
    <t xml:space="preserve">Product names unique (needed for links)</t>
  </si>
  <si>
    <t xml:space="preserve">Give every product row a different name</t>
  </si>
  <si>
    <t xml:space="preserve">Product timing links valid</t>
  </si>
  <si>
    <t xml:space="preserve">Section 5B rows marked ERROR (link must point to an included product above)</t>
  </si>
  <si>
    <t xml:space="preserve">All payment plans total 100% &amp; valid</t>
  </si>
  <si>
    <t xml:space="preserve">Section 8</t>
  </si>
  <si>
    <t xml:space="preserve">All cost rows valid</t>
  </si>
  <si>
    <t xml:space="preserve">Section 6 rows marked ERROR</t>
  </si>
  <si>
    <t xml:space="preserve">Construction heads reconcile to product table</t>
  </si>
  <si>
    <t xml:space="preserve">Every product category must map to a construction head</t>
  </si>
  <si>
    <t xml:space="preserve">BAR calculator valid</t>
  </si>
  <si>
    <t xml:space="preserve">Authority/land-use combination must have a % in the table</t>
  </si>
  <si>
    <t xml:space="preserve">AIF calculator valid</t>
  </si>
  <si>
    <t xml:space="preserve">Rate ≥ 0, tenure ≥ 0</t>
  </si>
  <si>
    <t xml:space="preserve">Initial investment valid</t>
  </si>
  <si>
    <t xml:space="preserve">DD + DA ≤ total advance; payout quarters whole numbers 1–horizon</t>
  </si>
  <si>
    <t xml:space="preserve">Project fits inside model horizon</t>
  </si>
  <si>
    <t xml:space="preserve">Shorten timeline or extend engine</t>
  </si>
  <si>
    <t xml:space="preserve">Tax, cost of equity &amp; benchmarks valid</t>
  </si>
  <si>
    <t xml:space="preserve">Enter numbers; tax &lt; 100%</t>
  </si>
  <si>
    <t xml:space="preserve">Cash flow engine consistent</t>
  </si>
  <si>
    <t xml:space="preserve">See checks at the bottom of the CASHFLOW sheet</t>
  </si>
  <si>
    <t xml:space="preserve">Collections engine consistent</t>
  </si>
  <si>
    <t xml:space="preserve">See checks at the bottom of the COLLECTIONS sheet</t>
  </si>
  <si>
    <t xml:space="preserve">Catch-up lag valid (0–4 whole quarters)</t>
  </si>
  <si>
    <t xml:space="preserve">Curve engine consistent</t>
  </si>
  <si>
    <t xml:space="preserve">See checks at the bottom of the CURVES sheet</t>
  </si>
  <si>
    <t xml:space="preserve">Timeline engine consistent</t>
  </si>
  <si>
    <t xml:space="preserve">See checks at the bottom of the TIMELINE sheet</t>
  </si>
  <si>
    <t xml:space="preserve">TIMELINE ENGINE — 40 quarters that switch themselves on and off</t>
  </si>
  <si>
    <t xml:space="preserve">Timeline engine status</t>
  </si>
  <si>
    <t xml:space="preserve">No inputs on this sheet. Every cell reads the INPUTS sheet, so changing a date, duration or scenario re-draws everything here.</t>
  </si>
  <si>
    <t xml:space="preserve">A.  QUARTER CALENDAR</t>
  </si>
  <si>
    <t xml:space="preserve">Quarter number</t>
  </si>
  <si>
    <t xml:space="preserve">Quarter label</t>
  </si>
  <si>
    <t xml:space="preserve">Quarter end date</t>
  </si>
  <si>
    <t xml:space="preserve">Quarter start date</t>
  </si>
  <si>
    <t xml:space="preserve">Period</t>
  </si>
  <si>
    <t xml:space="preserve">Financial year end (Apr–Mar)</t>
  </si>
  <si>
    <t xml:space="preserve">Financial year</t>
  </si>
  <si>
    <t xml:space="preserve">Quarter of financial year</t>
  </si>
  <si>
    <t xml:space="preserve">Project year</t>
  </si>
  <si>
    <t xml:space="preserve">Within model horizon (1 = yes)</t>
  </si>
  <si>
    <t xml:space="preserve">Project active (1 = yes)</t>
  </si>
  <si>
    <t xml:space="preserve">Project phase</t>
  </si>
  <si>
    <t xml:space="preserve">B.  GANTT VIEW (S = selling, C = under construction, S+C = both, ✓ = construction complete)</t>
  </si>
  <si>
    <t xml:space="preserve">C.  PRODUCT TIMING FLAGS (1 = on; 'Q#' = position inside the window, used by the curve engine)</t>
  </si>
  <si>
    <t xml:space="preserve">Count / n</t>
  </si>
  <si>
    <t xml:space="preserve">   Sales window (1 = selling)</t>
  </si>
  <si>
    <t xml:space="preserve">   Sales quarter # in window</t>
  </si>
  <si>
    <t xml:space="preserve">   Construction window (1 = building)</t>
  </si>
  <si>
    <t xml:space="preserve">   Construction quarter # in window</t>
  </si>
  <si>
    <t xml:space="preserve">   Construction complete (1 = after end)</t>
  </si>
  <si>
    <t xml:space="preserve">   Timing check</t>
  </si>
  <si>
    <t xml:space="preserve">D.  COST PHASING WINDOWS (for curve-based heads; 'Follow …' heads are driven by sales / construction / collections)</t>
  </si>
  <si>
    <t xml:space="preserve">   Window (1 = spend allowed)</t>
  </si>
  <si>
    <t xml:space="preserve">   Quarter # in window</t>
  </si>
  <si>
    <t xml:space="preserve">   Window check</t>
  </si>
  <si>
    <t xml:space="preserve">E.  TIMELINE CHECKS</t>
  </si>
  <si>
    <t xml:space="preserve">Horizon fits the engine (1 to 40 quarters, whole number)</t>
  </si>
  <si>
    <t xml:space="preserve">Quarter numbers run 1, 2, 3 … without gaps</t>
  </si>
  <si>
    <t xml:space="preserve">Quarter dates are consecutive quarter-ends</t>
  </si>
  <si>
    <t xml:space="preserve">Active quarters = project last active quarter</t>
  </si>
  <si>
    <t xml:space="preserve">Every product's windows have the right length</t>
  </si>
  <si>
    <t xml:space="preserve">Every cost window has the right length</t>
  </si>
  <si>
    <t xml:space="preserve">CURVE ENGINE — turns curve names into quarterly percentages that always add up to 100%</t>
  </si>
  <si>
    <t xml:space="preserve">Curve engine status</t>
  </si>
  <si>
    <t xml:space="preserve">No inputs here. Each row = share of a total that falls in each quarter. Position (i) and window length (n) come from TIMELINE; the curve name comes from INPUTS.</t>
  </si>
  <si>
    <t xml:space="preserve">Total</t>
  </si>
  <si>
    <t xml:space="preserve">Quarter end</t>
  </si>
  <si>
    <t xml:space="preserve">A.  CURVE GALLERY – the five shapes over a 12-quarter window (for explanation &amp; charts)</t>
  </si>
  <si>
    <t xml:space="preserve">Window length used for the gallery (n)</t>
  </si>
  <si>
    <t xml:space="preserve">Position in window (i)</t>
  </si>
  <si>
    <t xml:space="preserve">S-curve – cumulative (the 'S' shape)</t>
  </si>
  <si>
    <t xml:space="preserve">Formulas: Even = 1/n | Front-loaded = 2(n−i+1)/[n(n+1)] | Back-loaded = 2i/[n(n+1)] | S-curve = sin(π(i−0.5)/n) × sin(π/2n) – this exact scaling makes the S-curve total 100%.</t>
  </si>
  <si>
    <t xml:space="preserve">B.  PRODUCT PHASING – share of each product's sales and construction in each quarter</t>
  </si>
  <si>
    <t xml:space="preserve">   Sales % (curve: as per INPUTS)</t>
  </si>
  <si>
    <t xml:space="preserve">   Sales % – cumulative</t>
  </si>
  <si>
    <t xml:space="preserve">   Construction % (curve: as per INPUTS)</t>
  </si>
  <si>
    <t xml:space="preserve">   Construction % – cumulative (drives CLP in Step 4)</t>
  </si>
  <si>
    <t xml:space="preserve">   Check (each must total 100%)</t>
  </si>
  <si>
    <t xml:space="preserve">C.  AGGREGATE PROFILES – used by cost heads set to 'Follow Sales' / 'Follow Construction'</t>
  </si>
  <si>
    <t xml:space="preserve">Sales profile (share of total sales value booked)</t>
  </si>
  <si>
    <t xml:space="preserve">Construction profile – all products (share of construction cost)</t>
  </si>
  <si>
    <t xml:space="preserve">Construction profile – Villa products</t>
  </si>
  <si>
    <t xml:space="preserve">Construction profile – Apartment products</t>
  </si>
  <si>
    <t xml:space="preserve">Construction profile – Studio products</t>
  </si>
  <si>
    <t xml:space="preserve">Construction profile – Plot products</t>
  </si>
  <si>
    <t xml:space="preserve">Construction profile – Institutional products</t>
  </si>
  <si>
    <t xml:space="preserve">Construction profile – Commercial products</t>
  </si>
  <si>
    <t xml:space="preserve">Construction profile – EWS/LIG products</t>
  </si>
  <si>
    <t xml:space="preserve">Collections profile (share of total collections – from COLLECTIONS)</t>
  </si>
  <si>
    <t xml:space="preserve">Collections come from the COLLECTIONS sheet (Step 4). Heads set to 'Follow Collections' (e.g. the JV landowner share) use this row.</t>
  </si>
  <si>
    <t xml:space="preserve">D.  COST HEAD PHASING – share of each cost head spent in each quarter</t>
  </si>
  <si>
    <t xml:space="preserve">   Spend %</t>
  </si>
  <si>
    <t xml:space="preserve">   Check</t>
  </si>
  <si>
    <t xml:space="preserve">E.  CURVE CHECKS</t>
  </si>
  <si>
    <t xml:space="preserve">Gallery: every curve totals 100%</t>
  </si>
  <si>
    <t xml:space="preserve">Every included product: sales &amp; construction total 100%</t>
  </si>
  <si>
    <t xml:space="preserve">Sales profile totals 100%</t>
  </si>
  <si>
    <t xml:space="preserve">Collections profile totals 100%</t>
  </si>
  <si>
    <t xml:space="preserve">Construction profile totals 100%</t>
  </si>
  <si>
    <t xml:space="preserve">Category profiles total 100% (or 0% if no such product)</t>
  </si>
  <si>
    <t xml:space="preserve">Every applicable cost head totals 100%</t>
  </si>
  <si>
    <t xml:space="preserve">COLLECTIONS ENGINE — bookings → CLP milestones → cash actually received</t>
  </si>
  <si>
    <t xml:space="preserve">Collections engine status</t>
  </si>
  <si>
    <t xml:space="preserve">No inputs here. Bookings = revenue × sales curve. Each milestone is collected when due: booking-linked milestones k quarters after booking; construction-linked milestones when cumulative construction reaches the trigger % (late buyers catch up after the lag). All ₹ Crore.</t>
  </si>
  <si>
    <t xml:space="preserve">Quarter number (t)</t>
  </si>
  <si>
    <t xml:space="preserve">A.  MILESTONE SCHEDULE – which quarter each CLP milestone falls due, per product</t>
  </si>
  <si>
    <t xml:space="preserve">Trigger quarter for construction-linked milestones = first quarter in which that product's cumulative construction % reaches the trigger (from CURVES).</t>
  </si>
  <si>
    <t xml:space="preserve">Product / milestone</t>
  </si>
  <si>
    <t xml:space="preserve">% of sale</t>
  </si>
  <si>
    <t xml:space="preserve">Due (construction-linked)</t>
  </si>
  <si>
    <t xml:space="preserve">Plain English</t>
  </si>
  <si>
    <t xml:space="preserve">   Booking-linked % by lag (0 … 12 quarters after booking) →</t>
  </si>
  <si>
    <t xml:space="preserve">   Milestone check</t>
  </si>
  <si>
    <t xml:space="preserve">B.  PRODUCT CASH – bookings, collections (booking-linked + construction-linked), receivables (₹ Crore)</t>
  </si>
  <si>
    <t xml:space="preserve">Construction-linked: in a milestone's trigger quarter, all buyers so far (after the catch-up lag) pay it; afterwards each new buyer pays it as catch-up. Works for any number of milestones.</t>
  </si>
  <si>
    <t xml:space="preserve">   Bookings (sales value booked)</t>
  </si>
  <si>
    <t xml:space="preserve">   Bookings – cumulative</t>
  </si>
  <si>
    <t xml:space="preserve">   Booking-linked milestones (booking, ATS, down payment …)</t>
  </si>
  <si>
    <t xml:space="preserve">   Construction-linked milestones (incl. catch-up)</t>
  </si>
  <si>
    <t xml:space="preserve">   Collections (cash received)</t>
  </si>
  <si>
    <t xml:space="preserve">   Collections – cumulative</t>
  </si>
  <si>
    <t xml:space="preserve">   Receivables (booked, not yet collected)</t>
  </si>
  <si>
    <t xml:space="preserve">   % of revenue collected – cumulative</t>
  </si>
  <si>
    <t xml:space="preserve">C.  PROJECT TOTALS &amp; SPLIT (₹ Crore)</t>
  </si>
  <si>
    <t xml:space="preserve">Total bookings</t>
  </si>
  <si>
    <t xml:space="preserve">Total collections (cash inflow)</t>
  </si>
  <si>
    <t xml:space="preserve">Total collections – cumulative</t>
  </si>
  <si>
    <t xml:space="preserve">Total receivables</t>
  </si>
  <si>
    <t xml:space="preserve">   Landowner share of collections (JV)</t>
  </si>
  <si>
    <t xml:space="preserve">   Developer share of collections</t>
  </si>
  <si>
    <t xml:space="preserve">Collections profile (% of total collections)</t>
  </si>
  <si>
    <t xml:space="preserve">Collections are shown excluding GST. The landowner share equals the JV land cost head phased by 'Follow Collections'.</t>
  </si>
  <si>
    <t xml:space="preserve">D.  COLLECTION CHECKS</t>
  </si>
  <si>
    <t xml:space="preserve">Every included product: bookings = collections = revenue</t>
  </si>
  <si>
    <t xml:space="preserve">Total collections = total revenue (nothing lost beyond the horizon)</t>
  </si>
  <si>
    <t xml:space="preserve">Receivables never negative (no cash before a sale)</t>
  </si>
  <si>
    <t xml:space="preserve">Receivables fully cleared by the last quarter</t>
  </si>
  <si>
    <t xml:space="preserve">Every construction milestone is reached inside the model</t>
  </si>
  <si>
    <t xml:space="preserve">Every active product's payment plan totals 100%</t>
  </si>
  <si>
    <t xml:space="preserve">LO share + developer share = total collections</t>
  </si>
  <si>
    <t xml:space="preserve">CASH FLOW &amp; RETURNS — inflows, outflows, landowner payments, IRR, NPV, peak investment, break-even</t>
  </si>
  <si>
    <t xml:space="preserve">Cash flow engine status</t>
  </si>
  <si>
    <t xml:space="preserve">No inputs here. Outflow of each cost head = amount × its phasing % (CURVES). In a JV, items in the initial-investment table are paid early at their payout quarter and only the balance follows the curve – so nothing is counted twice. All ₹ Crore.</t>
  </si>
  <si>
    <t xml:space="preserve">A.  CASH INFLOWS</t>
  </si>
  <si>
    <t xml:space="preserve">Customer collections (100%)</t>
  </si>
  <si>
    <t xml:space="preserve">   of which landowner share earned (JV)</t>
  </si>
  <si>
    <t xml:space="preserve">   of which developer share</t>
  </si>
  <si>
    <t xml:space="preserve">B.  CASH OUTFLOWS BY COST HEAD (landowner share shown separately in Section C)</t>
  </si>
  <si>
    <t xml:space="preserve">Total outflows (excl. landowner share)</t>
  </si>
  <si>
    <t xml:space="preserve">C.  LANDOWNER PAYMENTS (JV) – advance paid early, then recovered from his share</t>
  </si>
  <si>
    <t xml:space="preserve">Advance to landowner paid (token, DD, DA)</t>
  </si>
  <si>
    <t xml:space="preserve">   Advance – cumulative</t>
  </si>
  <si>
    <t xml:space="preserve">   Landowner share earned – cumulative</t>
  </si>
  <si>
    <t xml:space="preserve">   Paid to landowner – cumulative = greater of the two</t>
  </si>
  <si>
    <t xml:space="preserve">Cash paid to landowner this quarter</t>
  </si>
  <si>
    <t xml:space="preserve">   Advance not yet recovered</t>
  </si>
  <si>
    <t xml:space="preserve">Until his share of collections exceeds the advance, the landowner receives nothing more – that is how the advance is recovered.</t>
  </si>
  <si>
    <t xml:space="preserve">D.  NET CASH FLOWS</t>
  </si>
  <si>
    <t xml:space="preserve">Project net cash flow (before landowner share in a JV)</t>
  </si>
  <si>
    <t xml:space="preserve">   Project – cumulative</t>
  </si>
  <si>
    <t xml:space="preserve">Developer net cash flow (pre-tax)</t>
  </si>
  <si>
    <t xml:space="preserve">   Developer – cumulative</t>
  </si>
  <si>
    <t xml:space="preserve">Tax (indicative – P&amp;L tax spread in line with collections)</t>
  </si>
  <si>
    <t xml:space="preserve">Developer net cash flow (post-tax, indicative)</t>
  </si>
  <si>
    <t xml:space="preserve">   Developer post-tax – cumulative</t>
  </si>
  <si>
    <t xml:space="preserve">   helper: first positive quarter (project)</t>
  </si>
  <si>
    <t xml:space="preserve">   helper: first positive quarter (developer)</t>
  </si>
  <si>
    <t xml:space="preserve">   helper: payback quarter (developer cumulative back to ≥ 0)</t>
  </si>
  <si>
    <t xml:space="preserve">E.  RETURNS &amp; FUNDING METRICS</t>
  </si>
  <si>
    <t xml:space="preserve">Metric</t>
  </si>
  <si>
    <t xml:space="preserve">Note</t>
  </si>
  <si>
    <t xml:space="preserve">Project IRR – quarterly</t>
  </si>
  <si>
    <t xml:space="preserve">IRR of quarterly project cash flows</t>
  </si>
  <si>
    <t xml:space="preserve">Project IRR – annualised</t>
  </si>
  <si>
    <t xml:space="preserve">(1 + quarterly IRR)^4 − 1</t>
  </si>
  <si>
    <t xml:space="preserve">Developer IRR – quarterly</t>
  </si>
  <si>
    <t xml:space="preserve">Developer IRR – annualised (pre-tax)</t>
  </si>
  <si>
    <t xml:space="preserve">Matches the 1244 definition (pre-tax)</t>
  </si>
  <si>
    <t xml:space="preserve">Developer IRR – annualised (post-tax, indicative)</t>
  </si>
  <si>
    <t xml:space="preserve">Tax spread in line with collections – an approximation</t>
  </si>
  <si>
    <t xml:space="preserve">Project NPV @ cost of equity (₹ Cr)</t>
  </si>
  <si>
    <t xml:space="preserve">Discounted to the start of Q1 at the quarterly equivalent of the cost of equity</t>
  </si>
  <si>
    <t xml:space="preserve">Developer NPV @ cost of equity (₹ Cr)</t>
  </si>
  <si>
    <t xml:space="preserve">Peak investment – developer (₹ Cr)</t>
  </si>
  <si>
    <t xml:space="preserve">Largest cumulative funding the developer must put in</t>
  </si>
  <si>
    <t xml:space="preserve">   Peak investment quarter</t>
  </si>
  <si>
    <t xml:space="preserve">   Peak investment date</t>
  </si>
  <si>
    <t xml:space="preserve">Largest single-quarter deficit – developer (₹ Cr)</t>
  </si>
  <si>
    <t xml:space="preserve">The 1244 'peak investment' definition (one quarter, not cumulative)</t>
  </si>
  <si>
    <t xml:space="preserve">Break-even quarter – project</t>
  </si>
  <si>
    <t xml:space="preserve">First quarter with positive net cash flow (1244 definition)</t>
  </si>
  <si>
    <t xml:space="preserve">   Break-even date – project</t>
  </si>
  <si>
    <t xml:space="preserve">Break-even quarter – developer</t>
  </si>
  <si>
    <t xml:space="preserve">   Break-even date – developer</t>
  </si>
  <si>
    <t xml:space="preserve">Payback quarter – developer (cumulative cash back to zero)</t>
  </si>
  <si>
    <t xml:space="preserve">Usually the more meaningful break-even</t>
  </si>
  <si>
    <t xml:space="preserve">   Payback date – developer</t>
  </si>
  <si>
    <t xml:space="preserve">Cash multiple – developer (cash in ÷ cash out)</t>
  </si>
  <si>
    <t xml:space="preserve">Cash-based cross-check of the equity multiple</t>
  </si>
  <si>
    <t xml:space="preserve">F.  YEARLY SUMMARY BY FINANCIAL YEAR (Apr–Mar)</t>
  </si>
  <si>
    <t xml:space="preserve">Collections</t>
  </si>
  <si>
    <t xml:space="preserve">Outflows (excl. landowner)</t>
  </si>
  <si>
    <t xml:space="preserve">Paid to landowner</t>
  </si>
  <si>
    <t xml:space="preserve">Developer net cash flow</t>
  </si>
  <si>
    <t xml:space="preserve">Developer – cumulative</t>
  </si>
  <si>
    <t xml:space="preserve">G.  CHART – developer cash flow</t>
  </si>
  <si>
    <t xml:space="preserve">H.  CASH FLOW CHECKS</t>
  </si>
  <si>
    <t xml:space="preserve">Every cost head's outflows = its amount (landowner share separately)</t>
  </si>
  <si>
    <t xml:space="preserve">Early (initial-investment) amounts never exceed their cost head</t>
  </si>
  <si>
    <t xml:space="preserve">Early payout quarters inside the model</t>
  </si>
  <si>
    <t xml:space="preserve">Landowner paid exactly his share (advance fully recovered)</t>
  </si>
  <si>
    <t xml:space="preserve">Developer total cash = EBITDA (revenue − total cost)</t>
  </si>
  <si>
    <t xml:space="preserve">Project total cash = revenue − costs excl. landowner share</t>
  </si>
  <si>
    <t xml:space="preserve">Tax spread = P&amp;L tax</t>
  </si>
  <si>
    <t xml:space="preserve">No cash flow outside the model horizon (all quarters ≤ horizon)</t>
  </si>
  <si>
    <t xml:space="preserve">I.  CHART HELPER ROWS (used by the DASHBOARD)</t>
  </si>
  <si>
    <t xml:space="preserve">Cumulative collections</t>
  </si>
  <si>
    <t xml:space="preserve">Cumulative cash out (costs + landowner)</t>
  </si>
  <si>
    <t xml:space="preserve">INVESTMENT FEASIBILITY REPORT | OUTPUT DASHBOARD</t>
  </si>
  <si>
    <t xml:space="preserve">Project Summary | Revenue | Cost | P&amp;L | JV Split | Key Metrics (all cash-flow metrics now live from the CASHFLOW sheet).</t>
  </si>
  <si>
    <t xml:space="preserve">PROJECT SNAPSHOT</t>
  </si>
  <si>
    <t xml:space="preserve">Project</t>
  </si>
  <si>
    <t xml:space="preserve">Land (acres)</t>
  </si>
  <si>
    <t xml:space="preserve">A.  REVENUE STATEMENT (₹ Crore)</t>
  </si>
  <si>
    <t xml:space="preserve">Revenue head (product)</t>
  </si>
  <si>
    <t xml:space="preserve">₹ Crore</t>
  </si>
  <si>
    <t xml:space="preserve">₹ / sq ft (saleable)</t>
  </si>
  <si>
    <t xml:space="preserve">TOTAL REVENUE excl. EWS / LIG</t>
  </si>
  <si>
    <t xml:space="preserve">EWS / LIG sales revenue</t>
  </si>
  <si>
    <t xml:space="preserve">SUM TOTAL REVENUE (A)</t>
  </si>
  <si>
    <t xml:space="preserve">B.  COST STATEMENT (₹ Crore)</t>
  </si>
  <si>
    <t xml:space="preserve">TOTAL COST (B)</t>
  </si>
  <si>
    <t xml:space="preserve">C.  PROFIT &amp; LOSS STATEMENT (₹ Crore)</t>
  </si>
  <si>
    <t xml:space="preserve">% of revenue (margin)</t>
  </si>
  <si>
    <t xml:space="preserve">Total revenue (A)</t>
  </si>
  <si>
    <t xml:space="preserve">Total cost (B)</t>
  </si>
  <si>
    <t xml:space="preserve">EBITDA (A − B)</t>
  </si>
  <si>
    <t xml:space="preserve">Tax</t>
  </si>
  <si>
    <t xml:space="preserve">PROFIT AFTER TAX (PAT)</t>
  </si>
  <si>
    <t xml:space="preserve">Tax is applied only on positive EBITDA (no tax credit is assumed on a loss).</t>
  </si>
  <si>
    <t xml:space="preserve">Developer's revenue share</t>
  </si>
  <si>
    <t xml:space="preserve">Developer's cost (total cost excl. LO share)</t>
  </si>
  <si>
    <t xml:space="preserve">EBITDA margin on developer's share</t>
  </si>
  <si>
    <t xml:space="preserve">D.  JV REVENUE SPLIT (₹ Crore)</t>
  </si>
  <si>
    <t xml:space="preserve">Party</t>
  </si>
  <si>
    <t xml:space="preserve">JV ratio %</t>
  </si>
  <si>
    <t xml:space="preserve">Revenue share (₹ Cr)</t>
  </si>
  <si>
    <t xml:space="preserve">Developer</t>
  </si>
  <si>
    <t xml:space="preserve">Landowner / JVP</t>
  </si>
  <si>
    <t xml:space="preserve">E.  KEY INVESTMENT METRICS</t>
  </si>
  <si>
    <t xml:space="preserve">Benchmark</t>
  </si>
  <si>
    <t xml:space="preserve">Status</t>
  </si>
  <si>
    <t xml:space="preserve">1. Project IRR</t>
  </si>
  <si>
    <t xml:space="preserve">% p.a.</t>
  </si>
  <si>
    <t xml:space="preserve">Annualised IRR of quarterly project cash flows (before landowner share): (1 + quarterly IRR)^4 − 1</t>
  </si>
  <si>
    <t xml:space="preserve">2. Developer IRR</t>
  </si>
  <si>
    <t xml:space="preserve">Same, on developer cash flows (collections − costs − cash paid to landowner incl. advance timing)</t>
  </si>
  <si>
    <t xml:space="preserve">3. Equity multiple (EM)</t>
  </si>
  <si>
    <t xml:space="preserve">JV: developer's revenue share ÷ all costs excl. land, stamp duty &amp; brokerage | Outright: revenue ÷ total cost</t>
  </si>
  <si>
    <t xml:space="preserve">    Initial investment used (₹ Cr)</t>
  </si>
  <si>
    <t xml:space="preserve">Section 7C (JV) / 7D (Outright) of INPUTS</t>
  </si>
  <si>
    <t xml:space="preserve">    Project lifecycle (years)</t>
  </si>
  <si>
    <t xml:space="preserve">4. ROCE (annualised)</t>
  </si>
  <si>
    <t xml:space="preserve">EBITDA ÷ initial investment ÷ project lifecycle</t>
  </si>
  <si>
    <t xml:space="preserve">    Return on investment (₹ Cr)</t>
  </si>
  <si>
    <t xml:space="preserve">PAT + initial investment</t>
  </si>
  <si>
    <t xml:space="preserve">5. CAGR</t>
  </si>
  <si>
    <t xml:space="preserve">(Return on investment ÷ initial investment)^(1 ÷ lifecycle) − 1</t>
  </si>
  <si>
    <t xml:space="preserve">6. PAT margin</t>
  </si>
  <si>
    <t xml:space="preserve">PAT ÷ total revenue</t>
  </si>
  <si>
    <t xml:space="preserve">7. EBITDA margin</t>
  </si>
  <si>
    <t xml:space="preserve">EBITDA ÷ total revenue</t>
  </si>
  <si>
    <t xml:space="preserve">8. Peak investment</t>
  </si>
  <si>
    <t xml:space="preserve">—</t>
  </si>
  <si>
    <t xml:space="preserve">9. Land cost to GDV</t>
  </si>
  <si>
    <t xml:space="preserve">Land cost ÷ total revenue</t>
  </si>
  <si>
    <t xml:space="preserve">10. Initial investment to GDV</t>
  </si>
  <si>
    <t xml:space="preserve">Initial investment ÷ total revenue</t>
  </si>
  <si>
    <t xml:space="preserve">11. Break-even quarter (project)</t>
  </si>
  <si>
    <t xml:space="preserve">12. Break-even quarter (developer)</t>
  </si>
  <si>
    <t xml:space="preserve">13. Payback quarter (developer)</t>
  </si>
  <si>
    <t xml:space="preserve">Cumulative developer cash returns to zero</t>
  </si>
  <si>
    <t xml:space="preserve">14. Project NPV @ cost of equity</t>
  </si>
  <si>
    <t xml:space="preserve">Discounted at the cost of equity (Section 9 of INPUTS)</t>
  </si>
  <si>
    <t xml:space="preserve">15. Developer NPV @ cost of equity</t>
  </si>
  <si>
    <t xml:space="preserve">16. Developer IRR (post-tax, indicative)</t>
  </si>
  <si>
    <t xml:space="preserve">Tax spread in line with collections</t>
  </si>
  <si>
    <t xml:space="preserve">17. Largest single-quarter deficit</t>
  </si>
  <si>
    <t xml:space="preserve">1244-style peak (one quarter)</t>
  </si>
  <si>
    <t xml:space="preserve">18. Cash multiple (developer)</t>
  </si>
  <si>
    <t xml:space="preserve">Cash in ÷ cash out</t>
  </si>
  <si>
    <t xml:space="preserve">LISTS &amp; REFERENCE DATA (feeds dropdowns; edit with care)</t>
  </si>
  <si>
    <t xml:space="preserve">Yes / No</t>
  </si>
  <si>
    <t xml:space="preserve">Product category</t>
  </si>
  <si>
    <t xml:space="preserve">Curve – sales &amp; construction</t>
  </si>
  <si>
    <t xml:space="preserve">Curve – land payment</t>
  </si>
  <si>
    <t xml:space="preserve">Curve – cost phasing</t>
  </si>
  <si>
    <t xml:space="preserve">Cost basis (spare rows)</t>
  </si>
  <si>
    <t xml:space="preserve">EDC basis</t>
  </si>
  <si>
    <t xml:space="preserve">Contingency base</t>
  </si>
  <si>
    <t xml:space="preserve">CLP trigger type</t>
  </si>
  <si>
    <t xml:space="preserve">BAR authority</t>
  </si>
  <si>
    <t xml:space="preserve">BAR land use</t>
  </si>
  <si>
    <t xml:space="preserve">CLP plan names (linked)</t>
  </si>
  <si>
    <t xml:space="preserve">CLP plan status (linked)</t>
  </si>
  <si>
    <t xml:space="preserve">Link event</t>
  </si>
  <si>
    <t xml:space="preserve">Outright</t>
  </si>
  <si>
    <t xml:space="preserve">LLP</t>
  </si>
  <si>
    <t xml:space="preserve">Plotted</t>
  </si>
  <si>
    <t xml:space="preserve">% of construction cost</t>
  </si>
  <si>
    <t xml:space="preserve">All costs excl. land heads</t>
  </si>
  <si>
    <t xml:space="preserve">Half-yearly</t>
  </si>
  <si>
    <t xml:space="preserve">Sales end</t>
  </si>
  <si>
    <t xml:space="preserve">Apartments</t>
  </si>
  <si>
    <t xml:space="preserve">Lump sum (₹ Cr)</t>
  </si>
  <si>
    <t xml:space="preserve">Quarterly</t>
  </si>
  <si>
    <t xml:space="preserve">After own construction start</t>
  </si>
  <si>
    <t xml:space="preserve">Monthly</t>
  </si>
  <si>
    <t xml:space="preserve">Construction 50%</t>
  </si>
  <si>
    <t xml:space="preserve">₹/sq yd (land area)</t>
  </si>
  <si>
    <t xml:space="preserve">Construction end</t>
  </si>
  <si>
    <t xml:space="preserve">Follow Collections</t>
  </si>
  <si>
    <t xml:space="preserve">LAND UNIT CONVERSION (units per 1 sq yd)</t>
  </si>
  <si>
    <t xml:space="preserve">Per sq yd</t>
  </si>
  <si>
    <t xml:space="preserve">Exact (1 yd = 3 ft)</t>
  </si>
  <si>
    <t xml:space="preserve">Sq metre</t>
  </si>
  <si>
    <t xml:space="preserve">Exact</t>
  </si>
  <si>
    <t xml:space="preserve">Acre</t>
  </si>
  <si>
    <t xml:space="preserve">1 acre = 4,840 sq yd</t>
  </si>
  <si>
    <t xml:space="preserve">Rajasthan pucca bigha = 3,025 sq yd (varies by state – edit if needed)</t>
  </si>
  <si>
    <t xml:space="preserve">Hectare</t>
  </si>
  <si>
    <t xml:space="preserve">1 ha = 10,000 sq m</t>
  </si>
  <si>
    <t xml:space="preserve">Sq km</t>
  </si>
  <si>
    <t xml:space="preserve">1 sq km = 10,00,000 sq m</t>
  </si>
  <si>
    <t xml:space="preserve">CURVE DEFINITIONS (used by the engine from Step 3)</t>
  </si>
  <si>
    <t xml:space="preserve">100% in the start quarter.</t>
  </si>
  <si>
    <t xml:space="preserve">Same share every quarter (1/n).</t>
  </si>
  <si>
    <t xml:space="preserve">Weight of quarter i = n − i + 1, scaled to 100%.</t>
  </si>
  <si>
    <t xml:space="preserve">Weight of quarter i = i, scaled to 100%.</t>
  </si>
  <si>
    <t xml:space="preserve">Weight of quarter i = SIN(π × (i − 0.5) / n), scaled to 100% (slow–fast–slow).</t>
  </si>
  <si>
    <t xml:space="preserve">Same proportion as the products' construction progress.</t>
  </si>
  <si>
    <t xml:space="preserve">Same proportion as bookings.</t>
  </si>
  <si>
    <t xml:space="preserve">Same proportion as customer collections (e.g. JV landowner share).</t>
  </si>
  <si>
    <t xml:space="preserve">Evenly from Q1 to the project's last active quarter.</t>
  </si>
  <si>
    <t xml:space="preserve">100% in the project's last active quarter.</t>
  </si>
</sst>
</file>

<file path=xl/styles.xml><?xml version="1.0" encoding="utf-8"?>
<styleSheet xmlns="http://schemas.openxmlformats.org/spreadsheetml/2006/main">
  <numFmts count="35">
    <numFmt numFmtId="164" formatCode="0%"/>
    <numFmt numFmtId="165" formatCode="0.00%"/>
    <numFmt numFmtId="166" formatCode="General"/>
    <numFmt numFmtId="167" formatCode="&quot;₹ &quot;#,##0.0&quot; Cr&quot;;&quot;(₹ &quot;#,##0.0&quot; Cr)&quot;;\–"/>
    <numFmt numFmtId="168" formatCode="0.0%"/>
    <numFmt numFmtId="169" formatCode="0.00\x"/>
    <numFmt numFmtId="170" formatCode="@"/>
    <numFmt numFmtId="171" formatCode="#,##0.0"/>
    <numFmt numFmtId="172" formatCode="0"/>
    <numFmt numFmtId="173" formatCode="#,##0"/>
    <numFmt numFmtId="174" formatCode="\+0.0%;\-0.0%;0.0%"/>
    <numFmt numFmtId="175" formatCode="#,##0.00;\(#,##0.00\);\-"/>
    <numFmt numFmtId="176" formatCode="0&quot; – Best Case&quot;"/>
    <numFmt numFmtId="177" formatCode="0&quot; – Base Case&quot;"/>
    <numFmt numFmtId="178" formatCode="0&quot; – Worst Case&quot;"/>
    <numFmt numFmtId="179" formatCode="\+0%;\-0%;0%"/>
    <numFmt numFmtId="180" formatCode="\+0&quot; Q&quot;"/>
    <numFmt numFmtId="181" formatCode="\+0.0%;\-0.0%"/>
    <numFmt numFmtId="182" formatCode="0.0%;\(0.0%\);\-"/>
    <numFmt numFmtId="183" formatCode="dd\-mmm\-yyyy"/>
    <numFmt numFmtId="184" formatCode="\Q0"/>
    <numFmt numFmtId="185" formatCode="0.00"/>
    <numFmt numFmtId="186" formatCode="[&gt;=10000000]##\,##\,##\,##0;[&gt;=100000]##\,##\,##0;##,##0"/>
    <numFmt numFmtId="187" formatCode="#,##0.00"/>
    <numFmt numFmtId="188" formatCode="0.00%;\(0.00%\);\-"/>
    <numFmt numFmtId="189" formatCode="0;\-0;0"/>
    <numFmt numFmtId="190" formatCode="General"/>
    <numFmt numFmtId="191" formatCode="dd\-mmm\-yy"/>
    <numFmt numFmtId="192" formatCode="0;\-0;&quot;&quot;"/>
    <numFmt numFmtId="193" formatCode="mmm\-yy"/>
    <numFmt numFmtId="194" formatCode="0.0%;\-0.0%;&quot;&quot;"/>
    <numFmt numFmtId="195" formatCode="0.##;\-0.##;0"/>
    <numFmt numFmtId="196" formatCode="0%;\-0%;&quot;&quot;"/>
    <numFmt numFmtId="197" formatCode="#,##0.00;\(#,##0.00\);&quot;&quot;"/>
    <numFmt numFmtId="198" formatCode="0.000000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BFBFB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8"/>
      <color rgb="FF008000"/>
      <name val="Arial"/>
      <family val="0"/>
      <charset val="1"/>
    </font>
    <font>
      <b val="true"/>
      <sz val="10"/>
      <color rgb="FF000000"/>
      <name val="Calibri"/>
      <family val="2"/>
    </font>
    <font>
      <sz val="8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F2F5FA"/>
        <bgColor rgb="FFF2F2F2"/>
      </patternFill>
    </fill>
    <fill>
      <patternFill patternType="solid">
        <fgColor rgb="FF7F7F7F"/>
        <bgColor rgb="FF878787"/>
      </patternFill>
    </fill>
    <fill>
      <patternFill patternType="solid">
        <fgColor rgb="FFD9E1F2"/>
        <bgColor rgb="FFE4DFEC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8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8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7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9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name val="Arial"/>
        <charset val="1"/>
        <family val="0"/>
        <b val="1"/>
        <color rgb="FF006100"/>
        <sz val="11"/>
      </font>
    </dxf>
    <dxf>
      <font>
        <name val="Arial"/>
        <charset val="1"/>
        <family val="0"/>
        <b val="1"/>
        <color rgb="FFC00000"/>
        <sz val="1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color rgb="FFA6A6A6"/>
        <sz val="10"/>
      </font>
    </dxf>
    <dxf>
      <font>
        <name val="Arial"/>
        <charset val="1"/>
        <family val="0"/>
        <color rgb="FFBFBFBF"/>
        <sz val="10"/>
      </font>
      <fill>
        <patternFill>
          <bgColor rgb="FFEDEDED"/>
        </patternFill>
      </fill>
    </dxf>
    <dxf>
      <numFmt numFmtId="164" formatCode="0%"/>
    </dxf>
    <dxf>
      <font>
        <name val="Arial"/>
        <charset val="1"/>
        <family val="0"/>
        <b val="1"/>
        <color rgb="FF9C0006"/>
        <sz val="10"/>
      </font>
      <fill>
        <patternFill>
          <bgColor rgb="FFF8CBAD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7F7F7F"/>
        <sz val="1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numFmt numFmtId="165" formatCode="0.00%"/>
    </dxf>
    <dxf>
      <font>
        <name val="Arial"/>
        <charset val="1"/>
        <family val="0"/>
        <b val="1"/>
        <color rgb="FF000000"/>
        <sz val="10"/>
      </font>
      <fill>
        <patternFill>
          <bgColor rgb="FFA9D08E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9BC2E6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8EA9DB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ill>
        <patternFill>
          <bgColor rgb="FFE4DFEC"/>
        </patternFill>
      </fill>
    </dxf>
    <dxf>
      <font>
        <name val="Arial"/>
        <charset val="1"/>
        <family val="0"/>
        <b val="1"/>
        <color rgb="FF9C0006"/>
        <sz val="10"/>
      </font>
    </dxf>
    <dxf>
      <fill>
        <patternFill>
          <bgColor rgb="FFE2EFDA"/>
        </patternFill>
      </fill>
    </dxf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FF0000"/>
      <rgbColor rgb="FFF2F2F2"/>
      <rgbColor rgb="FF0000FF"/>
      <rgbColor rgb="FFFCE4D6"/>
      <rgbColor rgb="FFFF00FF"/>
      <rgbColor rgb="FFEDEDED"/>
      <rgbColor rgb="FF9C0006"/>
      <rgbColor rgb="FF008000"/>
      <rgbColor rgb="FF000080"/>
      <rgbColor rgb="FF70AD47"/>
      <rgbColor rgb="FF800080"/>
      <rgbColor rgb="FF4F81BD"/>
      <rgbColor rgb="FFBFBFBF"/>
      <rgbColor rgb="FF7F7F7F"/>
      <rgbColor rgb="FF8EA9DB"/>
      <rgbColor rgb="FFBE4B48"/>
      <rgbColor rgb="FFFFF2CC"/>
      <rgbColor rgb="FFDDEBF7"/>
      <rgbColor rgb="FF660066"/>
      <rgbColor rgb="FFD9E1F2"/>
      <rgbColor rgb="FF0066CC"/>
      <rgbColor rgb="FFD9D9D9"/>
      <rgbColor rgb="FF000080"/>
      <rgbColor rgb="FFFF00FF"/>
      <rgbColor rgb="FFA9D08E"/>
      <rgbColor rgb="FFF2F5FA"/>
      <rgbColor rgb="FF800080"/>
      <rgbColor rgb="FFC00000"/>
      <rgbColor rgb="FF008080"/>
      <rgbColor rgb="FF0000FF"/>
      <rgbColor rgb="FF00B0F0"/>
      <rgbColor rgb="FFE2EFDA"/>
      <rgbColor rgb="FFC6EFCE"/>
      <rgbColor rgb="FFFFEB9C"/>
      <rgbColor rgb="FF9BC2E6"/>
      <rgbColor rgb="FFE4DFEC"/>
      <rgbColor rgb="FFA6A6A6"/>
      <rgbColor rgb="FFF8CBAD"/>
      <rgbColor rgb="FF4A7EBB"/>
      <rgbColor rgb="FF5B9BD5"/>
      <rgbColor rgb="FF98B855"/>
      <rgbColor rgb="FFFFC000"/>
      <rgbColor rgb="FF9BBB59"/>
      <rgbColor rgb="FFC0504D"/>
      <rgbColor rgb="FF7D5FA0"/>
      <rgbColor rgb="FF878787"/>
      <rgbColor rgb="FF1F3864"/>
      <rgbColor rgb="FF00B050"/>
      <rgbColor rgb="FF006100"/>
      <rgbColor rgb="FF333300"/>
      <rgbColor rgb="FF9C5700"/>
      <rgbColor rgb="FF7030A0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Developer cash flow by quarter (₹ Cr) and cumulative funding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cash flow (quarter)"</c:f>
              <c:strCache>
                <c:ptCount val="1"/>
                <c:pt idx="0">
                  <c:v>Net cash flow (quarter)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CASHFLOW!$D$6:$AI$6</c:f>
              <c:multiLvlStrCache>
                <c:ptCount val="1"/>
                <c:lvl>
                  <c:pt idx="0">
                    <c:v>Q32</c:v>
                  </c:pt>
                </c:lvl>
                <c:lvl>
                  <c:pt idx="0">
                    <c:v>Q31</c:v>
                  </c:pt>
                </c:lvl>
                <c:lvl>
                  <c:pt idx="0">
                    <c:v>Q30</c:v>
                  </c:pt>
                </c:lvl>
                <c:lvl>
                  <c:pt idx="0">
                    <c:v>Q29</c:v>
                  </c:pt>
                </c:lvl>
                <c:lvl>
                  <c:pt idx="0">
                    <c:v>Q28</c:v>
                  </c:pt>
                </c:lvl>
                <c:lvl>
                  <c:pt idx="0">
                    <c:v>Q27</c:v>
                  </c:pt>
                </c:lvl>
                <c:lvl>
                  <c:pt idx="0">
                    <c:v>Q26</c:v>
                  </c:pt>
                </c:lvl>
                <c:lvl>
                  <c:pt idx="0">
                    <c:v>Q25</c:v>
                  </c:pt>
                </c:lvl>
                <c:lvl>
                  <c:pt idx="0">
                    <c:v>Q24</c:v>
                  </c:pt>
                </c:lvl>
                <c:lvl>
                  <c:pt idx="0">
                    <c:v>Q23</c:v>
                  </c:pt>
                </c:lvl>
                <c:lvl>
                  <c:pt idx="0">
                    <c:v>Q22</c:v>
                  </c:pt>
                </c:lvl>
                <c:lvl>
                  <c:pt idx="0">
                    <c:v>Q21</c:v>
                  </c:pt>
                </c:lvl>
                <c:lvl>
                  <c:pt idx="0">
                    <c:v>Q20</c:v>
                  </c:pt>
                </c:lvl>
                <c:lvl>
                  <c:pt idx="0">
                    <c:v>Q19</c:v>
                  </c:pt>
                </c:lvl>
                <c:lvl>
                  <c:pt idx="0">
                    <c:v>Q18</c:v>
                  </c:pt>
                </c:lvl>
                <c:lvl>
                  <c:pt idx="0">
                    <c:v>Q17</c:v>
                  </c:pt>
                </c:lvl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CASHFLOW!$D$55:$AI$55</c:f>
              <c:numCache>
                <c:formatCode>#,##0.00;\(#,##0.00\);""</c:formatCode>
                <c:ptCount val="32"/>
                <c:pt idx="0">
                  <c:v>-19.606</c:v>
                </c:pt>
                <c:pt idx="1">
                  <c:v>-14.6813209296</c:v>
                </c:pt>
                <c:pt idx="2">
                  <c:v>0.227333333333332</c:v>
                </c:pt>
                <c:pt idx="3">
                  <c:v>5.9906838498892</c:v>
                </c:pt>
                <c:pt idx="4">
                  <c:v>16.1204666966259</c:v>
                </c:pt>
                <c:pt idx="5">
                  <c:v>-2.24416911542845</c:v>
                </c:pt>
                <c:pt idx="6">
                  <c:v>2.94987627731311</c:v>
                </c:pt>
                <c:pt idx="7">
                  <c:v>19.9306737282746</c:v>
                </c:pt>
                <c:pt idx="8">
                  <c:v>0.0907523839090771</c:v>
                </c:pt>
                <c:pt idx="9">
                  <c:v>13.803628089086</c:v>
                </c:pt>
                <c:pt idx="10">
                  <c:v>31.2774394196453</c:v>
                </c:pt>
                <c:pt idx="11">
                  <c:v>5.20600416112566</c:v>
                </c:pt>
                <c:pt idx="12">
                  <c:v>-7.89874565972353</c:v>
                </c:pt>
                <c:pt idx="13">
                  <c:v>31.4252085644827</c:v>
                </c:pt>
                <c:pt idx="14">
                  <c:v>19.6679031261504</c:v>
                </c:pt>
                <c:pt idx="15">
                  <c:v>36.1200086045275</c:v>
                </c:pt>
                <c:pt idx="16">
                  <c:v>7.69485225442719</c:v>
                </c:pt>
                <c:pt idx="17">
                  <c:v>5.5996291754674</c:v>
                </c:pt>
                <c:pt idx="18">
                  <c:v>-6.59048894279194</c:v>
                </c:pt>
                <c:pt idx="19">
                  <c:v>27.3109440536866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gapWidth val="150"/>
        <c:overlap val="0"/>
        <c:axId val="21868387"/>
        <c:axId val="44962361"/>
      </c:barChart>
      <c:lineChart>
        <c:grouping val="standard"/>
        <c:varyColors val="0"/>
        <c:ser>
          <c:idx val="1"/>
          <c:order val="1"/>
          <c:tx>
            <c:strRef>
              <c:f>"Cumulative"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CASHFLOW!$D$6:$AI$6</c:f>
              <c:multiLvlStrCache>
                <c:ptCount val="1"/>
                <c:lvl>
                  <c:pt idx="0">
                    <c:v>Q32</c:v>
                  </c:pt>
                </c:lvl>
                <c:lvl>
                  <c:pt idx="0">
                    <c:v>Q31</c:v>
                  </c:pt>
                </c:lvl>
                <c:lvl>
                  <c:pt idx="0">
                    <c:v>Q30</c:v>
                  </c:pt>
                </c:lvl>
                <c:lvl>
                  <c:pt idx="0">
                    <c:v>Q29</c:v>
                  </c:pt>
                </c:lvl>
                <c:lvl>
                  <c:pt idx="0">
                    <c:v>Q28</c:v>
                  </c:pt>
                </c:lvl>
                <c:lvl>
                  <c:pt idx="0">
                    <c:v>Q27</c:v>
                  </c:pt>
                </c:lvl>
                <c:lvl>
                  <c:pt idx="0">
                    <c:v>Q26</c:v>
                  </c:pt>
                </c:lvl>
                <c:lvl>
                  <c:pt idx="0">
                    <c:v>Q25</c:v>
                  </c:pt>
                </c:lvl>
                <c:lvl>
                  <c:pt idx="0">
                    <c:v>Q24</c:v>
                  </c:pt>
                </c:lvl>
                <c:lvl>
                  <c:pt idx="0">
                    <c:v>Q23</c:v>
                  </c:pt>
                </c:lvl>
                <c:lvl>
                  <c:pt idx="0">
                    <c:v>Q22</c:v>
                  </c:pt>
                </c:lvl>
                <c:lvl>
                  <c:pt idx="0">
                    <c:v>Q21</c:v>
                  </c:pt>
                </c:lvl>
                <c:lvl>
                  <c:pt idx="0">
                    <c:v>Q20</c:v>
                  </c:pt>
                </c:lvl>
                <c:lvl>
                  <c:pt idx="0">
                    <c:v>Q19</c:v>
                  </c:pt>
                </c:lvl>
                <c:lvl>
                  <c:pt idx="0">
                    <c:v>Q18</c:v>
                  </c:pt>
                </c:lvl>
                <c:lvl>
                  <c:pt idx="0">
                    <c:v>Q17</c:v>
                  </c:pt>
                </c:lvl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CASHFLOW!$D$56:$AI$56</c:f>
              <c:numCache>
                <c:formatCode>#,##0.00;\(#,##0.00\);""</c:formatCode>
                <c:ptCount val="32"/>
                <c:pt idx="0">
                  <c:v>-19.606</c:v>
                </c:pt>
                <c:pt idx="1">
                  <c:v>-34.2873209296</c:v>
                </c:pt>
                <c:pt idx="2">
                  <c:v>-34.0599875962667</c:v>
                </c:pt>
                <c:pt idx="3">
                  <c:v>-28.0693037463775</c:v>
                </c:pt>
                <c:pt idx="4">
                  <c:v>-11.9488370497516</c:v>
                </c:pt>
                <c:pt idx="5">
                  <c:v>-14.19300616518</c:v>
                </c:pt>
                <c:pt idx="6">
                  <c:v>-11.2431298878669</c:v>
                </c:pt>
                <c:pt idx="7">
                  <c:v>8.68754384040767</c:v>
                </c:pt>
                <c:pt idx="8">
                  <c:v>8.77829622431675</c:v>
                </c:pt>
                <c:pt idx="9">
                  <c:v>22.5819243134027</c:v>
                </c:pt>
                <c:pt idx="10">
                  <c:v>53.859363733048</c:v>
                </c:pt>
                <c:pt idx="11">
                  <c:v>59.0653678941736</c:v>
                </c:pt>
                <c:pt idx="12">
                  <c:v>51.1666222344501</c:v>
                </c:pt>
                <c:pt idx="13">
                  <c:v>82.5918307989328</c:v>
                </c:pt>
                <c:pt idx="14">
                  <c:v>102.259733925083</c:v>
                </c:pt>
                <c:pt idx="15">
                  <c:v>138.379742529611</c:v>
                </c:pt>
                <c:pt idx="16">
                  <c:v>146.074594784038</c:v>
                </c:pt>
                <c:pt idx="17">
                  <c:v>151.674223959505</c:v>
                </c:pt>
                <c:pt idx="18">
                  <c:v>145.083735016713</c:v>
                </c:pt>
                <c:pt idx="19">
                  <c:v>172.3946790704</c:v>
                </c:pt>
                <c:pt idx="20">
                  <c:v>172.3946790704</c:v>
                </c:pt>
                <c:pt idx="21">
                  <c:v>172.3946790704</c:v>
                </c:pt>
                <c:pt idx="22">
                  <c:v>172.3946790704</c:v>
                </c:pt>
                <c:pt idx="23">
                  <c:v>172.3946790704</c:v>
                </c:pt>
                <c:pt idx="24">
                  <c:v>172.3946790704</c:v>
                </c:pt>
                <c:pt idx="25">
                  <c:v>172.3946790704</c:v>
                </c:pt>
                <c:pt idx="26">
                  <c:v>172.3946790704</c:v>
                </c:pt>
                <c:pt idx="27">
                  <c:v>172.3946790704</c:v>
                </c:pt>
                <c:pt idx="28">
                  <c:v>172.3946790704</c:v>
                </c:pt>
                <c:pt idx="29">
                  <c:v>172.3946790704</c:v>
                </c:pt>
                <c:pt idx="30">
                  <c:v>172.3946790704</c:v>
                </c:pt>
                <c:pt idx="31">
                  <c:v>172.3946790704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83728"/>
        <c:axId val="29154938"/>
      </c:lineChart>
      <c:catAx>
        <c:axId val="218683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62361"/>
        <c:crosses val="autoZero"/>
        <c:auto val="1"/>
        <c:lblAlgn val="ctr"/>
        <c:lblOffset val="100"/>
        <c:noMultiLvlLbl val="0"/>
      </c:catAx>
      <c:valAx>
        <c:axId val="44962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68387"/>
        <c:crosses val="autoZero"/>
        <c:crossBetween val="between"/>
      </c:valAx>
      <c:catAx>
        <c:axId val="578372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54938"/>
        <c:crosses val="autoZero"/>
        <c:auto val="1"/>
        <c:lblAlgn val="ctr"/>
        <c:lblOffset val="100"/>
        <c:noMultiLvlLbl val="0"/>
      </c:catAx>
      <c:valAx>
        <c:axId val="29154938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37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breakdown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DASHBOARD!$B$90:$B$95</c:f>
              <c:strCache>
                <c:ptCount val="6"/>
                <c:pt idx="0">
                  <c:v>Land / landowner share</c:v>
                </c:pt>
                <c:pt idx="1">
                  <c:v>Construction</c:v>
                </c:pt>
                <c:pt idx="2">
                  <c:v>Marketing &amp; sales</c:v>
                </c:pt>
                <c:pt idx="3">
                  <c:v>Corporate overheads</c:v>
                </c:pt>
                <c:pt idx="4">
                  <c:v>Approvals, legal &amp; BAR</c:v>
                </c:pt>
                <c:pt idx="5">
                  <c:v>Other (EWS, contingency, EDC, GST, AIF…)</c:v>
                </c:pt>
              </c:strCache>
            </c:strRef>
          </c:cat>
          <c:val>
            <c:numRef>
              <c:f>DASHBOARD!$D$90:$D$95</c:f>
              <c:numCache>
                <c:formatCode>#,##0.0</c:formatCode>
                <c:ptCount val="6"/>
                <c:pt idx="0">
                  <c:v>259.9807465936</c:v>
                </c:pt>
                <c:pt idx="1">
                  <c:v>270.4</c:v>
                </c:pt>
                <c:pt idx="2">
                  <c:v>56.21</c:v>
                </c:pt>
                <c:pt idx="3">
                  <c:v>32.12</c:v>
                </c:pt>
                <c:pt idx="4">
                  <c:v>10.054574336</c:v>
                </c:pt>
                <c:pt idx="5">
                  <c:v>1.84000000000003</c:v>
                </c:pt>
              </c:numCache>
            </c:numRef>
          </c:val>
        </c:ser>
        <c:gapWidth val="150"/>
        <c:overlap val="0"/>
        <c:axId val="65251431"/>
        <c:axId val="86172429"/>
      </c:barChart>
      <c:catAx>
        <c:axId val="6525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72429"/>
        <c:crosses val="autoZero"/>
        <c:auto val="1"/>
        <c:lblAlgn val="ctr"/>
        <c:lblOffset val="100"/>
        <c:noMultiLvlLbl val="0"/>
      </c:catAx>
      <c:valAx>
        <c:axId val="86172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514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type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DASHBOARD!$B$98:$B$102</c:f>
              <c:strCache>
                <c:ptCount val="5"/>
                <c:pt idx="0">
                  <c:v>Residential</c:v>
                </c:pt>
                <c:pt idx="1">
                  <c:v>Commercial</c:v>
                </c:pt>
                <c:pt idx="2">
                  <c:v>Studio</c:v>
                </c:pt>
                <c:pt idx="3">
                  <c:v>Institutional</c:v>
                </c:pt>
                <c:pt idx="4">
                  <c:v>EWS / LIG area</c:v>
                </c:pt>
              </c:strCache>
            </c:strRef>
          </c:cat>
          <c:val>
            <c:numRef>
              <c:f>DASHBOARD!$D$98:$D$102</c:f>
              <c:numCache>
                <c:formatCode>#,##0.0</c:formatCode>
                <c:ptCount val="5"/>
                <c:pt idx="0">
                  <c:v>725</c:v>
                </c:pt>
                <c:pt idx="1">
                  <c:v>42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2768249"/>
        <c:axId val="5244581"/>
      </c:barChart>
      <c:catAx>
        <c:axId val="42768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4581"/>
        <c:crosses val="autoZero"/>
        <c:auto val="1"/>
        <c:lblAlgn val="ctr"/>
        <c:lblOffset val="100"/>
        <c:noMultiLvlLbl val="0"/>
      </c:catAx>
      <c:valAx>
        <c:axId val="5244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68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by financial year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"Collections"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CASHFLOW!$D$86:$J$86</c:f>
              <c:multiLvlStrCache>
                <c:ptCount val="1"/>
                <c:lvl>
                  <c:pt idx="0">
                    <c:v>FY 2033-34</c:v>
                  </c:pt>
                </c:lvl>
                <c:lvl>
                  <c:pt idx="0">
                    <c:v>FY 2032-33</c:v>
                  </c:pt>
                </c:lvl>
                <c:lvl>
                  <c:pt idx="0">
                    <c:v>FY 2031-32</c:v>
                  </c:pt>
                </c:lvl>
                <c:lvl>
                  <c:pt idx="0">
                    <c:v>FY 2030-31</c:v>
                  </c:pt>
                </c:lvl>
                <c:lvl>
                  <c:pt idx="0">
                    <c:v>FY 2029-30</c:v>
                  </c:pt>
                </c:lvl>
                <c:lvl>
                  <c:pt idx="0">
                    <c:v>FY 2028-29</c:v>
                  </c:pt>
                </c:lvl>
                <c:lvl>
                  <c:pt idx="0">
                    <c:v>FY 2027-28</c:v>
                  </c:pt>
                </c:lvl>
              </c:multiLvlStrCache>
            </c:multiLvlStrRef>
          </c:cat>
          <c:val>
            <c:numRef>
              <c:f>CASHFLOW!$D$87:$J$87</c:f>
              <c:numCache>
                <c:formatCode>#,##0.00;\(#,##0.00\);""</c:formatCode>
                <c:ptCount val="7"/>
                <c:pt idx="0">
                  <c:v>21.3194444444444</c:v>
                </c:pt>
                <c:pt idx="1">
                  <c:v>159.030555555556</c:v>
                </c:pt>
                <c:pt idx="2">
                  <c:v>264.883333333333</c:v>
                </c:pt>
                <c:pt idx="3">
                  <c:v>259.966666666667</c:v>
                </c:pt>
                <c:pt idx="4">
                  <c:v>97.8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"Costs paid"</c:f>
              <c:strCache>
                <c:ptCount val="1"/>
                <c:pt idx="0">
                  <c:v>Costs paid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CASHFLOW!$D$86:$J$86</c:f>
              <c:multiLvlStrCache>
                <c:ptCount val="1"/>
                <c:lvl>
                  <c:pt idx="0">
                    <c:v>FY 2033-34</c:v>
                  </c:pt>
                </c:lvl>
                <c:lvl>
                  <c:pt idx="0">
                    <c:v>FY 2032-33</c:v>
                  </c:pt>
                </c:lvl>
                <c:lvl>
                  <c:pt idx="0">
                    <c:v>FY 2031-32</c:v>
                  </c:pt>
                </c:lvl>
                <c:lvl>
                  <c:pt idx="0">
                    <c:v>FY 2030-31</c:v>
                  </c:pt>
                </c:lvl>
                <c:lvl>
                  <c:pt idx="0">
                    <c:v>FY 2029-30</c:v>
                  </c:pt>
                </c:lvl>
                <c:lvl>
                  <c:pt idx="0">
                    <c:v>FY 2028-29</c:v>
                  </c:pt>
                </c:lvl>
                <c:lvl>
                  <c:pt idx="0">
                    <c:v>FY 2027-28</c:v>
                  </c:pt>
                </c:lvl>
              </c:multiLvlStrCache>
            </c:multiLvlStrRef>
          </c:cat>
          <c:val>
            <c:numRef>
              <c:f>CASHFLOW!$D$88:$J$88</c:f>
              <c:numCache>
                <c:formatCode>#,##0.00;\(#,##0.00\);""</c:formatCode>
                <c:ptCount val="7"/>
                <c:pt idx="0">
                  <c:v>31.3887481908219</c:v>
                </c:pt>
                <c:pt idx="1">
                  <c:v>82.5617079687704</c:v>
                </c:pt>
                <c:pt idx="2">
                  <c:v>129.742842612901</c:v>
                </c:pt>
                <c:pt idx="3">
                  <c:v>97.4629586978963</c:v>
                </c:pt>
                <c:pt idx="4">
                  <c:v>32.4890634592107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"Paid to landowner"</c:f>
              <c:strCache>
                <c:ptCount val="1"/>
                <c:pt idx="0">
                  <c:v>Paid to landowner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CASHFLOW!$D$86:$J$86</c:f>
              <c:multiLvlStrCache>
                <c:ptCount val="1"/>
                <c:lvl>
                  <c:pt idx="0">
                    <c:v>FY 2033-34</c:v>
                  </c:pt>
                </c:lvl>
                <c:lvl>
                  <c:pt idx="0">
                    <c:v>FY 2032-33</c:v>
                  </c:pt>
                </c:lvl>
                <c:lvl>
                  <c:pt idx="0">
                    <c:v>FY 2031-32</c:v>
                  </c:pt>
                </c:lvl>
                <c:lvl>
                  <c:pt idx="0">
                    <c:v>FY 2030-31</c:v>
                  </c:pt>
                </c:lvl>
                <c:lvl>
                  <c:pt idx="0">
                    <c:v>FY 2029-30</c:v>
                  </c:pt>
                </c:lvl>
                <c:lvl>
                  <c:pt idx="0">
                    <c:v>FY 2028-29</c:v>
                  </c:pt>
                </c:lvl>
                <c:lvl>
                  <c:pt idx="0">
                    <c:v>FY 2027-28</c:v>
                  </c:pt>
                </c:lvl>
              </c:multiLvlStrCache>
            </c:multiLvlStrRef>
          </c:cat>
          <c:val>
            <c:numRef>
              <c:f>CASHFLOW!$D$89:$J$89</c:f>
              <c:numCache>
                <c:formatCode>#,##0.00;\(#,##0.00\);""</c:formatCode>
                <c:ptCount val="7"/>
                <c:pt idx="0">
                  <c:v>18</c:v>
                </c:pt>
                <c:pt idx="1">
                  <c:v>39.712</c:v>
                </c:pt>
                <c:pt idx="2">
                  <c:v>84.7626666666667</c:v>
                </c:pt>
                <c:pt idx="3">
                  <c:v>83.1893333333333</c:v>
                </c:pt>
                <c:pt idx="4">
                  <c:v>31.296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97071489"/>
        <c:axId val="7371567"/>
      </c:barChart>
      <c:catAx>
        <c:axId val="97071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1567"/>
        <c:crosses val="autoZero"/>
        <c:auto val="1"/>
        <c:lblAlgn val="ctr"/>
        <c:lblOffset val="100"/>
        <c:noMultiLvlLbl val="0"/>
      </c:catAx>
      <c:valAx>
        <c:axId val="7371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14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in vs cash out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"Cumulative collections"</c:f>
              <c:strCache>
                <c:ptCount val="1"/>
                <c:pt idx="0">
                  <c:v>Cumulative collections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CASHFLOW!$D$6:$AI$6</c:f>
              <c:multiLvlStrCache>
                <c:ptCount val="1"/>
                <c:lvl>
                  <c:pt idx="0">
                    <c:v>Q32</c:v>
                  </c:pt>
                </c:lvl>
                <c:lvl>
                  <c:pt idx="0">
                    <c:v>Q31</c:v>
                  </c:pt>
                </c:lvl>
                <c:lvl>
                  <c:pt idx="0">
                    <c:v>Q30</c:v>
                  </c:pt>
                </c:lvl>
                <c:lvl>
                  <c:pt idx="0">
                    <c:v>Q29</c:v>
                  </c:pt>
                </c:lvl>
                <c:lvl>
                  <c:pt idx="0">
                    <c:v>Q28</c:v>
                  </c:pt>
                </c:lvl>
                <c:lvl>
                  <c:pt idx="0">
                    <c:v>Q27</c:v>
                  </c:pt>
                </c:lvl>
                <c:lvl>
                  <c:pt idx="0">
                    <c:v>Q26</c:v>
                  </c:pt>
                </c:lvl>
                <c:lvl>
                  <c:pt idx="0">
                    <c:v>Q25</c:v>
                  </c:pt>
                </c:lvl>
                <c:lvl>
                  <c:pt idx="0">
                    <c:v>Q24</c:v>
                  </c:pt>
                </c:lvl>
                <c:lvl>
                  <c:pt idx="0">
                    <c:v>Q23</c:v>
                  </c:pt>
                </c:lvl>
                <c:lvl>
                  <c:pt idx="0">
                    <c:v>Q22</c:v>
                  </c:pt>
                </c:lvl>
                <c:lvl>
                  <c:pt idx="0">
                    <c:v>Q21</c:v>
                  </c:pt>
                </c:lvl>
                <c:lvl>
                  <c:pt idx="0">
                    <c:v>Q20</c:v>
                  </c:pt>
                </c:lvl>
                <c:lvl>
                  <c:pt idx="0">
                    <c:v>Q19</c:v>
                  </c:pt>
                </c:lvl>
                <c:lvl>
                  <c:pt idx="0">
                    <c:v>Q18</c:v>
                  </c:pt>
                </c:lvl>
                <c:lvl>
                  <c:pt idx="0">
                    <c:v>Q17</c:v>
                  </c:pt>
                </c:lvl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CASHFLOW!$D$126:$AI$126</c:f>
              <c:numCache>
                <c:formatCode>#,##0.00;\(#,##0.00\);""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6.11111111111111</c:v>
                </c:pt>
                <c:pt idx="3">
                  <c:v>21.3194444444444</c:v>
                </c:pt>
                <c:pt idx="4">
                  <c:v>50.2083333333333</c:v>
                </c:pt>
                <c:pt idx="5">
                  <c:v>71.1444444444445</c:v>
                </c:pt>
                <c:pt idx="6">
                  <c:v>110.1</c:v>
                </c:pt>
                <c:pt idx="7">
                  <c:v>180.35</c:v>
                </c:pt>
                <c:pt idx="8">
                  <c:v>226.056944444444</c:v>
                </c:pt>
                <c:pt idx="9">
                  <c:v>294.616666666667</c:v>
                </c:pt>
                <c:pt idx="10">
                  <c:v>389.466666666667</c:v>
                </c:pt>
                <c:pt idx="11">
                  <c:v>445.233333333333</c:v>
                </c:pt>
                <c:pt idx="12">
                  <c:v>478.95</c:v>
                </c:pt>
                <c:pt idx="13">
                  <c:v>565.416666666667</c:v>
                </c:pt>
                <c:pt idx="14">
                  <c:v>628.433333333333</c:v>
                </c:pt>
                <c:pt idx="15">
                  <c:v>705.2</c:v>
                </c:pt>
                <c:pt idx="16">
                  <c:v>735.5</c:v>
                </c:pt>
                <c:pt idx="17">
                  <c:v>758</c:v>
                </c:pt>
                <c:pt idx="18">
                  <c:v>758</c:v>
                </c:pt>
                <c:pt idx="19">
                  <c:v>803</c:v>
                </c:pt>
                <c:pt idx="20">
                  <c:v>803</c:v>
                </c:pt>
                <c:pt idx="21">
                  <c:v>803</c:v>
                </c:pt>
                <c:pt idx="22">
                  <c:v>803</c:v>
                </c:pt>
                <c:pt idx="23">
                  <c:v>803</c:v>
                </c:pt>
                <c:pt idx="24">
                  <c:v>803</c:v>
                </c:pt>
                <c:pt idx="25">
                  <c:v>803</c:v>
                </c:pt>
                <c:pt idx="26">
                  <c:v>803</c:v>
                </c:pt>
                <c:pt idx="27">
                  <c:v>803</c:v>
                </c:pt>
                <c:pt idx="28">
                  <c:v>803</c:v>
                </c:pt>
                <c:pt idx="29">
                  <c:v>803</c:v>
                </c:pt>
                <c:pt idx="30">
                  <c:v>803</c:v>
                </c:pt>
                <c:pt idx="31">
                  <c:v>803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"Cumulative cash out"</c:f>
              <c:strCache>
                <c:ptCount val="1"/>
                <c:pt idx="0">
                  <c:v>Cumulative cash out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CASHFLOW!$D$6:$AI$6</c:f>
              <c:multiLvlStrCache>
                <c:ptCount val="1"/>
                <c:lvl>
                  <c:pt idx="0">
                    <c:v>Q32</c:v>
                  </c:pt>
                </c:lvl>
                <c:lvl>
                  <c:pt idx="0">
                    <c:v>Q31</c:v>
                  </c:pt>
                </c:lvl>
                <c:lvl>
                  <c:pt idx="0">
                    <c:v>Q30</c:v>
                  </c:pt>
                </c:lvl>
                <c:lvl>
                  <c:pt idx="0">
                    <c:v>Q29</c:v>
                  </c:pt>
                </c:lvl>
                <c:lvl>
                  <c:pt idx="0">
                    <c:v>Q28</c:v>
                  </c:pt>
                </c:lvl>
                <c:lvl>
                  <c:pt idx="0">
                    <c:v>Q27</c:v>
                  </c:pt>
                </c:lvl>
                <c:lvl>
                  <c:pt idx="0">
                    <c:v>Q26</c:v>
                  </c:pt>
                </c:lvl>
                <c:lvl>
                  <c:pt idx="0">
                    <c:v>Q25</c:v>
                  </c:pt>
                </c:lvl>
                <c:lvl>
                  <c:pt idx="0">
                    <c:v>Q24</c:v>
                  </c:pt>
                </c:lvl>
                <c:lvl>
                  <c:pt idx="0">
                    <c:v>Q23</c:v>
                  </c:pt>
                </c:lvl>
                <c:lvl>
                  <c:pt idx="0">
                    <c:v>Q22</c:v>
                  </c:pt>
                </c:lvl>
                <c:lvl>
                  <c:pt idx="0">
                    <c:v>Q21</c:v>
                  </c:pt>
                </c:lvl>
                <c:lvl>
                  <c:pt idx="0">
                    <c:v>Q20</c:v>
                  </c:pt>
                </c:lvl>
                <c:lvl>
                  <c:pt idx="0">
                    <c:v>Q19</c:v>
                  </c:pt>
                </c:lvl>
                <c:lvl>
                  <c:pt idx="0">
                    <c:v>Q18</c:v>
                  </c:pt>
                </c:lvl>
                <c:lvl>
                  <c:pt idx="0">
                    <c:v>Q17</c:v>
                  </c:pt>
                </c:lvl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CASHFLOW!$D$127:$AI$127</c:f>
              <c:numCache>
                <c:formatCode>#,##0.00;\(#,##0.00\);""</c:formatCode>
                <c:ptCount val="32"/>
                <c:pt idx="0">
                  <c:v>19.606</c:v>
                </c:pt>
                <c:pt idx="1">
                  <c:v>34.2873209296</c:v>
                </c:pt>
                <c:pt idx="2">
                  <c:v>40.1710987073778</c:v>
                </c:pt>
                <c:pt idx="3">
                  <c:v>49.3887481908219</c:v>
                </c:pt>
                <c:pt idx="4">
                  <c:v>62.1571703830849</c:v>
                </c:pt>
                <c:pt idx="5">
                  <c:v>85.3374506096244</c:v>
                </c:pt>
                <c:pt idx="6">
                  <c:v>121.343129887867</c:v>
                </c:pt>
                <c:pt idx="7">
                  <c:v>171.662456159592</c:v>
                </c:pt>
                <c:pt idx="8">
                  <c:v>217.278648220128</c:v>
                </c:pt>
                <c:pt idx="9">
                  <c:v>272.034742353264</c:v>
                </c:pt>
                <c:pt idx="10">
                  <c:v>335.607302933619</c:v>
                </c:pt>
                <c:pt idx="11">
                  <c:v>386.16796543916</c:v>
                </c:pt>
                <c:pt idx="12">
                  <c:v>427.78337776555</c:v>
                </c:pt>
                <c:pt idx="13">
                  <c:v>482.824835867734</c:v>
                </c:pt>
                <c:pt idx="14">
                  <c:v>526.17359940825</c:v>
                </c:pt>
                <c:pt idx="15">
                  <c:v>566.820257470389</c:v>
                </c:pt>
                <c:pt idx="16">
                  <c:v>589.425405215962</c:v>
                </c:pt>
                <c:pt idx="17">
                  <c:v>606.325776040495</c:v>
                </c:pt>
                <c:pt idx="18">
                  <c:v>612.916264983287</c:v>
                </c:pt>
                <c:pt idx="19">
                  <c:v>630.6053209296</c:v>
                </c:pt>
                <c:pt idx="20">
                  <c:v>630.6053209296</c:v>
                </c:pt>
                <c:pt idx="21">
                  <c:v>630.6053209296</c:v>
                </c:pt>
                <c:pt idx="22">
                  <c:v>630.6053209296</c:v>
                </c:pt>
                <c:pt idx="23">
                  <c:v>630.6053209296</c:v>
                </c:pt>
                <c:pt idx="24">
                  <c:v>630.6053209296</c:v>
                </c:pt>
                <c:pt idx="25">
                  <c:v>630.6053209296</c:v>
                </c:pt>
                <c:pt idx="26">
                  <c:v>630.6053209296</c:v>
                </c:pt>
                <c:pt idx="27">
                  <c:v>630.6053209296</c:v>
                </c:pt>
                <c:pt idx="28">
                  <c:v>630.6053209296</c:v>
                </c:pt>
                <c:pt idx="29">
                  <c:v>630.6053209296</c:v>
                </c:pt>
                <c:pt idx="30">
                  <c:v>630.6053209296</c:v>
                </c:pt>
                <c:pt idx="31">
                  <c:v>630.6053209296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430547"/>
        <c:axId val="85105532"/>
      </c:lineChart>
      <c:catAx>
        <c:axId val="19430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05532"/>
        <c:crosses val="autoZero"/>
        <c:auto val="1"/>
        <c:lblAlgn val="ctr"/>
        <c:lblOffset val="100"/>
        <c:noMultiLvlLbl val="0"/>
      </c:catAx>
      <c:valAx>
        <c:axId val="85105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305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timeline – quarters from start (sales &amp; construction)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"start"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DASHBOARD!$B$105:$B$124</c:f>
              <c:strCache>
                <c:ptCount val="20"/>
                <c:pt idx="0">
                  <c:v>Villas – selling</c:v>
                </c:pt>
                <c:pt idx="1">
                  <c:v>Villas – building</c:v>
                </c:pt>
                <c:pt idx="2">
                  <c:v>Apartments – Towers A &amp; B – selling</c:v>
                </c:pt>
                <c:pt idx="3">
                  <c:v>Apartments – Towers A &amp; B – building</c:v>
                </c:pt>
                <c:pt idx="4">
                  <c:v>Studios – selling</c:v>
                </c:pt>
                <c:pt idx="5">
                  <c:v>Studios – building</c:v>
                </c:pt>
                <c:pt idx="6">
                  <c:v>High-street retail – selling</c:v>
                </c:pt>
                <c:pt idx="7">
                  <c:v>High-street retail – building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DASHBOARD!$D$105:$D$124</c:f>
              <c:numCache>
                <c:formatCode>0</c:formatCode>
                <c:ptCount val="2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"Selling"</c:f>
              <c:strCache>
                <c:ptCount val="1"/>
                <c:pt idx="0">
                  <c:v>Selling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DASHBOARD!$B$105:$B$124</c:f>
              <c:strCache>
                <c:ptCount val="20"/>
                <c:pt idx="0">
                  <c:v>Villas – selling</c:v>
                </c:pt>
                <c:pt idx="1">
                  <c:v>Villas – building</c:v>
                </c:pt>
                <c:pt idx="2">
                  <c:v>Apartments – Towers A &amp; B – selling</c:v>
                </c:pt>
                <c:pt idx="3">
                  <c:v>Apartments – Towers A &amp; B – building</c:v>
                </c:pt>
                <c:pt idx="4">
                  <c:v>Studios – selling</c:v>
                </c:pt>
                <c:pt idx="5">
                  <c:v>Studios – building</c:v>
                </c:pt>
                <c:pt idx="6">
                  <c:v>High-street retail – selling</c:v>
                </c:pt>
                <c:pt idx="7">
                  <c:v>High-street retail – building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DASHBOARD!$E$105:$E$124</c:f>
              <c:numCache>
                <c:formatCode>0</c:formatCode>
                <c:ptCount val="20"/>
                <c:pt idx="0">
                  <c:v>8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"Building"</c:f>
              <c:strCache>
                <c:ptCount val="1"/>
                <c:pt idx="0">
                  <c:v>Building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DASHBOARD!$B$105:$B$124</c:f>
              <c:strCache>
                <c:ptCount val="20"/>
                <c:pt idx="0">
                  <c:v>Villas – selling</c:v>
                </c:pt>
                <c:pt idx="1">
                  <c:v>Villas – building</c:v>
                </c:pt>
                <c:pt idx="2">
                  <c:v>Apartments – Towers A &amp; B – selling</c:v>
                </c:pt>
                <c:pt idx="3">
                  <c:v>Apartments – Towers A &amp; B – building</c:v>
                </c:pt>
                <c:pt idx="4">
                  <c:v>Studios – selling</c:v>
                </c:pt>
                <c:pt idx="5">
                  <c:v>Studios – building</c:v>
                </c:pt>
                <c:pt idx="6">
                  <c:v>High-street retail – selling</c:v>
                </c:pt>
                <c:pt idx="7">
                  <c:v>High-street retail – building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DASHBOARD!$F$105:$F$124</c:f>
              <c:numCache>
                <c:formatCode>0</c:formatCode>
                <c:ptCount val="20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16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40"/>
        <c:overlap val="100"/>
        <c:axId val="94220771"/>
        <c:axId val="69334068"/>
      </c:barChart>
      <c:catAx>
        <c:axId val="942207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34068"/>
        <c:crosses val="autoZero"/>
        <c:auto val="1"/>
        <c:lblAlgn val="ctr"/>
        <c:lblOffset val="100"/>
        <c:noMultiLvlLbl val="0"/>
      </c:catAx>
      <c:valAx>
        <c:axId val="6933406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207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Developer IRR under each stress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STRESS!$B$101:$B$106</c:f>
              <c:strCache>
                <c:ptCount val="6"/>
                <c:pt idx="0">
                  <c:v>Base case</c:v>
                </c:pt>
                <c:pt idx="1">
                  <c:v>Price −10%</c:v>
                </c:pt>
                <c:pt idx="2">
                  <c:v>Construction cost +10%</c:v>
                </c:pt>
                <c:pt idx="3">
                  <c:v>Sales 1.5x slower</c:v>
                </c:pt>
                <c:pt idx="4">
                  <c:v>Delay +2 quarters</c:v>
                </c:pt>
                <c:pt idx="5">
                  <c:v>Worst Case scenario</c:v>
                </c:pt>
              </c:strCache>
            </c:strRef>
          </c:cat>
          <c:val>
            <c:numRef>
              <c:f>STRESS!$C$101:$C$106</c:f>
              <c:numCache>
                <c:formatCode>0.0%</c:formatCode>
                <c:ptCount val="6"/>
                <c:pt idx="0">
                  <c:v>1.10176376739746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5382693"/>
        <c:axId val="61531465"/>
      </c:barChart>
      <c:catAx>
        <c:axId val="7538269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31465"/>
        <c:crosses val="autoZero"/>
        <c:auto val="1"/>
        <c:lblAlgn val="ctr"/>
        <c:lblOffset val="100"/>
        <c:noMultiLvlLbl val="0"/>
      </c:catAx>
      <c:valAx>
        <c:axId val="61531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82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share of total – five curve shapes (n = 12)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"Even"</c:f>
              <c:strCache>
                <c:ptCount val="1"/>
                <c:pt idx="0">
                  <c:v>Even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CURVES!$D$13:$O$13</c:f>
              <c:numCache>
                <c:formatCode>0.0%</c:formatCode>
                <c:ptCount val="12"/>
                <c:pt idx="0">
                  <c:v>0.0833333333333333</c:v>
                </c:pt>
                <c:pt idx="1">
                  <c:v>0.0833333333333333</c:v>
                </c:pt>
                <c:pt idx="2">
                  <c:v>0.0833333333333333</c:v>
                </c:pt>
                <c:pt idx="3">
                  <c:v>0.0833333333333333</c:v>
                </c:pt>
                <c:pt idx="4">
                  <c:v>0.0833333333333333</c:v>
                </c:pt>
                <c:pt idx="5">
                  <c:v>0.0833333333333333</c:v>
                </c:pt>
                <c:pt idx="6">
                  <c:v>0.0833333333333333</c:v>
                </c:pt>
                <c:pt idx="7">
                  <c:v>0.0833333333333333</c:v>
                </c:pt>
                <c:pt idx="8">
                  <c:v>0.0833333333333333</c:v>
                </c:pt>
                <c:pt idx="9">
                  <c:v>0.0833333333333333</c:v>
                </c:pt>
                <c:pt idx="10">
                  <c:v>0.0833333333333333</c:v>
                </c:pt>
                <c:pt idx="11">
                  <c:v>0.0833333333333333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"Front-loaded"</c:f>
              <c:strCache>
                <c:ptCount val="1"/>
                <c:pt idx="0">
                  <c:v>Front-loaded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CURVES!$D$14:$O$14</c:f>
              <c:numCache>
                <c:formatCode>0.0%</c:formatCode>
                <c:ptCount val="12"/>
                <c:pt idx="0">
                  <c:v>0.153846153846154</c:v>
                </c:pt>
                <c:pt idx="1">
                  <c:v>0.141025641025641</c:v>
                </c:pt>
                <c:pt idx="2">
                  <c:v>0.128205128205128</c:v>
                </c:pt>
                <c:pt idx="3">
                  <c:v>0.115384615384615</c:v>
                </c:pt>
                <c:pt idx="4">
                  <c:v>0.102564102564103</c:v>
                </c:pt>
                <c:pt idx="5">
                  <c:v>0.0897435897435897</c:v>
                </c:pt>
                <c:pt idx="6">
                  <c:v>0.0769230769230769</c:v>
                </c:pt>
                <c:pt idx="7">
                  <c:v>0.0641025641025641</c:v>
                </c:pt>
                <c:pt idx="8">
                  <c:v>0.0512820512820513</c:v>
                </c:pt>
                <c:pt idx="9">
                  <c:v>0.0384615384615385</c:v>
                </c:pt>
                <c:pt idx="10">
                  <c:v>0.0256410256410256</c:v>
                </c:pt>
                <c:pt idx="11">
                  <c:v>0.0128205128205128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"Back-loaded"</c:f>
              <c:strCache>
                <c:ptCount val="1"/>
                <c:pt idx="0">
                  <c:v>Back-loaded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CURVES!$D$15:$O$15</c:f>
              <c:numCache>
                <c:formatCode>0.0%</c:formatCode>
                <c:ptCount val="12"/>
                <c:pt idx="0">
                  <c:v>0.0128205128205128</c:v>
                </c:pt>
                <c:pt idx="1">
                  <c:v>0.0256410256410256</c:v>
                </c:pt>
                <c:pt idx="2">
                  <c:v>0.0384615384615385</c:v>
                </c:pt>
                <c:pt idx="3">
                  <c:v>0.0512820512820513</c:v>
                </c:pt>
                <c:pt idx="4">
                  <c:v>0.0641025641025641</c:v>
                </c:pt>
                <c:pt idx="5">
                  <c:v>0.0769230769230769</c:v>
                </c:pt>
                <c:pt idx="6">
                  <c:v>0.0897435897435897</c:v>
                </c:pt>
                <c:pt idx="7">
                  <c:v>0.102564102564103</c:v>
                </c:pt>
                <c:pt idx="8">
                  <c:v>0.115384615384615</c:v>
                </c:pt>
                <c:pt idx="9">
                  <c:v>0.128205128205128</c:v>
                </c:pt>
                <c:pt idx="10">
                  <c:v>0.141025641025641</c:v>
                </c:pt>
                <c:pt idx="11">
                  <c:v>0.153846153846154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"S-curve"</c:f>
              <c:strCache>
                <c:ptCount val="1"/>
                <c:pt idx="0">
                  <c:v>S-curve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CURVES!$D$16:$O$16</c:f>
              <c:numCache>
                <c:formatCode>0.0%</c:formatCode>
                <c:ptCount val="12"/>
                <c:pt idx="0">
                  <c:v>0.0170370868554659</c:v>
                </c:pt>
                <c:pt idx="1">
                  <c:v>0.0499502112523148</c:v>
                </c:pt>
                <c:pt idx="2">
                  <c:v>0.0794593112989456</c:v>
                </c:pt>
                <c:pt idx="3">
                  <c:v>0.103553390593274</c:v>
                </c:pt>
                <c:pt idx="4">
                  <c:v>0.12059047744874</c:v>
                </c:pt>
                <c:pt idx="5">
                  <c:v>0.12940952255126</c:v>
                </c:pt>
                <c:pt idx="6">
                  <c:v>0.12940952255126</c:v>
                </c:pt>
                <c:pt idx="7">
                  <c:v>0.12059047744874</c:v>
                </c:pt>
                <c:pt idx="8">
                  <c:v>0.103553390593274</c:v>
                </c:pt>
                <c:pt idx="9">
                  <c:v>0.0794593112989456</c:v>
                </c:pt>
                <c:pt idx="10">
                  <c:v>0.0499502112523148</c:v>
                </c:pt>
                <c:pt idx="11">
                  <c:v>0.0170370868554659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624241"/>
        <c:axId val="92466541"/>
      </c:lineChart>
      <c:catAx>
        <c:axId val="14624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 in window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66541"/>
        <c:crosses val="autoZero"/>
        <c:auto val="1"/>
        <c:lblAlgn val="ctr"/>
        <c:lblOffset val="100"/>
        <c:noMultiLvlLbl val="0"/>
      </c:catAx>
      <c:valAx>
        <c:axId val="92466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24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 – cumulative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"Cumulative S-curve"</c:f>
              <c:strCache>
                <c:ptCount val="1"/>
                <c:pt idx="0">
                  <c:v>Cumulative S-curve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CURVES!$D$11:$O$11</c:f>
              <c:multiLvlStrCache>
                <c:ptCount val="1"/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CURVES!$D$17:$O$17</c:f>
              <c:numCache>
                <c:formatCode>0.0%</c:formatCode>
                <c:ptCount val="12"/>
                <c:pt idx="0">
                  <c:v>0.0170370868554659</c:v>
                </c:pt>
                <c:pt idx="1">
                  <c:v>0.0669872981077807</c:v>
                </c:pt>
                <c:pt idx="2">
                  <c:v>0.146446609406726</c:v>
                </c:pt>
                <c:pt idx="3">
                  <c:v>0.25</c:v>
                </c:pt>
                <c:pt idx="4">
                  <c:v>0.37059047744874</c:v>
                </c:pt>
                <c:pt idx="5">
                  <c:v>0.5</c:v>
                </c:pt>
                <c:pt idx="6">
                  <c:v>0.62940952255126</c:v>
                </c:pt>
                <c:pt idx="7">
                  <c:v>0.75</c:v>
                </c:pt>
                <c:pt idx="8">
                  <c:v>0.853553390593274</c:v>
                </c:pt>
                <c:pt idx="9">
                  <c:v>0.933012701892219</c:v>
                </c:pt>
                <c:pt idx="10">
                  <c:v>0.982962913144534</c:v>
                </c:pt>
                <c:pt idx="11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05721"/>
        <c:axId val="29493777"/>
      </c:lineChart>
      <c:catAx>
        <c:axId val="530572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93777"/>
        <c:crosses val="autoZero"/>
        <c:auto val="1"/>
        <c:lblAlgn val="ctr"/>
        <c:lblOffset val="100"/>
        <c:noMultiLvlLbl val="0"/>
      </c:catAx>
      <c:valAx>
        <c:axId val="29493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5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Developer cash flow by quarter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cash flow (quarter)"</c:f>
              <c:strCache>
                <c:ptCount val="1"/>
                <c:pt idx="0">
                  <c:v>Net cash flow (quarter)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CASHFLOW!$D$6:$AI$6</c:f>
              <c:multiLvlStrCache>
                <c:ptCount val="1"/>
                <c:lvl>
                  <c:pt idx="0">
                    <c:v>Q32</c:v>
                  </c:pt>
                </c:lvl>
                <c:lvl>
                  <c:pt idx="0">
                    <c:v>Q31</c:v>
                  </c:pt>
                </c:lvl>
                <c:lvl>
                  <c:pt idx="0">
                    <c:v>Q30</c:v>
                  </c:pt>
                </c:lvl>
                <c:lvl>
                  <c:pt idx="0">
                    <c:v>Q29</c:v>
                  </c:pt>
                </c:lvl>
                <c:lvl>
                  <c:pt idx="0">
                    <c:v>Q28</c:v>
                  </c:pt>
                </c:lvl>
                <c:lvl>
                  <c:pt idx="0">
                    <c:v>Q27</c:v>
                  </c:pt>
                </c:lvl>
                <c:lvl>
                  <c:pt idx="0">
                    <c:v>Q26</c:v>
                  </c:pt>
                </c:lvl>
                <c:lvl>
                  <c:pt idx="0">
                    <c:v>Q25</c:v>
                  </c:pt>
                </c:lvl>
                <c:lvl>
                  <c:pt idx="0">
                    <c:v>Q24</c:v>
                  </c:pt>
                </c:lvl>
                <c:lvl>
                  <c:pt idx="0">
                    <c:v>Q23</c:v>
                  </c:pt>
                </c:lvl>
                <c:lvl>
                  <c:pt idx="0">
                    <c:v>Q22</c:v>
                  </c:pt>
                </c:lvl>
                <c:lvl>
                  <c:pt idx="0">
                    <c:v>Q21</c:v>
                  </c:pt>
                </c:lvl>
                <c:lvl>
                  <c:pt idx="0">
                    <c:v>Q20</c:v>
                  </c:pt>
                </c:lvl>
                <c:lvl>
                  <c:pt idx="0">
                    <c:v>Q19</c:v>
                  </c:pt>
                </c:lvl>
                <c:lvl>
                  <c:pt idx="0">
                    <c:v>Q18</c:v>
                  </c:pt>
                </c:lvl>
                <c:lvl>
                  <c:pt idx="0">
                    <c:v>Q17</c:v>
                  </c:pt>
                </c:lvl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CASHFLOW!$D$55:$AI$55</c:f>
              <c:numCache>
                <c:formatCode>#,##0.00;\(#,##0.00\);""</c:formatCode>
                <c:ptCount val="32"/>
                <c:pt idx="0">
                  <c:v>-19.606</c:v>
                </c:pt>
                <c:pt idx="1">
                  <c:v>-14.6813209296</c:v>
                </c:pt>
                <c:pt idx="2">
                  <c:v>0.227333333333332</c:v>
                </c:pt>
                <c:pt idx="3">
                  <c:v>5.9906838498892</c:v>
                </c:pt>
                <c:pt idx="4">
                  <c:v>16.1204666966259</c:v>
                </c:pt>
                <c:pt idx="5">
                  <c:v>-2.24416911542845</c:v>
                </c:pt>
                <c:pt idx="6">
                  <c:v>2.94987627731311</c:v>
                </c:pt>
                <c:pt idx="7">
                  <c:v>19.9306737282746</c:v>
                </c:pt>
                <c:pt idx="8">
                  <c:v>0.0907523839090771</c:v>
                </c:pt>
                <c:pt idx="9">
                  <c:v>13.803628089086</c:v>
                </c:pt>
                <c:pt idx="10">
                  <c:v>31.2774394196453</c:v>
                </c:pt>
                <c:pt idx="11">
                  <c:v>5.20600416112566</c:v>
                </c:pt>
                <c:pt idx="12">
                  <c:v>-7.89874565972353</c:v>
                </c:pt>
                <c:pt idx="13">
                  <c:v>31.4252085644827</c:v>
                </c:pt>
                <c:pt idx="14">
                  <c:v>19.6679031261504</c:v>
                </c:pt>
                <c:pt idx="15">
                  <c:v>36.1200086045275</c:v>
                </c:pt>
                <c:pt idx="16">
                  <c:v>7.69485225442719</c:v>
                </c:pt>
                <c:pt idx="17">
                  <c:v>5.5996291754674</c:v>
                </c:pt>
                <c:pt idx="18">
                  <c:v>-6.59048894279194</c:v>
                </c:pt>
                <c:pt idx="19">
                  <c:v>27.3109440536866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gapWidth val="150"/>
        <c:overlap val="0"/>
        <c:axId val="94048636"/>
        <c:axId val="41187394"/>
      </c:barChart>
      <c:lineChart>
        <c:grouping val="standard"/>
        <c:varyColors val="0"/>
        <c:ser>
          <c:idx val="1"/>
          <c:order val="1"/>
          <c:tx>
            <c:strRef>
              <c:f>"Cumulative (funding curve)"</c:f>
              <c:strCache>
                <c:ptCount val="1"/>
                <c:pt idx="0">
                  <c:v>Cumulative (funding curve)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CASHFLOW!$D$6:$AI$6</c:f>
              <c:multiLvlStrCache>
                <c:ptCount val="1"/>
                <c:lvl>
                  <c:pt idx="0">
                    <c:v>Q32</c:v>
                  </c:pt>
                </c:lvl>
                <c:lvl>
                  <c:pt idx="0">
                    <c:v>Q31</c:v>
                  </c:pt>
                </c:lvl>
                <c:lvl>
                  <c:pt idx="0">
                    <c:v>Q30</c:v>
                  </c:pt>
                </c:lvl>
                <c:lvl>
                  <c:pt idx="0">
                    <c:v>Q29</c:v>
                  </c:pt>
                </c:lvl>
                <c:lvl>
                  <c:pt idx="0">
                    <c:v>Q28</c:v>
                  </c:pt>
                </c:lvl>
                <c:lvl>
                  <c:pt idx="0">
                    <c:v>Q27</c:v>
                  </c:pt>
                </c:lvl>
                <c:lvl>
                  <c:pt idx="0">
                    <c:v>Q26</c:v>
                  </c:pt>
                </c:lvl>
                <c:lvl>
                  <c:pt idx="0">
                    <c:v>Q25</c:v>
                  </c:pt>
                </c:lvl>
                <c:lvl>
                  <c:pt idx="0">
                    <c:v>Q24</c:v>
                  </c:pt>
                </c:lvl>
                <c:lvl>
                  <c:pt idx="0">
                    <c:v>Q23</c:v>
                  </c:pt>
                </c:lvl>
                <c:lvl>
                  <c:pt idx="0">
                    <c:v>Q22</c:v>
                  </c:pt>
                </c:lvl>
                <c:lvl>
                  <c:pt idx="0">
                    <c:v>Q21</c:v>
                  </c:pt>
                </c:lvl>
                <c:lvl>
                  <c:pt idx="0">
                    <c:v>Q20</c:v>
                  </c:pt>
                </c:lvl>
                <c:lvl>
                  <c:pt idx="0">
                    <c:v>Q19</c:v>
                  </c:pt>
                </c:lvl>
                <c:lvl>
                  <c:pt idx="0">
                    <c:v>Q18</c:v>
                  </c:pt>
                </c:lvl>
                <c:lvl>
                  <c:pt idx="0">
                    <c:v>Q17</c:v>
                  </c:pt>
                </c:lvl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CASHFLOW!$D$56:$AI$56</c:f>
              <c:numCache>
                <c:formatCode>#,##0.00;\(#,##0.00\);""</c:formatCode>
                <c:ptCount val="32"/>
                <c:pt idx="0">
                  <c:v>-19.606</c:v>
                </c:pt>
                <c:pt idx="1">
                  <c:v>-34.2873209296</c:v>
                </c:pt>
                <c:pt idx="2">
                  <c:v>-34.0599875962667</c:v>
                </c:pt>
                <c:pt idx="3">
                  <c:v>-28.0693037463775</c:v>
                </c:pt>
                <c:pt idx="4">
                  <c:v>-11.9488370497516</c:v>
                </c:pt>
                <c:pt idx="5">
                  <c:v>-14.19300616518</c:v>
                </c:pt>
                <c:pt idx="6">
                  <c:v>-11.2431298878669</c:v>
                </c:pt>
                <c:pt idx="7">
                  <c:v>8.68754384040767</c:v>
                </c:pt>
                <c:pt idx="8">
                  <c:v>8.77829622431675</c:v>
                </c:pt>
                <c:pt idx="9">
                  <c:v>22.5819243134027</c:v>
                </c:pt>
                <c:pt idx="10">
                  <c:v>53.859363733048</c:v>
                </c:pt>
                <c:pt idx="11">
                  <c:v>59.0653678941736</c:v>
                </c:pt>
                <c:pt idx="12">
                  <c:v>51.1666222344501</c:v>
                </c:pt>
                <c:pt idx="13">
                  <c:v>82.5918307989328</c:v>
                </c:pt>
                <c:pt idx="14">
                  <c:v>102.259733925083</c:v>
                </c:pt>
                <c:pt idx="15">
                  <c:v>138.379742529611</c:v>
                </c:pt>
                <c:pt idx="16">
                  <c:v>146.074594784038</c:v>
                </c:pt>
                <c:pt idx="17">
                  <c:v>151.674223959505</c:v>
                </c:pt>
                <c:pt idx="18">
                  <c:v>145.083735016713</c:v>
                </c:pt>
                <c:pt idx="19">
                  <c:v>172.3946790704</c:v>
                </c:pt>
                <c:pt idx="20">
                  <c:v>172.3946790704</c:v>
                </c:pt>
                <c:pt idx="21">
                  <c:v>172.3946790704</c:v>
                </c:pt>
                <c:pt idx="22">
                  <c:v>172.3946790704</c:v>
                </c:pt>
                <c:pt idx="23">
                  <c:v>172.3946790704</c:v>
                </c:pt>
                <c:pt idx="24">
                  <c:v>172.3946790704</c:v>
                </c:pt>
                <c:pt idx="25">
                  <c:v>172.3946790704</c:v>
                </c:pt>
                <c:pt idx="26">
                  <c:v>172.3946790704</c:v>
                </c:pt>
                <c:pt idx="27">
                  <c:v>172.3946790704</c:v>
                </c:pt>
                <c:pt idx="28">
                  <c:v>172.3946790704</c:v>
                </c:pt>
                <c:pt idx="29">
                  <c:v>172.3946790704</c:v>
                </c:pt>
                <c:pt idx="30">
                  <c:v>172.3946790704</c:v>
                </c:pt>
                <c:pt idx="31">
                  <c:v>172.3946790704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177028"/>
        <c:axId val="3791223"/>
      </c:lineChart>
      <c:catAx>
        <c:axId val="94048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87394"/>
        <c:crosses val="autoZero"/>
        <c:auto val="1"/>
        <c:lblAlgn val="ctr"/>
        <c:lblOffset val="100"/>
        <c:noMultiLvlLbl val="0"/>
      </c:catAx>
      <c:valAx>
        <c:axId val="41187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 per 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48636"/>
        <c:crosses val="autoZero"/>
        <c:crossBetween val="between"/>
      </c:valAx>
      <c:catAx>
        <c:axId val="5317702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1223"/>
        <c:crosses val="autoZero"/>
        <c:auto val="1"/>
        <c:lblAlgn val="ctr"/>
        <c:lblOffset val="100"/>
        <c:noMultiLvlLbl val="0"/>
      </c:catAx>
      <c:valAx>
        <c:axId val="379122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₹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;&quot;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7702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70560</xdr:rowOff>
    </xdr:from>
    <xdr:to>
      <xdr:col>16</xdr:col>
      <xdr:colOff>76320</xdr:colOff>
      <xdr:row>37</xdr:row>
      <xdr:rowOff>164520</xdr:rowOff>
    </xdr:to>
    <xdr:graphicFrame>
      <xdr:nvGraphicFramePr>
        <xdr:cNvPr id="0" name="Chart 1"/>
        <xdr:cNvGraphicFramePr/>
      </xdr:nvGraphicFramePr>
      <xdr:xfrm>
        <a:off x="141120" y="5838840"/>
        <a:ext cx="122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39</xdr:row>
      <xdr:rowOff>70560</xdr:rowOff>
    </xdr:from>
    <xdr:to>
      <xdr:col>8</xdr:col>
      <xdr:colOff>443520</xdr:colOff>
      <xdr:row>54</xdr:row>
      <xdr:rowOff>164520</xdr:rowOff>
    </xdr:to>
    <xdr:graphicFrame>
      <xdr:nvGraphicFramePr>
        <xdr:cNvPr id="1" name="Chart 2"/>
        <xdr:cNvGraphicFramePr/>
      </xdr:nvGraphicFramePr>
      <xdr:xfrm>
        <a:off x="141120" y="907740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70560</xdr:rowOff>
    </xdr:from>
    <xdr:to>
      <xdr:col>16</xdr:col>
      <xdr:colOff>443160</xdr:colOff>
      <xdr:row>54</xdr:row>
      <xdr:rowOff>164520</xdr:rowOff>
    </xdr:to>
    <xdr:graphicFrame>
      <xdr:nvGraphicFramePr>
        <xdr:cNvPr id="2" name="Chart 3"/>
        <xdr:cNvGraphicFramePr/>
      </xdr:nvGraphicFramePr>
      <xdr:xfrm>
        <a:off x="6627960" y="907740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56</xdr:row>
      <xdr:rowOff>70560</xdr:rowOff>
    </xdr:from>
    <xdr:to>
      <xdr:col>8</xdr:col>
      <xdr:colOff>443520</xdr:colOff>
      <xdr:row>71</xdr:row>
      <xdr:rowOff>164880</xdr:rowOff>
    </xdr:to>
    <xdr:graphicFrame>
      <xdr:nvGraphicFramePr>
        <xdr:cNvPr id="3" name="Chart 4"/>
        <xdr:cNvGraphicFramePr/>
      </xdr:nvGraphicFramePr>
      <xdr:xfrm>
        <a:off x="141120" y="1231596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56</xdr:row>
      <xdr:rowOff>70560</xdr:rowOff>
    </xdr:from>
    <xdr:to>
      <xdr:col>16</xdr:col>
      <xdr:colOff>443160</xdr:colOff>
      <xdr:row>71</xdr:row>
      <xdr:rowOff>164880</xdr:rowOff>
    </xdr:to>
    <xdr:graphicFrame>
      <xdr:nvGraphicFramePr>
        <xdr:cNvPr id="4" name="Chart 5"/>
        <xdr:cNvGraphicFramePr/>
      </xdr:nvGraphicFramePr>
      <xdr:xfrm>
        <a:off x="6627960" y="12315960"/>
        <a:ext cx="611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73</xdr:row>
      <xdr:rowOff>70200</xdr:rowOff>
    </xdr:from>
    <xdr:to>
      <xdr:col>16</xdr:col>
      <xdr:colOff>76320</xdr:colOff>
      <xdr:row>91</xdr:row>
      <xdr:rowOff>14760</xdr:rowOff>
    </xdr:to>
    <xdr:graphicFrame>
      <xdr:nvGraphicFramePr>
        <xdr:cNvPr id="5" name="Chart 6"/>
        <xdr:cNvGraphicFramePr/>
      </xdr:nvGraphicFramePr>
      <xdr:xfrm>
        <a:off x="141120" y="15554160"/>
        <a:ext cx="122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99</xdr:row>
      <xdr:rowOff>187920</xdr:rowOff>
    </xdr:from>
    <xdr:to>
      <xdr:col>10</xdr:col>
      <xdr:colOff>558720</xdr:colOff>
      <xdr:row>113</xdr:row>
      <xdr:rowOff>163440</xdr:rowOff>
    </xdr:to>
    <xdr:graphicFrame>
      <xdr:nvGraphicFramePr>
        <xdr:cNvPr id="6" name="Chart 1"/>
        <xdr:cNvGraphicFramePr/>
      </xdr:nvGraphicFramePr>
      <xdr:xfrm>
        <a:off x="4651920" y="204310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130680</xdr:rowOff>
    </xdr:from>
    <xdr:to>
      <xdr:col>6</xdr:col>
      <xdr:colOff>57960</xdr:colOff>
      <xdr:row>32</xdr:row>
      <xdr:rowOff>163440</xdr:rowOff>
    </xdr:to>
    <xdr:graphicFrame>
      <xdr:nvGraphicFramePr>
        <xdr:cNvPr id="7" name="Chart 1"/>
        <xdr:cNvGraphicFramePr/>
      </xdr:nvGraphicFramePr>
      <xdr:xfrm>
        <a:off x="141120" y="3676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15</xdr:col>
      <xdr:colOff>153360</xdr:colOff>
      <xdr:row>32</xdr:row>
      <xdr:rowOff>163440</xdr:rowOff>
    </xdr:to>
    <xdr:graphicFrame>
      <xdr:nvGraphicFramePr>
        <xdr:cNvPr id="8" name="Chart 2"/>
        <xdr:cNvGraphicFramePr/>
      </xdr:nvGraphicFramePr>
      <xdr:xfrm>
        <a:off x="8105760" y="367668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92</xdr:row>
      <xdr:rowOff>187920</xdr:rowOff>
    </xdr:from>
    <xdr:to>
      <xdr:col>9</xdr:col>
      <xdr:colOff>619560</xdr:colOff>
      <xdr:row>109</xdr:row>
      <xdr:rowOff>131760</xdr:rowOff>
    </xdr:to>
    <xdr:graphicFrame>
      <xdr:nvGraphicFramePr>
        <xdr:cNvPr id="9" name="Chart 1"/>
        <xdr:cNvGraphicFramePr/>
      </xdr:nvGraphicFramePr>
      <xdr:xfrm>
        <a:off x="141120" y="1754496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1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/>
      <c r="C5" s="3"/>
    </row>
    <row r="6" customFormat="false" ht="15" hidden="false" customHeight="false" outlineLevel="0" collapsed="false">
      <c r="B6" s="4" t="s">
        <v>5</v>
      </c>
      <c r="C6" s="5"/>
    </row>
    <row r="7" customFormat="false" ht="15" hidden="false" customHeight="false" outlineLevel="0" collapsed="false">
      <c r="B7" s="2" t="s">
        <v>6</v>
      </c>
      <c r="C7" s="3" t="s">
        <v>7</v>
      </c>
    </row>
    <row r="8" customFormat="false" ht="15" hidden="false" customHeight="false" outlineLevel="0" collapsed="false">
      <c r="B8" s="2" t="s">
        <v>8</v>
      </c>
      <c r="C8" s="3" t="s">
        <v>9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3" t="s">
        <v>13</v>
      </c>
    </row>
    <row r="11" customFormat="false" ht="15" hidden="false" customHeight="false" outlineLevel="0" collapsed="false">
      <c r="B11" s="2" t="s">
        <v>14</v>
      </c>
      <c r="C11" s="3" t="s">
        <v>15</v>
      </c>
    </row>
    <row r="12" customFormat="false" ht="15" hidden="false" customHeight="false" outlineLevel="0" collapsed="false">
      <c r="B12" s="2" t="s">
        <v>16</v>
      </c>
      <c r="C12" s="3" t="s">
        <v>17</v>
      </c>
    </row>
    <row r="13" customFormat="false" ht="15" hidden="false" customHeight="false" outlineLevel="0" collapsed="false">
      <c r="B13" s="2" t="s">
        <v>18</v>
      </c>
      <c r="C13" s="3" t="s">
        <v>19</v>
      </c>
    </row>
    <row r="14" customFormat="false" ht="15" hidden="false" customHeight="false" outlineLevel="0" collapsed="false">
      <c r="B14" s="2" t="s">
        <v>20</v>
      </c>
      <c r="C14" s="3" t="s">
        <v>21</v>
      </c>
    </row>
    <row r="15" customFormat="false" ht="15" hidden="false" customHeight="false" outlineLevel="0" collapsed="false">
      <c r="B15" s="2" t="s">
        <v>22</v>
      </c>
      <c r="C15" s="3" t="s">
        <v>23</v>
      </c>
    </row>
    <row r="16" customFormat="false" ht="15" hidden="false" customHeight="false" outlineLevel="0" collapsed="false">
      <c r="B16" s="2"/>
      <c r="C16" s="3"/>
    </row>
    <row r="17" customFormat="false" ht="15" hidden="false" customHeight="false" outlineLevel="0" collapsed="false">
      <c r="B17" s="4" t="s">
        <v>24</v>
      </c>
      <c r="C17" s="5"/>
    </row>
    <row r="18" customFormat="false" ht="15" hidden="false" customHeight="false" outlineLevel="0" collapsed="false">
      <c r="B18" s="6" t="s">
        <v>25</v>
      </c>
      <c r="C18" s="3" t="s">
        <v>26</v>
      </c>
    </row>
    <row r="19" customFormat="false" ht="15" hidden="false" customHeight="false" outlineLevel="0" collapsed="false">
      <c r="B19" s="2" t="s">
        <v>27</v>
      </c>
      <c r="C19" s="3" t="s">
        <v>28</v>
      </c>
    </row>
    <row r="20" customFormat="false" ht="15" hidden="false" customHeight="false" outlineLevel="0" collapsed="false">
      <c r="B20" s="7" t="s">
        <v>29</v>
      </c>
      <c r="C20" s="3" t="s">
        <v>30</v>
      </c>
    </row>
    <row r="21" customFormat="false" ht="15" hidden="false" customHeight="false" outlineLevel="0" collapsed="false">
      <c r="B21" s="2"/>
      <c r="C21" s="3"/>
    </row>
    <row r="22" customFormat="false" ht="15" hidden="false" customHeight="false" outlineLevel="0" collapsed="false">
      <c r="B22" s="4" t="s">
        <v>31</v>
      </c>
      <c r="C22" s="5"/>
    </row>
    <row r="23" customFormat="false" ht="15" hidden="false" customHeight="false" outlineLevel="0" collapsed="false">
      <c r="B23" s="2" t="s">
        <v>32</v>
      </c>
      <c r="C23" s="3" t="s">
        <v>33</v>
      </c>
    </row>
    <row r="24" customFormat="false" ht="15" hidden="false" customHeight="false" outlineLevel="0" collapsed="false">
      <c r="B24" s="2" t="s">
        <v>34</v>
      </c>
      <c r="C24" s="3" t="s">
        <v>35</v>
      </c>
    </row>
    <row r="25" customFormat="false" ht="15" hidden="false" customHeight="false" outlineLevel="0" collapsed="false">
      <c r="B25" s="2" t="s">
        <v>36</v>
      </c>
      <c r="C25" s="3" t="s">
        <v>37</v>
      </c>
    </row>
    <row r="26" customFormat="false" ht="15" hidden="false" customHeight="false" outlineLevel="0" collapsed="false">
      <c r="B26" s="2" t="s">
        <v>38</v>
      </c>
      <c r="C26" s="3" t="s">
        <v>39</v>
      </c>
    </row>
    <row r="27" customFormat="false" ht="15" hidden="false" customHeight="false" outlineLevel="0" collapsed="false">
      <c r="B27" s="2" t="s">
        <v>40</v>
      </c>
      <c r="C27" s="3" t="s">
        <v>41</v>
      </c>
    </row>
    <row r="28" customFormat="false" ht="15" hidden="false" customHeight="false" outlineLevel="0" collapsed="false">
      <c r="B28" s="2" t="s">
        <v>42</v>
      </c>
      <c r="C28" s="3" t="s">
        <v>43</v>
      </c>
    </row>
    <row r="29" customFormat="false" ht="15" hidden="false" customHeight="false" outlineLevel="0" collapsed="false">
      <c r="B29" s="2" t="s">
        <v>44</v>
      </c>
      <c r="C29" s="3" t="s">
        <v>45</v>
      </c>
    </row>
    <row r="30" customFormat="false" ht="15" hidden="false" customHeight="false" outlineLevel="0" collapsed="false">
      <c r="B30" s="2"/>
      <c r="C30" s="3"/>
    </row>
    <row r="31" customFormat="false" ht="15" hidden="false" customHeight="false" outlineLevel="0" collapsed="false">
      <c r="B31" s="2" t="s">
        <v>46</v>
      </c>
      <c r="C31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B2:Q1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1.5"/>
  </cols>
  <sheetData>
    <row r="2" customFormat="false" ht="24.45" hidden="false" customHeight="false" outlineLevel="0" collapsed="false">
      <c r="B2" s="8" t="str">
        <f aca="false">INPUTS!$C$17&amp;"  —  FEASIBILITY DASHBOARD"</f>
        <v>Project Aurora (Sample)  —  FEASIBILITY DASHBOARD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5" hidden="false" customHeight="false" outlineLevel="0" collapsed="false">
      <c r="B3" s="9" t="str">
        <f aca="false">INPUTS!$C$18&amp;"   |   "&amp;INPUTS!$C$19&amp;"   |   "&amp;INPUTS!$C$21&amp;" deal   |   Scenario: "&amp;INPUTS!$C$23&amp;"   |   "&amp;TEXT(INPUTS!$C$39,"0.0")&amp;" acres, "&amp;TEXT(INPUTS!$F$98,"#,##0")&amp;" sq ft saleable   |   "&amp;TEXT(INPUTS!$C$20,"mmm yyyy")&amp;" – "&amp;TEXT(INPUTS!$C$30,"mmm yyyy")</f>
        <v>Sample City, Rajasthan   |   Mixed Development   |   JV deal   |   Scenario: Base Case   |   6.2 acres, 920,000 sq ft saleable   |   Jun 2027 – Mar 2032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customFormat="false" ht="15" hidden="false" customHeight="false" outlineLevel="0" collapsed="false">
      <c r="B4" s="10" t="str">
        <f aca="false">INPUTS!$C$7</f>
        <v>✔ ALL CHECKS PASSED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6" customFormat="false" ht="18" hidden="false" customHeight="true" outlineLevel="0" collapsed="false">
      <c r="B6" s="11" t="s">
        <v>48</v>
      </c>
      <c r="C6" s="11"/>
      <c r="D6" s="11"/>
      <c r="E6" s="11"/>
      <c r="F6" s="11" t="s">
        <v>49</v>
      </c>
      <c r="G6" s="11"/>
      <c r="H6" s="11"/>
      <c r="I6" s="11"/>
      <c r="J6" s="11" t="s">
        <v>50</v>
      </c>
      <c r="K6" s="11"/>
      <c r="L6" s="11"/>
      <c r="M6" s="11"/>
      <c r="N6" s="11" t="s">
        <v>51</v>
      </c>
      <c r="O6" s="11"/>
      <c r="P6" s="11"/>
      <c r="Q6" s="11"/>
    </row>
    <row r="7" customFormat="false" ht="33.75" hidden="false" customHeight="true" outlineLevel="0" collapsed="false">
      <c r="B7" s="12" t="n">
        <f aca="false">OUTPUT!$D$23</f>
        <v>803</v>
      </c>
      <c r="C7" s="12"/>
      <c r="D7" s="12"/>
      <c r="E7" s="12"/>
      <c r="F7" s="12" t="n">
        <f aca="false">OUTPUT!$D$51</f>
        <v>630.6053209296</v>
      </c>
      <c r="G7" s="12"/>
      <c r="H7" s="12"/>
      <c r="I7" s="12"/>
      <c r="J7" s="12" t="n">
        <f aca="false">OUTPUT!$D$58</f>
        <v>172.3946790704</v>
      </c>
      <c r="K7" s="12"/>
      <c r="L7" s="12"/>
      <c r="M7" s="12"/>
      <c r="N7" s="12" t="n">
        <f aca="false">OUTPUT!$D$60</f>
        <v>127.572062512096</v>
      </c>
      <c r="O7" s="12"/>
      <c r="P7" s="12"/>
      <c r="Q7" s="12"/>
    </row>
    <row r="8" customFormat="false" ht="25.5" hidden="false" customHeight="true" outlineLevel="0" collapsed="false">
      <c r="B8" s="13" t="str">
        <f aca="false">"₹ "&amp;TEXT(INPUTS!$T$98*INPUTS!$C$25/MAX(1,INPUTS!$F$98),"#,##0")&amp;" per sq ft"</f>
        <v>₹ 8,728 per sq ft</v>
      </c>
      <c r="C8" s="13"/>
      <c r="D8" s="13"/>
      <c r="E8" s="13"/>
      <c r="F8" s="13" t="str">
        <f aca="false">TEXT(OUTPUT!$F$51,"0.0%")&amp;" of GDV"</f>
        <v>78.5% of GDV</v>
      </c>
      <c r="G8" s="13"/>
      <c r="H8" s="13"/>
      <c r="I8" s="13"/>
      <c r="J8" s="13" t="str">
        <f aca="false">TEXT(OUTPUT!$F$58,"0.0%")&amp;" margin  ·  benchmark "&amp;TEXT(INPUTS!$C$434,"0%")</f>
        <v>21.5% margin  ·  benchmark 20%</v>
      </c>
      <c r="K8" s="13"/>
      <c r="L8" s="13"/>
      <c r="M8" s="13"/>
      <c r="N8" s="13" t="str">
        <f aca="false">TEXT(OUTPUT!$F$60,"0.0%")&amp;" margin  ·  tax "&amp;TEXT(INPUTS!$C$425,"0.0%")</f>
        <v>15.9% margin  ·  tax 26.0%</v>
      </c>
      <c r="O8" s="13"/>
      <c r="P8" s="13"/>
      <c r="Q8" s="13"/>
    </row>
    <row r="10" customFormat="false" ht="18" hidden="false" customHeight="true" outlineLevel="0" collapsed="false">
      <c r="B10" s="11" t="s">
        <v>52</v>
      </c>
      <c r="C10" s="11"/>
      <c r="D10" s="11"/>
      <c r="E10" s="11"/>
      <c r="F10" s="11" t="s">
        <v>53</v>
      </c>
      <c r="G10" s="11"/>
      <c r="H10" s="11"/>
      <c r="I10" s="11"/>
      <c r="J10" s="11" t="s">
        <v>54</v>
      </c>
      <c r="K10" s="11"/>
      <c r="L10" s="11"/>
      <c r="M10" s="11"/>
      <c r="N10" s="11" t="s">
        <v>55</v>
      </c>
      <c r="O10" s="11"/>
      <c r="P10" s="11"/>
      <c r="Q10" s="11"/>
    </row>
    <row r="11" customFormat="false" ht="33.75" hidden="false" customHeight="true" outlineLevel="0" collapsed="false">
      <c r="B11" s="14" t="n">
        <f aca="false">CASHFLOW!$C$69</f>
        <v>1.10176376739746</v>
      </c>
      <c r="C11" s="14"/>
      <c r="D11" s="14"/>
      <c r="E11" s="14"/>
      <c r="F11" s="14" t="n">
        <f aca="false">CASHFLOW!$C$67</f>
        <v>4.49061202167778</v>
      </c>
      <c r="G11" s="14"/>
      <c r="H11" s="14"/>
      <c r="I11" s="14"/>
      <c r="J11" s="12" t="n">
        <f aca="false">CASHFLOW!$C$72</f>
        <v>90.6281136296508</v>
      </c>
      <c r="K11" s="12"/>
      <c r="L11" s="12"/>
      <c r="M11" s="12"/>
      <c r="N11" s="15" t="n">
        <f aca="false">OUTPUT!$D$75</f>
        <v>1.47329680169824</v>
      </c>
      <c r="O11" s="15"/>
      <c r="P11" s="15"/>
      <c r="Q11" s="15"/>
    </row>
    <row r="12" customFormat="false" ht="25.5" hidden="false" customHeight="true" outlineLevel="0" collapsed="false">
      <c r="B12" s="13" t="str">
        <f aca="false">"Benchmark "&amp;TEXT(INPUTS!$C$429,"0%")&amp;"  ·  post-tax ≈ "&amp;IFERROR(TEXT(CASHFLOW!$C$70,"0%"),"n/a")</f>
        <v>Benchmark 18%  ·  post-tax ≈ 84%</v>
      </c>
      <c r="C12" s="13"/>
      <c r="D12" s="13"/>
      <c r="E12" s="13"/>
      <c r="F12" s="13" t="str">
        <f aca="false">"Benchmark "&amp;TEXT(INPUTS!$C$428,"0%")&amp;"  ·  before landowner share"</f>
        <v>Benchmark 22%  ·  before landowner share</v>
      </c>
      <c r="G12" s="13"/>
      <c r="H12" s="13"/>
      <c r="I12" s="13"/>
      <c r="J12" s="13" t="str">
        <f aca="false">"@ "&amp;TEXT(INPUTS!$C$426,"0%")&amp;" cost of equity"</f>
        <v>@ 18% cost of equity</v>
      </c>
      <c r="K12" s="13"/>
      <c r="L12" s="13"/>
      <c r="M12" s="13"/>
      <c r="N12" s="13" t="str">
        <f aca="false">"Benchmark "&amp;TEXT(INPUTS!$C$430,"0.0")&amp;"x  ·  cash multiple "&amp;TEXT(CASHFLOW!$C$83,"0.0")&amp;"x"</f>
        <v>Benchmark 2.0x  ·  cash multiple 4.4x</v>
      </c>
      <c r="O12" s="13"/>
      <c r="P12" s="13"/>
      <c r="Q12" s="13"/>
    </row>
    <row r="14" customFormat="false" ht="18" hidden="false" customHeight="true" outlineLevel="0" collapsed="false">
      <c r="B14" s="11" t="s">
        <v>56</v>
      </c>
      <c r="C14" s="11"/>
      <c r="D14" s="11"/>
      <c r="E14" s="11"/>
      <c r="F14" s="11" t="s">
        <v>57</v>
      </c>
      <c r="G14" s="11"/>
      <c r="H14" s="11"/>
      <c r="I14" s="11"/>
      <c r="J14" s="11" t="s">
        <v>58</v>
      </c>
      <c r="K14" s="11"/>
      <c r="L14" s="11"/>
      <c r="M14" s="11"/>
      <c r="N14" s="11" t="s">
        <v>59</v>
      </c>
      <c r="O14" s="11"/>
      <c r="P14" s="11"/>
      <c r="Q14" s="11"/>
    </row>
    <row r="15" customFormat="false" ht="33.75" hidden="false" customHeight="true" outlineLevel="0" collapsed="false">
      <c r="B15" s="12" t="n">
        <f aca="false">CASHFLOW!$C$73</f>
        <v>34.2873209296</v>
      </c>
      <c r="C15" s="12"/>
      <c r="D15" s="12"/>
      <c r="E15" s="12"/>
      <c r="F15" s="16" t="str">
        <f aca="false">CASHFLOW!$C$81</f>
        <v>Q8</v>
      </c>
      <c r="G15" s="16"/>
      <c r="H15" s="16"/>
      <c r="I15" s="16"/>
      <c r="J15" s="14" t="n">
        <f aca="false">OUTPUT!$D$78</f>
        <v>1.20096371259678</v>
      </c>
      <c r="K15" s="14"/>
      <c r="L15" s="14"/>
      <c r="M15" s="14"/>
      <c r="N15" s="14" t="n">
        <f aca="false">OUTPUT!$D$80</f>
        <v>0.403384560790797</v>
      </c>
      <c r="O15" s="14"/>
      <c r="P15" s="14"/>
      <c r="Q15" s="14"/>
    </row>
    <row r="16" customFormat="false" ht="25.5" hidden="false" customHeight="true" outlineLevel="0" collapsed="false">
      <c r="B16" s="13" t="str">
        <f aca="false">"Reached in "&amp;CASHFLOW!$C$74&amp;IF(CASHFLOW!$C$73&gt;0," ("&amp;TEXT(CASHFLOW!$C$75,"mmm yy")&amp;")","")</f>
        <v>Reached in Q2 (Sep 27)</v>
      </c>
      <c r="C16" s="13"/>
      <c r="D16" s="13"/>
      <c r="E16" s="13"/>
      <c r="F16" s="13" t="str">
        <f aca="false">IF(CASHFLOW!$C$81="never","Cash never recovered",TEXT(CASHFLOW!$C$82,"mmm yyyy")&amp;"  ·  first +ve quarter "&amp;CASHFLOW!$C$79)</f>
        <v>Mar 2029  ·  first +ve quarter Q3</v>
      </c>
      <c r="G16" s="13"/>
      <c r="H16" s="13"/>
      <c r="I16" s="13"/>
      <c r="J16" s="13" t="str">
        <f aca="false">"Benchmark "&amp;TEXT(INPUTS!$C$431,"0%")&amp;"  ·  on initial investment"</f>
        <v>Benchmark 30%  ·  on initial investment</v>
      </c>
      <c r="K16" s="13"/>
      <c r="L16" s="13"/>
      <c r="M16" s="13"/>
      <c r="N16" s="13" t="str">
        <f aca="false">"Benchmark "&amp;TEXT(INPUTS!$C$432,"0%")&amp;"  ·  over "&amp;TEXT(INPUTS!$C$32,"0.0")&amp;" yrs"</f>
        <v>Benchmark 30%  ·  over 5.0 yrs</v>
      </c>
      <c r="O16" s="13"/>
      <c r="P16" s="13"/>
      <c r="Q16" s="13"/>
    </row>
    <row r="17" customFormat="false" ht="15" hidden="false" customHeight="false" outlineLevel="0" collapsed="false">
      <c r="B17" s="17" t="s">
        <v>60</v>
      </c>
    </row>
    <row r="18" customFormat="false" ht="15" hidden="false" customHeight="true" outlineLevel="0" collapsed="false">
      <c r="B18" s="18" t="s">
        <v>61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customFormat="false" ht="19.5" hidden="false" customHeight="true" outlineLevel="0" collapsed="false">
      <c r="B19" s="19" t="str">
        <f aca="false">"1.  The project generates ₹"&amp;TEXT(OUTPUT!$D$23,"#,##0")&amp;" Cr of revenue against ₹"&amp;TEXT(OUTPUT!$D$51,"#,##0")&amp;" Cr of cost – EBITDA ₹"&amp;TEXT(OUTPUT!$D$58,"#,##0")&amp;" Cr ("&amp;TEXT(OUTPUT!$F$58,"0.0%")&amp;") and PAT ₹"&amp;TEXT(OUTPUT!$D$60,"#,##0")&amp;" Cr ("&amp;TEXT(OUTPUT!$F$60,"0.0%")&amp;")."</f>
        <v>1.  The project generates ₹803 Cr of revenue against ₹631 Cr of cost – EBITDA ₹172 Cr (21.5%) and PAT ₹128 Cr (15.9%).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customFormat="false" ht="19.5" hidden="false" customHeight="true" outlineLevel="0" collapsed="false">
      <c r="B20" s="19" t="str">
        <f aca="false">"2.  The developer earns a pre-tax IRR of "&amp;IFERROR(TEXT(CASHFLOW!$C$69,"0%"),"n/a")&amp;" against an "&amp;TEXT(INPUTS!$C$429,"0%")&amp;" hurdle, with an NPV of ₹"&amp;TEXT(CASHFLOW!$C$72,"#,##0.0")&amp;" Cr at the "&amp;TEXT(INPUTS!$C$426,"0%")&amp;" cost of equity."</f>
        <v>2.  The developer earns a pre-tax IRR of 110% against an 18% hurdle, with an NPV of ₹90.6 Cr at the 18% cost of equity.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customFormat="false" ht="19.5" hidden="false" customHeight="true" outlineLevel="0" collapsed="false">
      <c r="B21" s="19" t="str">
        <f aca="false">"3.  Maximum funding needed is ₹"&amp;TEXT(CASHFLOW!$C$73,"#,##0.0")&amp;" Cr ("&amp;CASHFLOW!$C$74&amp;"); the developer gets all of it back by "&amp;CASHFLOW!$C$81&amp;IF(CASHFLOW!$C$81="never",""," ("&amp;TEXT(CASHFLOW!$C$82,"mmm yyyy")&amp;")")&amp;IF(INPUTS!$C$21="JV"," – construction is largely funded by customer collections."," – most of this peak is the land payment, made before customer collections build up.")</f>
        <v>3.  Maximum funding needed is ₹34.3 Cr (Q2); the developer gets all of it back by Q8 (Mar 2029) – construction is largely funded by customer collections.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customFormat="false" ht="19.5" hidden="false" customHeight="true" outlineLevel="0" collapsed="false">
      <c r="B22" s="19" t="str">
        <f aca="false">IF(INPUTS!$C$21="JV","4.  The landowner receives ₹"&amp;TEXT(INPUTS!$G$128,"#,##0.0")&amp;" Cr ("&amp;TEXT(INPUTS!$C$45,"0%")&amp;" revenue share) – about ₹"&amp;TEXT(INPUTS!$D$65,"#,##0")&amp;" per sq yd, "&amp;TEXT(INPUTS!$D$66,"0%")&amp;" above today's market rate – paid out of collections after his ₹"&amp;TEXT(INPUTS!$C$189*INPUTS!$C$55,"#,##0.0")&amp;" Cr advance is recovered.","4.  Outright deal: land of ₹"&amp;TEXT(INPUTS!$G$128,"#,##0.0")&amp;" Cr is paid as per the land payment schedule, which is why peak funding is high.")</f>
        <v>4.  The landowner receives ₹257.0 Cr (32% revenue share) – about ₹85,653 per sq yd, 43% above today's market rate – paid out of collections after his ₹18.0 Cr advance is recovered.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88" customFormat="false" ht="15" hidden="false" customHeight="true" outlineLevel="0" collapsed="false">
      <c r="B88" s="20" t="s">
        <v>62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customFormat="false" ht="15" hidden="false" customHeight="false" outlineLevel="0" collapsed="false">
      <c r="B89" s="21" t="s">
        <v>63</v>
      </c>
      <c r="D89" s="22" t="s">
        <v>64</v>
      </c>
    </row>
    <row r="90" customFormat="false" ht="32.8" hidden="false" customHeight="false" outlineLevel="0" collapsed="false">
      <c r="B90" s="23" t="s">
        <v>65</v>
      </c>
      <c r="D90" s="24" t="n">
        <f aca="false">INPUTS!$G$128+INPUTS!$G$129+INPUTS!$G$130</f>
        <v>259.9807465936</v>
      </c>
    </row>
    <row r="91" customFormat="false" ht="15" hidden="false" customHeight="false" outlineLevel="0" collapsed="false">
      <c r="B91" s="23" t="s">
        <v>66</v>
      </c>
      <c r="D91" s="24" t="n">
        <f aca="false">INPUTS!$G$153</f>
        <v>270.4</v>
      </c>
    </row>
    <row r="92" customFormat="false" ht="22.35" hidden="false" customHeight="false" outlineLevel="0" collapsed="false">
      <c r="B92" s="23" t="s">
        <v>67</v>
      </c>
      <c r="D92" s="24" t="n">
        <f aca="false">INPUTS!$G$139</f>
        <v>56.21</v>
      </c>
    </row>
    <row r="93" customFormat="false" ht="22.35" hidden="false" customHeight="false" outlineLevel="0" collapsed="false">
      <c r="B93" s="23" t="s">
        <v>68</v>
      </c>
      <c r="D93" s="24" t="n">
        <f aca="false">INPUTS!$G$138</f>
        <v>32.12</v>
      </c>
    </row>
    <row r="94" customFormat="false" ht="22.35" hidden="false" customHeight="false" outlineLevel="0" collapsed="false">
      <c r="B94" s="23" t="s">
        <v>69</v>
      </c>
      <c r="D94" s="24" t="n">
        <f aca="false">INPUTS!$G$140+INPUTS!$G$148</f>
        <v>10.054574336</v>
      </c>
    </row>
    <row r="95" customFormat="false" ht="43.25" hidden="false" customHeight="false" outlineLevel="0" collapsed="false">
      <c r="B95" s="23" t="s">
        <v>70</v>
      </c>
      <c r="D95" s="24" t="n">
        <f aca="false">INPUTS!$G$152-SUM(D90:D94)</f>
        <v>1.84000000000003</v>
      </c>
    </row>
    <row r="97" customFormat="false" ht="23.85" hidden="false" customHeight="false" outlineLevel="0" collapsed="false">
      <c r="B97" s="21" t="s">
        <v>71</v>
      </c>
      <c r="D97" s="22" t="s">
        <v>64</v>
      </c>
    </row>
    <row r="98" customFormat="false" ht="15" hidden="false" customHeight="false" outlineLevel="0" collapsed="false">
      <c r="B98" s="25" t="str">
        <f aca="false">SUBSTITUTE(INPUTS!$B$119," saleable area","")</f>
        <v>Residential</v>
      </c>
      <c r="D98" s="24" t="n">
        <f aca="false">INPUTS!$F$119</f>
        <v>725</v>
      </c>
    </row>
    <row r="99" customFormat="false" ht="15" hidden="false" customHeight="false" outlineLevel="0" collapsed="false">
      <c r="B99" s="25" t="str">
        <f aca="false">SUBSTITUTE(INPUTS!$B$120," saleable area","")</f>
        <v>Commercial</v>
      </c>
      <c r="D99" s="24" t="n">
        <f aca="false">INPUTS!$F$120</f>
        <v>42</v>
      </c>
    </row>
    <row r="100" customFormat="false" ht="15" hidden="false" customHeight="false" outlineLevel="0" collapsed="false">
      <c r="B100" s="25" t="str">
        <f aca="false">SUBSTITUTE(INPUTS!$B$121," saleable area","")</f>
        <v>Studio</v>
      </c>
      <c r="D100" s="24" t="n">
        <f aca="false">INPUTS!$F$121</f>
        <v>36</v>
      </c>
    </row>
    <row r="101" customFormat="false" ht="15" hidden="false" customHeight="false" outlineLevel="0" collapsed="false">
      <c r="B101" s="25" t="str">
        <f aca="false">SUBSTITUTE(INPUTS!$B$122," saleable area","")</f>
        <v>Institutional</v>
      </c>
      <c r="D101" s="24" t="n">
        <f aca="false">INPUTS!$F$122</f>
        <v>0</v>
      </c>
    </row>
    <row r="102" customFormat="false" ht="22.35" hidden="false" customHeight="false" outlineLevel="0" collapsed="false">
      <c r="B102" s="25" t="str">
        <f aca="false">SUBSTITUTE(INPUTS!$B$123," saleable area","")</f>
        <v>EWS / LIG area</v>
      </c>
      <c r="D102" s="24" t="n">
        <f aca="false">INPUTS!$F$123</f>
        <v>0</v>
      </c>
    </row>
    <row r="104" customFormat="false" ht="57.45" hidden="false" customHeight="false" outlineLevel="0" collapsed="false">
      <c r="B104" s="21" t="s">
        <v>72</v>
      </c>
      <c r="D104" s="22" t="s">
        <v>73</v>
      </c>
      <c r="E104" s="22" t="s">
        <v>74</v>
      </c>
      <c r="F104" s="22" t="s">
        <v>75</v>
      </c>
      <c r="H104" s="22" t="s">
        <v>76</v>
      </c>
    </row>
    <row r="105" customFormat="false" ht="15" hidden="false" customHeight="false" outlineLevel="0" collapsed="false">
      <c r="B105" s="25" t="str">
        <f aca="false">IF(COUNTIF(INPUTS!$E$88:$E$97,"Yes")&gt;=1,INDEX(INPUTS!$B$88:$B$97,MATCH(1,$H$105:$H$114,0))&amp;" – selling","")</f>
        <v>Villas – selling</v>
      </c>
      <c r="D105" s="26" t="n">
        <f aca="false">IF(COUNTIF(INPUTS!$E$88:$E$97,"Yes")&gt;=1,INDEX(INPUTS!$P$88:$P$97,MATCH(1,$H$105:$H$114,0))-1,0)</f>
        <v>2</v>
      </c>
      <c r="E105" s="26" t="n">
        <f aca="false">IF(COUNTIF(INPUTS!$E$88:$E$97,"Yes")&gt;=1,INDEX(INPUTS!$Q$88:$Q$97,MATCH(1,$H$105:$H$114,0))-INDEX(INPUTS!$P$88:$P$97,MATCH(1,$H$105:$H$114,0))+1,0)</f>
        <v>8</v>
      </c>
      <c r="F105" s="26" t="n">
        <f aca="false">0</f>
        <v>0</v>
      </c>
      <c r="H105" s="26" t="n">
        <f aca="false">COUNTIF(INPUTS!$E$88:$E$88,"Yes")</f>
        <v>1</v>
      </c>
    </row>
    <row r="106" customFormat="false" ht="22.35" hidden="false" customHeight="false" outlineLevel="0" collapsed="false">
      <c r="B106" s="25" t="str">
        <f aca="false">IF(COUNTIF(INPUTS!$E$88:$E$97,"Yes")&gt;=1,INDEX(INPUTS!$B$88:$B$97,MATCH(1,$H$105:$H$114,0))&amp;" – building","")</f>
        <v>Villas – building</v>
      </c>
      <c r="D106" s="26" t="n">
        <f aca="false">IF(COUNTIF(INPUTS!$E$88:$E$97,"Yes")&gt;=1,INDEX(INPUTS!$R$88:$R$97,MATCH(1,$H$105:$H$114,0))-1,0)</f>
        <v>3</v>
      </c>
      <c r="E106" s="26" t="n">
        <f aca="false">0</f>
        <v>0</v>
      </c>
      <c r="F106" s="26" t="n">
        <f aca="false">IF(COUNTIF(INPUTS!$E$88:$E$97,"Yes")&gt;=1,INDEX(INPUTS!$S$88:$S$97,MATCH(1,$H$105:$H$114,0))-INDEX(INPUTS!$R$88:$R$97,MATCH(1,$H$105:$H$114,0))+1,0)</f>
        <v>12</v>
      </c>
      <c r="H106" s="26" t="n">
        <f aca="false">COUNTIF(INPUTS!$E$88:$E$89,"Yes")</f>
        <v>2</v>
      </c>
    </row>
    <row r="107" customFormat="false" ht="32.8" hidden="false" customHeight="false" outlineLevel="0" collapsed="false">
      <c r="B107" s="25" t="str">
        <f aca="false">IF(COUNTIF(INPUTS!$E$88:$E$97,"Yes")&gt;=2,INDEX(INPUTS!$B$88:$B$97,MATCH(2,$H$105:$H$114,0))&amp;" – selling","")</f>
        <v>Apartments – Towers A &amp; B – selling</v>
      </c>
      <c r="D107" s="26" t="n">
        <f aca="false">IF(COUNTIF(INPUTS!$E$88:$E$97,"Yes")&gt;=2,INDEX(INPUTS!$P$88:$P$97,MATCH(2,$H$105:$H$114,0))-1,0)</f>
        <v>3</v>
      </c>
      <c r="E107" s="26" t="n">
        <f aca="false">IF(COUNTIF(INPUTS!$E$88:$E$97,"Yes")&gt;=2,INDEX(INPUTS!$Q$88:$Q$97,MATCH(2,$H$105:$H$114,0))-INDEX(INPUTS!$P$88:$P$97,MATCH(2,$H$105:$H$114,0))+1,0)</f>
        <v>12</v>
      </c>
      <c r="F107" s="26" t="n">
        <f aca="false">0</f>
        <v>0</v>
      </c>
      <c r="H107" s="26" t="n">
        <f aca="false">COUNTIF(INPUTS!$E$88:$E$90,"Yes")</f>
        <v>3</v>
      </c>
    </row>
    <row r="108" customFormat="false" ht="32.8" hidden="false" customHeight="false" outlineLevel="0" collapsed="false">
      <c r="B108" s="25" t="str">
        <f aca="false">IF(COUNTIF(INPUTS!$E$88:$E$97,"Yes")&gt;=2,INDEX(INPUTS!$B$88:$B$97,MATCH(2,$H$105:$H$114,0))&amp;" – building","")</f>
        <v>Apartments – Towers A &amp; B – building</v>
      </c>
      <c r="D108" s="26" t="n">
        <f aca="false">IF(COUNTIF(INPUTS!$E$88:$E$97,"Yes")&gt;=2,INDEX(INPUTS!$R$88:$R$97,MATCH(2,$H$105:$H$114,0))-1,0)</f>
        <v>4</v>
      </c>
      <c r="E108" s="26" t="n">
        <f aca="false">0</f>
        <v>0</v>
      </c>
      <c r="F108" s="26" t="n">
        <f aca="false">IF(COUNTIF(INPUTS!$E$88:$E$97,"Yes")&gt;=2,INDEX(INPUTS!$S$88:$S$97,MATCH(2,$H$105:$H$114,0))-INDEX(INPUTS!$R$88:$R$97,MATCH(2,$H$105:$H$114,0))+1,0)</f>
        <v>16</v>
      </c>
      <c r="H108" s="26" t="n">
        <f aca="false">COUNTIF(INPUTS!$E$88:$E$91,"Yes")</f>
        <v>4</v>
      </c>
    </row>
    <row r="109" customFormat="false" ht="22.35" hidden="false" customHeight="false" outlineLevel="0" collapsed="false">
      <c r="B109" s="25" t="str">
        <f aca="false">IF(COUNTIF(INPUTS!$E$88:$E$97,"Yes")&gt;=3,INDEX(INPUTS!$B$88:$B$97,MATCH(3,$H$105:$H$114,0))&amp;" – selling","")</f>
        <v>Studios – selling</v>
      </c>
      <c r="D109" s="26" t="n">
        <f aca="false">IF(COUNTIF(INPUTS!$E$88:$E$97,"Yes")&gt;=3,INDEX(INPUTS!$P$88:$P$97,MATCH(3,$H$105:$H$114,0))-1,0)</f>
        <v>5</v>
      </c>
      <c r="E109" s="26" t="n">
        <f aca="false">IF(COUNTIF(INPUTS!$E$88:$E$97,"Yes")&gt;=3,INDEX(INPUTS!$Q$88:$Q$97,MATCH(3,$H$105:$H$114,0))-INDEX(INPUTS!$P$88:$P$97,MATCH(3,$H$105:$H$114,0))+1,0)</f>
        <v>8</v>
      </c>
      <c r="F109" s="26" t="n">
        <f aca="false">0</f>
        <v>0</v>
      </c>
      <c r="H109" s="26" t="n">
        <f aca="false">COUNTIF(INPUTS!$E$88:$E$92,"Yes")</f>
        <v>4</v>
      </c>
    </row>
    <row r="110" customFormat="false" ht="22.35" hidden="false" customHeight="false" outlineLevel="0" collapsed="false">
      <c r="B110" s="25" t="str">
        <f aca="false">IF(COUNTIF(INPUTS!$E$88:$E$97,"Yes")&gt;=3,INDEX(INPUTS!$B$88:$B$97,MATCH(3,$H$105:$H$114,0))&amp;" – building","")</f>
        <v>Studios – building</v>
      </c>
      <c r="D110" s="26" t="n">
        <f aca="false">IF(COUNTIF(INPUTS!$E$88:$E$97,"Yes")&gt;=3,INDEX(INPUTS!$R$88:$R$97,MATCH(3,$H$105:$H$114,0))-1,0)</f>
        <v>5</v>
      </c>
      <c r="E110" s="26" t="n">
        <f aca="false">0</f>
        <v>0</v>
      </c>
      <c r="F110" s="26" t="n">
        <f aca="false">IF(COUNTIF(INPUTS!$E$88:$E$97,"Yes")&gt;=3,INDEX(INPUTS!$S$88:$S$97,MATCH(3,$H$105:$H$114,0))-INDEX(INPUTS!$R$88:$R$97,MATCH(3,$H$105:$H$114,0))+1,0)</f>
        <v>12</v>
      </c>
      <c r="H110" s="26" t="n">
        <f aca="false">COUNTIF(INPUTS!$E$88:$E$93,"Yes")</f>
        <v>4</v>
      </c>
    </row>
    <row r="111" customFormat="false" ht="22.35" hidden="false" customHeight="false" outlineLevel="0" collapsed="false">
      <c r="B111" s="25" t="str">
        <f aca="false">IF(COUNTIF(INPUTS!$E$88:$E$97,"Yes")&gt;=4,INDEX(INPUTS!$B$88:$B$97,MATCH(4,$H$105:$H$114,0))&amp;" – selling","")</f>
        <v>High-street retail – selling</v>
      </c>
      <c r="D111" s="26" t="n">
        <f aca="false">IF(COUNTIF(INPUTS!$E$88:$E$97,"Yes")&gt;=4,INDEX(INPUTS!$P$88:$P$97,MATCH(4,$H$105:$H$114,0))-1,0)</f>
        <v>7</v>
      </c>
      <c r="E111" s="26" t="n">
        <f aca="false">IF(COUNTIF(INPUTS!$E$88:$E$97,"Yes")&gt;=4,INDEX(INPUTS!$Q$88:$Q$97,MATCH(4,$H$105:$H$114,0))-INDEX(INPUTS!$P$88:$P$97,MATCH(4,$H$105:$H$114,0))+1,0)</f>
        <v>8</v>
      </c>
      <c r="F111" s="26" t="n">
        <f aca="false">0</f>
        <v>0</v>
      </c>
      <c r="H111" s="26" t="n">
        <f aca="false">COUNTIF(INPUTS!$E$88:$E$94,"Yes")</f>
        <v>4</v>
      </c>
    </row>
    <row r="112" customFormat="false" ht="32.8" hidden="false" customHeight="false" outlineLevel="0" collapsed="false">
      <c r="B112" s="25" t="str">
        <f aca="false">IF(COUNTIF(INPUTS!$E$88:$E$97,"Yes")&gt;=4,INDEX(INPUTS!$B$88:$B$97,MATCH(4,$H$105:$H$114,0))&amp;" – building","")</f>
        <v>High-street retail – building</v>
      </c>
      <c r="D112" s="26" t="n">
        <f aca="false">IF(COUNTIF(INPUTS!$E$88:$E$97,"Yes")&gt;=4,INDEX(INPUTS!$R$88:$R$97,MATCH(4,$H$105:$H$114,0))-1,0)</f>
        <v>5</v>
      </c>
      <c r="E112" s="26" t="n">
        <f aca="false">0</f>
        <v>0</v>
      </c>
      <c r="F112" s="26" t="n">
        <f aca="false">IF(COUNTIF(INPUTS!$E$88:$E$97,"Yes")&gt;=4,INDEX(INPUTS!$S$88:$S$97,MATCH(4,$H$105:$H$114,0))-INDEX(INPUTS!$R$88:$R$97,MATCH(4,$H$105:$H$114,0))+1,0)</f>
        <v>12</v>
      </c>
      <c r="H112" s="26" t="n">
        <f aca="false">COUNTIF(INPUTS!$E$88:$E$95,"Yes")</f>
        <v>4</v>
      </c>
    </row>
    <row r="113" customFormat="false" ht="15" hidden="false" customHeight="false" outlineLevel="0" collapsed="false">
      <c r="B113" s="25" t="str">
        <f aca="false">IF(COUNTIF(INPUTS!$E$88:$E$97,"Yes")&gt;=5,INDEX(INPUTS!$B$88:$B$97,MATCH(5,$H$105:$H$114,0))&amp;" – selling","")</f>
        <v/>
      </c>
      <c r="D113" s="26" t="n">
        <f aca="false">IF(COUNTIF(INPUTS!$E$88:$E$97,"Yes")&gt;=5,INDEX(INPUTS!$P$88:$P$97,MATCH(5,$H$105:$H$114,0))-1,0)</f>
        <v>0</v>
      </c>
      <c r="E113" s="26" t="n">
        <f aca="false">IF(COUNTIF(INPUTS!$E$88:$E$97,"Yes")&gt;=5,INDEX(INPUTS!$Q$88:$Q$97,MATCH(5,$H$105:$H$114,0))-INDEX(INPUTS!$P$88:$P$97,MATCH(5,$H$105:$H$114,0))+1,0)</f>
        <v>0</v>
      </c>
      <c r="F113" s="26" t="n">
        <f aca="false">0</f>
        <v>0</v>
      </c>
      <c r="H113" s="26" t="n">
        <f aca="false">COUNTIF(INPUTS!$E$88:$E$96,"Yes")</f>
        <v>4</v>
      </c>
    </row>
    <row r="114" customFormat="false" ht="15" hidden="false" customHeight="false" outlineLevel="0" collapsed="false">
      <c r="B114" s="25" t="str">
        <f aca="false">IF(COUNTIF(INPUTS!$E$88:$E$97,"Yes")&gt;=5,INDEX(INPUTS!$B$88:$B$97,MATCH(5,$H$105:$H$114,0))&amp;" – building","")</f>
        <v/>
      </c>
      <c r="D114" s="26" t="n">
        <f aca="false">IF(COUNTIF(INPUTS!$E$88:$E$97,"Yes")&gt;=5,INDEX(INPUTS!$R$88:$R$97,MATCH(5,$H$105:$H$114,0))-1,0)</f>
        <v>0</v>
      </c>
      <c r="E114" s="26" t="n">
        <f aca="false">0</f>
        <v>0</v>
      </c>
      <c r="F114" s="26" t="n">
        <f aca="false">IF(COUNTIF(INPUTS!$E$88:$E$97,"Yes")&gt;=5,INDEX(INPUTS!$S$88:$S$97,MATCH(5,$H$105:$H$114,0))-INDEX(INPUTS!$R$88:$R$97,MATCH(5,$H$105:$H$114,0))+1,0)</f>
        <v>0</v>
      </c>
      <c r="H114" s="26" t="n">
        <f aca="false">COUNTIF(INPUTS!$E$88:$E$97,"Yes")</f>
        <v>4</v>
      </c>
    </row>
    <row r="115" customFormat="false" ht="15" hidden="false" customHeight="false" outlineLevel="0" collapsed="false">
      <c r="B115" s="25" t="str">
        <f aca="false">IF(COUNTIF(INPUTS!$E$88:$E$97,"Yes")&gt;=6,INDEX(INPUTS!$B$88:$B$97,MATCH(6,$H$105:$H$114,0))&amp;" – selling","")</f>
        <v/>
      </c>
      <c r="D115" s="26" t="n">
        <f aca="false">IF(COUNTIF(INPUTS!$E$88:$E$97,"Yes")&gt;=6,INDEX(INPUTS!$P$88:$P$97,MATCH(6,$H$105:$H$114,0))-1,0)</f>
        <v>0</v>
      </c>
      <c r="E115" s="26" t="n">
        <f aca="false">IF(COUNTIF(INPUTS!$E$88:$E$97,"Yes")&gt;=6,INDEX(INPUTS!$Q$88:$Q$97,MATCH(6,$H$105:$H$114,0))-INDEX(INPUTS!$P$88:$P$97,MATCH(6,$H$105:$H$114,0))+1,0)</f>
        <v>0</v>
      </c>
      <c r="F115" s="26" t="n">
        <f aca="false">0</f>
        <v>0</v>
      </c>
    </row>
    <row r="116" customFormat="false" ht="15" hidden="false" customHeight="false" outlineLevel="0" collapsed="false">
      <c r="B116" s="25" t="str">
        <f aca="false">IF(COUNTIF(INPUTS!$E$88:$E$97,"Yes")&gt;=6,INDEX(INPUTS!$B$88:$B$97,MATCH(6,$H$105:$H$114,0))&amp;" – building","")</f>
        <v/>
      </c>
      <c r="D116" s="26" t="n">
        <f aca="false">IF(COUNTIF(INPUTS!$E$88:$E$97,"Yes")&gt;=6,INDEX(INPUTS!$R$88:$R$97,MATCH(6,$H$105:$H$114,0))-1,0)</f>
        <v>0</v>
      </c>
      <c r="E116" s="26" t="n">
        <f aca="false">0</f>
        <v>0</v>
      </c>
      <c r="F116" s="26" t="n">
        <f aca="false">IF(COUNTIF(INPUTS!$E$88:$E$97,"Yes")&gt;=6,INDEX(INPUTS!$S$88:$S$97,MATCH(6,$H$105:$H$114,0))-INDEX(INPUTS!$R$88:$R$97,MATCH(6,$H$105:$H$114,0))+1,0)</f>
        <v>0</v>
      </c>
    </row>
    <row r="117" customFormat="false" ht="15" hidden="false" customHeight="false" outlineLevel="0" collapsed="false">
      <c r="B117" s="25" t="str">
        <f aca="false">IF(COUNTIF(INPUTS!$E$88:$E$97,"Yes")&gt;=7,INDEX(INPUTS!$B$88:$B$97,MATCH(7,$H$105:$H$114,0))&amp;" – selling","")</f>
        <v/>
      </c>
      <c r="D117" s="26" t="n">
        <f aca="false">IF(COUNTIF(INPUTS!$E$88:$E$97,"Yes")&gt;=7,INDEX(INPUTS!$P$88:$P$97,MATCH(7,$H$105:$H$114,0))-1,0)</f>
        <v>0</v>
      </c>
      <c r="E117" s="26" t="n">
        <f aca="false">IF(COUNTIF(INPUTS!$E$88:$E$97,"Yes")&gt;=7,INDEX(INPUTS!$Q$88:$Q$97,MATCH(7,$H$105:$H$114,0))-INDEX(INPUTS!$P$88:$P$97,MATCH(7,$H$105:$H$114,0))+1,0)</f>
        <v>0</v>
      </c>
      <c r="F117" s="26" t="n">
        <f aca="false">0</f>
        <v>0</v>
      </c>
    </row>
    <row r="118" customFormat="false" ht="15" hidden="false" customHeight="false" outlineLevel="0" collapsed="false">
      <c r="B118" s="25" t="str">
        <f aca="false">IF(COUNTIF(INPUTS!$E$88:$E$97,"Yes")&gt;=7,INDEX(INPUTS!$B$88:$B$97,MATCH(7,$H$105:$H$114,0))&amp;" – building","")</f>
        <v/>
      </c>
      <c r="D118" s="26" t="n">
        <f aca="false">IF(COUNTIF(INPUTS!$E$88:$E$97,"Yes")&gt;=7,INDEX(INPUTS!$R$88:$R$97,MATCH(7,$H$105:$H$114,0))-1,0)</f>
        <v>0</v>
      </c>
      <c r="E118" s="26" t="n">
        <f aca="false">0</f>
        <v>0</v>
      </c>
      <c r="F118" s="26" t="n">
        <f aca="false">IF(COUNTIF(INPUTS!$E$88:$E$97,"Yes")&gt;=7,INDEX(INPUTS!$S$88:$S$97,MATCH(7,$H$105:$H$114,0))-INDEX(INPUTS!$R$88:$R$97,MATCH(7,$H$105:$H$114,0))+1,0)</f>
        <v>0</v>
      </c>
    </row>
    <row r="119" customFormat="false" ht="15" hidden="false" customHeight="false" outlineLevel="0" collapsed="false">
      <c r="B119" s="25" t="str">
        <f aca="false">IF(COUNTIF(INPUTS!$E$88:$E$97,"Yes")&gt;=8,INDEX(INPUTS!$B$88:$B$97,MATCH(8,$H$105:$H$114,0))&amp;" – selling","")</f>
        <v/>
      </c>
      <c r="D119" s="26" t="n">
        <f aca="false">IF(COUNTIF(INPUTS!$E$88:$E$97,"Yes")&gt;=8,INDEX(INPUTS!$P$88:$P$97,MATCH(8,$H$105:$H$114,0))-1,0)</f>
        <v>0</v>
      </c>
      <c r="E119" s="26" t="n">
        <f aca="false">IF(COUNTIF(INPUTS!$E$88:$E$97,"Yes")&gt;=8,INDEX(INPUTS!$Q$88:$Q$97,MATCH(8,$H$105:$H$114,0))-INDEX(INPUTS!$P$88:$P$97,MATCH(8,$H$105:$H$114,0))+1,0)</f>
        <v>0</v>
      </c>
      <c r="F119" s="26" t="n">
        <f aca="false">0</f>
        <v>0</v>
      </c>
    </row>
    <row r="120" customFormat="false" ht="15" hidden="false" customHeight="false" outlineLevel="0" collapsed="false">
      <c r="B120" s="25" t="str">
        <f aca="false">IF(COUNTIF(INPUTS!$E$88:$E$97,"Yes")&gt;=8,INDEX(INPUTS!$B$88:$B$97,MATCH(8,$H$105:$H$114,0))&amp;" – building","")</f>
        <v/>
      </c>
      <c r="D120" s="26" t="n">
        <f aca="false">IF(COUNTIF(INPUTS!$E$88:$E$97,"Yes")&gt;=8,INDEX(INPUTS!$R$88:$R$97,MATCH(8,$H$105:$H$114,0))-1,0)</f>
        <v>0</v>
      </c>
      <c r="E120" s="26" t="n">
        <f aca="false">0</f>
        <v>0</v>
      </c>
      <c r="F120" s="26" t="n">
        <f aca="false">IF(COUNTIF(INPUTS!$E$88:$E$97,"Yes")&gt;=8,INDEX(INPUTS!$S$88:$S$97,MATCH(8,$H$105:$H$114,0))-INDEX(INPUTS!$R$88:$R$97,MATCH(8,$H$105:$H$114,0))+1,0)</f>
        <v>0</v>
      </c>
    </row>
    <row r="121" customFormat="false" ht="15" hidden="false" customHeight="false" outlineLevel="0" collapsed="false">
      <c r="B121" s="25" t="str">
        <f aca="false">IF(COUNTIF(INPUTS!$E$88:$E$97,"Yes")&gt;=9,INDEX(INPUTS!$B$88:$B$97,MATCH(9,$H$105:$H$114,0))&amp;" – selling","")</f>
        <v/>
      </c>
      <c r="D121" s="26" t="n">
        <f aca="false">IF(COUNTIF(INPUTS!$E$88:$E$97,"Yes")&gt;=9,INDEX(INPUTS!$P$88:$P$97,MATCH(9,$H$105:$H$114,0))-1,0)</f>
        <v>0</v>
      </c>
      <c r="E121" s="26" t="n">
        <f aca="false">IF(COUNTIF(INPUTS!$E$88:$E$97,"Yes")&gt;=9,INDEX(INPUTS!$Q$88:$Q$97,MATCH(9,$H$105:$H$114,0))-INDEX(INPUTS!$P$88:$P$97,MATCH(9,$H$105:$H$114,0))+1,0)</f>
        <v>0</v>
      </c>
      <c r="F121" s="26" t="n">
        <f aca="false">0</f>
        <v>0</v>
      </c>
    </row>
    <row r="122" customFormat="false" ht="15" hidden="false" customHeight="false" outlineLevel="0" collapsed="false">
      <c r="B122" s="25" t="str">
        <f aca="false">IF(COUNTIF(INPUTS!$E$88:$E$97,"Yes")&gt;=9,INDEX(INPUTS!$B$88:$B$97,MATCH(9,$H$105:$H$114,0))&amp;" – building","")</f>
        <v/>
      </c>
      <c r="D122" s="26" t="n">
        <f aca="false">IF(COUNTIF(INPUTS!$E$88:$E$97,"Yes")&gt;=9,INDEX(INPUTS!$R$88:$R$97,MATCH(9,$H$105:$H$114,0))-1,0)</f>
        <v>0</v>
      </c>
      <c r="E122" s="26" t="n">
        <f aca="false">0</f>
        <v>0</v>
      </c>
      <c r="F122" s="26" t="n">
        <f aca="false">IF(COUNTIF(INPUTS!$E$88:$E$97,"Yes")&gt;=9,INDEX(INPUTS!$S$88:$S$97,MATCH(9,$H$105:$H$114,0))-INDEX(INPUTS!$R$88:$R$97,MATCH(9,$H$105:$H$114,0))+1,0)</f>
        <v>0</v>
      </c>
    </row>
    <row r="123" customFormat="false" ht="15" hidden="false" customHeight="false" outlineLevel="0" collapsed="false">
      <c r="B123" s="25" t="str">
        <f aca="false">IF(COUNTIF(INPUTS!$E$88:$E$97,"Yes")&gt;=10,INDEX(INPUTS!$B$88:$B$97,MATCH(10,$H$105:$H$114,0))&amp;" – selling","")</f>
        <v/>
      </c>
      <c r="D123" s="26" t="n">
        <f aca="false">IF(COUNTIF(INPUTS!$E$88:$E$97,"Yes")&gt;=10,INDEX(INPUTS!$P$88:$P$97,MATCH(10,$H$105:$H$114,0))-1,0)</f>
        <v>0</v>
      </c>
      <c r="E123" s="26" t="n">
        <f aca="false">IF(COUNTIF(INPUTS!$E$88:$E$97,"Yes")&gt;=10,INDEX(INPUTS!$Q$88:$Q$97,MATCH(10,$H$105:$H$114,0))-INDEX(INPUTS!$P$88:$P$97,MATCH(10,$H$105:$H$114,0))+1,0)</f>
        <v>0</v>
      </c>
      <c r="F123" s="26" t="n">
        <f aca="false">0</f>
        <v>0</v>
      </c>
    </row>
    <row r="124" customFormat="false" ht="15" hidden="false" customHeight="false" outlineLevel="0" collapsed="false">
      <c r="B124" s="25" t="str">
        <f aca="false">IF(COUNTIF(INPUTS!$E$88:$E$97,"Yes")&gt;=10,INDEX(INPUTS!$B$88:$B$97,MATCH(10,$H$105:$H$114,0))&amp;" – building","")</f>
        <v/>
      </c>
      <c r="D124" s="26" t="n">
        <f aca="false">IF(COUNTIF(INPUTS!$E$88:$E$97,"Yes")&gt;=10,INDEX(INPUTS!$R$88:$R$97,MATCH(10,$H$105:$H$114,0))-1,0)</f>
        <v>0</v>
      </c>
      <c r="E124" s="26" t="n">
        <f aca="false">0</f>
        <v>0</v>
      </c>
      <c r="F124" s="26" t="n">
        <f aca="false">IF(COUNTIF(INPUTS!$E$88:$E$97,"Yes")&gt;=10,INDEX(INPUTS!$S$88:$S$97,MATCH(10,$H$105:$H$114,0))-INDEX(INPUTS!$R$88:$R$97,MATCH(10,$H$105:$H$114,0))+1,0)</f>
        <v>0</v>
      </c>
    </row>
  </sheetData>
  <mergeCells count="45">
    <mergeCell ref="B2:Q2"/>
    <mergeCell ref="B3:Q3"/>
    <mergeCell ref="B4:Q4"/>
    <mergeCell ref="B6:E6"/>
    <mergeCell ref="F6:I6"/>
    <mergeCell ref="J6:M6"/>
    <mergeCell ref="N6:Q6"/>
    <mergeCell ref="B7:E7"/>
    <mergeCell ref="F7:I7"/>
    <mergeCell ref="J7:M7"/>
    <mergeCell ref="N7:Q7"/>
    <mergeCell ref="B8:E8"/>
    <mergeCell ref="F8:I8"/>
    <mergeCell ref="J8:M8"/>
    <mergeCell ref="N8:Q8"/>
    <mergeCell ref="B10:E10"/>
    <mergeCell ref="F10:I10"/>
    <mergeCell ref="J10:M10"/>
    <mergeCell ref="N10:Q10"/>
    <mergeCell ref="B11:E11"/>
    <mergeCell ref="F11:I11"/>
    <mergeCell ref="J11:M11"/>
    <mergeCell ref="N11:Q11"/>
    <mergeCell ref="B12:E12"/>
    <mergeCell ref="F12:I12"/>
    <mergeCell ref="J12:M12"/>
    <mergeCell ref="N12:Q12"/>
    <mergeCell ref="B14:E14"/>
    <mergeCell ref="F14:I14"/>
    <mergeCell ref="J14:M14"/>
    <mergeCell ref="N14:Q14"/>
    <mergeCell ref="B15:E15"/>
    <mergeCell ref="F15:I15"/>
    <mergeCell ref="J15:M15"/>
    <mergeCell ref="N15:Q15"/>
    <mergeCell ref="B16:E16"/>
    <mergeCell ref="F16:I16"/>
    <mergeCell ref="J16:M16"/>
    <mergeCell ref="N16:Q16"/>
    <mergeCell ref="B18:Q18"/>
    <mergeCell ref="B19:Q19"/>
    <mergeCell ref="B20:Q20"/>
    <mergeCell ref="B21:Q21"/>
    <mergeCell ref="B22:Q22"/>
    <mergeCell ref="B88:Q88"/>
  </mergeCells>
  <conditionalFormatting sqref="B4">
    <cfRule type="expression" priority="2" aboveAverage="0" equalAverage="0" bottom="0" percent="0" rank="0" text="" dxfId="0">
      <formula>LEFT($B$4,1)="✔"</formula>
    </cfRule>
    <cfRule type="expression" priority="3" aboveAverage="0" equalAverage="0" bottom="0" percent="0" rank="0" text="" dxfId="1">
      <formula>LEFT($B$4,1)&lt;&gt;"✔"</formula>
    </cfRule>
  </conditionalFormatting>
  <conditionalFormatting sqref="J7:M8">
    <cfRule type="expression" priority="4" aboveAverage="0" equalAverage="0" bottom="0" percent="0" rank="0" text="" dxfId="2">
      <formula>OUTPUT!$F$58&gt;INPUTS!$C$434</formula>
    </cfRule>
    <cfRule type="expression" priority="5" aboveAverage="0" equalAverage="0" bottom="0" percent="0" rank="0" text="" dxfId="3">
      <formula>OUTPUT!$F$58&lt;=INPUTS!$C$434</formula>
    </cfRule>
  </conditionalFormatting>
  <conditionalFormatting sqref="N7:Q8">
    <cfRule type="expression" priority="6" aboveAverage="0" equalAverage="0" bottom="0" percent="0" rank="0" text="" dxfId="2">
      <formula>OUTPUT!$F$60&gt;INPUTS!$C$433</formula>
    </cfRule>
    <cfRule type="expression" priority="7" aboveAverage="0" equalAverage="0" bottom="0" percent="0" rank="0" text="" dxfId="3">
      <formula>OUTPUT!$F$60&lt;=INPUTS!$C$433</formula>
    </cfRule>
  </conditionalFormatting>
  <conditionalFormatting sqref="B11:E12">
    <cfRule type="expression" priority="8" aboveAverage="0" equalAverage="0" bottom="0" percent="0" rank="0" text="" dxfId="2">
      <formula>AND(ISNUMBER($B$11),$B$11&gt;INPUTS!$C$429)</formula>
    </cfRule>
    <cfRule type="expression" priority="9" aboveAverage="0" equalAverage="0" bottom="0" percent="0" rank="0" text="" dxfId="3">
      <formula>NOT(AND(ISNUMBER($B$11),$B$11&gt;INPUTS!$C$429))</formula>
    </cfRule>
  </conditionalFormatting>
  <conditionalFormatting sqref="F11:I12">
    <cfRule type="expression" priority="10" aboveAverage="0" equalAverage="0" bottom="0" percent="0" rank="0" text="" dxfId="2">
      <formula>AND(ISNUMBER($F$11),$F$11&gt;INPUTS!$C$428)</formula>
    </cfRule>
    <cfRule type="expression" priority="11" aboveAverage="0" equalAverage="0" bottom="0" percent="0" rank="0" text="" dxfId="3">
      <formula>NOT(AND(ISNUMBER($F$11),$F$11&gt;INPUTS!$C$428))</formula>
    </cfRule>
  </conditionalFormatting>
  <conditionalFormatting sqref="N11:Q12">
    <cfRule type="expression" priority="12" aboveAverage="0" equalAverage="0" bottom="0" percent="0" rank="0" text="" dxfId="2">
      <formula>AND(ISNUMBER($N$11),$N$11&gt;INPUTS!$C$430)</formula>
    </cfRule>
    <cfRule type="expression" priority="13" aboveAverage="0" equalAverage="0" bottom="0" percent="0" rank="0" text="" dxfId="3">
      <formula>NOT(AND(ISNUMBER($N$11),$N$11&gt;INPUTS!$C$430))</formula>
    </cfRule>
  </conditionalFormatting>
  <conditionalFormatting sqref="J15:M16">
    <cfRule type="expression" priority="14" aboveAverage="0" equalAverage="0" bottom="0" percent="0" rank="0" text="" dxfId="2">
      <formula>AND(ISNUMBER($J$15),$J$15&gt;INPUTS!$C$431)</formula>
    </cfRule>
    <cfRule type="expression" priority="15" aboveAverage="0" equalAverage="0" bottom="0" percent="0" rank="0" text="" dxfId="3">
      <formula>NOT(AND(ISNUMBER($J$15),$J$15&gt;INPUTS!$C$431))</formula>
    </cfRule>
  </conditionalFormatting>
  <conditionalFormatting sqref="N15:Q16">
    <cfRule type="expression" priority="16" aboveAverage="0" equalAverage="0" bottom="0" percent="0" rank="0" text="" dxfId="2">
      <formula>AND(ISNUMBER($N$15),$N$15&gt;INPUTS!$C$432)</formula>
    </cfRule>
    <cfRule type="expression" priority="17" aboveAverage="0" equalAverage="0" bottom="0" percent="0" rank="0" text="" dxfId="3">
      <formula>NOT(AND(ISNUMBER($N$15),$N$15&gt;INPUTS!$C$432))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2:M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4"/>
  </cols>
  <sheetData>
    <row r="2" customFormat="false" ht="19.7" hidden="false" customHeight="false" outlineLevel="0" collapsed="false">
      <c r="B2" s="1" t="s">
        <v>77</v>
      </c>
    </row>
    <row r="3" customFormat="false" ht="15" hidden="false" customHeight="false" outlineLevel="0" collapsed="false">
      <c r="B3" s="17" t="s">
        <v>78</v>
      </c>
    </row>
    <row r="4" customFormat="false" ht="15" hidden="false" customHeight="false" outlineLevel="0" collapsed="false">
      <c r="B4" s="17" t="s">
        <v>79</v>
      </c>
    </row>
    <row r="6" customFormat="false" ht="19.5" hidden="false" customHeight="true" outlineLevel="0" collapsed="false">
      <c r="B6" s="4" t="s">
        <v>80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21.75" hidden="false" customHeight="true" outlineLevel="0" collapsed="false">
      <c r="B7" s="27" t="s">
        <v>81</v>
      </c>
      <c r="C7" s="27" t="s">
        <v>82</v>
      </c>
      <c r="D7" s="27" t="s">
        <v>83</v>
      </c>
      <c r="E7" s="27" t="s">
        <v>84</v>
      </c>
    </row>
    <row r="8" customFormat="false" ht="15" hidden="false" customHeight="false" outlineLevel="0" collapsed="false">
      <c r="B8" s="28" t="s">
        <v>85</v>
      </c>
      <c r="C8" s="29" t="n">
        <v>0</v>
      </c>
      <c r="D8" s="30" t="s">
        <v>86</v>
      </c>
      <c r="E8" s="17" t="s">
        <v>87</v>
      </c>
    </row>
    <row r="9" customFormat="false" ht="15" hidden="false" customHeight="false" outlineLevel="0" collapsed="false">
      <c r="B9" s="28" t="s">
        <v>88</v>
      </c>
      <c r="C9" s="29" t="n">
        <v>0</v>
      </c>
      <c r="D9" s="30" t="s">
        <v>86</v>
      </c>
      <c r="E9" s="17" t="s">
        <v>89</v>
      </c>
    </row>
    <row r="10" customFormat="false" ht="15" hidden="false" customHeight="false" outlineLevel="0" collapsed="false">
      <c r="B10" s="28" t="s">
        <v>90</v>
      </c>
      <c r="C10" s="31" t="n">
        <v>1</v>
      </c>
      <c r="D10" s="30" t="s">
        <v>91</v>
      </c>
      <c r="E10" s="17" t="s">
        <v>92</v>
      </c>
    </row>
    <row r="11" customFormat="false" ht="15" hidden="false" customHeight="false" outlineLevel="0" collapsed="false">
      <c r="B11" s="28" t="s">
        <v>93</v>
      </c>
      <c r="C11" s="32" t="n">
        <v>0</v>
      </c>
      <c r="D11" s="30" t="s">
        <v>94</v>
      </c>
      <c r="E11" s="17" t="s">
        <v>95</v>
      </c>
    </row>
    <row r="12" customFormat="false" ht="15" hidden="false" customHeight="false" outlineLevel="0" collapsed="false">
      <c r="B12" s="28" t="s">
        <v>96</v>
      </c>
      <c r="C12" s="32" t="n">
        <v>0</v>
      </c>
      <c r="D12" s="30" t="s">
        <v>94</v>
      </c>
      <c r="E12" s="17" t="s">
        <v>97</v>
      </c>
    </row>
    <row r="13" customFormat="false" ht="15" hidden="false" customHeight="false" outlineLevel="0" collapsed="false">
      <c r="B13" s="28" t="s">
        <v>98</v>
      </c>
      <c r="C13" s="32" t="n">
        <v>1</v>
      </c>
      <c r="D13" s="30" t="s">
        <v>99</v>
      </c>
      <c r="E13" s="17" t="s">
        <v>100</v>
      </c>
    </row>
    <row r="14" customFormat="false" ht="15" hidden="false" customHeight="false" outlineLevel="0" collapsed="false">
      <c r="B14" s="33" t="s">
        <v>101</v>
      </c>
      <c r="C14" s="34" t="str">
        <f aca="false">IF(AND($C$8=0,$C$9=0,$C$10=1,$C$11=0,$C$12=0),"Neutral","ACTIVE")</f>
        <v>Neutral</v>
      </c>
    </row>
    <row r="16" customFormat="false" ht="19.5" hidden="false" customHeight="true" outlineLevel="0" collapsed="false">
      <c r="B16" s="4" t="s">
        <v>102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B17" s="35" t="s">
        <v>103</v>
      </c>
      <c r="C17" s="36" t="n">
        <f aca="false">OUTPUT!$D$23</f>
        <v>803</v>
      </c>
      <c r="D17" s="36" t="n">
        <f aca="false">OUTPUT!$D$51</f>
        <v>630.6053209296</v>
      </c>
      <c r="E17" s="37" t="n">
        <f aca="false">CASHFLOW!$C$69</f>
        <v>1.10176376739746</v>
      </c>
      <c r="F17" s="36" t="n">
        <f aca="false">CASHFLOW!$C$72</f>
        <v>90.6281136296508</v>
      </c>
      <c r="G17" s="36" t="n">
        <f aca="false">OUTPUT!$D$60</f>
        <v>127.572062512096</v>
      </c>
      <c r="H17" s="37" t="n">
        <f aca="false">OUTPUT!$F$60</f>
        <v>0.158869318196882</v>
      </c>
      <c r="I17" s="36" t="n">
        <f aca="false">OUTPUT!$D$58</f>
        <v>172.3946790704</v>
      </c>
      <c r="J17" s="36" t="n">
        <f aca="false">CASHFLOW!$C$73</f>
        <v>34.2873209296</v>
      </c>
      <c r="K17" s="38" t="str">
        <f aca="false">CASHFLOW!$C$81</f>
        <v>Q8</v>
      </c>
      <c r="L17" s="39" t="n">
        <f aca="false">OUTPUT!$D$75</f>
        <v>1.47329680169824</v>
      </c>
    </row>
    <row r="18" customFormat="false" ht="30" hidden="false" customHeight="true" outlineLevel="0" collapsed="false">
      <c r="B18" s="27" t="s">
        <v>104</v>
      </c>
      <c r="C18" s="27" t="s">
        <v>105</v>
      </c>
      <c r="D18" s="27" t="s">
        <v>106</v>
      </c>
      <c r="E18" s="27" t="s">
        <v>107</v>
      </c>
      <c r="F18" s="27" t="s">
        <v>108</v>
      </c>
      <c r="G18" s="27" t="s">
        <v>109</v>
      </c>
      <c r="H18" s="27" t="s">
        <v>110</v>
      </c>
      <c r="I18" s="27" t="s">
        <v>111</v>
      </c>
      <c r="J18" s="27" t="s">
        <v>112</v>
      </c>
      <c r="K18" s="27" t="s">
        <v>113</v>
      </c>
      <c r="L18" s="27" t="s">
        <v>55</v>
      </c>
    </row>
    <row r="19" customFormat="false" ht="10.5" hidden="false" customHeight="true" outlineLevel="0" collapsed="false">
      <c r="B19" s="40" t="n">
        <f aca="false">CHOOSE($C$13,OUTPUT!$D$23,OUTPUT!$D$51,CASHFLOW!$C$69,CASHFLOW!$C$72,OUTPUT!$D$60,OUTPUT!$F$60,OUTPUT!$D$58,CASHFLOW!$C$73,CASHFLOW!$C$81,OUTPUT!$D$75)</f>
        <v>803</v>
      </c>
      <c r="C19" s="41" t="n">
        <v>1</v>
      </c>
      <c r="D19" s="41" t="n">
        <v>2</v>
      </c>
      <c r="E19" s="41" t="n">
        <v>3</v>
      </c>
      <c r="F19" s="41" t="n">
        <v>4</v>
      </c>
      <c r="G19" s="41" t="n">
        <v>5</v>
      </c>
      <c r="H19" s="41" t="n">
        <v>6</v>
      </c>
      <c r="I19" s="41" t="n">
        <v>7</v>
      </c>
      <c r="J19" s="41" t="n">
        <v>8</v>
      </c>
      <c r="K19" s="41" t="n">
        <v>9</v>
      </c>
      <c r="L19" s="41" t="n">
        <v>10</v>
      </c>
    </row>
    <row r="20" customFormat="false" ht="15" hidden="false" customHeight="false" outlineLevel="0" collapsed="false">
      <c r="B20" s="42" t="n">
        <v>1</v>
      </c>
      <c r="C20" s="43" t="n">
        <f t="dataTable" ref="C20:L22" dt2D="1" dtr="1" r1="C13" r2="C12"/>
        <v>843.15</v>
      </c>
      <c r="D20" s="43" t="n">
        <v>647.8698209296</v>
      </c>
      <c r="E20" s="44" t="n">
        <v>1.50760164677277</v>
      </c>
      <c r="F20" s="43" t="n">
        <v>111.455689586164</v>
      </c>
      <c r="G20" s="43" t="n">
        <v>144.507332512096</v>
      </c>
      <c r="H20" s="44" t="n">
        <v>0.171389826854173</v>
      </c>
      <c r="I20" s="43" t="n">
        <v>195.2801790704</v>
      </c>
      <c r="J20" s="43" t="n">
        <v>34.4479209296</v>
      </c>
      <c r="K20" s="45" t="str">
        <v>Q7</v>
      </c>
      <c r="L20" s="46" t="n">
        <v>1.52874455422006</v>
      </c>
    </row>
    <row r="21" customFormat="false" ht="15" hidden="false" customHeight="false" outlineLevel="0" collapsed="false">
      <c r="B21" s="47" t="n">
        <v>2</v>
      </c>
      <c r="C21" s="43" t="n">
        <v>803.0</v>
      </c>
      <c r="D21" s="43" t="n">
        <v>630.6053209296</v>
      </c>
      <c r="E21" s="44" t="n">
        <v>1.10176376739746</v>
      </c>
      <c r="F21" s="43" t="n">
        <v>90.6281136296508</v>
      </c>
      <c r="G21" s="43" t="n">
        <v>127.572062512096</v>
      </c>
      <c r="H21" s="44" t="n">
        <v>0.158869318196882</v>
      </c>
      <c r="I21" s="43" t="n">
        <v>172.3946790704</v>
      </c>
      <c r="J21" s="43" t="n">
        <v>34.2873209296</v>
      </c>
      <c r="K21" s="45" t="str">
        <v>Q8</v>
      </c>
      <c r="L21" s="46" t="n">
        <v>1.47329680169824</v>
      </c>
    </row>
    <row r="22" customFormat="false" ht="15" hidden="false" customHeight="false" outlineLevel="0" collapsed="false">
      <c r="B22" s="48" t="n">
        <v>3</v>
      </c>
      <c r="C22" s="43" t="n">
        <v>742.775</v>
      </c>
      <c r="D22" s="43" t="n">
        <v>624.9885709296</v>
      </c>
      <c r="E22" s="44" t="n">
        <v>0.40241041469119</v>
      </c>
      <c r="F22" s="43" t="n">
        <v>35.7674094318987</v>
      </c>
      <c r="G22" s="43" t="n">
        <v>87.161957512096</v>
      </c>
      <c r="H22" s="44" t="n">
        <v>0.117346380144857</v>
      </c>
      <c r="I22" s="43" t="n">
        <v>117.7864290704</v>
      </c>
      <c r="J22" s="43" t="n">
        <v>36.3601955115398</v>
      </c>
      <c r="K22" s="45" t="str">
        <v>Q18</v>
      </c>
      <c r="L22" s="46" t="n">
        <v>1.31437293350684</v>
      </c>
    </row>
    <row r="24" customFormat="false" ht="19.5" hidden="false" customHeight="true" outlineLevel="0" collapsed="false">
      <c r="B24" s="4" t="s">
        <v>114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B25" s="35" t="s">
        <v>103</v>
      </c>
      <c r="C25" s="37" t="n">
        <f aca="false">CASHFLOW!$C$69</f>
        <v>1.10176376739746</v>
      </c>
      <c r="D25" s="36" t="n">
        <f aca="false">CASHFLOW!$C$72</f>
        <v>90.6281136296508</v>
      </c>
      <c r="E25" s="36" t="n">
        <f aca="false">OUTPUT!$D$60</f>
        <v>127.572062512096</v>
      </c>
      <c r="F25" s="37" t="n">
        <f aca="false">OUTPUT!$F$60</f>
        <v>0.158869318196882</v>
      </c>
      <c r="G25" s="36" t="n">
        <f aca="false">OUTPUT!$D$58</f>
        <v>172.3946790704</v>
      </c>
      <c r="H25" s="36" t="n">
        <f aca="false">CASHFLOW!$C$73</f>
        <v>34.2873209296</v>
      </c>
      <c r="I25" s="38" t="str">
        <f aca="false">CASHFLOW!$C$81</f>
        <v>Q8</v>
      </c>
    </row>
    <row r="26" customFormat="false" ht="30" hidden="false" customHeight="true" outlineLevel="0" collapsed="false">
      <c r="B26" s="27" t="s">
        <v>115</v>
      </c>
      <c r="C26" s="27" t="s">
        <v>107</v>
      </c>
      <c r="D26" s="27" t="s">
        <v>108</v>
      </c>
      <c r="E26" s="27" t="s">
        <v>109</v>
      </c>
      <c r="F26" s="27" t="s">
        <v>110</v>
      </c>
      <c r="G26" s="27" t="s">
        <v>111</v>
      </c>
      <c r="H26" s="27" t="s">
        <v>112</v>
      </c>
      <c r="I26" s="27" t="s">
        <v>113</v>
      </c>
    </row>
    <row r="27" customFormat="false" ht="10.5" hidden="false" customHeight="true" outlineLevel="0" collapsed="false">
      <c r="B27" s="49" t="n">
        <f aca="false">CHOOSE($C$13,CASHFLOW!$C$69,CASHFLOW!$C$72,OUTPUT!$D$60,OUTPUT!$F$60,OUTPUT!$D$58,CASHFLOW!$C$73,CASHFLOW!$C$81)</f>
        <v>1.10176376739746</v>
      </c>
      <c r="C27" s="41" t="n">
        <v>1</v>
      </c>
      <c r="D27" s="41" t="n">
        <v>2</v>
      </c>
      <c r="E27" s="41" t="n">
        <v>3</v>
      </c>
      <c r="F27" s="41" t="n">
        <v>4</v>
      </c>
      <c r="G27" s="41" t="n">
        <v>5</v>
      </c>
      <c r="H27" s="41" t="n">
        <v>6</v>
      </c>
      <c r="I27" s="41" t="n">
        <v>7</v>
      </c>
    </row>
    <row r="28" customFormat="false" ht="15" hidden="false" customHeight="false" outlineLevel="0" collapsed="false">
      <c r="B28" s="50" t="n">
        <v>-0.15</v>
      </c>
      <c r="C28" s="44" t="n">
        <f t="dataTable" ref="C28:I34" dt2D="1" dtr="1" r1="C13" r2="C8"/>
        <v>0.731014349502334</v>
      </c>
      <c r="D28" s="43" t="n">
        <v>49.2240780602493</v>
      </c>
      <c r="E28" s="43" t="n">
        <v>76.7662525120961</v>
      </c>
      <c r="F28" s="44" t="n">
        <v>0.112469786113979</v>
      </c>
      <c r="G28" s="43" t="n">
        <v>103.7381790704</v>
      </c>
      <c r="H28" s="43" t="n">
        <v>33.8055209296</v>
      </c>
      <c r="I28" s="45" t="str">
        <v>Q10</v>
      </c>
    </row>
    <row r="29" customFormat="false" ht="15" hidden="false" customHeight="false" outlineLevel="0" collapsed="false">
      <c r="B29" s="50" t="n">
        <v>-0.1</v>
      </c>
      <c r="C29" s="44" t="n">
        <v>0.861522533301254</v>
      </c>
      <c r="D29" s="43" t="n">
        <v>63.0254232500498</v>
      </c>
      <c r="E29" s="43" t="n">
        <v>93.701522512096</v>
      </c>
      <c r="F29" s="44" t="n">
        <v>0.129654797996535</v>
      </c>
      <c r="G29" s="43" t="n">
        <v>126.6236790704</v>
      </c>
      <c r="H29" s="43" t="n">
        <v>33.9661209296</v>
      </c>
      <c r="I29" s="45" t="str">
        <v>Q8</v>
      </c>
    </row>
    <row r="30" customFormat="false" ht="15" hidden="false" customHeight="false" outlineLevel="0" collapsed="false">
      <c r="B30" s="50" t="n">
        <v>-0.05</v>
      </c>
      <c r="C30" s="44" t="n">
        <v>0.984723086335525</v>
      </c>
      <c r="D30" s="43" t="n">
        <v>76.8267684398503</v>
      </c>
      <c r="E30" s="43" t="n">
        <v>110.636792512096</v>
      </c>
      <c r="F30" s="44" t="n">
        <v>0.145030861259875</v>
      </c>
      <c r="G30" s="43" t="n">
        <v>149.5091790704</v>
      </c>
      <c r="H30" s="43" t="n">
        <v>34.1267209296</v>
      </c>
      <c r="I30" s="45" t="str">
        <v>Q8</v>
      </c>
    </row>
    <row r="31" customFormat="false" ht="15" hidden="false" customHeight="false" outlineLevel="0" collapsed="false">
      <c r="B31" s="50" t="n">
        <v>0</v>
      </c>
      <c r="C31" s="44" t="n">
        <v>1.10176376739746</v>
      </c>
      <c r="D31" s="43" t="n">
        <v>90.6281136296508</v>
      </c>
      <c r="E31" s="43" t="n">
        <v>127.572062512096</v>
      </c>
      <c r="F31" s="44" t="n">
        <v>0.158869318196882</v>
      </c>
      <c r="G31" s="43" t="n">
        <v>172.3946790704</v>
      </c>
      <c r="H31" s="43" t="n">
        <v>34.2873209296</v>
      </c>
      <c r="I31" s="45" t="str">
        <v>Q8</v>
      </c>
    </row>
    <row r="32" customFormat="false" ht="15" hidden="false" customHeight="false" outlineLevel="0" collapsed="false">
      <c r="B32" s="50" t="n">
        <v>0.05</v>
      </c>
      <c r="C32" s="44" t="n">
        <v>1.21354039616598</v>
      </c>
      <c r="D32" s="43" t="n">
        <v>104.429458819451</v>
      </c>
      <c r="E32" s="43" t="n">
        <v>144.507332512096</v>
      </c>
      <c r="F32" s="44" t="n">
        <v>0.171389826854173</v>
      </c>
      <c r="G32" s="43" t="n">
        <v>195.2801790704</v>
      </c>
      <c r="H32" s="43" t="n">
        <v>34.4479209296</v>
      </c>
      <c r="I32" s="45" t="str">
        <v>Q8</v>
      </c>
    </row>
    <row r="33" customFormat="false" ht="15" hidden="false" customHeight="false" outlineLevel="0" collapsed="false">
      <c r="B33" s="50" t="n">
        <v>0.1</v>
      </c>
      <c r="C33" s="44" t="n">
        <v>1.32076052750376</v>
      </c>
      <c r="D33" s="43" t="n">
        <v>118.230804009252</v>
      </c>
      <c r="E33" s="43" t="n">
        <v>161.442602512096</v>
      </c>
      <c r="F33" s="44" t="n">
        <v>0.182772107451711</v>
      </c>
      <c r="G33" s="43" t="n">
        <v>218.1656790704</v>
      </c>
      <c r="H33" s="43" t="n">
        <v>34.6085209296</v>
      </c>
      <c r="I33" s="45" t="str">
        <v>Q8</v>
      </c>
    </row>
    <row r="34" customFormat="false" ht="15" hidden="false" customHeight="false" outlineLevel="0" collapsed="false">
      <c r="B34" s="50" t="n">
        <v>0.15</v>
      </c>
      <c r="C34" s="44" t="n">
        <v>1.42238810485333</v>
      </c>
      <c r="D34" s="43" t="n">
        <v>132.016438920008</v>
      </c>
      <c r="E34" s="43" t="n">
        <v>178.377872512096</v>
      </c>
      <c r="F34" s="44" t="n">
        <v>0.193164624519028</v>
      </c>
      <c r="G34" s="43" t="n">
        <v>241.0511790704</v>
      </c>
      <c r="H34" s="43" t="n">
        <v>34.7691209296</v>
      </c>
      <c r="I34" s="45" t="str">
        <v>Q8</v>
      </c>
    </row>
    <row r="36" customFormat="false" ht="19.5" hidden="false" customHeight="true" outlineLevel="0" collapsed="false">
      <c r="B36" s="4" t="s">
        <v>116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customFormat="false" ht="15" hidden="false" customHeight="false" outlineLevel="0" collapsed="false">
      <c r="B37" s="35" t="s">
        <v>103</v>
      </c>
      <c r="C37" s="37" t="n">
        <f aca="false">CASHFLOW!$C$69</f>
        <v>1.10176376739746</v>
      </c>
      <c r="D37" s="36" t="n">
        <f aca="false">CASHFLOW!$C$72</f>
        <v>90.6281136296508</v>
      </c>
      <c r="E37" s="36" t="n">
        <f aca="false">OUTPUT!$D$60</f>
        <v>127.572062512096</v>
      </c>
      <c r="F37" s="37" t="n">
        <f aca="false">OUTPUT!$F$60</f>
        <v>0.158869318196882</v>
      </c>
      <c r="G37" s="36" t="n">
        <f aca="false">OUTPUT!$D$58</f>
        <v>172.3946790704</v>
      </c>
      <c r="H37" s="36" t="n">
        <f aca="false">CASHFLOW!$C$73</f>
        <v>34.2873209296</v>
      </c>
      <c r="I37" s="38" t="str">
        <f aca="false">CASHFLOW!$C$81</f>
        <v>Q8</v>
      </c>
    </row>
    <row r="38" customFormat="false" ht="30" hidden="false" customHeight="true" outlineLevel="0" collapsed="false">
      <c r="B38" s="27" t="s">
        <v>115</v>
      </c>
      <c r="C38" s="27" t="s">
        <v>107</v>
      </c>
      <c r="D38" s="27" t="s">
        <v>108</v>
      </c>
      <c r="E38" s="27" t="s">
        <v>109</v>
      </c>
      <c r="F38" s="27" t="s">
        <v>110</v>
      </c>
      <c r="G38" s="27" t="s">
        <v>111</v>
      </c>
      <c r="H38" s="27" t="s">
        <v>112</v>
      </c>
      <c r="I38" s="27" t="s">
        <v>113</v>
      </c>
    </row>
    <row r="39" customFormat="false" ht="10.5" hidden="false" customHeight="true" outlineLevel="0" collapsed="false">
      <c r="B39" s="49" t="n">
        <f aca="false">CHOOSE($C$13,CASHFLOW!$C$69,CASHFLOW!$C$72,OUTPUT!$D$60,OUTPUT!$F$60,OUTPUT!$D$58,CASHFLOW!$C$73,CASHFLOW!$C$81)</f>
        <v>1.10176376739746</v>
      </c>
      <c r="C39" s="41" t="n">
        <v>1</v>
      </c>
      <c r="D39" s="41" t="n">
        <v>2</v>
      </c>
      <c r="E39" s="41" t="n">
        <v>3</v>
      </c>
      <c r="F39" s="41" t="n">
        <v>4</v>
      </c>
      <c r="G39" s="41" t="n">
        <v>5</v>
      </c>
      <c r="H39" s="41" t="n">
        <v>6</v>
      </c>
      <c r="I39" s="41" t="n">
        <v>7</v>
      </c>
    </row>
    <row r="40" customFormat="false" ht="15" hidden="false" customHeight="false" outlineLevel="0" collapsed="false">
      <c r="B40" s="50" t="n">
        <v>-0.05</v>
      </c>
      <c r="C40" s="44" t="n">
        <f t="dataTable" ref="C40:I45" dt2D="1" dtr="1" r1="C13" r2="C9"/>
        <v>1.17815893715167</v>
      </c>
      <c r="D40" s="43" t="n">
        <v>99.0773319931348</v>
      </c>
      <c r="E40" s="43" t="n">
        <v>137.576862512096</v>
      </c>
      <c r="F40" s="44" t="n">
        <v>0.171328595905474</v>
      </c>
      <c r="G40" s="43" t="n">
        <v>185.9146790704</v>
      </c>
      <c r="H40" s="43" t="n">
        <v>34.2873209296</v>
      </c>
      <c r="I40" s="45" t="str">
        <v>Q8</v>
      </c>
    </row>
    <row r="41" customFormat="false" ht="15" hidden="false" customHeight="false" outlineLevel="0" collapsed="false">
      <c r="B41" s="50" t="n">
        <v>0</v>
      </c>
      <c r="C41" s="44" t="n">
        <v>1.10176376739746</v>
      </c>
      <c r="D41" s="43" t="n">
        <v>90.6281136296508</v>
      </c>
      <c r="E41" s="43" t="n">
        <v>127.572062512096</v>
      </c>
      <c r="F41" s="44" t="n">
        <v>0.158869318196882</v>
      </c>
      <c r="G41" s="43" t="n">
        <v>172.3946790704</v>
      </c>
      <c r="H41" s="43" t="n">
        <v>34.2873209296</v>
      </c>
      <c r="I41" s="45" t="str">
        <v>Q8</v>
      </c>
    </row>
    <row r="42" customFormat="false" ht="15" hidden="false" customHeight="false" outlineLevel="0" collapsed="false">
      <c r="B42" s="50" t="n">
        <v>0.05</v>
      </c>
      <c r="C42" s="44" t="n">
        <v>1.02378290499329</v>
      </c>
      <c r="D42" s="43" t="n">
        <v>82.1788952661669</v>
      </c>
      <c r="E42" s="43" t="n">
        <v>117.567262512096</v>
      </c>
      <c r="F42" s="44" t="n">
        <v>0.146410040488289</v>
      </c>
      <c r="G42" s="43" t="n">
        <v>158.8746790704</v>
      </c>
      <c r="H42" s="43" t="n">
        <v>34.2873209296</v>
      </c>
      <c r="I42" s="45" t="str">
        <v>Q8</v>
      </c>
    </row>
    <row r="43" customFormat="false" ht="15" hidden="false" customHeight="false" outlineLevel="0" collapsed="false">
      <c r="B43" s="50" t="n">
        <v>0.1</v>
      </c>
      <c r="C43" s="44" t="n">
        <v>0.944133116002297</v>
      </c>
      <c r="D43" s="43" t="n">
        <v>73.7296769026828</v>
      </c>
      <c r="E43" s="43" t="n">
        <v>107.562462512096</v>
      </c>
      <c r="F43" s="44" t="n">
        <v>0.133950762779696</v>
      </c>
      <c r="G43" s="43" t="n">
        <v>145.3546790704</v>
      </c>
      <c r="H43" s="43" t="n">
        <v>34.2873209296</v>
      </c>
      <c r="I43" s="45" t="str">
        <v>Q8</v>
      </c>
    </row>
    <row r="44" customFormat="false" ht="15" hidden="false" customHeight="false" outlineLevel="0" collapsed="false">
      <c r="B44" s="50" t="n">
        <v>0.15</v>
      </c>
      <c r="C44" s="44" t="n">
        <v>0.862739034233762</v>
      </c>
      <c r="D44" s="43" t="n">
        <v>65.2804585391989</v>
      </c>
      <c r="E44" s="43" t="n">
        <v>97.557662512096</v>
      </c>
      <c r="F44" s="44" t="n">
        <v>0.121491485071103</v>
      </c>
      <c r="G44" s="43" t="n">
        <v>131.8346790704</v>
      </c>
      <c r="H44" s="43" t="n">
        <v>34.2873209296</v>
      </c>
      <c r="I44" s="45" t="str">
        <v>Q8</v>
      </c>
    </row>
    <row r="45" customFormat="false" ht="15" hidden="false" customHeight="false" outlineLevel="0" collapsed="false">
      <c r="B45" s="50" t="n">
        <v>0.2</v>
      </c>
      <c r="C45" s="44" t="n">
        <v>0.779541881509254</v>
      </c>
      <c r="D45" s="43" t="n">
        <v>56.8312401757149</v>
      </c>
      <c r="E45" s="43" t="n">
        <v>87.552862512096</v>
      </c>
      <c r="F45" s="44" t="n">
        <v>0.109032207362511</v>
      </c>
      <c r="G45" s="43" t="n">
        <v>118.3146790704</v>
      </c>
      <c r="H45" s="43" t="n">
        <v>34.2873209296</v>
      </c>
      <c r="I45" s="45" t="str">
        <v>Q10</v>
      </c>
    </row>
    <row r="47" customFormat="false" ht="19.5" hidden="false" customHeight="true" outlineLevel="0" collapsed="false">
      <c r="B47" s="4" t="s">
        <v>117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customFormat="false" ht="15" hidden="false" customHeight="false" outlineLevel="0" collapsed="false">
      <c r="B48" s="35" t="s">
        <v>103</v>
      </c>
      <c r="C48" s="37" t="n">
        <f aca="false">CASHFLOW!$C$69</f>
        <v>1.10176376739746</v>
      </c>
      <c r="D48" s="36" t="n">
        <f aca="false">CASHFLOW!$C$72</f>
        <v>90.6281136296508</v>
      </c>
      <c r="E48" s="36" t="n">
        <f aca="false">OUTPUT!$D$60</f>
        <v>127.572062512096</v>
      </c>
      <c r="F48" s="37" t="n">
        <f aca="false">OUTPUT!$F$60</f>
        <v>0.158869318196882</v>
      </c>
      <c r="G48" s="36" t="n">
        <f aca="false">OUTPUT!$D$58</f>
        <v>172.3946790704</v>
      </c>
      <c r="H48" s="36" t="n">
        <f aca="false">CASHFLOW!$C$73</f>
        <v>34.2873209296</v>
      </c>
      <c r="I48" s="38" t="str">
        <f aca="false">CASHFLOW!$C$81</f>
        <v>Q8</v>
      </c>
    </row>
    <row r="49" customFormat="false" ht="30" hidden="false" customHeight="true" outlineLevel="0" collapsed="false">
      <c r="B49" s="27" t="s">
        <v>115</v>
      </c>
      <c r="C49" s="27" t="s">
        <v>107</v>
      </c>
      <c r="D49" s="27" t="s">
        <v>108</v>
      </c>
      <c r="E49" s="27" t="s">
        <v>109</v>
      </c>
      <c r="F49" s="27" t="s">
        <v>110</v>
      </c>
      <c r="G49" s="27" t="s">
        <v>111</v>
      </c>
      <c r="H49" s="27" t="s">
        <v>112</v>
      </c>
      <c r="I49" s="27" t="s">
        <v>113</v>
      </c>
    </row>
    <row r="50" customFormat="false" ht="10.5" hidden="false" customHeight="true" outlineLevel="0" collapsed="false">
      <c r="B50" s="49" t="n">
        <f aca="false">CHOOSE($C$13,CASHFLOW!$C$69,CASHFLOW!$C$72,OUTPUT!$D$60,OUTPUT!$F$60,OUTPUT!$D$58,CASHFLOW!$C$73,CASHFLOW!$C$81)</f>
        <v>1.10176376739746</v>
      </c>
      <c r="C50" s="41" t="n">
        <v>1</v>
      </c>
      <c r="D50" s="41" t="n">
        <v>2</v>
      </c>
      <c r="E50" s="41" t="n">
        <v>3</v>
      </c>
      <c r="F50" s="41" t="n">
        <v>4</v>
      </c>
      <c r="G50" s="41" t="n">
        <v>5</v>
      </c>
      <c r="H50" s="41" t="n">
        <v>6</v>
      </c>
      <c r="I50" s="41" t="n">
        <v>7</v>
      </c>
    </row>
    <row r="51" customFormat="false" ht="15" hidden="false" customHeight="false" outlineLevel="0" collapsed="false">
      <c r="B51" s="51" t="n">
        <v>0.75</v>
      </c>
      <c r="C51" s="44" t="n">
        <f t="dataTable" ref="C51:I55" dt2D="1" dtr="1" r1="C13" r2="C10"/>
        <v>1.38131418489936</v>
      </c>
      <c r="D51" s="43" t="n">
        <v>97.3480122309298</v>
      </c>
      <c r="E51" s="43" t="n">
        <v>127.572062512096</v>
      </c>
      <c r="F51" s="44" t="n">
        <v>0.158869318196882</v>
      </c>
      <c r="G51" s="43" t="n">
        <v>172.3946790704</v>
      </c>
      <c r="H51" s="43" t="n">
        <v>34.2873209296</v>
      </c>
      <c r="I51" s="45" t="str">
        <v>Q8</v>
      </c>
    </row>
    <row r="52" customFormat="false" ht="15" hidden="false" customHeight="false" outlineLevel="0" collapsed="false">
      <c r="B52" s="51" t="n">
        <v>1</v>
      </c>
      <c r="C52" s="44" t="n">
        <v>1.10176376739746</v>
      </c>
      <c r="D52" s="43" t="n">
        <v>90.6281136296508</v>
      </c>
      <c r="E52" s="43" t="n">
        <v>127.572062512096</v>
      </c>
      <c r="F52" s="44" t="n">
        <v>0.158869318196882</v>
      </c>
      <c r="G52" s="43" t="n">
        <v>172.3946790704</v>
      </c>
      <c r="H52" s="43" t="n">
        <v>34.2873209296</v>
      </c>
      <c r="I52" s="45" t="str">
        <v>Q8</v>
      </c>
    </row>
    <row r="53" customFormat="false" ht="15" hidden="false" customHeight="false" outlineLevel="0" collapsed="false">
      <c r="B53" s="51" t="n">
        <v>1.25</v>
      </c>
      <c r="C53" s="44" t="n">
        <v>0.881450541586258</v>
      </c>
      <c r="D53" s="43" t="n">
        <v>82.7951838825353</v>
      </c>
      <c r="E53" s="43" t="n">
        <v>127.572062512096</v>
      </c>
      <c r="F53" s="44" t="n">
        <v>0.158869318196882</v>
      </c>
      <c r="G53" s="43" t="n">
        <v>172.3946790704</v>
      </c>
      <c r="H53" s="43" t="n">
        <v>34.3933209296</v>
      </c>
      <c r="I53" s="45" t="str">
        <v>Q10</v>
      </c>
    </row>
    <row r="54" customFormat="false" ht="15" hidden="false" customHeight="false" outlineLevel="0" collapsed="false">
      <c r="B54" s="51" t="n">
        <v>1.5</v>
      </c>
      <c r="C54" s="44" t="n">
        <v>0.717162656516594</v>
      </c>
      <c r="D54" s="43" t="n">
        <v>74.5412844335872</v>
      </c>
      <c r="E54" s="43" t="n">
        <v>127.572062512096</v>
      </c>
      <c r="F54" s="44" t="n">
        <v>0.158869318196882</v>
      </c>
      <c r="G54" s="43" t="n">
        <v>172.3946790704</v>
      </c>
      <c r="H54" s="43" t="n">
        <v>34.3946615889407</v>
      </c>
      <c r="I54" s="45" t="str">
        <v>Q11</v>
      </c>
    </row>
    <row r="55" customFormat="false" ht="15" hidden="false" customHeight="false" outlineLevel="0" collapsed="false">
      <c r="B55" s="51" t="n">
        <v>2</v>
      </c>
      <c r="C55" s="44" t="n">
        <v>0.506230433923258</v>
      </c>
      <c r="D55" s="43" t="n">
        <v>58.5816048185218</v>
      </c>
      <c r="E55" s="43" t="n">
        <v>127.572062512096</v>
      </c>
      <c r="F55" s="44" t="n">
        <v>0.158869318196882</v>
      </c>
      <c r="G55" s="43" t="n">
        <v>172.3946790704</v>
      </c>
      <c r="H55" s="43" t="n">
        <v>35.3701217742645</v>
      </c>
      <c r="I55" s="45" t="str">
        <v>Q16</v>
      </c>
    </row>
    <row r="57" customFormat="false" ht="19.5" hidden="false" customHeight="true" outlineLevel="0" collapsed="false">
      <c r="B57" s="4" t="s">
        <v>118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5" hidden="false" customHeight="false" outlineLevel="0" collapsed="false">
      <c r="B58" s="35" t="s">
        <v>103</v>
      </c>
      <c r="C58" s="37" t="n">
        <f aca="false">CASHFLOW!$C$69</f>
        <v>1.10176376739746</v>
      </c>
      <c r="D58" s="36" t="n">
        <f aca="false">CASHFLOW!$C$72</f>
        <v>90.6281136296508</v>
      </c>
      <c r="E58" s="36" t="n">
        <f aca="false">OUTPUT!$D$60</f>
        <v>127.572062512096</v>
      </c>
      <c r="F58" s="37" t="n">
        <f aca="false">OUTPUT!$F$60</f>
        <v>0.158869318196882</v>
      </c>
      <c r="G58" s="36" t="n">
        <f aca="false">OUTPUT!$D$58</f>
        <v>172.3946790704</v>
      </c>
      <c r="H58" s="36" t="n">
        <f aca="false">CASHFLOW!$C$73</f>
        <v>34.2873209296</v>
      </c>
      <c r="I58" s="38" t="str">
        <f aca="false">CASHFLOW!$C$81</f>
        <v>Q8</v>
      </c>
    </row>
    <row r="59" customFormat="false" ht="30" hidden="false" customHeight="true" outlineLevel="0" collapsed="false">
      <c r="B59" s="27" t="s">
        <v>115</v>
      </c>
      <c r="C59" s="27" t="s">
        <v>107</v>
      </c>
      <c r="D59" s="27" t="s">
        <v>108</v>
      </c>
      <c r="E59" s="27" t="s">
        <v>109</v>
      </c>
      <c r="F59" s="27" t="s">
        <v>110</v>
      </c>
      <c r="G59" s="27" t="s">
        <v>111</v>
      </c>
      <c r="H59" s="27" t="s">
        <v>112</v>
      </c>
      <c r="I59" s="27" t="s">
        <v>113</v>
      </c>
    </row>
    <row r="60" customFormat="false" ht="10.5" hidden="false" customHeight="true" outlineLevel="0" collapsed="false">
      <c r="B60" s="49" t="n">
        <f aca="false">CHOOSE($C$13,CASHFLOW!$C$69,CASHFLOW!$C$72,OUTPUT!$D$60,OUTPUT!$F$60,OUTPUT!$D$58,CASHFLOW!$C$73,CASHFLOW!$C$81)</f>
        <v>1.10176376739746</v>
      </c>
      <c r="C60" s="41" t="n">
        <v>1</v>
      </c>
      <c r="D60" s="41" t="n">
        <v>2</v>
      </c>
      <c r="E60" s="41" t="n">
        <v>3</v>
      </c>
      <c r="F60" s="41" t="n">
        <v>4</v>
      </c>
      <c r="G60" s="41" t="n">
        <v>5</v>
      </c>
      <c r="H60" s="41" t="n">
        <v>6</v>
      </c>
      <c r="I60" s="41" t="n">
        <v>7</v>
      </c>
    </row>
    <row r="61" customFormat="false" ht="15" hidden="false" customHeight="false" outlineLevel="0" collapsed="false">
      <c r="B61" s="52" t="n">
        <v>0</v>
      </c>
      <c r="C61" s="44" t="n">
        <f t="dataTable" ref="C61:I66" dt2D="1" dtr="1" r1="C13" r2="C11"/>
        <v>1.10176376739746</v>
      </c>
      <c r="D61" s="43" t="n">
        <v>90.6281136296508</v>
      </c>
      <c r="E61" s="43" t="n">
        <v>127.572062512096</v>
      </c>
      <c r="F61" s="44" t="n">
        <v>0.158869318196882</v>
      </c>
      <c r="G61" s="43" t="n">
        <v>172.3946790704</v>
      </c>
      <c r="H61" s="43" t="n">
        <v>34.2873209296</v>
      </c>
      <c r="I61" s="45" t="str">
        <v>Q8</v>
      </c>
    </row>
    <row r="62" customFormat="false" ht="15" hidden="false" customHeight="false" outlineLevel="0" collapsed="false">
      <c r="B62" s="52" t="n">
        <v>1</v>
      </c>
      <c r="C62" s="44" t="n">
        <v>0.918933691881725</v>
      </c>
      <c r="D62" s="43" t="n">
        <v>85.2767657201917</v>
      </c>
      <c r="E62" s="43" t="n">
        <v>127.572062512096</v>
      </c>
      <c r="F62" s="44" t="n">
        <v>0.158869318196882</v>
      </c>
      <c r="G62" s="43" t="n">
        <v>172.3946790704</v>
      </c>
      <c r="H62" s="43" t="n">
        <v>35.6638923581714</v>
      </c>
      <c r="I62" s="45" t="str">
        <v>Q9</v>
      </c>
    </row>
    <row r="63" customFormat="false" ht="15" hidden="false" customHeight="false" outlineLevel="0" collapsed="false">
      <c r="B63" s="52" t="n">
        <v>2</v>
      </c>
      <c r="C63" s="44" t="n">
        <v>0.79177086280938</v>
      </c>
      <c r="D63" s="43" t="n">
        <v>80.1481337815914</v>
      </c>
      <c r="E63" s="43" t="n">
        <v>127.572062512096</v>
      </c>
      <c r="F63" s="44" t="n">
        <v>0.158869318196882</v>
      </c>
      <c r="G63" s="43" t="n">
        <v>172.3946790704</v>
      </c>
      <c r="H63" s="43" t="n">
        <v>36.9153209296</v>
      </c>
      <c r="I63" s="45" t="str">
        <v>Q10</v>
      </c>
    </row>
    <row r="64" customFormat="false" ht="15" hidden="false" customHeight="false" outlineLevel="0" collapsed="false">
      <c r="B64" s="52" t="n">
        <v>3</v>
      </c>
      <c r="C64" s="44" t="n">
        <v>0.697416888284032</v>
      </c>
      <c r="D64" s="43" t="n">
        <v>75.2330817797943</v>
      </c>
      <c r="E64" s="43" t="n">
        <v>127.572062512096</v>
      </c>
      <c r="F64" s="44" t="n">
        <v>0.158869318196882</v>
      </c>
      <c r="G64" s="43" t="n">
        <v>172.3946790704</v>
      </c>
      <c r="H64" s="43" t="n">
        <v>38.0579296252522</v>
      </c>
      <c r="I64" s="45" t="str">
        <v>Q11</v>
      </c>
    </row>
    <row r="65" customFormat="false" ht="15" hidden="false" customHeight="false" outlineLevel="0" collapsed="false">
      <c r="B65" s="52" t="n">
        <v>4</v>
      </c>
      <c r="C65" s="44" t="n">
        <v>0.624238944548855</v>
      </c>
      <c r="D65" s="43" t="n">
        <v>70.5228464982107</v>
      </c>
      <c r="E65" s="43" t="n">
        <v>127.572062512096</v>
      </c>
      <c r="F65" s="44" t="n">
        <v>0.158869318196882</v>
      </c>
      <c r="G65" s="43" t="n">
        <v>172.3946790704</v>
      </c>
      <c r="H65" s="43" t="n">
        <v>39.1053209296</v>
      </c>
      <c r="I65" s="45" t="str">
        <v>Q12</v>
      </c>
    </row>
    <row r="66" customFormat="false" ht="15" hidden="false" customHeight="false" outlineLevel="0" collapsed="false">
      <c r="B66" s="52" t="n">
        <v>6</v>
      </c>
      <c r="C66" s="44" t="n">
        <v>0.51749207738815</v>
      </c>
      <c r="D66" s="43" t="n">
        <v>61.6835468735652</v>
      </c>
      <c r="E66" s="43" t="n">
        <v>127.572062512096</v>
      </c>
      <c r="F66" s="44" t="n">
        <v>0.158869318196882</v>
      </c>
      <c r="G66" s="43" t="n">
        <v>172.3946790704</v>
      </c>
      <c r="H66" s="43" t="n">
        <v>40.9583978526769</v>
      </c>
      <c r="I66" s="45" t="str">
        <v>Q14</v>
      </c>
    </row>
    <row r="68" customFormat="false" ht="19.5" hidden="false" customHeight="true" outlineLevel="0" collapsed="false">
      <c r="B68" s="4" t="s">
        <v>119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customFormat="false" ht="15" hidden="false" customHeight="false" outlineLevel="0" collapsed="false">
      <c r="B69" s="17" t="s">
        <v>120</v>
      </c>
    </row>
    <row r="70" customFormat="false" ht="15" hidden="false" customHeight="false" outlineLevel="0" collapsed="false">
      <c r="B70" s="53" t="n">
        <f aca="false">CASHFLOW!$C$69</f>
        <v>1.10176376739746</v>
      </c>
      <c r="C70" s="54" t="n">
        <v>-0.1</v>
      </c>
      <c r="D70" s="54" t="n">
        <v>-0.05</v>
      </c>
      <c r="E70" s="54" t="n">
        <v>0</v>
      </c>
      <c r="F70" s="54" t="n">
        <v>0.05</v>
      </c>
      <c r="G70" s="54" t="n">
        <v>0.1</v>
      </c>
    </row>
    <row r="71" customFormat="false" ht="15" hidden="false" customHeight="false" outlineLevel="0" collapsed="false">
      <c r="B71" s="54" t="n">
        <v>0</v>
      </c>
      <c r="C71" s="44" t="n">
        <f t="dataTable" ref="C71:G75" dt2D="1" dtr="1" r1="C8" r2="C9"/>
        <v>0.861522533301254</v>
      </c>
      <c r="D71" s="44" t="n">
        <v>0.984723086335525</v>
      </c>
      <c r="E71" s="44" t="n">
        <v>1.10176376739746</v>
      </c>
      <c r="F71" s="44" t="n">
        <v>1.21354039616598</v>
      </c>
      <c r="G71" s="44" t="n">
        <v>1.32076052750376</v>
      </c>
    </row>
    <row r="72" customFormat="false" ht="15" hidden="false" customHeight="false" outlineLevel="0" collapsed="false">
      <c r="B72" s="54" t="n">
        <v>0.05</v>
      </c>
      <c r="C72" s="44" t="n">
        <v>0.77646901668493</v>
      </c>
      <c r="D72" s="44" t="n">
        <v>0.903467762699731</v>
      </c>
      <c r="E72" s="44" t="n">
        <v>1.02378290499329</v>
      </c>
      <c r="F72" s="44" t="n">
        <v>1.13840768176794</v>
      </c>
      <c r="G72" s="44" t="n">
        <v>1.24812818974575</v>
      </c>
    </row>
    <row r="73" customFormat="false" ht="15" hidden="false" customHeight="false" outlineLevel="0" collapsed="false">
      <c r="B73" s="54" t="n">
        <v>0.1</v>
      </c>
      <c r="C73" s="44" t="n">
        <v>0.689284853222588</v>
      </c>
      <c r="D73" s="44" t="n">
        <v>0.820324743436643</v>
      </c>
      <c r="E73" s="44" t="n">
        <v>0.944133116002297</v>
      </c>
      <c r="F73" s="44" t="n">
        <v>1.06179513020059</v>
      </c>
      <c r="G73" s="44" t="n">
        <v>1.17417714673854</v>
      </c>
    </row>
    <row r="74" customFormat="false" ht="15" hidden="false" customHeight="false" outlineLevel="0" collapsed="false">
      <c r="B74" s="54" t="n">
        <v>0.15</v>
      </c>
      <c r="C74" s="44" t="n">
        <v>0.599936686848041</v>
      </c>
      <c r="D74" s="44" t="n">
        <v>0.7352267270515</v>
      </c>
      <c r="E74" s="44" t="n">
        <v>0.862739034233762</v>
      </c>
      <c r="F74" s="44" t="n">
        <v>0.983629637638473</v>
      </c>
      <c r="G74" s="44" t="n">
        <v>1.09884030834737</v>
      </c>
    </row>
    <row r="75" customFormat="false" ht="15" hidden="false" customHeight="false" outlineLevel="0" collapsed="false">
      <c r="B75" s="54" t="n">
        <v>0.2</v>
      </c>
      <c r="C75" s="44" t="n">
        <v>0.508468688098143</v>
      </c>
      <c r="D75" s="44" t="n">
        <v>0.648142627827654</v>
      </c>
      <c r="E75" s="44" t="n">
        <v>0.779541881509254</v>
      </c>
      <c r="F75" s="44" t="n">
        <v>0.903845208155949</v>
      </c>
      <c r="G75" s="44" t="n">
        <v>1.02205305858339</v>
      </c>
    </row>
    <row r="77" customFormat="false" ht="19.5" hidden="false" customHeight="true" outlineLevel="0" collapsed="false">
      <c r="B77" s="4" t="s">
        <v>121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customFormat="false" ht="15" hidden="false" customHeight="false" outlineLevel="0" collapsed="false">
      <c r="B78" s="17" t="s">
        <v>120</v>
      </c>
    </row>
    <row r="79" customFormat="false" ht="15" hidden="false" customHeight="false" outlineLevel="0" collapsed="false">
      <c r="B79" s="55" t="n">
        <f aca="false">OUTPUT!$D$60</f>
        <v>127.572062512096</v>
      </c>
      <c r="C79" s="54" t="n">
        <v>-0.1</v>
      </c>
      <c r="D79" s="54" t="n">
        <v>-0.05</v>
      </c>
      <c r="E79" s="54" t="n">
        <v>0</v>
      </c>
      <c r="F79" s="54" t="n">
        <v>0.05</v>
      </c>
      <c r="G79" s="54" t="n">
        <v>0.1</v>
      </c>
    </row>
    <row r="80" customFormat="false" ht="15" hidden="false" customHeight="false" outlineLevel="0" collapsed="false">
      <c r="B80" s="54" t="n">
        <v>0</v>
      </c>
      <c r="C80" s="43" t="n">
        <f t="dataTable" ref="C80:G84" dt2D="1" dtr="1" r1="C8" r2="C9"/>
        <v>93.701522512096</v>
      </c>
      <c r="D80" s="43" t="n">
        <v>110.636792512096</v>
      </c>
      <c r="E80" s="43" t="n">
        <v>127.572062512096</v>
      </c>
      <c r="F80" s="43" t="n">
        <v>144.507332512096</v>
      </c>
      <c r="G80" s="43" t="n">
        <v>161.442602512096</v>
      </c>
    </row>
    <row r="81" customFormat="false" ht="15" hidden="false" customHeight="false" outlineLevel="0" collapsed="false">
      <c r="B81" s="54" t="n">
        <v>0.05</v>
      </c>
      <c r="C81" s="43" t="n">
        <v>83.696722512096</v>
      </c>
      <c r="D81" s="43" t="n">
        <v>100.631992512096</v>
      </c>
      <c r="E81" s="43" t="n">
        <v>117.567262512096</v>
      </c>
      <c r="F81" s="43" t="n">
        <v>134.502532512096</v>
      </c>
      <c r="G81" s="43" t="n">
        <v>151.437802512096</v>
      </c>
    </row>
    <row r="82" customFormat="false" ht="15" hidden="false" customHeight="false" outlineLevel="0" collapsed="false">
      <c r="B82" s="54" t="n">
        <v>0.1</v>
      </c>
      <c r="C82" s="43" t="n">
        <v>73.6919225120959</v>
      </c>
      <c r="D82" s="43" t="n">
        <v>90.627192512096</v>
      </c>
      <c r="E82" s="43" t="n">
        <v>107.562462512096</v>
      </c>
      <c r="F82" s="43" t="n">
        <v>124.497732512096</v>
      </c>
      <c r="G82" s="43" t="n">
        <v>141.433002512096</v>
      </c>
    </row>
    <row r="83" customFormat="false" ht="15" hidden="false" customHeight="false" outlineLevel="0" collapsed="false">
      <c r="B83" s="54" t="n">
        <v>0.15</v>
      </c>
      <c r="C83" s="43" t="n">
        <v>63.687122512096</v>
      </c>
      <c r="D83" s="43" t="n">
        <v>80.6223925120961</v>
      </c>
      <c r="E83" s="43" t="n">
        <v>97.557662512096</v>
      </c>
      <c r="F83" s="43" t="n">
        <v>114.492932512096</v>
      </c>
      <c r="G83" s="43" t="n">
        <v>131.428202512096</v>
      </c>
    </row>
    <row r="84" customFormat="false" ht="15" hidden="false" customHeight="false" outlineLevel="0" collapsed="false">
      <c r="B84" s="54" t="n">
        <v>0.2</v>
      </c>
      <c r="C84" s="43" t="n">
        <v>53.682322512096</v>
      </c>
      <c r="D84" s="43" t="n">
        <v>70.617592512096</v>
      </c>
      <c r="E84" s="43" t="n">
        <v>87.552862512096</v>
      </c>
      <c r="F84" s="43" t="n">
        <v>104.488132512096</v>
      </c>
      <c r="G84" s="43" t="n">
        <v>121.423402512096</v>
      </c>
    </row>
    <row r="86" customFormat="false" ht="19.5" hidden="false" customHeight="true" outlineLevel="0" collapsed="false">
      <c r="B86" s="4" t="s">
        <v>122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customFormat="false" ht="15" hidden="false" customHeight="false" outlineLevel="0" collapsed="false">
      <c r="B87" s="17" t="s">
        <v>123</v>
      </c>
    </row>
    <row r="88" customFormat="false" ht="15" hidden="false" customHeight="false" outlineLevel="0" collapsed="false">
      <c r="B88" s="55" t="n">
        <f aca="false">CASHFLOW!$C$73</f>
        <v>34.2873209296</v>
      </c>
      <c r="C88" s="56" t="n">
        <v>0</v>
      </c>
      <c r="D88" s="56" t="n">
        <v>1</v>
      </c>
      <c r="E88" s="56" t="n">
        <v>2</v>
      </c>
      <c r="F88" s="56" t="n">
        <v>4</v>
      </c>
    </row>
    <row r="89" customFormat="false" ht="15" hidden="false" customHeight="false" outlineLevel="0" collapsed="false">
      <c r="B89" s="57" t="n">
        <v>0.75</v>
      </c>
      <c r="C89" s="43" t="n">
        <f t="dataTable" ref="C89:F93" dt2D="1" dtr="1" r1="C11" r2="C10"/>
        <v>34.2873209296</v>
      </c>
      <c r="D89" s="43" t="n">
        <v>35.6638923581714</v>
      </c>
      <c r="E89" s="43" t="n">
        <v>36.9153209296</v>
      </c>
      <c r="F89" s="43" t="n">
        <v>39.1053209296</v>
      </c>
    </row>
    <row r="90" customFormat="false" ht="15" hidden="false" customHeight="false" outlineLevel="0" collapsed="false">
      <c r="B90" s="57" t="n">
        <v>1</v>
      </c>
      <c r="C90" s="43" t="n">
        <v>34.2873209296</v>
      </c>
      <c r="D90" s="43" t="n">
        <v>35.6638923581714</v>
      </c>
      <c r="E90" s="43" t="n">
        <v>36.9153209296</v>
      </c>
      <c r="F90" s="43" t="n">
        <v>39.1053209296</v>
      </c>
    </row>
    <row r="91" customFormat="false" ht="15" hidden="false" customHeight="false" outlineLevel="0" collapsed="false">
      <c r="B91" s="57" t="n">
        <v>1.25</v>
      </c>
      <c r="C91" s="43" t="n">
        <v>34.3933209296</v>
      </c>
      <c r="D91" s="43" t="n">
        <v>35.6934161676952</v>
      </c>
      <c r="E91" s="43" t="n">
        <v>36.9153209296</v>
      </c>
      <c r="F91" s="43" t="n">
        <v>39.1053209296</v>
      </c>
    </row>
    <row r="92" customFormat="false" ht="15" hidden="false" customHeight="false" outlineLevel="0" collapsed="false">
      <c r="B92" s="57" t="n">
        <v>1.5</v>
      </c>
      <c r="C92" s="43" t="n">
        <v>34.3946615889407</v>
      </c>
      <c r="D92" s="43" t="n">
        <v>35.6460901603692</v>
      </c>
      <c r="E92" s="43" t="n">
        <v>36.7886988560214</v>
      </c>
      <c r="F92" s="43" t="n">
        <v>38.7996901603692</v>
      </c>
    </row>
    <row r="93" customFormat="false" ht="15" hidden="false" customHeight="false" outlineLevel="0" collapsed="false">
      <c r="B93" s="57" t="n">
        <v>2</v>
      </c>
      <c r="C93" s="43" t="n">
        <v>35.3701217742645</v>
      </c>
      <c r="D93" s="43" t="n">
        <v>35.9649365890793</v>
      </c>
      <c r="E93" s="43" t="n">
        <v>36.5237141430486</v>
      </c>
      <c r="F93" s="43" t="n">
        <v>37.8099432865413</v>
      </c>
    </row>
    <row r="95" customFormat="false" ht="19.5" hidden="false" customHeight="true" outlineLevel="0" collapsed="false">
      <c r="B95" s="4" t="s">
        <v>124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customFormat="false" ht="15" hidden="false" customHeight="false" outlineLevel="0" collapsed="false">
      <c r="B96" s="28" t="s">
        <v>125</v>
      </c>
      <c r="C96" s="58" t="n">
        <f aca="false">IFERROR(-G31/((G31-G28)/0.15),"n/a")</f>
        <v>-0.37664608391863835</v>
      </c>
      <c r="D96" s="17" t="s">
        <v>126</v>
      </c>
    </row>
    <row r="97" customFormat="false" ht="15" hidden="false" customHeight="false" outlineLevel="0" collapsed="false">
      <c r="B97" s="28" t="s">
        <v>127</v>
      </c>
      <c r="C97" s="58" t="n">
        <f aca="false">IFERROR(G41/((G41-G45)/0.2),"n/a")</f>
        <v>0.6375542865029586</v>
      </c>
      <c r="D97" s="17" t="s">
        <v>128</v>
      </c>
    </row>
    <row r="98" customFormat="false" ht="15" hidden="false" customHeight="false" outlineLevel="0" collapsed="false">
      <c r="B98" s="17" t="s">
        <v>129</v>
      </c>
    </row>
    <row r="100" customFormat="false" ht="19.5" hidden="false" customHeight="true" outlineLevel="0" collapsed="false">
      <c r="B100" s="4" t="s">
        <v>130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customFormat="false" ht="15" hidden="false" customHeight="false" outlineLevel="0" collapsed="false">
      <c r="B101" s="28" t="s">
        <v>131</v>
      </c>
      <c r="C101" s="37" t="n">
        <f aca="false">C25</f>
        <v>1.10176376739746</v>
      </c>
    </row>
    <row r="102" customFormat="false" ht="15" hidden="false" customHeight="false" outlineLevel="0" collapsed="false">
      <c r="B102" s="28" t="s">
        <v>132</v>
      </c>
      <c r="C102" s="37" t="n">
        <f aca="false">C29</f>
        <v>0.861522533301254</v>
      </c>
    </row>
    <row r="103" customFormat="false" ht="15" hidden="false" customHeight="false" outlineLevel="0" collapsed="false">
      <c r="B103" s="28" t="s">
        <v>133</v>
      </c>
      <c r="C103" s="37" t="n">
        <f aca="false">C43</f>
        <v>0.944133116002297</v>
      </c>
    </row>
    <row r="104" customFormat="false" ht="15" hidden="false" customHeight="false" outlineLevel="0" collapsed="false">
      <c r="B104" s="28" t="s">
        <v>134</v>
      </c>
      <c r="C104" s="37" t="n">
        <f aca="false">C54</f>
        <v>0.717162656516594</v>
      </c>
    </row>
    <row r="105" customFormat="false" ht="15" hidden="false" customHeight="false" outlineLevel="0" collapsed="false">
      <c r="B105" s="28" t="s">
        <v>135</v>
      </c>
      <c r="C105" s="37" t="n">
        <f aca="false">C63</f>
        <v>0.79177086280938</v>
      </c>
    </row>
    <row r="106" customFormat="false" ht="15" hidden="false" customHeight="false" outlineLevel="0" collapsed="false">
      <c r="B106" s="28" t="s">
        <v>136</v>
      </c>
      <c r="C106" s="37" t="n">
        <f aca="false">E22</f>
        <v>0.40241041469119</v>
      </c>
    </row>
  </sheetData>
  <conditionalFormatting sqref="C14">
    <cfRule type="cellIs" priority="2" operator="equal" aboveAverage="0" equalAverage="0" bottom="0" percent="0" rank="0" text="" dxfId="2">
      <formula>"Neutral"</formula>
    </cfRule>
    <cfRule type="cellIs" priority="3" operator="equal" aboveAverage="0" equalAverage="0" bottom="0" percent="0" rank="0" text="" dxfId="4">
      <formula>"ACTIVE"</formula>
    </cfRule>
  </conditionalFormatting>
  <conditionalFormatting sqref="C71:G7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80:G8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89:F93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28:C3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40:C4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51:C5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61:C66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0:C2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6">
    <dataValidation allowBlank="false" error="Value between -0.9 and 2" errorStyle="stop" operator="between" showDropDown="false" showErrorMessage="true" showInputMessage="false" sqref="C8" type="decimal">
      <formula1>-0.9</formula1>
      <formula2>2</formula2>
    </dataValidation>
    <dataValidation allowBlank="false" error="Value between -0.9 and 2" errorStyle="stop" operator="between" showDropDown="false" showErrorMessage="true" showInputMessage="false" sqref="C9" type="decimal">
      <formula1>-0.9</formula1>
      <formula2>2</formula2>
    </dataValidation>
    <dataValidation allowBlank="false" error="Value between 0.1 and 10" errorStyle="stop" operator="between" showDropDown="false" showErrorMessage="true" showInputMessage="false" sqref="C10" type="decimal">
      <formula1>0.1</formula1>
      <formula2>10</formula2>
    </dataValidation>
    <dataValidation allowBlank="false" error="Value between 0 and 20" errorStyle="stop" operator="between" showDropDown="false" showErrorMessage="true" showInputMessage="false" sqref="C11" type="whole">
      <formula1>0</formula1>
      <formula2>20</formula2>
    </dataValidation>
    <dataValidation allowBlank="false" error="Value between 0 and 3" errorStyle="stop" operator="between" showDropDown="false" showErrorMessage="true" showInputMessage="false" sqref="C12" type="whole">
      <formula1>0</formula1>
      <formula2>3</formula2>
    </dataValidation>
    <dataValidation allowBlank="false" error="Value between 1 and 20" errorStyle="stop" operator="between" showDropDown="false" showErrorMessage="true" showInputMessage="false" sqref="C13" type="whole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X4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9" min="16" style="0" width="11"/>
    <col collapsed="false" customWidth="true" hidden="false" outlineLevel="0" max="24" min="20" style="0" width="13"/>
  </cols>
  <sheetData>
    <row r="2" customFormat="false" ht="19.7" hidden="false" customHeight="false" outlineLevel="0" collapsed="false">
      <c r="B2" s="1" t="s">
        <v>137</v>
      </c>
    </row>
    <row r="3" customFormat="false" ht="15" hidden="false" customHeight="false" outlineLevel="0" collapsed="false">
      <c r="B3" s="17" t="s">
        <v>138</v>
      </c>
    </row>
    <row r="4" customFormat="false" ht="15" hidden="false" customHeight="false" outlineLevel="0" collapsed="false">
      <c r="B4" s="2" t="s">
        <v>139</v>
      </c>
      <c r="C4" s="59" t="s">
        <v>140</v>
      </c>
      <c r="D4" s="60" t="s">
        <v>141</v>
      </c>
      <c r="E4" s="60" t="s">
        <v>142</v>
      </c>
    </row>
    <row r="6" customFormat="false" ht="19.5" hidden="false" customHeight="true" outlineLevel="0" collapsed="false">
      <c r="B6" s="4" t="s">
        <v>143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customFormat="false" ht="15" hidden="false" customHeight="false" outlineLevel="0" collapsed="false">
      <c r="B7" s="2" t="s">
        <v>144</v>
      </c>
      <c r="C7" s="61" t="str">
        <f aca="false">IF(C8=0,IF(STRESS!$C$14="Neutral","✔ ALL CHECKS PASSED","⚠ CHECKS PASSED – but STRESS levers are active, results are stressed"),"✖ "&amp;C8&amp;" ERROR(S) – see Section 10")</f>
        <v>✔ ALL CHECKS PASSED</v>
      </c>
    </row>
    <row r="8" customFormat="false" ht="15" hidden="false" customHeight="false" outlineLevel="0" collapsed="false">
      <c r="B8" s="2" t="s">
        <v>145</v>
      </c>
      <c r="C8" s="62" t="n">
        <f aca="false">COUNTIF($C$438:$C$460,"ERROR")</f>
        <v>0</v>
      </c>
    </row>
    <row r="9" customFormat="false" ht="15" hidden="false" customHeight="false" outlineLevel="0" collapsed="false">
      <c r="B9" s="3" t="s">
        <v>105</v>
      </c>
      <c r="C9" s="63" t="n">
        <f aca="false">$T$98</f>
        <v>803</v>
      </c>
    </row>
    <row r="10" customFormat="false" ht="15" hidden="false" customHeight="false" outlineLevel="0" collapsed="false">
      <c r="B10" s="3" t="s">
        <v>106</v>
      </c>
      <c r="C10" s="63" t="n">
        <f aca="false">$G$152</f>
        <v>630.6053209296</v>
      </c>
    </row>
    <row r="11" customFormat="false" ht="15" hidden="false" customHeight="false" outlineLevel="0" collapsed="false">
      <c r="B11" s="3" t="s">
        <v>146</v>
      </c>
      <c r="C11" s="64" t="n">
        <f aca="false">IF(C9&gt;0,(C9-C10)/C9,0)</f>
        <v>0.214688267833624</v>
      </c>
    </row>
    <row r="12" customFormat="false" ht="15" hidden="false" customHeight="false" outlineLevel="0" collapsed="false">
      <c r="B12" s="3" t="s">
        <v>109</v>
      </c>
      <c r="C12" s="63" t="n">
        <f aca="false">(C9-C10)-MAX(0,C9-C10)*$C$425</f>
        <v>127.572062512096</v>
      </c>
    </row>
    <row r="13" customFormat="false" ht="15" hidden="false" customHeight="false" outlineLevel="0" collapsed="false">
      <c r="B13" s="17" t="s">
        <v>147</v>
      </c>
    </row>
    <row r="15" customFormat="false" ht="19.5" hidden="false" customHeight="true" outlineLevel="0" collapsed="false">
      <c r="B15" s="4" t="s">
        <v>148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42" hidden="false" customHeight="true" outlineLevel="0" collapsed="false">
      <c r="B16" s="27" t="s">
        <v>149</v>
      </c>
      <c r="C16" s="27" t="s">
        <v>82</v>
      </c>
      <c r="D16" s="27" t="s">
        <v>150</v>
      </c>
      <c r="E16" s="27" t="s">
        <v>151</v>
      </c>
    </row>
    <row r="17" customFormat="false" ht="15" hidden="false" customHeight="false" outlineLevel="0" collapsed="false">
      <c r="B17" s="3" t="s">
        <v>152</v>
      </c>
      <c r="C17" s="59" t="s">
        <v>153</v>
      </c>
      <c r="D17" s="3" t="s">
        <v>154</v>
      </c>
      <c r="E17" s="17" t="s">
        <v>155</v>
      </c>
    </row>
    <row r="18" customFormat="false" ht="15" hidden="false" customHeight="false" outlineLevel="0" collapsed="false">
      <c r="B18" s="3" t="s">
        <v>156</v>
      </c>
      <c r="C18" s="59" t="s">
        <v>157</v>
      </c>
      <c r="D18" s="3" t="s">
        <v>154</v>
      </c>
      <c r="E18" s="17"/>
    </row>
    <row r="19" customFormat="false" ht="15" hidden="false" customHeight="false" outlineLevel="0" collapsed="false">
      <c r="B19" s="3" t="s">
        <v>158</v>
      </c>
      <c r="C19" s="59" t="s">
        <v>159</v>
      </c>
      <c r="D19" s="3" t="s">
        <v>160</v>
      </c>
      <c r="E19" s="17" t="s">
        <v>161</v>
      </c>
    </row>
    <row r="20" customFormat="false" ht="15" hidden="false" customHeight="false" outlineLevel="0" collapsed="false">
      <c r="B20" s="3" t="s">
        <v>162</v>
      </c>
      <c r="C20" s="65" t="n">
        <v>46568</v>
      </c>
      <c r="D20" s="3" t="s">
        <v>163</v>
      </c>
      <c r="E20" s="17" t="s">
        <v>164</v>
      </c>
    </row>
    <row r="21" customFormat="false" ht="15" hidden="false" customHeight="false" outlineLevel="0" collapsed="false">
      <c r="B21" s="3" t="s">
        <v>165</v>
      </c>
      <c r="C21" s="59" t="s">
        <v>166</v>
      </c>
      <c r="D21" s="3" t="s">
        <v>160</v>
      </c>
      <c r="E21" s="17" t="s">
        <v>167</v>
      </c>
    </row>
    <row r="22" customFormat="false" ht="15" hidden="false" customHeight="false" outlineLevel="0" collapsed="false">
      <c r="B22" s="3" t="s">
        <v>168</v>
      </c>
      <c r="C22" s="59" t="s">
        <v>169</v>
      </c>
      <c r="D22" s="3" t="s">
        <v>160</v>
      </c>
      <c r="E22" s="17" t="s">
        <v>170</v>
      </c>
    </row>
    <row r="23" customFormat="false" ht="15" hidden="false" customHeight="false" outlineLevel="0" collapsed="false">
      <c r="B23" s="3" t="s">
        <v>171</v>
      </c>
      <c r="C23" s="59" t="s">
        <v>172</v>
      </c>
      <c r="D23" s="3" t="s">
        <v>160</v>
      </c>
      <c r="E23" s="17" t="s">
        <v>173</v>
      </c>
    </row>
    <row r="24" customFormat="false" ht="15" hidden="false" customHeight="false" outlineLevel="0" collapsed="false">
      <c r="B24" s="3" t="s">
        <v>174</v>
      </c>
      <c r="C24" s="59" t="n">
        <v>40</v>
      </c>
      <c r="D24" s="3" t="s">
        <v>175</v>
      </c>
      <c r="E24" s="17" t="s">
        <v>176</v>
      </c>
    </row>
    <row r="25" customFormat="false" ht="15" hidden="false" customHeight="false" outlineLevel="0" collapsed="false">
      <c r="B25" s="3" t="s">
        <v>177</v>
      </c>
      <c r="C25" s="66" t="n">
        <v>10000000</v>
      </c>
      <c r="D25" s="3" t="s">
        <v>178</v>
      </c>
      <c r="E25" s="17" t="s">
        <v>179</v>
      </c>
    </row>
    <row r="26" customFormat="false" ht="15" hidden="false" customHeight="false" outlineLevel="0" collapsed="false">
      <c r="B26" s="3" t="s">
        <v>180</v>
      </c>
      <c r="C26" s="59"/>
      <c r="D26" s="3" t="s">
        <v>181</v>
      </c>
      <c r="E26" s="17" t="s">
        <v>182</v>
      </c>
    </row>
    <row r="27" customFormat="false" ht="15" hidden="false" customHeight="false" outlineLevel="0" collapsed="false">
      <c r="B27" s="67" t="s">
        <v>183</v>
      </c>
      <c r="C27" s="68"/>
      <c r="D27" s="68"/>
      <c r="E27" s="68"/>
    </row>
    <row r="28" customFormat="false" ht="15" hidden="false" customHeight="false" outlineLevel="0" collapsed="false">
      <c r="B28" s="3" t="s">
        <v>184</v>
      </c>
      <c r="C28" s="69" t="n">
        <f aca="false">EOMONTH($C$20,3*($C$24-1))</f>
        <v>50130</v>
      </c>
      <c r="D28" s="3" t="s">
        <v>163</v>
      </c>
      <c r="E28" s="17"/>
    </row>
    <row r="29" customFormat="false" ht="15" hidden="false" customHeight="false" outlineLevel="0" collapsed="false">
      <c r="B29" s="3" t="s">
        <v>185</v>
      </c>
      <c r="C29" s="70" t="n">
        <f aca="false">MAX($Q$88:$Q$97,$S$88:$S$97)</f>
        <v>20</v>
      </c>
      <c r="D29" s="3" t="s">
        <v>186</v>
      </c>
      <c r="E29" s="17" t="s">
        <v>187</v>
      </c>
    </row>
    <row r="30" customFormat="false" ht="15" hidden="false" customHeight="false" outlineLevel="0" collapsed="false">
      <c r="B30" s="3" t="s">
        <v>188</v>
      </c>
      <c r="C30" s="69" t="n">
        <f aca="false">IF($C$29&gt;0,EOMONTH($C$20,3*($C$29-1)),"")</f>
        <v>48304</v>
      </c>
      <c r="D30" s="3" t="s">
        <v>163</v>
      </c>
      <c r="E30" s="17"/>
    </row>
    <row r="31" customFormat="false" ht="15" hidden="false" customHeight="false" outlineLevel="0" collapsed="false">
      <c r="B31" s="3" t="s">
        <v>189</v>
      </c>
      <c r="C31" s="71" t="n">
        <f aca="false">$C$29/4</f>
        <v>5</v>
      </c>
      <c r="D31" s="3" t="s">
        <v>181</v>
      </c>
      <c r="E31" s="17"/>
    </row>
    <row r="32" customFormat="false" ht="15" hidden="false" customHeight="false" outlineLevel="0" collapsed="false">
      <c r="B32" s="3" t="s">
        <v>190</v>
      </c>
      <c r="C32" s="71" t="n">
        <f aca="false">IF(ISNUMBER($C$26),$C$26,$C$31)</f>
        <v>5</v>
      </c>
      <c r="D32" s="3" t="s">
        <v>181</v>
      </c>
      <c r="E32" s="17"/>
    </row>
    <row r="34" customFormat="false" ht="19.5" hidden="false" customHeight="true" outlineLevel="0" collapsed="false">
      <c r="B34" s="4" t="s">
        <v>191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customFormat="false" ht="42" hidden="false" customHeight="true" outlineLevel="0" collapsed="false">
      <c r="B35" s="27" t="s">
        <v>149</v>
      </c>
      <c r="C35" s="27" t="s">
        <v>82</v>
      </c>
      <c r="D35" s="27" t="s">
        <v>150</v>
      </c>
      <c r="E35" s="27" t="s">
        <v>151</v>
      </c>
    </row>
    <row r="36" customFormat="false" ht="15" hidden="false" customHeight="false" outlineLevel="0" collapsed="false">
      <c r="B36" s="3" t="s">
        <v>192</v>
      </c>
      <c r="C36" s="72" t="n">
        <v>30000</v>
      </c>
      <c r="D36" s="3" t="s">
        <v>193</v>
      </c>
      <c r="E36" s="17" t="s">
        <v>194</v>
      </c>
    </row>
    <row r="37" customFormat="false" ht="15" hidden="false" customHeight="false" outlineLevel="0" collapsed="false">
      <c r="B37" s="3" t="s">
        <v>192</v>
      </c>
      <c r="C37" s="73" t="n">
        <f aca="false">$C$36*LISTS!$C$20</f>
        <v>270000</v>
      </c>
      <c r="D37" s="3" t="s">
        <v>195</v>
      </c>
      <c r="E37" s="17" t="s">
        <v>196</v>
      </c>
    </row>
    <row r="38" customFormat="false" ht="15" hidden="false" customHeight="false" outlineLevel="0" collapsed="false">
      <c r="B38" s="3" t="s">
        <v>192</v>
      </c>
      <c r="C38" s="73" t="n">
        <f aca="false">$C$36*LISTS!$C$21</f>
        <v>25083.8208</v>
      </c>
      <c r="D38" s="3" t="s">
        <v>197</v>
      </c>
      <c r="E38" s="17"/>
    </row>
    <row r="39" customFormat="false" ht="15" hidden="false" customHeight="false" outlineLevel="0" collapsed="false">
      <c r="B39" s="3" t="s">
        <v>192</v>
      </c>
      <c r="C39" s="74" t="n">
        <f aca="false">$C$36*LISTS!$C$22</f>
        <v>6.19834710743802</v>
      </c>
      <c r="D39" s="3" t="s">
        <v>198</v>
      </c>
      <c r="E39" s="17"/>
    </row>
    <row r="40" customFormat="false" ht="15" hidden="false" customHeight="false" outlineLevel="0" collapsed="false">
      <c r="B40" s="3" t="s">
        <v>192</v>
      </c>
      <c r="C40" s="74" t="n">
        <f aca="false">$C$36*LISTS!$C$23</f>
        <v>9.91735537190083</v>
      </c>
      <c r="D40" s="3" t="s">
        <v>199</v>
      </c>
      <c r="E40" s="17"/>
    </row>
    <row r="41" customFormat="false" ht="15" hidden="false" customHeight="false" outlineLevel="0" collapsed="false">
      <c r="B41" s="3" t="s">
        <v>200</v>
      </c>
      <c r="C41" s="72" t="n">
        <v>60000</v>
      </c>
      <c r="D41" s="3" t="s">
        <v>201</v>
      </c>
      <c r="E41" s="17" t="s">
        <v>202</v>
      </c>
    </row>
    <row r="42" customFormat="false" ht="15" hidden="false" customHeight="false" outlineLevel="0" collapsed="false">
      <c r="B42" s="3" t="s">
        <v>203</v>
      </c>
      <c r="C42" s="72" t="n">
        <v>13000</v>
      </c>
      <c r="D42" s="3" t="s">
        <v>204</v>
      </c>
      <c r="E42" s="17" t="s">
        <v>205</v>
      </c>
    </row>
    <row r="43" customFormat="false" ht="15" hidden="false" customHeight="false" outlineLevel="0" collapsed="false">
      <c r="B43" s="3" t="s">
        <v>203</v>
      </c>
      <c r="C43" s="73" t="n">
        <f aca="false">$C$42*LISTS!$C$21</f>
        <v>10869.65568</v>
      </c>
      <c r="D43" s="3" t="s">
        <v>201</v>
      </c>
      <c r="E43" s="17" t="s">
        <v>206</v>
      </c>
    </row>
    <row r="44" customFormat="false" ht="15" hidden="false" customHeight="false" outlineLevel="0" collapsed="false">
      <c r="B44" s="67" t="s">
        <v>207</v>
      </c>
      <c r="C44" s="68"/>
      <c r="D44" s="68"/>
      <c r="E44" s="68"/>
    </row>
    <row r="45" customFormat="false" ht="15" hidden="false" customHeight="false" outlineLevel="0" collapsed="false">
      <c r="B45" s="3" t="s">
        <v>208</v>
      </c>
      <c r="C45" s="75" t="n">
        <v>0.32</v>
      </c>
      <c r="D45" s="3" t="s">
        <v>209</v>
      </c>
      <c r="E45" s="17" t="s">
        <v>210</v>
      </c>
    </row>
    <row r="46" customFormat="false" ht="15" hidden="false" customHeight="false" outlineLevel="0" collapsed="false">
      <c r="B46" s="3" t="s">
        <v>211</v>
      </c>
      <c r="C46" s="64" t="n">
        <f aca="false">IF($C$21="JV",1-$C$45,1)</f>
        <v>0.68</v>
      </c>
      <c r="D46" s="3" t="s">
        <v>209</v>
      </c>
      <c r="E46" s="17" t="s">
        <v>212</v>
      </c>
    </row>
    <row r="47" customFormat="false" ht="15" hidden="false" customHeight="false" outlineLevel="0" collapsed="false">
      <c r="B47" s="3" t="s">
        <v>213</v>
      </c>
      <c r="C47" s="76" t="n">
        <v>0.0275</v>
      </c>
      <c r="D47" s="3" t="s">
        <v>209</v>
      </c>
      <c r="E47" s="17" t="s">
        <v>214</v>
      </c>
    </row>
    <row r="48" customFormat="false" ht="15" hidden="false" customHeight="false" outlineLevel="0" collapsed="false">
      <c r="B48" s="67" t="s">
        <v>215</v>
      </c>
      <c r="C48" s="68"/>
      <c r="D48" s="68"/>
      <c r="E48" s="68"/>
    </row>
    <row r="49" customFormat="false" ht="15" hidden="false" customHeight="false" outlineLevel="0" collapsed="false">
      <c r="B49" s="3" t="s">
        <v>216</v>
      </c>
      <c r="C49" s="72" t="n">
        <v>60000</v>
      </c>
      <c r="D49" s="3" t="s">
        <v>201</v>
      </c>
      <c r="E49" s="17" t="s">
        <v>217</v>
      </c>
    </row>
    <row r="50" customFormat="false" ht="15" hidden="false" customHeight="false" outlineLevel="0" collapsed="false">
      <c r="B50" s="3" t="s">
        <v>218</v>
      </c>
      <c r="C50" s="76" t="n">
        <v>0.088</v>
      </c>
      <c r="D50" s="3" t="s">
        <v>209</v>
      </c>
      <c r="E50" s="17" t="s">
        <v>219</v>
      </c>
    </row>
    <row r="51" customFormat="false" ht="15" hidden="false" customHeight="false" outlineLevel="0" collapsed="false">
      <c r="B51" s="3" t="s">
        <v>220</v>
      </c>
      <c r="C51" s="59" t="s">
        <v>221</v>
      </c>
      <c r="D51" s="3" t="s">
        <v>160</v>
      </c>
      <c r="E51" s="17"/>
    </row>
    <row r="52" customFormat="false" ht="15" hidden="false" customHeight="false" outlineLevel="0" collapsed="false">
      <c r="B52" s="3" t="s">
        <v>222</v>
      </c>
      <c r="C52" s="77" t="n">
        <v>1</v>
      </c>
      <c r="D52" s="3" t="s">
        <v>186</v>
      </c>
      <c r="E52" s="17"/>
    </row>
    <row r="53" customFormat="false" ht="15" hidden="false" customHeight="false" outlineLevel="0" collapsed="false">
      <c r="B53" s="3" t="s">
        <v>223</v>
      </c>
      <c r="C53" s="77" t="n">
        <v>1</v>
      </c>
      <c r="D53" s="3" t="s">
        <v>186</v>
      </c>
      <c r="E53" s="17" t="s">
        <v>224</v>
      </c>
    </row>
    <row r="54" customFormat="false" ht="15" hidden="false" customHeight="false" outlineLevel="0" collapsed="false">
      <c r="B54" s="67" t="s">
        <v>183</v>
      </c>
      <c r="C54" s="68"/>
      <c r="D54" s="68"/>
      <c r="E54" s="68"/>
    </row>
    <row r="55" customFormat="false" ht="15" hidden="false" customHeight="false" outlineLevel="0" collapsed="false">
      <c r="B55" s="3" t="s">
        <v>225</v>
      </c>
      <c r="C55" s="63" t="n">
        <f aca="false">$C$36*$C$41/$C$25</f>
        <v>180</v>
      </c>
      <c r="D55" s="3" t="s">
        <v>64</v>
      </c>
      <c r="E55" s="17"/>
    </row>
    <row r="56" customFormat="false" ht="15" hidden="false" customHeight="false" outlineLevel="0" collapsed="false">
      <c r="B56" s="3" t="s">
        <v>226</v>
      </c>
      <c r="C56" s="63" t="n">
        <f aca="false">$C$36*$C$49/$C$25</f>
        <v>180</v>
      </c>
      <c r="D56" s="3" t="s">
        <v>64</v>
      </c>
      <c r="E56" s="17"/>
    </row>
    <row r="57" customFormat="false" ht="15" hidden="false" customHeight="false" outlineLevel="0" collapsed="false">
      <c r="B57" s="3" t="s">
        <v>227</v>
      </c>
      <c r="C57" s="63" t="n">
        <f aca="false">IF($C$21="JV",$C$45*$T$98,$C$56)</f>
        <v>256.96</v>
      </c>
      <c r="D57" s="3" t="s">
        <v>64</v>
      </c>
      <c r="E57" s="17" t="s">
        <v>228</v>
      </c>
    </row>
    <row r="58" customFormat="false" ht="15" hidden="false" customHeight="false" outlineLevel="0" collapsed="false">
      <c r="B58" s="3" t="s">
        <v>229</v>
      </c>
      <c r="C58" s="63" t="n">
        <f aca="false">IF($C$21="JV",$C$36*$C$43*$C$47,$C$36*MAX($C$43,$C$49)*$C$50)/$C$25</f>
        <v>0.8967465936</v>
      </c>
      <c r="D58" s="3" t="s">
        <v>64</v>
      </c>
      <c r="E58" s="17" t="s">
        <v>230</v>
      </c>
    </row>
    <row r="59" customFormat="false" ht="15" hidden="false" customHeight="false" outlineLevel="0" collapsed="false">
      <c r="B59" s="3" t="s">
        <v>231</v>
      </c>
      <c r="C59" s="63" t="n">
        <f aca="false">IF($C$21="JV",$C$55,$C$56)</f>
        <v>180</v>
      </c>
      <c r="D59" s="3" t="s">
        <v>64</v>
      </c>
      <c r="E59" s="17" t="s">
        <v>232</v>
      </c>
    </row>
    <row r="60" customFormat="false" ht="15" hidden="false" customHeight="false" outlineLevel="0" collapsed="false">
      <c r="B60" s="3" t="s">
        <v>233</v>
      </c>
      <c r="C60" s="63" t="n">
        <f aca="false">$G$128+$G$129+$G$130</f>
        <v>259.9807465936</v>
      </c>
      <c r="D60" s="3" t="s">
        <v>64</v>
      </c>
      <c r="E60" s="17" t="s">
        <v>234</v>
      </c>
    </row>
    <row r="62" customFormat="false" ht="15" hidden="false" customHeight="false" outlineLevel="0" collapsed="false">
      <c r="B62" s="67" t="s">
        <v>235</v>
      </c>
      <c r="C62" s="68"/>
      <c r="D62" s="68"/>
      <c r="E62" s="68"/>
      <c r="F62" s="68"/>
      <c r="G62" s="68"/>
    </row>
    <row r="63" customFormat="false" ht="30" hidden="false" customHeight="true" outlineLevel="0" collapsed="false">
      <c r="B63" s="27"/>
      <c r="C63" s="27" t="s">
        <v>236</v>
      </c>
      <c r="D63" s="27" t="s">
        <v>237</v>
      </c>
      <c r="E63" s="27" t="s">
        <v>238</v>
      </c>
    </row>
    <row r="64" customFormat="false" ht="15" hidden="false" customHeight="false" outlineLevel="0" collapsed="false">
      <c r="B64" s="3" t="s">
        <v>239</v>
      </c>
      <c r="C64" s="63" t="n">
        <f aca="false">$C$41/LISTS!$C$23/$C$25</f>
        <v>18.15</v>
      </c>
      <c r="D64" s="73" t="n">
        <f aca="false">$C$41</f>
        <v>60000</v>
      </c>
      <c r="E64" s="63" t="n">
        <f aca="false">$C$55</f>
        <v>180</v>
      </c>
    </row>
    <row r="65" customFormat="false" ht="15" hidden="false" customHeight="false" outlineLevel="0" collapsed="false">
      <c r="B65" s="3" t="s">
        <v>240</v>
      </c>
      <c r="C65" s="63" t="n">
        <f aca="false">D65/LISTS!$C$23/$C$25</f>
        <v>25.9101333333333</v>
      </c>
      <c r="D65" s="73" t="n">
        <f aca="false">IF($C$36&gt;0,$C$57*$C$25/$C$36,0)</f>
        <v>85653.3333333333</v>
      </c>
      <c r="E65" s="63" t="n">
        <f aca="false">$C$57</f>
        <v>256.96</v>
      </c>
    </row>
    <row r="66" customFormat="false" ht="15" hidden="false" customHeight="false" outlineLevel="0" collapsed="false">
      <c r="B66" s="3" t="s">
        <v>241</v>
      </c>
      <c r="C66" s="64" t="n">
        <f aca="false">IF(C64&gt;0,C65/C64-1,0)</f>
        <v>0.427555555555555</v>
      </c>
      <c r="D66" s="64" t="n">
        <f aca="false">IF(D64&gt;0,D65/D64-1,0)</f>
        <v>0.427555555555555</v>
      </c>
      <c r="E66" s="63" t="n">
        <f aca="false">E65-E64</f>
        <v>76.96</v>
      </c>
    </row>
    <row r="67" customFormat="false" ht="15" hidden="false" customHeight="false" outlineLevel="0" collapsed="false">
      <c r="B67" s="17" t="s">
        <v>242</v>
      </c>
    </row>
    <row r="69" customFormat="false" ht="19.5" hidden="false" customHeight="true" outlineLevel="0" collapsed="false">
      <c r="B69" s="4" t="s">
        <v>243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customFormat="false" ht="42" hidden="false" customHeight="true" outlineLevel="0" collapsed="false">
      <c r="B70" s="27" t="s">
        <v>244</v>
      </c>
      <c r="C70" s="27" t="s">
        <v>90</v>
      </c>
      <c r="D70" s="27" t="s">
        <v>245</v>
      </c>
      <c r="E70" s="27" t="s">
        <v>246</v>
      </c>
      <c r="F70" s="27" t="s">
        <v>247</v>
      </c>
      <c r="G70" s="27" t="s">
        <v>248</v>
      </c>
    </row>
    <row r="71" customFormat="false" ht="15" hidden="false" customHeight="false" outlineLevel="0" collapsed="false">
      <c r="B71" s="59" t="s">
        <v>249</v>
      </c>
      <c r="C71" s="78" t="n">
        <v>0.75</v>
      </c>
      <c r="D71" s="75" t="n">
        <v>0.05</v>
      </c>
      <c r="E71" s="75" t="n">
        <v>0</v>
      </c>
      <c r="F71" s="79" t="n">
        <v>0</v>
      </c>
      <c r="G71" s="60" t="str">
        <f aca="false">IF(AND(LEN(B71)&gt;0,ISNUMBER(C71),C71&gt;0,ISNUMBER(D71),D71&gt;-1,ISNUMBER(E71),E71&gt;-1,ISNUMBER(F71),F71&gt;=0,INT(F71)=F71),"OK","ERROR")</f>
        <v>OK</v>
      </c>
    </row>
    <row r="72" customFormat="false" ht="15" hidden="false" customHeight="false" outlineLevel="0" collapsed="false">
      <c r="B72" s="59" t="s">
        <v>172</v>
      </c>
      <c r="C72" s="78" t="n">
        <v>1</v>
      </c>
      <c r="D72" s="75" t="n">
        <v>0</v>
      </c>
      <c r="E72" s="75" t="n">
        <v>0</v>
      </c>
      <c r="F72" s="79" t="n">
        <v>0</v>
      </c>
      <c r="G72" s="60" t="str">
        <f aca="false">IF(AND(LEN(B72)&gt;0,ISNUMBER(C72),C72&gt;0,ISNUMBER(D72),D72&gt;-1,ISNUMBER(E72),E72&gt;-1,ISNUMBER(F72),F72&gt;=0,INT(F72)=F72),"OK","ERROR")</f>
        <v>OK</v>
      </c>
    </row>
    <row r="73" customFormat="false" ht="15" hidden="false" customHeight="false" outlineLevel="0" collapsed="false">
      <c r="B73" s="59" t="s">
        <v>250</v>
      </c>
      <c r="C73" s="78" t="n">
        <v>1.5</v>
      </c>
      <c r="D73" s="75" t="n">
        <v>-0.075</v>
      </c>
      <c r="E73" s="75" t="n">
        <v>0.075</v>
      </c>
      <c r="F73" s="79" t="n">
        <v>2</v>
      </c>
      <c r="G73" s="60" t="str">
        <f aca="false">IF(AND(LEN(B73)&gt;0,ISNUMBER(C73),C73&gt;0,ISNUMBER(D73),D73&gt;-1,ISNUMBER(E73),E73&gt;-1,ISNUMBER(F73),F73&gt;=0,INT(F73)=F73),"OK","ERROR")</f>
        <v>OK</v>
      </c>
    </row>
    <row r="74" customFormat="false" ht="15" hidden="false" customHeight="false" outlineLevel="0" collapsed="false">
      <c r="B74" s="2" t="s">
        <v>251</v>
      </c>
      <c r="C74" s="80" t="n">
        <f aca="false">IFERROR(INDEX($C$71:$C$73,MATCH(IF(STRESS!$C$12&gt;=1,INDEX($B$71:$B$73,STRESS!$C$12),$C$23),$B$71:$B$73,0)),1)*STRESS!$C$10</f>
        <v>1</v>
      </c>
      <c r="D74" s="81" t="n">
        <f aca="false">(1+IFERROR(INDEX($D$71:$D$73,MATCH(IF(STRESS!$C$12&gt;=1,INDEX($B$71:$B$73,STRESS!$C$12),$C$23),$B$71:$B$73,0)),0))*(1+STRESS!$C$8)-1</f>
        <v>0</v>
      </c>
      <c r="E74" s="81" t="n">
        <f aca="false">(1+IFERROR(INDEX($E$71:$E$73,MATCH(IF(STRESS!$C$12&gt;=1,INDEX($B$71:$B$73,STRESS!$C$12),$C$23),$B$71:$B$73,0)),0))*(1+STRESS!$C$9)-1</f>
        <v>0</v>
      </c>
      <c r="F74" s="62" t="n">
        <f aca="false">IFERROR(INDEX($F$71:$F$73,MATCH(IF(STRESS!$C$12&gt;=1,INDEX($B$71:$B$73,STRESS!$C$12),$C$23),$B$71:$B$73,0)),0)+STRESS!$C$11</f>
        <v>0</v>
      </c>
    </row>
    <row r="76" customFormat="false" ht="19.5" hidden="false" customHeight="true" outlineLevel="0" collapsed="false">
      <c r="B76" s="4" t="s">
        <v>252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customFormat="false" ht="42" hidden="false" customHeight="true" outlineLevel="0" collapsed="false">
      <c r="B77" s="27" t="s">
        <v>253</v>
      </c>
      <c r="C77" s="27" t="s">
        <v>254</v>
      </c>
      <c r="D77" s="27" t="s">
        <v>255</v>
      </c>
      <c r="E77" s="27" t="s">
        <v>256</v>
      </c>
      <c r="F77" s="27" t="s">
        <v>257</v>
      </c>
      <c r="G77" s="27" t="s">
        <v>258</v>
      </c>
    </row>
    <row r="78" customFormat="false" ht="15" hidden="false" customHeight="false" outlineLevel="0" collapsed="false">
      <c r="B78" s="3" t="s">
        <v>259</v>
      </c>
      <c r="C78" s="75" t="n">
        <v>0.35</v>
      </c>
      <c r="D78" s="73" t="n">
        <f aca="false">C78*$C$37</f>
        <v>94500</v>
      </c>
      <c r="E78" s="73" t="n">
        <f aca="false">SUMIFS($F$88:$F$97,$C$88:$C$97,B78,$E$88:$E$97,"Yes")</f>
        <v>250000</v>
      </c>
      <c r="F78" s="63" t="n">
        <f aca="false">SUMIF($C$88:$C$97,B78,$T$88:$T$97)</f>
        <v>275</v>
      </c>
      <c r="G78" s="60" t="str">
        <f aca="false">IF(OR($C$19="Mixed Development",B78="Other / Clubhouse",AND($C$19="Villa",B78="Villa Development"),AND($C$19="Apartments",B78="Apartment Development"),AND($C$19="Plotted",B78="Plotted Development")),"Used","Not used")</f>
        <v>Used</v>
      </c>
    </row>
    <row r="79" customFormat="false" ht="15" hidden="false" customHeight="false" outlineLevel="0" collapsed="false">
      <c r="B79" s="3" t="s">
        <v>260</v>
      </c>
      <c r="C79" s="75" t="n">
        <v>0.5</v>
      </c>
      <c r="D79" s="73" t="n">
        <f aca="false">C79*$C$37</f>
        <v>135000</v>
      </c>
      <c r="E79" s="73" t="n">
        <f aca="false">SUMIFS($F$88:$F$97,$C$88:$C$97,B79,$E$88:$E$97,"Yes")</f>
        <v>670000</v>
      </c>
      <c r="F79" s="63" t="n">
        <f aca="false">SUMIF($C$88:$C$97,B79,$T$88:$T$97)</f>
        <v>528</v>
      </c>
      <c r="G79" s="60" t="str">
        <f aca="false">IF(OR($C$19="Mixed Development",B79="Other / Clubhouse",AND($C$19="Villa",B79="Villa Development"),AND($C$19="Apartments",B79="Apartment Development"),AND($C$19="Plotted",B79="Plotted Development")),"Used","Not used")</f>
        <v>Used</v>
      </c>
    </row>
    <row r="80" customFormat="false" ht="15" hidden="false" customHeight="false" outlineLevel="0" collapsed="false">
      <c r="B80" s="3" t="s">
        <v>261</v>
      </c>
      <c r="C80" s="75" t="n">
        <v>0.15</v>
      </c>
      <c r="D80" s="73" t="n">
        <f aca="false">C80*$C$37</f>
        <v>40500</v>
      </c>
      <c r="E80" s="73" t="n">
        <f aca="false">SUMIFS($F$88:$F$97,$C$88:$C$97,B80,$E$88:$E$97,"Yes")</f>
        <v>0</v>
      </c>
      <c r="F80" s="63" t="n">
        <f aca="false">SUMIF($C$88:$C$97,B80,$T$88:$T$97)</f>
        <v>0</v>
      </c>
      <c r="G80" s="60" t="str">
        <f aca="false">IF(OR($C$19="Mixed Development",B80="Other / Clubhouse",AND($C$19="Villa",B80="Villa Development"),AND($C$19="Apartments",B80="Apartment Development"),AND($C$19="Plotted",B80="Plotted Development")),"Used","Not used")</f>
        <v>Used</v>
      </c>
    </row>
    <row r="81" customFormat="false" ht="15" hidden="false" customHeight="false" outlineLevel="0" collapsed="false">
      <c r="B81" s="3" t="s">
        <v>262</v>
      </c>
      <c r="C81" s="75" t="n">
        <v>0</v>
      </c>
      <c r="D81" s="73" t="n">
        <f aca="false">C81*$C$37</f>
        <v>0</v>
      </c>
      <c r="E81" s="73" t="n">
        <f aca="false">SUMIFS($F$88:$F$97,$C$88:$C$97,B81,$E$88:$E$97,"Yes")</f>
        <v>0</v>
      </c>
      <c r="F81" s="63" t="n">
        <f aca="false">SUMIF($C$88:$C$97,B81,$T$88:$T$97)</f>
        <v>0</v>
      </c>
      <c r="G81" s="60" t="str">
        <f aca="false">IF(OR($C$19="Mixed Development",B81="Other / Clubhouse",AND($C$19="Villa",B81="Villa Development"),AND($C$19="Apartments",B81="Apartment Development"),AND($C$19="Plotted",B81="Plotted Development")),"Used","Not used")</f>
        <v>Used</v>
      </c>
    </row>
    <row r="82" customFormat="false" ht="15" hidden="false" customHeight="false" outlineLevel="0" collapsed="false">
      <c r="B82" s="82" t="s">
        <v>263</v>
      </c>
      <c r="C82" s="83" t="n">
        <f aca="false">SUM(C78:C81)</f>
        <v>1</v>
      </c>
      <c r="D82" s="84" t="n">
        <f aca="false">SUM(D78:D81)</f>
        <v>270000</v>
      </c>
      <c r="E82" s="84" t="n">
        <f aca="false">SUM(E78:E81)</f>
        <v>920000</v>
      </c>
      <c r="F82" s="85" t="n">
        <f aca="false">SUM(F78:F81)</f>
        <v>803</v>
      </c>
    </row>
    <row r="83" customFormat="false" ht="15" hidden="false" customHeight="false" outlineLevel="0" collapsed="false">
      <c r="B83" s="17" t="s">
        <v>264</v>
      </c>
    </row>
    <row r="85" customFormat="false" ht="19.5" hidden="false" customHeight="true" outlineLevel="0" collapsed="false">
      <c r="B85" s="4" t="s">
        <v>265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customFormat="false" ht="15" hidden="false" customHeight="false" outlineLevel="0" collapsed="false">
      <c r="B86" s="17" t="s">
        <v>266</v>
      </c>
    </row>
    <row r="87" customFormat="false" ht="42" hidden="false" customHeight="true" outlineLevel="0" collapsed="false">
      <c r="B87" s="27" t="s">
        <v>267</v>
      </c>
      <c r="C87" s="27" t="s">
        <v>253</v>
      </c>
      <c r="D87" s="27" t="s">
        <v>268</v>
      </c>
      <c r="E87" s="27" t="s">
        <v>269</v>
      </c>
      <c r="F87" s="27" t="s">
        <v>256</v>
      </c>
      <c r="G87" s="27" t="s">
        <v>270</v>
      </c>
      <c r="H87" s="27" t="s">
        <v>271</v>
      </c>
      <c r="I87" s="27" t="s">
        <v>272</v>
      </c>
      <c r="J87" s="27" t="s">
        <v>273</v>
      </c>
      <c r="K87" s="27" t="s">
        <v>274</v>
      </c>
      <c r="L87" s="27" t="s">
        <v>275</v>
      </c>
      <c r="M87" s="27" t="s">
        <v>276</v>
      </c>
      <c r="N87" s="27" t="s">
        <v>277</v>
      </c>
      <c r="O87" s="27" t="s">
        <v>278</v>
      </c>
      <c r="P87" s="27" t="s">
        <v>279</v>
      </c>
      <c r="Q87" s="27" t="s">
        <v>280</v>
      </c>
      <c r="R87" s="27" t="s">
        <v>281</v>
      </c>
      <c r="S87" s="27" t="s">
        <v>282</v>
      </c>
      <c r="T87" s="27" t="s">
        <v>257</v>
      </c>
      <c r="U87" s="27" t="s">
        <v>283</v>
      </c>
      <c r="V87" s="27" t="s">
        <v>284</v>
      </c>
      <c r="W87" s="27" t="s">
        <v>248</v>
      </c>
      <c r="X87" s="27" t="s">
        <v>285</v>
      </c>
    </row>
    <row r="88" customFormat="false" ht="15" hidden="false" customHeight="false" outlineLevel="0" collapsed="false">
      <c r="B88" s="59" t="s">
        <v>286</v>
      </c>
      <c r="C88" s="59" t="s">
        <v>259</v>
      </c>
      <c r="D88" s="59" t="s">
        <v>287</v>
      </c>
      <c r="E88" s="60" t="str">
        <f aca="false">IF(AND(X88="Yes",OR($C$19="Mixed Development",C88="Other / Clubhouse",AND($C$19="Villa",C88="Villa Development"),AND($C$19="Apartments",C88="Apartment Development"),AND($C$19="Plotted",C88="Plotted Development"))),"Yes","No")</f>
        <v>Yes</v>
      </c>
      <c r="F88" s="72" t="n">
        <v>250000</v>
      </c>
      <c r="G88" s="72" t="n">
        <v>11000</v>
      </c>
      <c r="H88" s="72" t="n">
        <v>2900</v>
      </c>
      <c r="I88" s="77" t="n">
        <v>3</v>
      </c>
      <c r="J88" s="79" t="n">
        <v>8</v>
      </c>
      <c r="K88" s="59" t="s">
        <v>288</v>
      </c>
      <c r="L88" s="59" t="s">
        <v>289</v>
      </c>
      <c r="M88" s="77" t="n">
        <v>4</v>
      </c>
      <c r="N88" s="79" t="n">
        <v>12</v>
      </c>
      <c r="O88" s="59" t="s">
        <v>290</v>
      </c>
      <c r="P88" s="70" t="n">
        <f aca="false">IF($E88="Yes",L105,"")</f>
        <v>3</v>
      </c>
      <c r="Q88" s="70" t="n">
        <f aca="false">IF(AND($E88="Yes",ISNUMBER(P88),ISNUMBER(J88)),P88+MAX(1,ROUNDUP(J88*$C$74,0))-1,"")</f>
        <v>10</v>
      </c>
      <c r="R88" s="70" t="n">
        <f aca="false">IF($E88="Yes",M105,"")</f>
        <v>4</v>
      </c>
      <c r="S88" s="70" t="n">
        <f aca="false">IF(AND($E88="Yes",ISNUMBER(R88),ISNUMBER(N88)),R88+N88-1,"")</f>
        <v>15</v>
      </c>
      <c r="T88" s="63" t="n">
        <f aca="false">IF($E88="Yes",F88*G88*(1+$D$74)/$C$25,0)</f>
        <v>275</v>
      </c>
      <c r="U88" s="63" t="n">
        <f aca="false">IF($E88="Yes",F88*H88*(1+$E$74)/$C$25,0)</f>
        <v>72.5</v>
      </c>
      <c r="V88" s="69" t="n">
        <f aca="false">IF(AND($E88="Yes",ISNUMBER(P88)),EOMONTH($C$20,3*(P88-1)),"")</f>
        <v>46752</v>
      </c>
      <c r="W88" s="60" t="str">
        <f aca="false">IF(X88="No","Off",IF(X88&lt;&gt;"Yes","ERROR",IF(E88&lt;&gt;"Yes","Excluded",IF(AND(LEN(B88)&gt;0,COUNTIF(LISTS!$F$5:$F$8,C88)=1,COUNTIF(LISTS!$G$5:$G$11,D88)=1,ISNUMBER(F88),F88&gt;0,ISNUMBER(G88),G88&gt;=0,ISNUMBER(H88),H88&gt;=0,ISNUMBER(J88),J88&gt;=1,INT(J88)=J88,COUNTIF(LISTS!$H$5:$H$8,K88)=1,IFERROR(INDEX(LISTS!$S$5:$S$10,MATCH(L88,LISTS!$R$5:$R$10,0))="OK",FALSE()),ISNUMBER(N88),N88&gt;=1,INT(N88)=N88,COUNTIF(LISTS!$H$5:$H$8,O88)=1,N105="OK",ISNUMBER(P88),ISNUMBER(R88),Q88&lt;=$C$24,S88&lt;=$C$24),"OK","ERROR"))))</f>
        <v>OK</v>
      </c>
      <c r="X88" s="59" t="s">
        <v>291</v>
      </c>
    </row>
    <row r="89" customFormat="false" ht="15" hidden="false" customHeight="false" outlineLevel="0" collapsed="false">
      <c r="B89" s="59" t="s">
        <v>292</v>
      </c>
      <c r="C89" s="59" t="s">
        <v>260</v>
      </c>
      <c r="D89" s="59" t="s">
        <v>293</v>
      </c>
      <c r="E89" s="60" t="str">
        <f aca="false">IF(AND(X89="Yes",OR($C$19="Mixed Development",C89="Other / Clubhouse",AND($C$19="Villa",C89="Villa Development"),AND($C$19="Apartments",C89="Apartment Development"),AND($C$19="Plotted",C89="Plotted Development"))),"Yes","No")</f>
        <v>Yes</v>
      </c>
      <c r="F89" s="72" t="n">
        <v>600000</v>
      </c>
      <c r="G89" s="72" t="n">
        <v>7500</v>
      </c>
      <c r="H89" s="72" t="n">
        <v>2900</v>
      </c>
      <c r="I89" s="77" t="n">
        <v>4</v>
      </c>
      <c r="J89" s="79" t="n">
        <v>12</v>
      </c>
      <c r="K89" s="59" t="s">
        <v>294</v>
      </c>
      <c r="L89" s="59" t="s">
        <v>295</v>
      </c>
      <c r="M89" s="77" t="n">
        <v>5</v>
      </c>
      <c r="N89" s="79" t="n">
        <v>16</v>
      </c>
      <c r="O89" s="59" t="s">
        <v>290</v>
      </c>
      <c r="P89" s="70" t="n">
        <f aca="false">IF($E89="Yes",L106,"")</f>
        <v>4</v>
      </c>
      <c r="Q89" s="70" t="n">
        <f aca="false">IF(AND($E89="Yes",ISNUMBER(P89),ISNUMBER(J89)),P89+MAX(1,ROUNDUP(J89*$C$74,0))-1,"")</f>
        <v>15</v>
      </c>
      <c r="R89" s="70" t="n">
        <f aca="false">IF($E89="Yes",M106,"")</f>
        <v>5</v>
      </c>
      <c r="S89" s="70" t="n">
        <f aca="false">IF(AND($E89="Yes",ISNUMBER(R89),ISNUMBER(N89)),R89+N89-1,"")</f>
        <v>20</v>
      </c>
      <c r="T89" s="63" t="n">
        <f aca="false">IF($E89="Yes",F89*G89*(1+$D$74)/$C$25,0)</f>
        <v>450</v>
      </c>
      <c r="U89" s="63" t="n">
        <f aca="false">IF($E89="Yes",F89*H89*(1+$E$74)/$C$25,0)</f>
        <v>174</v>
      </c>
      <c r="V89" s="69" t="n">
        <f aca="false">IF(AND($E89="Yes",ISNUMBER(P89)),EOMONTH($C$20,3*(P89-1)),"")</f>
        <v>46843</v>
      </c>
      <c r="W89" s="60" t="str">
        <f aca="false">IF(X89="No","Off",IF(X89&lt;&gt;"Yes","ERROR",IF(E89&lt;&gt;"Yes","Excluded",IF(AND(LEN(B89)&gt;0,COUNTIF(LISTS!$F$5:$F$8,C89)=1,COUNTIF(LISTS!$G$5:$G$11,D89)=1,ISNUMBER(F89),F89&gt;0,ISNUMBER(G89),G89&gt;=0,ISNUMBER(H89),H89&gt;=0,ISNUMBER(J89),J89&gt;=1,INT(J89)=J89,COUNTIF(LISTS!$H$5:$H$8,K89)=1,IFERROR(INDEX(LISTS!$S$5:$S$10,MATCH(L89,LISTS!$R$5:$R$10,0))="OK",FALSE()),ISNUMBER(N89),N89&gt;=1,INT(N89)=N89,COUNTIF(LISTS!$H$5:$H$8,O89)=1,N106="OK",ISNUMBER(P89),ISNUMBER(R89),Q89&lt;=$C$24,S89&lt;=$C$24),"OK","ERROR"))))</f>
        <v>OK</v>
      </c>
      <c r="X89" s="59" t="s">
        <v>291</v>
      </c>
    </row>
    <row r="90" customFormat="false" ht="15" hidden="false" customHeight="false" outlineLevel="0" collapsed="false">
      <c r="B90" s="59" t="s">
        <v>296</v>
      </c>
      <c r="C90" s="59" t="s">
        <v>260</v>
      </c>
      <c r="D90" s="59" t="s">
        <v>297</v>
      </c>
      <c r="E90" s="60" t="str">
        <f aca="false">IF(AND(X90="Yes",OR($C$19="Mixed Development",C90="Other / Clubhouse",AND($C$19="Villa",C90="Villa Development"),AND($C$19="Apartments",C90="Apartment Development"),AND($C$19="Plotted",C90="Plotted Development"))),"Yes","No")</f>
        <v>Yes</v>
      </c>
      <c r="F90" s="72" t="n">
        <v>40000</v>
      </c>
      <c r="G90" s="72" t="n">
        <v>9000</v>
      </c>
      <c r="H90" s="72" t="n">
        <v>3800</v>
      </c>
      <c r="I90" s="77" t="n">
        <v>6</v>
      </c>
      <c r="J90" s="79" t="n">
        <v>8</v>
      </c>
      <c r="K90" s="59" t="s">
        <v>294</v>
      </c>
      <c r="L90" s="59" t="s">
        <v>295</v>
      </c>
      <c r="M90" s="77" t="n">
        <v>6</v>
      </c>
      <c r="N90" s="79" t="n">
        <v>12</v>
      </c>
      <c r="O90" s="59" t="s">
        <v>290</v>
      </c>
      <c r="P90" s="70" t="n">
        <f aca="false">IF($E90="Yes",L107,"")</f>
        <v>6</v>
      </c>
      <c r="Q90" s="70" t="n">
        <f aca="false">IF(AND($E90="Yes",ISNUMBER(P90),ISNUMBER(J90)),P90+MAX(1,ROUNDUP(J90*$C$74,0))-1,"")</f>
        <v>13</v>
      </c>
      <c r="R90" s="70" t="n">
        <f aca="false">IF($E90="Yes",M107,"")</f>
        <v>6</v>
      </c>
      <c r="S90" s="70" t="n">
        <f aca="false">IF(AND($E90="Yes",ISNUMBER(R90),ISNUMBER(N90)),R90+N90-1,"")</f>
        <v>17</v>
      </c>
      <c r="T90" s="63" t="n">
        <f aca="false">IF($E90="Yes",F90*G90*(1+$D$74)/$C$25,0)</f>
        <v>36</v>
      </c>
      <c r="U90" s="63" t="n">
        <f aca="false">IF($E90="Yes",F90*H90*(1+$E$74)/$C$25,0)</f>
        <v>15.2</v>
      </c>
      <c r="V90" s="69" t="n">
        <f aca="false">IF(AND($E90="Yes",ISNUMBER(P90)),EOMONTH($C$20,3*(P90-1)),"")</f>
        <v>47026</v>
      </c>
      <c r="W90" s="60" t="str">
        <f aca="false">IF(X90="No","Off",IF(X90&lt;&gt;"Yes","ERROR",IF(E90&lt;&gt;"Yes","Excluded",IF(AND(LEN(B90)&gt;0,COUNTIF(LISTS!$F$5:$F$8,C90)=1,COUNTIF(LISTS!$G$5:$G$11,D90)=1,ISNUMBER(F90),F90&gt;0,ISNUMBER(G90),G90&gt;=0,ISNUMBER(H90),H90&gt;=0,ISNUMBER(J90),J90&gt;=1,INT(J90)=J90,COUNTIF(LISTS!$H$5:$H$8,K90)=1,IFERROR(INDEX(LISTS!$S$5:$S$10,MATCH(L90,LISTS!$R$5:$R$10,0))="OK",FALSE()),ISNUMBER(N90),N90&gt;=1,INT(N90)=N90,COUNTIF(LISTS!$H$5:$H$8,O90)=1,N107="OK",ISNUMBER(P90),ISNUMBER(R90),Q90&lt;=$C$24,S90&lt;=$C$24),"OK","ERROR"))))</f>
        <v>OK</v>
      </c>
      <c r="X90" s="59" t="s">
        <v>291</v>
      </c>
    </row>
    <row r="91" customFormat="false" ht="15" hidden="false" customHeight="false" outlineLevel="0" collapsed="false">
      <c r="B91" s="59" t="s">
        <v>298</v>
      </c>
      <c r="C91" s="59" t="s">
        <v>260</v>
      </c>
      <c r="D91" s="59" t="s">
        <v>299</v>
      </c>
      <c r="E91" s="60" t="str">
        <f aca="false">IF(AND(X91="Yes",OR($C$19="Mixed Development",C91="Other / Clubhouse",AND($C$19="Villa",C91="Villa Development"),AND($C$19="Apartments",C91="Apartment Development"),AND($C$19="Plotted",C91="Plotted Development"))),"Yes","No")</f>
        <v>Yes</v>
      </c>
      <c r="F91" s="72" t="n">
        <v>30000</v>
      </c>
      <c r="G91" s="72" t="n">
        <v>14000</v>
      </c>
      <c r="H91" s="72" t="n">
        <v>2900</v>
      </c>
      <c r="I91" s="77" t="n">
        <v>8</v>
      </c>
      <c r="J91" s="79" t="n">
        <v>8</v>
      </c>
      <c r="K91" s="59" t="s">
        <v>300</v>
      </c>
      <c r="L91" s="59" t="s">
        <v>301</v>
      </c>
      <c r="M91" s="77" t="n">
        <v>6</v>
      </c>
      <c r="N91" s="79" t="n">
        <v>12</v>
      </c>
      <c r="O91" s="59" t="s">
        <v>290</v>
      </c>
      <c r="P91" s="70" t="n">
        <f aca="false">IF($E91="Yes",L108,"")</f>
        <v>8</v>
      </c>
      <c r="Q91" s="70" t="n">
        <f aca="false">IF(AND($E91="Yes",ISNUMBER(P91),ISNUMBER(J91)),P91+MAX(1,ROUNDUP(J91*$C$74,0))-1,"")</f>
        <v>15</v>
      </c>
      <c r="R91" s="70" t="n">
        <f aca="false">IF($E91="Yes",M108,"")</f>
        <v>6</v>
      </c>
      <c r="S91" s="70" t="n">
        <f aca="false">IF(AND($E91="Yes",ISNUMBER(R91),ISNUMBER(N91)),R91+N91-1,"")</f>
        <v>17</v>
      </c>
      <c r="T91" s="63" t="n">
        <f aca="false">IF($E91="Yes",F91*G91*(1+$D$74)/$C$25,0)</f>
        <v>42</v>
      </c>
      <c r="U91" s="63" t="n">
        <f aca="false">IF($E91="Yes",F91*H91*(1+$E$74)/$C$25,0)</f>
        <v>8.7</v>
      </c>
      <c r="V91" s="69" t="n">
        <f aca="false">IF(AND($E91="Yes",ISNUMBER(P91)),EOMONTH($C$20,3*(P91-1)),"")</f>
        <v>47208</v>
      </c>
      <c r="W91" s="60" t="str">
        <f aca="false">IF(X91="No","Off",IF(X91&lt;&gt;"Yes","ERROR",IF(E91&lt;&gt;"Yes","Excluded",IF(AND(LEN(B91)&gt;0,COUNTIF(LISTS!$F$5:$F$8,C91)=1,COUNTIF(LISTS!$G$5:$G$11,D91)=1,ISNUMBER(F91),F91&gt;0,ISNUMBER(G91),G91&gt;=0,ISNUMBER(H91),H91&gt;=0,ISNUMBER(J91),J91&gt;=1,INT(J91)=J91,COUNTIF(LISTS!$H$5:$H$8,K91)=1,IFERROR(INDEX(LISTS!$S$5:$S$10,MATCH(L91,LISTS!$R$5:$R$10,0))="OK",FALSE()),ISNUMBER(N91),N91&gt;=1,INT(N91)=N91,COUNTIF(LISTS!$H$5:$H$8,O91)=1,N108="OK",ISNUMBER(P91),ISNUMBER(R91),Q91&lt;=$C$24,S91&lt;=$C$24),"OK","ERROR"))))</f>
        <v>OK</v>
      </c>
      <c r="X91" s="59" t="s">
        <v>291</v>
      </c>
    </row>
    <row r="92" customFormat="false" ht="15" hidden="false" customHeight="false" outlineLevel="0" collapsed="false">
      <c r="B92" s="59" t="s">
        <v>302</v>
      </c>
      <c r="C92" s="59" t="s">
        <v>261</v>
      </c>
      <c r="D92" s="59" t="s">
        <v>303</v>
      </c>
      <c r="E92" s="60" t="str">
        <f aca="false">IF(AND(X92="Yes",OR($C$19="Mixed Development",C92="Other / Clubhouse",AND($C$19="Villa",C92="Villa Development"),AND($C$19="Apartments",C92="Apartment Development"),AND($C$19="Plotted",C92="Plotted Development"))),"Yes","No")</f>
        <v>No</v>
      </c>
      <c r="F92" s="72" t="n">
        <v>150000</v>
      </c>
      <c r="G92" s="72" t="n">
        <v>4500</v>
      </c>
      <c r="H92" s="72" t="n">
        <v>450</v>
      </c>
      <c r="I92" s="77" t="n">
        <v>10</v>
      </c>
      <c r="J92" s="79" t="n">
        <v>8</v>
      </c>
      <c r="K92" s="59" t="s">
        <v>294</v>
      </c>
      <c r="L92" s="59" t="s">
        <v>304</v>
      </c>
      <c r="M92" s="77" t="n">
        <v>9</v>
      </c>
      <c r="N92" s="79" t="n">
        <v>8</v>
      </c>
      <c r="O92" s="59" t="s">
        <v>294</v>
      </c>
      <c r="P92" s="70" t="str">
        <f aca="false">IF($E92="Yes",L109,"")</f>
        <v/>
      </c>
      <c r="Q92" s="70" t="str">
        <f aca="false">IF(AND($E92="Yes",ISNUMBER(P92),ISNUMBER(J92)),P92+MAX(1,ROUNDUP(J92*$C$74,0))-1,"")</f>
        <v/>
      </c>
      <c r="R92" s="70" t="str">
        <f aca="false">IF($E92="Yes",M109,"")</f>
        <v/>
      </c>
      <c r="S92" s="70" t="str">
        <f aca="false">IF(AND($E92="Yes",ISNUMBER(R92),ISNUMBER(N92)),R92+N92-1,"")</f>
        <v/>
      </c>
      <c r="T92" s="63" t="n">
        <f aca="false">IF($E92="Yes",F92*G92*(1+$D$74)/$C$25,0)</f>
        <v>0</v>
      </c>
      <c r="U92" s="63" t="n">
        <f aca="false">IF($E92="Yes",F92*H92*(1+$E$74)/$C$25,0)</f>
        <v>0</v>
      </c>
      <c r="V92" s="69" t="str">
        <f aca="false">IF(AND($E92="Yes",ISNUMBER(P92)),EOMONTH($C$20,3*(P92-1)),"")</f>
        <v/>
      </c>
      <c r="W92" s="60" t="str">
        <f aca="false">IF(X92="No","Off",IF(X92&lt;&gt;"Yes","ERROR",IF(E92&lt;&gt;"Yes","Excluded",IF(AND(LEN(B92)&gt;0,COUNTIF(LISTS!$F$5:$F$8,C92)=1,COUNTIF(LISTS!$G$5:$G$11,D92)=1,ISNUMBER(F92),F92&gt;0,ISNUMBER(G92),G92&gt;=0,ISNUMBER(H92),H92&gt;=0,ISNUMBER(J92),J92&gt;=1,INT(J92)=J92,COUNTIF(LISTS!$H$5:$H$8,K92)=1,IFERROR(INDEX(LISTS!$S$5:$S$10,MATCH(L92,LISTS!$R$5:$R$10,0))="OK",FALSE()),ISNUMBER(N92),N92&gt;=1,INT(N92)=N92,COUNTIF(LISTS!$H$5:$H$8,O92)=1,N109="OK",ISNUMBER(P92),ISNUMBER(R92),Q92&lt;=$C$24,S92&lt;=$C$24),"OK","ERROR"))))</f>
        <v>Off</v>
      </c>
      <c r="X92" s="59" t="s">
        <v>305</v>
      </c>
    </row>
    <row r="93" customFormat="false" ht="15" hidden="false" customHeight="false" outlineLevel="0" collapsed="false">
      <c r="B93" s="59" t="s">
        <v>306</v>
      </c>
      <c r="C93" s="59" t="s">
        <v>261</v>
      </c>
      <c r="D93" s="59" t="s">
        <v>307</v>
      </c>
      <c r="E93" s="60" t="str">
        <f aca="false">IF(AND(X93="Yes",OR($C$19="Mixed Development",C93="Other / Clubhouse",AND($C$19="Villa",C93="Villa Development"),AND($C$19="Apartments",C93="Apartment Development"),AND($C$19="Plotted",C93="Plotted Development"))),"Yes","No")</f>
        <v>No</v>
      </c>
      <c r="F93" s="72" t="n">
        <v>30000</v>
      </c>
      <c r="G93" s="72" t="n">
        <v>4000</v>
      </c>
      <c r="H93" s="72" t="n">
        <v>400</v>
      </c>
      <c r="I93" s="77" t="n">
        <v>12</v>
      </c>
      <c r="J93" s="79" t="n">
        <v>8</v>
      </c>
      <c r="K93" s="59" t="s">
        <v>294</v>
      </c>
      <c r="L93" s="59" t="s">
        <v>304</v>
      </c>
      <c r="M93" s="77" t="n">
        <v>9</v>
      </c>
      <c r="N93" s="79" t="n">
        <v>8</v>
      </c>
      <c r="O93" s="59" t="s">
        <v>294</v>
      </c>
      <c r="P93" s="70" t="str">
        <f aca="false">IF($E93="Yes",L110,"")</f>
        <v/>
      </c>
      <c r="Q93" s="70" t="str">
        <f aca="false">IF(AND($E93="Yes",ISNUMBER(P93),ISNUMBER(J93)),P93+MAX(1,ROUNDUP(J93*$C$74,0))-1,"")</f>
        <v/>
      </c>
      <c r="R93" s="70" t="str">
        <f aca="false">IF($E93="Yes",M110,"")</f>
        <v/>
      </c>
      <c r="S93" s="70" t="str">
        <f aca="false">IF(AND($E93="Yes",ISNUMBER(R93),ISNUMBER(N93)),R93+N93-1,"")</f>
        <v/>
      </c>
      <c r="T93" s="63" t="n">
        <f aca="false">IF($E93="Yes",F93*G93*(1+$D$74)/$C$25,0)</f>
        <v>0</v>
      </c>
      <c r="U93" s="63" t="n">
        <f aca="false">IF($E93="Yes",F93*H93*(1+$E$74)/$C$25,0)</f>
        <v>0</v>
      </c>
      <c r="V93" s="69" t="str">
        <f aca="false">IF(AND($E93="Yes",ISNUMBER(P93)),EOMONTH($C$20,3*(P93-1)),"")</f>
        <v/>
      </c>
      <c r="W93" s="60" t="str">
        <f aca="false">IF(X93="No","Off",IF(X93&lt;&gt;"Yes","ERROR",IF(E93&lt;&gt;"Yes","Excluded",IF(AND(LEN(B93)&gt;0,COUNTIF(LISTS!$F$5:$F$8,C93)=1,COUNTIF(LISTS!$G$5:$G$11,D93)=1,ISNUMBER(F93),F93&gt;0,ISNUMBER(G93),G93&gt;=0,ISNUMBER(H93),H93&gt;=0,ISNUMBER(J93),J93&gt;=1,INT(J93)=J93,COUNTIF(LISTS!$H$5:$H$8,K93)=1,IFERROR(INDEX(LISTS!$S$5:$S$10,MATCH(L93,LISTS!$R$5:$R$10,0))="OK",FALSE()),ISNUMBER(N93),N93&gt;=1,INT(N93)=N93,COUNTIF(LISTS!$H$5:$H$8,O93)=1,N110="OK",ISNUMBER(P93),ISNUMBER(R93),Q93&lt;=$C$24,S93&lt;=$C$24),"OK","ERROR"))))</f>
        <v>Off</v>
      </c>
      <c r="X93" s="59" t="s">
        <v>305</v>
      </c>
    </row>
    <row r="94" customFormat="false" ht="15" hidden="false" customHeight="false" outlineLevel="0" collapsed="false">
      <c r="B94" s="59" t="s">
        <v>308</v>
      </c>
      <c r="C94" s="59" t="s">
        <v>261</v>
      </c>
      <c r="D94" s="59" t="s">
        <v>309</v>
      </c>
      <c r="E94" s="60" t="str">
        <f aca="false">IF(AND(X94="Yes",OR($C$19="Mixed Development",C94="Other / Clubhouse",AND($C$19="Villa",C94="Villa Development"),AND($C$19="Apartments",C94="Apartment Development"),AND($C$19="Plotted",C94="Plotted Development"))),"Yes","No")</f>
        <v>No</v>
      </c>
      <c r="F94" s="72" t="n">
        <v>20000</v>
      </c>
      <c r="G94" s="72" t="n">
        <v>1500</v>
      </c>
      <c r="H94" s="72" t="n">
        <v>400</v>
      </c>
      <c r="I94" s="77" t="n">
        <v>10</v>
      </c>
      <c r="J94" s="79" t="n">
        <v>8</v>
      </c>
      <c r="K94" s="59" t="s">
        <v>294</v>
      </c>
      <c r="L94" s="59" t="s">
        <v>304</v>
      </c>
      <c r="M94" s="77" t="n">
        <v>9</v>
      </c>
      <c r="N94" s="79" t="n">
        <v>8</v>
      </c>
      <c r="O94" s="59" t="s">
        <v>294</v>
      </c>
      <c r="P94" s="70" t="str">
        <f aca="false">IF($E94="Yes",L111,"")</f>
        <v/>
      </c>
      <c r="Q94" s="70" t="str">
        <f aca="false">IF(AND($E94="Yes",ISNUMBER(P94),ISNUMBER(J94)),P94+MAX(1,ROUNDUP(J94*$C$74,0))-1,"")</f>
        <v/>
      </c>
      <c r="R94" s="70" t="str">
        <f aca="false">IF($E94="Yes",M111,"")</f>
        <v/>
      </c>
      <c r="S94" s="70" t="str">
        <f aca="false">IF(AND($E94="Yes",ISNUMBER(R94),ISNUMBER(N94)),R94+N94-1,"")</f>
        <v/>
      </c>
      <c r="T94" s="63" t="n">
        <f aca="false">IF($E94="Yes",F94*G94*(1+$D$74)/$C$25,0)</f>
        <v>0</v>
      </c>
      <c r="U94" s="63" t="n">
        <f aca="false">IF($E94="Yes",F94*H94*(1+$E$74)/$C$25,0)</f>
        <v>0</v>
      </c>
      <c r="V94" s="69" t="str">
        <f aca="false">IF(AND($E94="Yes",ISNUMBER(P94)),EOMONTH($C$20,3*(P94-1)),"")</f>
        <v/>
      </c>
      <c r="W94" s="60" t="str">
        <f aca="false">IF(X94="No","Off",IF(X94&lt;&gt;"Yes","ERROR",IF(E94&lt;&gt;"Yes","Excluded",IF(AND(LEN(B94)&gt;0,COUNTIF(LISTS!$F$5:$F$8,C94)=1,COUNTIF(LISTS!$G$5:$G$11,D94)=1,ISNUMBER(F94),F94&gt;0,ISNUMBER(G94),G94&gt;=0,ISNUMBER(H94),H94&gt;=0,ISNUMBER(J94),J94&gt;=1,INT(J94)=J94,COUNTIF(LISTS!$H$5:$H$8,K94)=1,IFERROR(INDEX(LISTS!$S$5:$S$10,MATCH(L94,LISTS!$R$5:$R$10,0))="OK",FALSE()),ISNUMBER(N94),N94&gt;=1,INT(N94)=N94,COUNTIF(LISTS!$H$5:$H$8,O94)=1,N111="OK",ISNUMBER(P94),ISNUMBER(R94),Q94&lt;=$C$24,S94&lt;=$C$24),"OK","ERROR"))))</f>
        <v>Off</v>
      </c>
      <c r="X94" s="59" t="s">
        <v>305</v>
      </c>
    </row>
    <row r="95" customFormat="false" ht="15" hidden="false" customHeight="false" outlineLevel="0" collapsed="false">
      <c r="B95" s="59"/>
      <c r="C95" s="59"/>
      <c r="D95" s="59"/>
      <c r="E95" s="60" t="str">
        <f aca="false">IF(AND(X95="Yes",OR($C$19="Mixed Development",C95="Other / Clubhouse",AND($C$19="Villa",C95="Villa Development"),AND($C$19="Apartments",C95="Apartment Development"),AND($C$19="Plotted",C95="Plotted Development"))),"Yes","No")</f>
        <v>No</v>
      </c>
      <c r="F95" s="72"/>
      <c r="G95" s="72"/>
      <c r="H95" s="72"/>
      <c r="I95" s="77"/>
      <c r="J95" s="79"/>
      <c r="K95" s="59"/>
      <c r="L95" s="59"/>
      <c r="M95" s="77"/>
      <c r="N95" s="79"/>
      <c r="O95" s="59"/>
      <c r="P95" s="70" t="str">
        <f aca="false">IF($E95="Yes",L112,"")</f>
        <v/>
      </c>
      <c r="Q95" s="70" t="str">
        <f aca="false">IF(AND($E95="Yes",ISNUMBER(P95),ISNUMBER(J95)),P95+MAX(1,ROUNDUP(J95*$C$74,0))-1,"")</f>
        <v/>
      </c>
      <c r="R95" s="70" t="str">
        <f aca="false">IF($E95="Yes",M112,"")</f>
        <v/>
      </c>
      <c r="S95" s="70" t="str">
        <f aca="false">IF(AND($E95="Yes",ISNUMBER(R95),ISNUMBER(N95)),R95+N95-1,"")</f>
        <v/>
      </c>
      <c r="T95" s="63" t="n">
        <f aca="false">IF($E95="Yes",F95*G95*(1+$D$74)/$C$25,0)</f>
        <v>0</v>
      </c>
      <c r="U95" s="63" t="n">
        <f aca="false">IF($E95="Yes",F95*H95*(1+$E$74)/$C$25,0)</f>
        <v>0</v>
      </c>
      <c r="V95" s="69" t="str">
        <f aca="false">IF(AND($E95="Yes",ISNUMBER(P95)),EOMONTH($C$20,3*(P95-1)),"")</f>
        <v/>
      </c>
      <c r="W95" s="60" t="str">
        <f aca="false">IF(X95="No","Off",IF(X95&lt;&gt;"Yes","ERROR",IF(E95&lt;&gt;"Yes","Excluded",IF(AND(LEN(B95)&gt;0,COUNTIF(LISTS!$F$5:$F$8,C95)=1,COUNTIF(LISTS!$G$5:$G$11,D95)=1,ISNUMBER(F95),F95&gt;0,ISNUMBER(G95),G95&gt;=0,ISNUMBER(H95),H95&gt;=0,ISNUMBER(J95),J95&gt;=1,INT(J95)=J95,COUNTIF(LISTS!$H$5:$H$8,K95)=1,IFERROR(INDEX(LISTS!$S$5:$S$10,MATCH(L95,LISTS!$R$5:$R$10,0))="OK",FALSE()),ISNUMBER(N95),N95&gt;=1,INT(N95)=N95,COUNTIF(LISTS!$H$5:$H$8,O95)=1,N112="OK",ISNUMBER(P95),ISNUMBER(R95),Q95&lt;=$C$24,S95&lt;=$C$24),"OK","ERROR"))))</f>
        <v>Off</v>
      </c>
      <c r="X95" s="59" t="s">
        <v>305</v>
      </c>
    </row>
    <row r="96" customFormat="false" ht="15" hidden="false" customHeight="false" outlineLevel="0" collapsed="false">
      <c r="B96" s="59"/>
      <c r="C96" s="59"/>
      <c r="D96" s="59"/>
      <c r="E96" s="60" t="str">
        <f aca="false">IF(AND(X96="Yes",OR($C$19="Mixed Development",C96="Other / Clubhouse",AND($C$19="Villa",C96="Villa Development"),AND($C$19="Apartments",C96="Apartment Development"),AND($C$19="Plotted",C96="Plotted Development"))),"Yes","No")</f>
        <v>No</v>
      </c>
      <c r="F96" s="72"/>
      <c r="G96" s="72"/>
      <c r="H96" s="72"/>
      <c r="I96" s="77"/>
      <c r="J96" s="79"/>
      <c r="K96" s="59"/>
      <c r="L96" s="59"/>
      <c r="M96" s="77"/>
      <c r="N96" s="79"/>
      <c r="O96" s="59"/>
      <c r="P96" s="70" t="str">
        <f aca="false">IF($E96="Yes",L113,"")</f>
        <v/>
      </c>
      <c r="Q96" s="70" t="str">
        <f aca="false">IF(AND($E96="Yes",ISNUMBER(P96),ISNUMBER(J96)),P96+MAX(1,ROUNDUP(J96*$C$74,0))-1,"")</f>
        <v/>
      </c>
      <c r="R96" s="70" t="str">
        <f aca="false">IF($E96="Yes",M113,"")</f>
        <v/>
      </c>
      <c r="S96" s="70" t="str">
        <f aca="false">IF(AND($E96="Yes",ISNUMBER(R96),ISNUMBER(N96)),R96+N96-1,"")</f>
        <v/>
      </c>
      <c r="T96" s="63" t="n">
        <f aca="false">IF($E96="Yes",F96*G96*(1+$D$74)/$C$25,0)</f>
        <v>0</v>
      </c>
      <c r="U96" s="63" t="n">
        <f aca="false">IF($E96="Yes",F96*H96*(1+$E$74)/$C$25,0)</f>
        <v>0</v>
      </c>
      <c r="V96" s="69" t="str">
        <f aca="false">IF(AND($E96="Yes",ISNUMBER(P96)),EOMONTH($C$20,3*(P96-1)),"")</f>
        <v/>
      </c>
      <c r="W96" s="60" t="str">
        <f aca="false">IF(X96="No","Off",IF(X96&lt;&gt;"Yes","ERROR",IF(E96&lt;&gt;"Yes","Excluded",IF(AND(LEN(B96)&gt;0,COUNTIF(LISTS!$F$5:$F$8,C96)=1,COUNTIF(LISTS!$G$5:$G$11,D96)=1,ISNUMBER(F96),F96&gt;0,ISNUMBER(G96),G96&gt;=0,ISNUMBER(H96),H96&gt;=0,ISNUMBER(J96),J96&gt;=1,INT(J96)=J96,COUNTIF(LISTS!$H$5:$H$8,K96)=1,IFERROR(INDEX(LISTS!$S$5:$S$10,MATCH(L96,LISTS!$R$5:$R$10,0))="OK",FALSE()),ISNUMBER(N96),N96&gt;=1,INT(N96)=N96,COUNTIF(LISTS!$H$5:$H$8,O96)=1,N113="OK",ISNUMBER(P96),ISNUMBER(R96),Q96&lt;=$C$24,S96&lt;=$C$24),"OK","ERROR"))))</f>
        <v>Off</v>
      </c>
      <c r="X96" s="59" t="s">
        <v>305</v>
      </c>
    </row>
    <row r="97" customFormat="false" ht="15" hidden="false" customHeight="false" outlineLevel="0" collapsed="false">
      <c r="B97" s="59"/>
      <c r="C97" s="59"/>
      <c r="D97" s="59"/>
      <c r="E97" s="60" t="str">
        <f aca="false">IF(AND(X97="Yes",OR($C$19="Mixed Development",C97="Other / Clubhouse",AND($C$19="Villa",C97="Villa Development"),AND($C$19="Apartments",C97="Apartment Development"),AND($C$19="Plotted",C97="Plotted Development"))),"Yes","No")</f>
        <v>No</v>
      </c>
      <c r="F97" s="72"/>
      <c r="G97" s="72"/>
      <c r="H97" s="72"/>
      <c r="I97" s="77"/>
      <c r="J97" s="79"/>
      <c r="K97" s="59"/>
      <c r="L97" s="59"/>
      <c r="M97" s="77"/>
      <c r="N97" s="79"/>
      <c r="O97" s="59"/>
      <c r="P97" s="70" t="str">
        <f aca="false">IF($E97="Yes",L114,"")</f>
        <v/>
      </c>
      <c r="Q97" s="70" t="str">
        <f aca="false">IF(AND($E97="Yes",ISNUMBER(P97),ISNUMBER(J97)),P97+MAX(1,ROUNDUP(J97*$C$74,0))-1,"")</f>
        <v/>
      </c>
      <c r="R97" s="70" t="str">
        <f aca="false">IF($E97="Yes",M114,"")</f>
        <v/>
      </c>
      <c r="S97" s="70" t="str">
        <f aca="false">IF(AND($E97="Yes",ISNUMBER(R97),ISNUMBER(N97)),R97+N97-1,"")</f>
        <v/>
      </c>
      <c r="T97" s="63" t="n">
        <f aca="false">IF($E97="Yes",F97*G97*(1+$D$74)/$C$25,0)</f>
        <v>0</v>
      </c>
      <c r="U97" s="63" t="n">
        <f aca="false">IF($E97="Yes",F97*H97*(1+$E$74)/$C$25,0)</f>
        <v>0</v>
      </c>
      <c r="V97" s="69" t="str">
        <f aca="false">IF(AND($E97="Yes",ISNUMBER(P97)),EOMONTH($C$20,3*(P97-1)),"")</f>
        <v/>
      </c>
      <c r="W97" s="60" t="str">
        <f aca="false">IF(X97="No","Off",IF(X97&lt;&gt;"Yes","ERROR",IF(E97&lt;&gt;"Yes","Excluded",IF(AND(LEN(B97)&gt;0,COUNTIF(LISTS!$F$5:$F$8,C97)=1,COUNTIF(LISTS!$G$5:$G$11,D97)=1,ISNUMBER(F97),F97&gt;0,ISNUMBER(G97),G97&gt;=0,ISNUMBER(H97),H97&gt;=0,ISNUMBER(J97),J97&gt;=1,INT(J97)=J97,COUNTIF(LISTS!$H$5:$H$8,K97)=1,IFERROR(INDEX(LISTS!$S$5:$S$10,MATCH(L97,LISTS!$R$5:$R$10,0))="OK",FALSE()),ISNUMBER(N97),N97&gt;=1,INT(N97)=N97,COUNTIF(LISTS!$H$5:$H$8,O97)=1,N114="OK",ISNUMBER(P97),ISNUMBER(R97),Q97&lt;=$C$24,S97&lt;=$C$24),"OK","ERROR"))))</f>
        <v>Off</v>
      </c>
      <c r="X97" s="59" t="s">
        <v>305</v>
      </c>
    </row>
    <row r="98" customFormat="false" ht="15" hidden="false" customHeight="false" outlineLevel="0" collapsed="false">
      <c r="B98" s="82" t="s">
        <v>310</v>
      </c>
      <c r="C98" s="86"/>
      <c r="D98" s="86"/>
      <c r="E98" s="86"/>
      <c r="F98" s="84" t="n">
        <f aca="false">SUMIF($E$88:$E$97,"Yes",$F$88:$F$97)</f>
        <v>920000</v>
      </c>
      <c r="G98" s="84" t="n">
        <f aca="false">IF(F98&gt;0,T98*$C$25/F98,0)</f>
        <v>8728.26086956522</v>
      </c>
      <c r="H98" s="84" t="n">
        <f aca="false">IF(F98&gt;0,U98*$C$25/F98,0)</f>
        <v>2939.13043478261</v>
      </c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5" t="n">
        <f aca="false">SUM(T88:T97)</f>
        <v>803</v>
      </c>
      <c r="U98" s="85" t="n">
        <f aca="false">SUM(U88:U97)</f>
        <v>270.4</v>
      </c>
      <c r="V98" s="86"/>
      <c r="W98" s="86"/>
    </row>
    <row r="99" customFormat="false" ht="15" hidden="false" customHeight="false" outlineLevel="0" collapsed="false">
      <c r="B99" s="17" t="s">
        <v>311</v>
      </c>
    </row>
    <row r="101" customFormat="false" ht="19.5" hidden="false" customHeight="true" outlineLevel="0" collapsed="false">
      <c r="B101" s="4" t="s">
        <v>312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customFormat="false" ht="15" hidden="false" customHeight="false" outlineLevel="0" collapsed="false">
      <c r="B102" s="17" t="s">
        <v>313</v>
      </c>
    </row>
    <row r="103" customFormat="false" ht="15" hidden="false" customHeight="false" outlineLevel="0" collapsed="false">
      <c r="B103" s="17" t="s">
        <v>314</v>
      </c>
    </row>
    <row r="104" customFormat="false" ht="42" hidden="false" customHeight="true" outlineLevel="0" collapsed="false">
      <c r="B104" s="27" t="s">
        <v>315</v>
      </c>
      <c r="C104" s="27" t="s">
        <v>316</v>
      </c>
      <c r="D104" s="27" t="s">
        <v>317</v>
      </c>
      <c r="E104" s="27" t="s">
        <v>318</v>
      </c>
      <c r="F104" s="27" t="s">
        <v>319</v>
      </c>
      <c r="G104" s="27" t="s">
        <v>320</v>
      </c>
      <c r="H104" s="27" t="s">
        <v>321</v>
      </c>
      <c r="I104" s="27" t="s">
        <v>322</v>
      </c>
      <c r="J104" s="27" t="s">
        <v>323</v>
      </c>
      <c r="K104" s="27" t="s">
        <v>324</v>
      </c>
      <c r="L104" s="27" t="s">
        <v>325</v>
      </c>
      <c r="M104" s="27" t="s">
        <v>326</v>
      </c>
      <c r="N104" s="27" t="s">
        <v>248</v>
      </c>
      <c r="O104" s="27" t="s">
        <v>327</v>
      </c>
    </row>
    <row r="105" customFormat="false" ht="15" hidden="false" customHeight="false" outlineLevel="0" collapsed="false">
      <c r="B105" s="60" t="str">
        <f aca="false">IF(B88="","(row 1)",B88)</f>
        <v>Villas</v>
      </c>
      <c r="C105" s="87" t="s">
        <v>328</v>
      </c>
      <c r="D105" s="87"/>
      <c r="E105" s="87"/>
      <c r="F105" s="88"/>
      <c r="G105" s="87" t="s">
        <v>329</v>
      </c>
      <c r="H105" s="87"/>
      <c r="I105" s="87"/>
      <c r="J105" s="88" t="n">
        <v>1</v>
      </c>
      <c r="K105" s="70" t="str">
        <f aca="false">IF(G105="Fixed quarter",IF(ISNUMBER(M88),M88+$F$74,""),IF(G105="Linked to another product",IF(ISNUMBER(""),"",IF(ISNUMBER(M88),M88+$F$74,"")),""))</f>
        <v/>
      </c>
      <c r="L105" s="70" t="n">
        <f aca="false">IF(C105="Fixed quarter",IF(ISNUMBER(I88),I88+$F$74,""),IF(C105="Linked to another product",IF(ISNUMBER(""),"",IF(ISNUMBER(I88),I88+$F$74,"")),IF(C105="After own construction start",IFERROR(K105+F105,""),"")))</f>
        <v>3</v>
      </c>
      <c r="M105" s="70" t="n">
        <f aca="false">IF(G105="After own launch",IFERROR(L105+J105,""),K105)</f>
        <v>4</v>
      </c>
      <c r="N105" s="60" t="str">
        <f aca="false">IF(E88&lt;&gt;"Yes","Off",IF(AND(IF(C105="Fixed quarter",AND(AND(ISNUMBER(I88),INT(I88)=I88),I88&gt;=1),IF(C105="Linked to another product",AND(FALSE(),COUNTIF(LISTS!$V$5:$V$9,E105)=1,AND(ISNUMBER(F105),INT(F105)=F105)),IF(C105="After own construction start",AND(AND(ISNUMBER(F105),INT(F105)=F105),G105&lt;&gt;"After own launch"),FALSE()))),IF(G105="Fixed quarter",AND(AND(ISNUMBER(M88),INT(M88)=M88),M88&gt;=1),IF(G105="After own launch",AND(AND(ISNUMBER(J105),INT(J105)=J105),C105&lt;&gt;"After own construction start"),IF(G105="Linked to another product",AND(FALSE(),COUNTIF(LISTS!$V$5:$V$9,I105)=1,AND(ISNUMBER(J105),INT(J105)=J105)),FALSE()))),ISNUMBER(L105),L105&gt;=1,ISNUMBER(M105),M105&gt;=1),"OK","ERROR"))</f>
        <v>OK</v>
      </c>
      <c r="O105" s="89" t="str">
        <f aca="false">IF(OR(N105="Off",E88&lt;&gt;"Yes"),"—",IF(N105&lt;&gt;"OK","Fix this row","Launch "&amp;"Q"&amp;L105&amp;" ("&amp;IF(C105="Fixed quarter","fixed",IF(C105="Linked to another product",IF(IFERROR(INDEX($E$88:$E$97,MATCH(D105,$B$88:$B$97,0))="Yes",FALSE()),IF(F105&lt;0,ABS(F105)&amp;" qtr(s) before ",F105&amp;" qtr(s) after ")&amp;D105&amp;" – "&amp;LOWER(E105),"fixed fallback – "&amp;D105&amp;" not active"),IF(F105&lt;0,ABS(F105)&amp;" qtr(s) before ",F105&amp;" qtr(s) after ")&amp;"own construction start"))&amp;")  |  Construction "&amp;"Q"&amp;M105&amp;" ("&amp;IF(G105="Fixed quarter","fixed",IF(G105="After own launch",IF(J105&lt;0,ABS(J105)&amp;" qtr(s) before ",J105&amp;" qtr(s) after ")&amp;"own launch",IF(IFERROR(INDEX($E$88:$E$97,MATCH(H105,$B$88:$B$97,0))="Yes",FALSE()),IF(J105&lt;0,ABS(J105)&amp;" qtr(s) before ",J105&amp;" qtr(s) after ")&amp;H105&amp;" – "&amp;LOWER(I105),"fixed fallback – "&amp;H105&amp;" not active")))&amp;")"))</f>
        <v>Launch Q3 (fixed)  |  Construction Q4 (1 qtr(s) after own launch)</v>
      </c>
    </row>
    <row r="106" customFormat="false" ht="15" hidden="false" customHeight="false" outlineLevel="0" collapsed="false">
      <c r="B106" s="60" t="str">
        <f aca="false">IF(B89="","(row 2)",B89)</f>
        <v>Apartments – Towers A &amp; B</v>
      </c>
      <c r="C106" s="87" t="s">
        <v>330</v>
      </c>
      <c r="D106" s="87" t="s">
        <v>286</v>
      </c>
      <c r="E106" s="87" t="s">
        <v>331</v>
      </c>
      <c r="F106" s="88" t="n">
        <v>1</v>
      </c>
      <c r="G106" s="87" t="s">
        <v>329</v>
      </c>
      <c r="H106" s="87"/>
      <c r="I106" s="87"/>
      <c r="J106" s="88" t="n">
        <v>1</v>
      </c>
      <c r="K106" s="70" t="str">
        <f aca="false">IF(G106="Fixed quarter",IF(ISNUMBER(M89),M89+$F$74,""),IF(G106="Linked to another product",IF(ISNUMBER(IFERROR(CHOOSE(MATCH(I106,LISTS!$V$5:$V$9,0),INDEX($P$88:$P$88,MATCH(H106,$B$88:$B$88,0)),INDEX($Q$88:$Q$88,MATCH(H106,$B$88:$B$88,0)),INDEX($R$88:$R$88,MATCH(H106,$B$88:$B$88,0)),INDEX($R$88:$R$88,MATCH(H106,$B$88:$B$88,0))+ROUNDUP(INDEX($N$88:$N$88,MATCH(H106,$B$88:$B$88,0))/2,0)-1,INDEX($S$88:$S$88,MATCH(H106,$B$88:$B$88,0)))+J106,"")),IFERROR(CHOOSE(MATCH(I106,LISTS!$V$5:$V$9,0),INDEX($P$88:$P$88,MATCH(H106,$B$88:$B$88,0)),INDEX($Q$88:$Q$88,MATCH(H106,$B$88:$B$88,0)),INDEX($R$88:$R$88,MATCH(H106,$B$88:$B$88,0)),INDEX($R$88:$R$88,MATCH(H106,$B$88:$B$88,0))+ROUNDUP(INDEX($N$88:$N$88,MATCH(H106,$B$88:$B$88,0))/2,0)-1,INDEX($S$88:$S$88,MATCH(H106,$B$88:$B$88,0)))+J106,""),IF(ISNUMBER(M89),M89+$F$74,"")),""))</f>
        <v/>
      </c>
      <c r="L106" s="70" t="n">
        <f aca="false">IF(C106="Fixed quarter",IF(ISNUMBER(I89),I89+$F$74,""),IF(C106="Linked to another product",IF(ISNUMBER(IFERROR(CHOOSE(MATCH(E106,LISTS!$V$5:$V$9,0),INDEX($P$88:$P$88,MATCH(D106,$B$88:$B$88,0)),INDEX($Q$88:$Q$88,MATCH(D106,$B$88:$B$88,0)),INDEX($R$88:$R$88,MATCH(D106,$B$88:$B$88,0)),INDEX($R$88:$R$88,MATCH(D106,$B$88:$B$88,0))+ROUNDUP(INDEX($N$88:$N$88,MATCH(D106,$B$88:$B$88,0))/2,0)-1,INDEX($S$88:$S$88,MATCH(D106,$B$88:$B$88,0)))+F106,"")),IFERROR(CHOOSE(MATCH(E106,LISTS!$V$5:$V$9,0),INDEX($P$88:$P$88,MATCH(D106,$B$88:$B$88,0)),INDEX($Q$88:$Q$88,MATCH(D106,$B$88:$B$88,0)),INDEX($R$88:$R$88,MATCH(D106,$B$88:$B$88,0)),INDEX($R$88:$R$88,MATCH(D106,$B$88:$B$88,0))+ROUNDUP(INDEX($N$88:$N$88,MATCH(D106,$B$88:$B$88,0))/2,0)-1,INDEX($S$88:$S$88,MATCH(D106,$B$88:$B$88,0)))+F106,""),IF(ISNUMBER(I89),I89+$F$74,"")),IF(C106="After own construction start",IFERROR(K106+F106,""),"")))</f>
        <v>4</v>
      </c>
      <c r="M106" s="70" t="n">
        <f aca="false">IF(G106="After own launch",IFERROR(L106+J106,""),K106)</f>
        <v>5</v>
      </c>
      <c r="N106" s="60" t="str">
        <f aca="false">IF(E89&lt;&gt;"Yes","Off",IF(AND(IF(C106="Fixed quarter",AND(AND(ISNUMBER(I89),INT(I89)=I89),I89&gt;=1),IF(C106="Linked to another product",AND(AND(ISNUMBER(MATCH(D106,$B$88:$B$88,0)),OR(IFERROR(INDEX($E$88:$E$88,MATCH(D106,$B$88:$B$88,0))="Yes",FALSE()),AND(ISNUMBER(I89),I89&gt;=1,INT(I89)=I89))),COUNTIF(LISTS!$V$5:$V$9,E106)=1,AND(ISNUMBER(F106),INT(F106)=F106)),IF(C106="After own construction start",AND(AND(ISNUMBER(F106),INT(F106)=F106),G106&lt;&gt;"After own launch"),FALSE()))),IF(G106="Fixed quarter",AND(AND(ISNUMBER(M89),INT(M89)=M89),M89&gt;=1),IF(G106="After own launch",AND(AND(ISNUMBER(J106),INT(J106)=J106),C106&lt;&gt;"After own construction start"),IF(G106="Linked to another product",AND(AND(ISNUMBER(MATCH(H106,$B$88:$B$88,0)),OR(IFERROR(INDEX($E$88:$E$88,MATCH(H106,$B$88:$B$88,0))="Yes",FALSE()),AND(ISNUMBER(M89),M89&gt;=1,INT(M89)=M89))),COUNTIF(LISTS!$V$5:$V$9,I106)=1,AND(ISNUMBER(J106),INT(J106)=J106)),FALSE()))),ISNUMBER(L106),L106&gt;=1,ISNUMBER(M106),M106&gt;=1),"OK","ERROR"))</f>
        <v>OK</v>
      </c>
      <c r="O106" s="89" t="str">
        <f aca="false">IF(OR(N106="Off",E89&lt;&gt;"Yes"),"—",IF(N106&lt;&gt;"OK","Fix this row","Launch "&amp;"Q"&amp;L106&amp;" ("&amp;IF(C106="Fixed quarter","fixed",IF(C106="Linked to another product",IF(IFERROR(INDEX($E$88:$E$97,MATCH(D106,$B$88:$B$97,0))="Yes",FALSE()),IF(F106&lt;0,ABS(F106)&amp;" qtr(s) before ",F106&amp;" qtr(s) after ")&amp;D106&amp;" – "&amp;LOWER(E106),"fixed fallback – "&amp;D106&amp;" not active"),IF(F106&lt;0,ABS(F106)&amp;" qtr(s) before ",F106&amp;" qtr(s) after ")&amp;"own construction start"))&amp;")  |  Construction "&amp;"Q"&amp;M106&amp;" ("&amp;IF(G106="Fixed quarter","fixed",IF(G106="After own launch",IF(J106&lt;0,ABS(J106)&amp;" qtr(s) before ",J106&amp;" qtr(s) after ")&amp;"own launch",IF(IFERROR(INDEX($E$88:$E$97,MATCH(H106,$B$88:$B$97,0))="Yes",FALSE()),IF(J106&lt;0,ABS(J106)&amp;" qtr(s) before ",J106&amp;" qtr(s) after ")&amp;H106&amp;" – "&amp;LOWER(I106),"fixed fallback – "&amp;H106&amp;" not active")))&amp;")"))</f>
        <v>Launch Q4 (1 qtr(s) after Villas – launch)  |  Construction Q5 (1 qtr(s) after own launch)</v>
      </c>
    </row>
    <row r="107" customFormat="false" ht="15" hidden="false" customHeight="false" outlineLevel="0" collapsed="false">
      <c r="B107" s="60" t="str">
        <f aca="false">IF(B90="","(row 3)",B90)</f>
        <v>Studios</v>
      </c>
      <c r="C107" s="87" t="s">
        <v>330</v>
      </c>
      <c r="D107" s="87" t="s">
        <v>292</v>
      </c>
      <c r="E107" s="87" t="s">
        <v>332</v>
      </c>
      <c r="F107" s="88" t="n">
        <v>1</v>
      </c>
      <c r="G107" s="87" t="s">
        <v>329</v>
      </c>
      <c r="H107" s="87"/>
      <c r="I107" s="87"/>
      <c r="J107" s="88" t="n">
        <v>0</v>
      </c>
      <c r="K107" s="70" t="str">
        <f aca="false">IF(G107="Fixed quarter",IF(ISNUMBER(M90),M90+$F$74,""),IF(G107="Linked to another product",IF(ISNUMBER(IFERROR(CHOOSE(MATCH(I107,LISTS!$V$5:$V$9,0),INDEX($P$88:$P$89,MATCH(H107,$B$88:$B$89,0)),INDEX($Q$88:$Q$89,MATCH(H107,$B$88:$B$89,0)),INDEX($R$88:$R$89,MATCH(H107,$B$88:$B$89,0)),INDEX($R$88:$R$89,MATCH(H107,$B$88:$B$89,0))+ROUNDUP(INDEX($N$88:$N$89,MATCH(H107,$B$88:$B$89,0))/2,0)-1,INDEX($S$88:$S$89,MATCH(H107,$B$88:$B$89,0)))+J107,"")),IFERROR(CHOOSE(MATCH(I107,LISTS!$V$5:$V$9,0),INDEX($P$88:$P$89,MATCH(H107,$B$88:$B$89,0)),INDEX($Q$88:$Q$89,MATCH(H107,$B$88:$B$89,0)),INDEX($R$88:$R$89,MATCH(H107,$B$88:$B$89,0)),INDEX($R$88:$R$89,MATCH(H107,$B$88:$B$89,0))+ROUNDUP(INDEX($N$88:$N$89,MATCH(H107,$B$88:$B$89,0))/2,0)-1,INDEX($S$88:$S$89,MATCH(H107,$B$88:$B$89,0)))+J107,""),IF(ISNUMBER(M90),M90+$F$74,"")),""))</f>
        <v/>
      </c>
      <c r="L107" s="70" t="n">
        <f aca="false">IF(C107="Fixed quarter",IF(ISNUMBER(I90),I90+$F$74,""),IF(C107="Linked to another product",IF(ISNUMBER(IFERROR(CHOOSE(MATCH(E107,LISTS!$V$5:$V$9,0),INDEX($P$88:$P$89,MATCH(D107,$B$88:$B$89,0)),INDEX($Q$88:$Q$89,MATCH(D107,$B$88:$B$89,0)),INDEX($R$88:$R$89,MATCH(D107,$B$88:$B$89,0)),INDEX($R$88:$R$89,MATCH(D107,$B$88:$B$89,0))+ROUNDUP(INDEX($N$88:$N$89,MATCH(D107,$B$88:$B$89,0))/2,0)-1,INDEX($S$88:$S$89,MATCH(D107,$B$88:$B$89,0)))+F107,"")),IFERROR(CHOOSE(MATCH(E107,LISTS!$V$5:$V$9,0),INDEX($P$88:$P$89,MATCH(D107,$B$88:$B$89,0)),INDEX($Q$88:$Q$89,MATCH(D107,$B$88:$B$89,0)),INDEX($R$88:$R$89,MATCH(D107,$B$88:$B$89,0)),INDEX($R$88:$R$89,MATCH(D107,$B$88:$B$89,0))+ROUNDUP(INDEX($N$88:$N$89,MATCH(D107,$B$88:$B$89,0))/2,0)-1,INDEX($S$88:$S$89,MATCH(D107,$B$88:$B$89,0)))+F107,""),IF(ISNUMBER(I90),I90+$F$74,"")),IF(C107="After own construction start",IFERROR(K107+F107,""),"")))</f>
        <v>6</v>
      </c>
      <c r="M107" s="70" t="n">
        <f aca="false">IF(G107="After own launch",IFERROR(L107+J107,""),K107)</f>
        <v>6</v>
      </c>
      <c r="N107" s="60" t="str">
        <f aca="false">IF(E90&lt;&gt;"Yes","Off",IF(AND(IF(C107="Fixed quarter",AND(AND(ISNUMBER(I90),INT(I90)=I90),I90&gt;=1),IF(C107="Linked to another product",AND(AND(ISNUMBER(MATCH(D107,$B$88:$B$89,0)),OR(IFERROR(INDEX($E$88:$E$89,MATCH(D107,$B$88:$B$89,0))="Yes",FALSE()),AND(ISNUMBER(I90),I90&gt;=1,INT(I90)=I90))),COUNTIF(LISTS!$V$5:$V$9,E107)=1,AND(ISNUMBER(F107),INT(F107)=F107)),IF(C107="After own construction start",AND(AND(ISNUMBER(F107),INT(F107)=F107),G107&lt;&gt;"After own launch"),FALSE()))),IF(G107="Fixed quarter",AND(AND(ISNUMBER(M90),INT(M90)=M90),M90&gt;=1),IF(G107="After own launch",AND(AND(ISNUMBER(J107),INT(J107)=J107),C107&lt;&gt;"After own construction start"),IF(G107="Linked to another product",AND(AND(ISNUMBER(MATCH(H107,$B$88:$B$89,0)),OR(IFERROR(INDEX($E$88:$E$89,MATCH(H107,$B$88:$B$89,0))="Yes",FALSE()),AND(ISNUMBER(M90),M90&gt;=1,INT(M90)=M90))),COUNTIF(LISTS!$V$5:$V$9,I107)=1,AND(ISNUMBER(J107),INT(J107)=J107)),FALSE()))),ISNUMBER(L107),L107&gt;=1,ISNUMBER(M107),M107&gt;=1),"OK","ERROR"))</f>
        <v>OK</v>
      </c>
      <c r="O107" s="89" t="str">
        <f aca="false">IF(OR(N107="Off",E90&lt;&gt;"Yes"),"—",IF(N107&lt;&gt;"OK","Fix this row","Launch "&amp;"Q"&amp;L107&amp;" ("&amp;IF(C107="Fixed quarter","fixed",IF(C107="Linked to another product",IF(IFERROR(INDEX($E$88:$E$97,MATCH(D107,$B$88:$B$97,0))="Yes",FALSE()),IF(F107&lt;0,ABS(F107)&amp;" qtr(s) before ",F107&amp;" qtr(s) after ")&amp;D107&amp;" – "&amp;LOWER(E107),"fixed fallback – "&amp;D107&amp;" not active"),IF(F107&lt;0,ABS(F107)&amp;" qtr(s) before ",F107&amp;" qtr(s) after ")&amp;"own construction start"))&amp;")  |  Construction "&amp;"Q"&amp;M107&amp;" ("&amp;IF(G107="Fixed quarter","fixed",IF(G107="After own launch",IF(J107&lt;0,ABS(J107)&amp;" qtr(s) before ",J107&amp;" qtr(s) after ")&amp;"own launch",IF(IFERROR(INDEX($E$88:$E$97,MATCH(H107,$B$88:$B$97,0))="Yes",FALSE()),IF(J107&lt;0,ABS(J107)&amp;" qtr(s) before ",J107&amp;" qtr(s) after ")&amp;H107&amp;" – "&amp;LOWER(I107),"fixed fallback – "&amp;H107&amp;" not active")))&amp;")"))</f>
        <v>Launch Q6 (1 qtr(s) after Apartments – Towers A &amp; B – construction start)  |  Construction Q6 (0 qtr(s) after own launch)</v>
      </c>
    </row>
    <row r="108" customFormat="false" ht="15" hidden="false" customHeight="false" outlineLevel="0" collapsed="false">
      <c r="B108" s="60" t="str">
        <f aca="false">IF(B91="","(row 4)",B91)</f>
        <v>High-street retail</v>
      </c>
      <c r="C108" s="87" t="s">
        <v>330</v>
      </c>
      <c r="D108" s="87" t="s">
        <v>292</v>
      </c>
      <c r="E108" s="87" t="s">
        <v>331</v>
      </c>
      <c r="F108" s="88" t="n">
        <v>4</v>
      </c>
      <c r="G108" s="87" t="s">
        <v>330</v>
      </c>
      <c r="H108" s="87" t="s">
        <v>292</v>
      </c>
      <c r="I108" s="87" t="s">
        <v>332</v>
      </c>
      <c r="J108" s="88" t="n">
        <v>1</v>
      </c>
      <c r="K108" s="70" t="n">
        <f aca="false">IF(G108="Fixed quarter",IF(ISNUMBER(M91),M91+$F$74,""),IF(G108="Linked to another product",IF(ISNUMBER(IFERROR(CHOOSE(MATCH(I108,LISTS!$V$5:$V$9,0),INDEX($P$88:$P$90,MATCH(H108,$B$88:$B$90,0)),INDEX($Q$88:$Q$90,MATCH(H108,$B$88:$B$90,0)),INDEX($R$88:$R$90,MATCH(H108,$B$88:$B$90,0)),INDEX($R$88:$R$90,MATCH(H108,$B$88:$B$90,0))+ROUNDUP(INDEX($N$88:$N$90,MATCH(H108,$B$88:$B$90,0))/2,0)-1,INDEX($S$88:$S$90,MATCH(H108,$B$88:$B$90,0)))+J108,"")),IFERROR(CHOOSE(MATCH(I108,LISTS!$V$5:$V$9,0),INDEX($P$88:$P$90,MATCH(H108,$B$88:$B$90,0)),INDEX($Q$88:$Q$90,MATCH(H108,$B$88:$B$90,0)),INDEX($R$88:$R$90,MATCH(H108,$B$88:$B$90,0)),INDEX($R$88:$R$90,MATCH(H108,$B$88:$B$90,0))+ROUNDUP(INDEX($N$88:$N$90,MATCH(H108,$B$88:$B$90,0))/2,0)-1,INDEX($S$88:$S$90,MATCH(H108,$B$88:$B$90,0)))+J108,""),IF(ISNUMBER(M91),M91+$F$74,"")),""))</f>
        <v>6</v>
      </c>
      <c r="L108" s="70" t="n">
        <f aca="false">IF(C108="Fixed quarter",IF(ISNUMBER(I91),I91+$F$74,""),IF(C108="Linked to another product",IF(ISNUMBER(IFERROR(CHOOSE(MATCH(E108,LISTS!$V$5:$V$9,0),INDEX($P$88:$P$90,MATCH(D108,$B$88:$B$90,0)),INDEX($Q$88:$Q$90,MATCH(D108,$B$88:$B$90,0)),INDEX($R$88:$R$90,MATCH(D108,$B$88:$B$90,0)),INDEX($R$88:$R$90,MATCH(D108,$B$88:$B$90,0))+ROUNDUP(INDEX($N$88:$N$90,MATCH(D108,$B$88:$B$90,0))/2,0)-1,INDEX($S$88:$S$90,MATCH(D108,$B$88:$B$90,0)))+F108,"")),IFERROR(CHOOSE(MATCH(E108,LISTS!$V$5:$V$9,0),INDEX($P$88:$P$90,MATCH(D108,$B$88:$B$90,0)),INDEX($Q$88:$Q$90,MATCH(D108,$B$88:$B$90,0)),INDEX($R$88:$R$90,MATCH(D108,$B$88:$B$90,0)),INDEX($R$88:$R$90,MATCH(D108,$B$88:$B$90,0))+ROUNDUP(INDEX($N$88:$N$90,MATCH(D108,$B$88:$B$90,0))/2,0)-1,INDEX($S$88:$S$90,MATCH(D108,$B$88:$B$90,0)))+F108,""),IF(ISNUMBER(I91),I91+$F$74,"")),IF(C108="After own construction start",IFERROR(K108+F108,""),"")))</f>
        <v>8</v>
      </c>
      <c r="M108" s="70" t="n">
        <f aca="false">IF(G108="After own launch",IFERROR(L108+J108,""),K108)</f>
        <v>6</v>
      </c>
      <c r="N108" s="60" t="str">
        <f aca="false">IF(E91&lt;&gt;"Yes","Off",IF(AND(IF(C108="Fixed quarter",AND(AND(ISNUMBER(I91),INT(I91)=I91),I91&gt;=1),IF(C108="Linked to another product",AND(AND(ISNUMBER(MATCH(D108,$B$88:$B$90,0)),OR(IFERROR(INDEX($E$88:$E$90,MATCH(D108,$B$88:$B$90,0))="Yes",FALSE()),AND(ISNUMBER(I91),I91&gt;=1,INT(I91)=I91))),COUNTIF(LISTS!$V$5:$V$9,E108)=1,AND(ISNUMBER(F108),INT(F108)=F108)),IF(C108="After own construction start",AND(AND(ISNUMBER(F108),INT(F108)=F108),G108&lt;&gt;"After own launch"),FALSE()))),IF(G108="Fixed quarter",AND(AND(ISNUMBER(M91),INT(M91)=M91),M91&gt;=1),IF(G108="After own launch",AND(AND(ISNUMBER(J108),INT(J108)=J108),C108&lt;&gt;"After own construction start"),IF(G108="Linked to another product",AND(AND(ISNUMBER(MATCH(H108,$B$88:$B$90,0)),OR(IFERROR(INDEX($E$88:$E$90,MATCH(H108,$B$88:$B$90,0))="Yes",FALSE()),AND(ISNUMBER(M91),M91&gt;=1,INT(M91)=M91))),COUNTIF(LISTS!$V$5:$V$9,I108)=1,AND(ISNUMBER(J108),INT(J108)=J108)),FALSE()))),ISNUMBER(L108),L108&gt;=1,ISNUMBER(M108),M108&gt;=1),"OK","ERROR"))</f>
        <v>OK</v>
      </c>
      <c r="O108" s="89" t="str">
        <f aca="false">IF(OR(N108="Off",E91&lt;&gt;"Yes"),"—",IF(N108&lt;&gt;"OK","Fix this row","Launch "&amp;"Q"&amp;L108&amp;" ("&amp;IF(C108="Fixed quarter","fixed",IF(C108="Linked to another product",IF(IFERROR(INDEX($E$88:$E$97,MATCH(D108,$B$88:$B$97,0))="Yes",FALSE()),IF(F108&lt;0,ABS(F108)&amp;" qtr(s) before ",F108&amp;" qtr(s) after ")&amp;D108&amp;" – "&amp;LOWER(E108),"fixed fallback – "&amp;D108&amp;" not active"),IF(F108&lt;0,ABS(F108)&amp;" qtr(s) before ",F108&amp;" qtr(s) after ")&amp;"own construction start"))&amp;")  |  Construction "&amp;"Q"&amp;M108&amp;" ("&amp;IF(G108="Fixed quarter","fixed",IF(G108="After own launch",IF(J108&lt;0,ABS(J108)&amp;" qtr(s) before ",J108&amp;" qtr(s) after ")&amp;"own launch",IF(IFERROR(INDEX($E$88:$E$97,MATCH(H108,$B$88:$B$97,0))="Yes",FALSE()),IF(J108&lt;0,ABS(J108)&amp;" qtr(s) before ",J108&amp;" qtr(s) after ")&amp;H108&amp;" – "&amp;LOWER(I108),"fixed fallback – "&amp;H108&amp;" not active")))&amp;")"))</f>
        <v>Launch Q8 (4 qtr(s) after Apartments – Towers A &amp; B – launch)  |  Construction Q6 (1 qtr(s) after Apartments – Towers A &amp; B – construction start)</v>
      </c>
    </row>
    <row r="109" customFormat="false" ht="15" hidden="false" customHeight="false" outlineLevel="0" collapsed="false">
      <c r="B109" s="60" t="str">
        <f aca="false">IF(B92="","(row 5)",B92)</f>
        <v>Residential plots</v>
      </c>
      <c r="C109" s="87" t="s">
        <v>328</v>
      </c>
      <c r="D109" s="87"/>
      <c r="E109" s="87"/>
      <c r="F109" s="88"/>
      <c r="G109" s="87" t="s">
        <v>328</v>
      </c>
      <c r="H109" s="87"/>
      <c r="I109" s="87"/>
      <c r="J109" s="88"/>
      <c r="K109" s="70" t="n">
        <f aca="false">IF(G109="Fixed quarter",IF(ISNUMBER(M92),M92+$F$74,""),IF(G109="Linked to another product",IF(ISNUMBER(IFERROR(CHOOSE(MATCH(I109,LISTS!$V$5:$V$9,0),INDEX($P$88:$P$91,MATCH(H109,$B$88:$B$91,0)),INDEX($Q$88:$Q$91,MATCH(H109,$B$88:$B$91,0)),INDEX($R$88:$R$91,MATCH(H109,$B$88:$B$91,0)),INDEX($R$88:$R$91,MATCH(H109,$B$88:$B$91,0))+ROUNDUP(INDEX($N$88:$N$91,MATCH(H109,$B$88:$B$91,0))/2,0)-1,INDEX($S$88:$S$91,MATCH(H109,$B$88:$B$91,0)))+J109,"")),IFERROR(CHOOSE(MATCH(I109,LISTS!$V$5:$V$9,0),INDEX($P$88:$P$91,MATCH(H109,$B$88:$B$91,0)),INDEX($Q$88:$Q$91,MATCH(H109,$B$88:$B$91,0)),INDEX($R$88:$R$91,MATCH(H109,$B$88:$B$91,0)),INDEX($R$88:$R$91,MATCH(H109,$B$88:$B$91,0))+ROUNDUP(INDEX($N$88:$N$91,MATCH(H109,$B$88:$B$91,0))/2,0)-1,INDEX($S$88:$S$91,MATCH(H109,$B$88:$B$91,0)))+J109,""),IF(ISNUMBER(M92),M92+$F$74,"")),""))</f>
        <v>9</v>
      </c>
      <c r="L109" s="70" t="n">
        <f aca="false">IF(C109="Fixed quarter",IF(ISNUMBER(I92),I92+$F$74,""),IF(C109="Linked to another product",IF(ISNUMBER(IFERROR(CHOOSE(MATCH(E109,LISTS!$V$5:$V$9,0),INDEX($P$88:$P$91,MATCH(D109,$B$88:$B$91,0)),INDEX($Q$88:$Q$91,MATCH(D109,$B$88:$B$91,0)),INDEX($R$88:$R$91,MATCH(D109,$B$88:$B$91,0)),INDEX($R$88:$R$91,MATCH(D109,$B$88:$B$91,0))+ROUNDUP(INDEX($N$88:$N$91,MATCH(D109,$B$88:$B$91,0))/2,0)-1,INDEX($S$88:$S$91,MATCH(D109,$B$88:$B$91,0)))+F109,"")),IFERROR(CHOOSE(MATCH(E109,LISTS!$V$5:$V$9,0),INDEX($P$88:$P$91,MATCH(D109,$B$88:$B$91,0)),INDEX($Q$88:$Q$91,MATCH(D109,$B$88:$B$91,0)),INDEX($R$88:$R$91,MATCH(D109,$B$88:$B$91,0)),INDEX($R$88:$R$91,MATCH(D109,$B$88:$B$91,0))+ROUNDUP(INDEX($N$88:$N$91,MATCH(D109,$B$88:$B$91,0))/2,0)-1,INDEX($S$88:$S$91,MATCH(D109,$B$88:$B$91,0)))+F109,""),IF(ISNUMBER(I92),I92+$F$74,"")),IF(C109="After own construction start",IFERROR(K109+F109,""),"")))</f>
        <v>10</v>
      </c>
      <c r="M109" s="70" t="n">
        <f aca="false">IF(G109="After own launch",IFERROR(L109+J109,""),K109)</f>
        <v>9</v>
      </c>
      <c r="N109" s="60" t="str">
        <f aca="false">IF(E92&lt;&gt;"Yes","Off",IF(AND(IF(C109="Fixed quarter",AND(AND(ISNUMBER(I92),INT(I92)=I92),I92&gt;=1),IF(C109="Linked to another product",AND(AND(ISNUMBER(MATCH(D109,$B$88:$B$91,0)),OR(IFERROR(INDEX($E$88:$E$91,MATCH(D109,$B$88:$B$91,0))="Yes",FALSE()),AND(ISNUMBER(I92),I92&gt;=1,INT(I92)=I92))),COUNTIF(LISTS!$V$5:$V$9,E109)=1,AND(ISNUMBER(F109),INT(F109)=F109)),IF(C109="After own construction start",AND(AND(ISNUMBER(F109),INT(F109)=F109),G109&lt;&gt;"After own launch"),FALSE()))),IF(G109="Fixed quarter",AND(AND(ISNUMBER(M92),INT(M92)=M92),M92&gt;=1),IF(G109="After own launch",AND(AND(ISNUMBER(J109),INT(J109)=J109),C109&lt;&gt;"After own construction start"),IF(G109="Linked to another product",AND(AND(ISNUMBER(MATCH(H109,$B$88:$B$91,0)),OR(IFERROR(INDEX($E$88:$E$91,MATCH(H109,$B$88:$B$91,0))="Yes",FALSE()),AND(ISNUMBER(M92),M92&gt;=1,INT(M92)=M92))),COUNTIF(LISTS!$V$5:$V$9,I109)=1,AND(ISNUMBER(J109),INT(J109)=J109)),FALSE()))),ISNUMBER(L109),L109&gt;=1,ISNUMBER(M109),M109&gt;=1),"OK","ERROR"))</f>
        <v>Off</v>
      </c>
      <c r="O109" s="89" t="str">
        <f aca="false">IF(OR(N109="Off",E92&lt;&gt;"Yes"),"—",IF(N109&lt;&gt;"OK","Fix this row","Launch "&amp;"Q"&amp;L109&amp;" ("&amp;IF(C109="Fixed quarter","fixed",IF(C109="Linked to another product",IF(IFERROR(INDEX($E$88:$E$97,MATCH(D109,$B$88:$B$97,0))="Yes",FALSE()),IF(F109&lt;0,ABS(F109)&amp;" qtr(s) before ",F109&amp;" qtr(s) after ")&amp;D109&amp;" – "&amp;LOWER(E109),"fixed fallback – "&amp;D109&amp;" not active"),IF(F109&lt;0,ABS(F109)&amp;" qtr(s) before ",F109&amp;" qtr(s) after ")&amp;"own construction start"))&amp;")  |  Construction "&amp;"Q"&amp;M109&amp;" ("&amp;IF(G109="Fixed quarter","fixed",IF(G109="After own launch",IF(J109&lt;0,ABS(J109)&amp;" qtr(s) before ",J109&amp;" qtr(s) after ")&amp;"own launch",IF(IFERROR(INDEX($E$88:$E$97,MATCH(H109,$B$88:$B$97,0))="Yes",FALSE()),IF(J109&lt;0,ABS(J109)&amp;" qtr(s) before ",J109&amp;" qtr(s) after ")&amp;H109&amp;" – "&amp;LOWER(I109),"fixed fallback – "&amp;H109&amp;" not active")))&amp;")"))</f>
        <v>—</v>
      </c>
    </row>
    <row r="110" customFormat="false" ht="15" hidden="false" customHeight="false" outlineLevel="0" collapsed="false">
      <c r="B110" s="60" t="str">
        <f aca="false">IF(B93="","(row 6)",B93)</f>
        <v>Institutional plots</v>
      </c>
      <c r="C110" s="87" t="s">
        <v>328</v>
      </c>
      <c r="D110" s="87"/>
      <c r="E110" s="87"/>
      <c r="F110" s="88"/>
      <c r="G110" s="87" t="s">
        <v>328</v>
      </c>
      <c r="H110" s="87"/>
      <c r="I110" s="87"/>
      <c r="J110" s="88"/>
      <c r="K110" s="70" t="n">
        <f aca="false">IF(G110="Fixed quarter",IF(ISNUMBER(M93),M93+$F$74,""),IF(G110="Linked to another product",IF(ISNUMBER(IFERROR(CHOOSE(MATCH(I110,LISTS!$V$5:$V$9,0),INDEX($P$88:$P$92,MATCH(H110,$B$88:$B$92,0)),INDEX($Q$88:$Q$92,MATCH(H110,$B$88:$B$92,0)),INDEX($R$88:$R$92,MATCH(H110,$B$88:$B$92,0)),INDEX($R$88:$R$92,MATCH(H110,$B$88:$B$92,0))+ROUNDUP(INDEX($N$88:$N$92,MATCH(H110,$B$88:$B$92,0))/2,0)-1,INDEX($S$88:$S$92,MATCH(H110,$B$88:$B$92,0)))+J110,"")),IFERROR(CHOOSE(MATCH(I110,LISTS!$V$5:$V$9,0),INDEX($P$88:$P$92,MATCH(H110,$B$88:$B$92,0)),INDEX($Q$88:$Q$92,MATCH(H110,$B$88:$B$92,0)),INDEX($R$88:$R$92,MATCH(H110,$B$88:$B$92,0)),INDEX($R$88:$R$92,MATCH(H110,$B$88:$B$92,0))+ROUNDUP(INDEX($N$88:$N$92,MATCH(H110,$B$88:$B$92,0))/2,0)-1,INDEX($S$88:$S$92,MATCH(H110,$B$88:$B$92,0)))+J110,""),IF(ISNUMBER(M93),M93+$F$74,"")),""))</f>
        <v>9</v>
      </c>
      <c r="L110" s="70" t="n">
        <f aca="false">IF(C110="Fixed quarter",IF(ISNUMBER(I93),I93+$F$74,""),IF(C110="Linked to another product",IF(ISNUMBER(IFERROR(CHOOSE(MATCH(E110,LISTS!$V$5:$V$9,0),INDEX($P$88:$P$92,MATCH(D110,$B$88:$B$92,0)),INDEX($Q$88:$Q$92,MATCH(D110,$B$88:$B$92,0)),INDEX($R$88:$R$92,MATCH(D110,$B$88:$B$92,0)),INDEX($R$88:$R$92,MATCH(D110,$B$88:$B$92,0))+ROUNDUP(INDEX($N$88:$N$92,MATCH(D110,$B$88:$B$92,0))/2,0)-1,INDEX($S$88:$S$92,MATCH(D110,$B$88:$B$92,0)))+F110,"")),IFERROR(CHOOSE(MATCH(E110,LISTS!$V$5:$V$9,0),INDEX($P$88:$P$92,MATCH(D110,$B$88:$B$92,0)),INDEX($Q$88:$Q$92,MATCH(D110,$B$88:$B$92,0)),INDEX($R$88:$R$92,MATCH(D110,$B$88:$B$92,0)),INDEX($R$88:$R$92,MATCH(D110,$B$88:$B$92,0))+ROUNDUP(INDEX($N$88:$N$92,MATCH(D110,$B$88:$B$92,0))/2,0)-1,INDEX($S$88:$S$92,MATCH(D110,$B$88:$B$92,0)))+F110,""),IF(ISNUMBER(I93),I93+$F$74,"")),IF(C110="After own construction start",IFERROR(K110+F110,""),"")))</f>
        <v>12</v>
      </c>
      <c r="M110" s="70" t="n">
        <f aca="false">IF(G110="After own launch",IFERROR(L110+J110,""),K110)</f>
        <v>9</v>
      </c>
      <c r="N110" s="60" t="str">
        <f aca="false">IF(E93&lt;&gt;"Yes","Off",IF(AND(IF(C110="Fixed quarter",AND(AND(ISNUMBER(I93),INT(I93)=I93),I93&gt;=1),IF(C110="Linked to another product",AND(AND(ISNUMBER(MATCH(D110,$B$88:$B$92,0)),OR(IFERROR(INDEX($E$88:$E$92,MATCH(D110,$B$88:$B$92,0))="Yes",FALSE()),AND(ISNUMBER(I93),I93&gt;=1,INT(I93)=I93))),COUNTIF(LISTS!$V$5:$V$9,E110)=1,AND(ISNUMBER(F110),INT(F110)=F110)),IF(C110="After own construction start",AND(AND(ISNUMBER(F110),INT(F110)=F110),G110&lt;&gt;"After own launch"),FALSE()))),IF(G110="Fixed quarter",AND(AND(ISNUMBER(M93),INT(M93)=M93),M93&gt;=1),IF(G110="After own launch",AND(AND(ISNUMBER(J110),INT(J110)=J110),C110&lt;&gt;"After own construction start"),IF(G110="Linked to another product",AND(AND(ISNUMBER(MATCH(H110,$B$88:$B$92,0)),OR(IFERROR(INDEX($E$88:$E$92,MATCH(H110,$B$88:$B$92,0))="Yes",FALSE()),AND(ISNUMBER(M93),M93&gt;=1,INT(M93)=M93))),COUNTIF(LISTS!$V$5:$V$9,I110)=1,AND(ISNUMBER(J110),INT(J110)=J110)),FALSE()))),ISNUMBER(L110),L110&gt;=1,ISNUMBER(M110),M110&gt;=1),"OK","ERROR"))</f>
        <v>Off</v>
      </c>
      <c r="O110" s="89" t="str">
        <f aca="false">IF(OR(N110="Off",E93&lt;&gt;"Yes"),"—",IF(N110&lt;&gt;"OK","Fix this row","Launch "&amp;"Q"&amp;L110&amp;" ("&amp;IF(C110="Fixed quarter","fixed",IF(C110="Linked to another product",IF(IFERROR(INDEX($E$88:$E$97,MATCH(D110,$B$88:$B$97,0))="Yes",FALSE()),IF(F110&lt;0,ABS(F110)&amp;" qtr(s) before ",F110&amp;" qtr(s) after ")&amp;D110&amp;" – "&amp;LOWER(E110),"fixed fallback – "&amp;D110&amp;" not active"),IF(F110&lt;0,ABS(F110)&amp;" qtr(s) before ",F110&amp;" qtr(s) after ")&amp;"own construction start"))&amp;")  |  Construction "&amp;"Q"&amp;M110&amp;" ("&amp;IF(G110="Fixed quarter","fixed",IF(G110="After own launch",IF(J110&lt;0,ABS(J110)&amp;" qtr(s) before ",J110&amp;" qtr(s) after ")&amp;"own launch",IF(IFERROR(INDEX($E$88:$E$97,MATCH(H110,$B$88:$B$97,0))="Yes",FALSE()),IF(J110&lt;0,ABS(J110)&amp;" qtr(s) before ",J110&amp;" qtr(s) after ")&amp;H110&amp;" – "&amp;LOWER(I110),"fixed fallback – "&amp;H110&amp;" not active")))&amp;")"))</f>
        <v>—</v>
      </c>
    </row>
    <row r="111" customFormat="false" ht="15" hidden="false" customHeight="false" outlineLevel="0" collapsed="false">
      <c r="B111" s="60" t="str">
        <f aca="false">IF(B94="","(row 7)",B94)</f>
        <v>EWS / LIG plots</v>
      </c>
      <c r="C111" s="87" t="s">
        <v>328</v>
      </c>
      <c r="D111" s="87"/>
      <c r="E111" s="87"/>
      <c r="F111" s="88"/>
      <c r="G111" s="87" t="s">
        <v>328</v>
      </c>
      <c r="H111" s="87"/>
      <c r="I111" s="87"/>
      <c r="J111" s="88"/>
      <c r="K111" s="70" t="n">
        <f aca="false">IF(G111="Fixed quarter",IF(ISNUMBER(M94),M94+$F$74,""),IF(G111="Linked to another product",IF(ISNUMBER(IFERROR(CHOOSE(MATCH(I111,LISTS!$V$5:$V$9,0),INDEX($P$88:$P$93,MATCH(H111,$B$88:$B$93,0)),INDEX($Q$88:$Q$93,MATCH(H111,$B$88:$B$93,0)),INDEX($R$88:$R$93,MATCH(H111,$B$88:$B$93,0)),INDEX($R$88:$R$93,MATCH(H111,$B$88:$B$93,0))+ROUNDUP(INDEX($N$88:$N$93,MATCH(H111,$B$88:$B$93,0))/2,0)-1,INDEX($S$88:$S$93,MATCH(H111,$B$88:$B$93,0)))+J111,"")),IFERROR(CHOOSE(MATCH(I111,LISTS!$V$5:$V$9,0),INDEX($P$88:$P$93,MATCH(H111,$B$88:$B$93,0)),INDEX($Q$88:$Q$93,MATCH(H111,$B$88:$B$93,0)),INDEX($R$88:$R$93,MATCH(H111,$B$88:$B$93,0)),INDEX($R$88:$R$93,MATCH(H111,$B$88:$B$93,0))+ROUNDUP(INDEX($N$88:$N$93,MATCH(H111,$B$88:$B$93,0))/2,0)-1,INDEX($S$88:$S$93,MATCH(H111,$B$88:$B$93,0)))+J111,""),IF(ISNUMBER(M94),M94+$F$74,"")),""))</f>
        <v>9</v>
      </c>
      <c r="L111" s="70" t="n">
        <f aca="false">IF(C111="Fixed quarter",IF(ISNUMBER(I94),I94+$F$74,""),IF(C111="Linked to another product",IF(ISNUMBER(IFERROR(CHOOSE(MATCH(E111,LISTS!$V$5:$V$9,0),INDEX($P$88:$P$93,MATCH(D111,$B$88:$B$93,0)),INDEX($Q$88:$Q$93,MATCH(D111,$B$88:$B$93,0)),INDEX($R$88:$R$93,MATCH(D111,$B$88:$B$93,0)),INDEX($R$88:$R$93,MATCH(D111,$B$88:$B$93,0))+ROUNDUP(INDEX($N$88:$N$93,MATCH(D111,$B$88:$B$93,0))/2,0)-1,INDEX($S$88:$S$93,MATCH(D111,$B$88:$B$93,0)))+F111,"")),IFERROR(CHOOSE(MATCH(E111,LISTS!$V$5:$V$9,0),INDEX($P$88:$P$93,MATCH(D111,$B$88:$B$93,0)),INDEX($Q$88:$Q$93,MATCH(D111,$B$88:$B$93,0)),INDEX($R$88:$R$93,MATCH(D111,$B$88:$B$93,0)),INDEX($R$88:$R$93,MATCH(D111,$B$88:$B$93,0))+ROUNDUP(INDEX($N$88:$N$93,MATCH(D111,$B$88:$B$93,0))/2,0)-1,INDEX($S$88:$S$93,MATCH(D111,$B$88:$B$93,0)))+F111,""),IF(ISNUMBER(I94),I94+$F$74,"")),IF(C111="After own construction start",IFERROR(K111+F111,""),"")))</f>
        <v>10</v>
      </c>
      <c r="M111" s="70" t="n">
        <f aca="false">IF(G111="After own launch",IFERROR(L111+J111,""),K111)</f>
        <v>9</v>
      </c>
      <c r="N111" s="60" t="str">
        <f aca="false">IF(E94&lt;&gt;"Yes","Off",IF(AND(IF(C111="Fixed quarter",AND(AND(ISNUMBER(I94),INT(I94)=I94),I94&gt;=1),IF(C111="Linked to another product",AND(AND(ISNUMBER(MATCH(D111,$B$88:$B$93,0)),OR(IFERROR(INDEX($E$88:$E$93,MATCH(D111,$B$88:$B$93,0))="Yes",FALSE()),AND(ISNUMBER(I94),I94&gt;=1,INT(I94)=I94))),COUNTIF(LISTS!$V$5:$V$9,E111)=1,AND(ISNUMBER(F111),INT(F111)=F111)),IF(C111="After own construction start",AND(AND(ISNUMBER(F111),INT(F111)=F111),G111&lt;&gt;"After own launch"),FALSE()))),IF(G111="Fixed quarter",AND(AND(ISNUMBER(M94),INT(M94)=M94),M94&gt;=1),IF(G111="After own launch",AND(AND(ISNUMBER(J111),INT(J111)=J111),C111&lt;&gt;"After own construction start"),IF(G111="Linked to another product",AND(AND(ISNUMBER(MATCH(H111,$B$88:$B$93,0)),OR(IFERROR(INDEX($E$88:$E$93,MATCH(H111,$B$88:$B$93,0))="Yes",FALSE()),AND(ISNUMBER(M94),M94&gt;=1,INT(M94)=M94))),COUNTIF(LISTS!$V$5:$V$9,I111)=1,AND(ISNUMBER(J111),INT(J111)=J111)),FALSE()))),ISNUMBER(L111),L111&gt;=1,ISNUMBER(M111),M111&gt;=1),"OK","ERROR"))</f>
        <v>Off</v>
      </c>
      <c r="O111" s="89" t="str">
        <f aca="false">IF(OR(N111="Off",E94&lt;&gt;"Yes"),"—",IF(N111&lt;&gt;"OK","Fix this row","Launch "&amp;"Q"&amp;L111&amp;" ("&amp;IF(C111="Fixed quarter","fixed",IF(C111="Linked to another product",IF(IFERROR(INDEX($E$88:$E$97,MATCH(D111,$B$88:$B$97,0))="Yes",FALSE()),IF(F111&lt;0,ABS(F111)&amp;" qtr(s) before ",F111&amp;" qtr(s) after ")&amp;D111&amp;" – "&amp;LOWER(E111),"fixed fallback – "&amp;D111&amp;" not active"),IF(F111&lt;0,ABS(F111)&amp;" qtr(s) before ",F111&amp;" qtr(s) after ")&amp;"own construction start"))&amp;")  |  Construction "&amp;"Q"&amp;M111&amp;" ("&amp;IF(G111="Fixed quarter","fixed",IF(G111="After own launch",IF(J111&lt;0,ABS(J111)&amp;" qtr(s) before ",J111&amp;" qtr(s) after ")&amp;"own launch",IF(IFERROR(INDEX($E$88:$E$97,MATCH(H111,$B$88:$B$97,0))="Yes",FALSE()),IF(J111&lt;0,ABS(J111)&amp;" qtr(s) before ",J111&amp;" qtr(s) after ")&amp;H111&amp;" – "&amp;LOWER(I111),"fixed fallback – "&amp;H111&amp;" not active")))&amp;")"))</f>
        <v>—</v>
      </c>
    </row>
    <row r="112" customFormat="false" ht="15" hidden="false" customHeight="false" outlineLevel="0" collapsed="false">
      <c r="B112" s="60" t="str">
        <f aca="false">IF(B95="","(row 8)",B95)</f>
        <v>(row 8)</v>
      </c>
      <c r="C112" s="87" t="s">
        <v>328</v>
      </c>
      <c r="D112" s="87"/>
      <c r="E112" s="87"/>
      <c r="F112" s="88"/>
      <c r="G112" s="87" t="s">
        <v>328</v>
      </c>
      <c r="H112" s="87"/>
      <c r="I112" s="87"/>
      <c r="J112" s="88"/>
      <c r="K112" s="70" t="str">
        <f aca="false">IF(G112="Fixed quarter",IF(ISNUMBER(M95),M95+$F$74,""),IF(G112="Linked to another product",IF(ISNUMBER(IFERROR(CHOOSE(MATCH(I112,LISTS!$V$5:$V$9,0),INDEX($P$88:$P$94,MATCH(H112,$B$88:$B$94,0)),INDEX($Q$88:$Q$94,MATCH(H112,$B$88:$B$94,0)),INDEX($R$88:$R$94,MATCH(H112,$B$88:$B$94,0)),INDEX($R$88:$R$94,MATCH(H112,$B$88:$B$94,0))+ROUNDUP(INDEX($N$88:$N$94,MATCH(H112,$B$88:$B$94,0))/2,0)-1,INDEX($S$88:$S$94,MATCH(H112,$B$88:$B$94,0)))+J112,"")),IFERROR(CHOOSE(MATCH(I112,LISTS!$V$5:$V$9,0),INDEX($P$88:$P$94,MATCH(H112,$B$88:$B$94,0)),INDEX($Q$88:$Q$94,MATCH(H112,$B$88:$B$94,0)),INDEX($R$88:$R$94,MATCH(H112,$B$88:$B$94,0)),INDEX($R$88:$R$94,MATCH(H112,$B$88:$B$94,0))+ROUNDUP(INDEX($N$88:$N$94,MATCH(H112,$B$88:$B$94,0))/2,0)-1,INDEX($S$88:$S$94,MATCH(H112,$B$88:$B$94,0)))+J112,""),IF(ISNUMBER(M95),M95+$F$74,"")),""))</f>
        <v/>
      </c>
      <c r="L112" s="70" t="str">
        <f aca="false">IF(C112="Fixed quarter",IF(ISNUMBER(I95),I95+$F$74,""),IF(C112="Linked to another product",IF(ISNUMBER(IFERROR(CHOOSE(MATCH(E112,LISTS!$V$5:$V$9,0),INDEX($P$88:$P$94,MATCH(D112,$B$88:$B$94,0)),INDEX($Q$88:$Q$94,MATCH(D112,$B$88:$B$94,0)),INDEX($R$88:$R$94,MATCH(D112,$B$88:$B$94,0)),INDEX($R$88:$R$94,MATCH(D112,$B$88:$B$94,0))+ROUNDUP(INDEX($N$88:$N$94,MATCH(D112,$B$88:$B$94,0))/2,0)-1,INDEX($S$88:$S$94,MATCH(D112,$B$88:$B$94,0)))+F112,"")),IFERROR(CHOOSE(MATCH(E112,LISTS!$V$5:$V$9,0),INDEX($P$88:$P$94,MATCH(D112,$B$88:$B$94,0)),INDEX($Q$88:$Q$94,MATCH(D112,$B$88:$B$94,0)),INDEX($R$88:$R$94,MATCH(D112,$B$88:$B$94,0)),INDEX($R$88:$R$94,MATCH(D112,$B$88:$B$94,0))+ROUNDUP(INDEX($N$88:$N$94,MATCH(D112,$B$88:$B$94,0))/2,0)-1,INDEX($S$88:$S$94,MATCH(D112,$B$88:$B$94,0)))+F112,""),IF(ISNUMBER(I95),I95+$F$74,"")),IF(C112="After own construction start",IFERROR(K112+F112,""),"")))</f>
        <v/>
      </c>
      <c r="M112" s="70" t="str">
        <f aca="false">IF(G112="After own launch",IFERROR(L112+J112,""),K112)</f>
        <v/>
      </c>
      <c r="N112" s="60" t="str">
        <f aca="false">IF(E95&lt;&gt;"Yes","Off",IF(AND(IF(C112="Fixed quarter",AND(AND(ISNUMBER(I95),INT(I95)=I95),I95&gt;=1),IF(C112="Linked to another product",AND(AND(ISNUMBER(MATCH(D112,$B$88:$B$94,0)),OR(IFERROR(INDEX($E$88:$E$94,MATCH(D112,$B$88:$B$94,0))="Yes",FALSE()),AND(ISNUMBER(I95),I95&gt;=1,INT(I95)=I95))),COUNTIF(LISTS!$V$5:$V$9,E112)=1,AND(ISNUMBER(F112),INT(F112)=F112)),IF(C112="After own construction start",AND(AND(ISNUMBER(F112),INT(F112)=F112),G112&lt;&gt;"After own launch"),FALSE()))),IF(G112="Fixed quarter",AND(AND(ISNUMBER(M95),INT(M95)=M95),M95&gt;=1),IF(G112="After own launch",AND(AND(ISNUMBER(J112),INT(J112)=J112),C112&lt;&gt;"After own construction start"),IF(G112="Linked to another product",AND(AND(ISNUMBER(MATCH(H112,$B$88:$B$94,0)),OR(IFERROR(INDEX($E$88:$E$94,MATCH(H112,$B$88:$B$94,0))="Yes",FALSE()),AND(ISNUMBER(M95),M95&gt;=1,INT(M95)=M95))),COUNTIF(LISTS!$V$5:$V$9,I112)=1,AND(ISNUMBER(J112),INT(J112)=J112)),FALSE()))),ISNUMBER(L112),L112&gt;=1,ISNUMBER(M112),M112&gt;=1),"OK","ERROR"))</f>
        <v>Off</v>
      </c>
      <c r="O112" s="89" t="str">
        <f aca="false">IF(OR(N112="Off",E95&lt;&gt;"Yes"),"—",IF(N112&lt;&gt;"OK","Fix this row","Launch "&amp;"Q"&amp;L112&amp;" ("&amp;IF(C112="Fixed quarter","fixed",IF(C112="Linked to another product",IF(IFERROR(INDEX($E$88:$E$97,MATCH(D112,$B$88:$B$97,0))="Yes",FALSE()),IF(F112&lt;0,ABS(F112)&amp;" qtr(s) before ",F112&amp;" qtr(s) after ")&amp;D112&amp;" – "&amp;LOWER(E112),"fixed fallback – "&amp;D112&amp;" not active"),IF(F112&lt;0,ABS(F112)&amp;" qtr(s) before ",F112&amp;" qtr(s) after ")&amp;"own construction start"))&amp;")  |  Construction "&amp;"Q"&amp;M112&amp;" ("&amp;IF(G112="Fixed quarter","fixed",IF(G112="After own launch",IF(J112&lt;0,ABS(J112)&amp;" qtr(s) before ",J112&amp;" qtr(s) after ")&amp;"own launch",IF(IFERROR(INDEX($E$88:$E$97,MATCH(H112,$B$88:$B$97,0))="Yes",FALSE()),IF(J112&lt;0,ABS(J112)&amp;" qtr(s) before ",J112&amp;" qtr(s) after ")&amp;H112&amp;" – "&amp;LOWER(I112),"fixed fallback – "&amp;H112&amp;" not active")))&amp;")"))</f>
        <v>—</v>
      </c>
    </row>
    <row r="113" customFormat="false" ht="15" hidden="false" customHeight="false" outlineLevel="0" collapsed="false">
      <c r="B113" s="60" t="str">
        <f aca="false">IF(B96="","(row 9)",B96)</f>
        <v>(row 9)</v>
      </c>
      <c r="C113" s="87" t="s">
        <v>328</v>
      </c>
      <c r="D113" s="87"/>
      <c r="E113" s="87"/>
      <c r="F113" s="88"/>
      <c r="G113" s="87" t="s">
        <v>328</v>
      </c>
      <c r="H113" s="87"/>
      <c r="I113" s="87"/>
      <c r="J113" s="88"/>
      <c r="K113" s="70" t="str">
        <f aca="false">IF(G113="Fixed quarter",IF(ISNUMBER(M96),M96+$F$74,""),IF(G113="Linked to another product",IF(ISNUMBER(IFERROR(CHOOSE(MATCH(I113,LISTS!$V$5:$V$9,0),INDEX($P$88:$P$95,MATCH(H113,$B$88:$B$95,0)),INDEX($Q$88:$Q$95,MATCH(H113,$B$88:$B$95,0)),INDEX($R$88:$R$95,MATCH(H113,$B$88:$B$95,0)),INDEX($R$88:$R$95,MATCH(H113,$B$88:$B$95,0))+ROUNDUP(INDEX($N$88:$N$95,MATCH(H113,$B$88:$B$95,0))/2,0)-1,INDEX($S$88:$S$95,MATCH(H113,$B$88:$B$95,0)))+J113,"")),IFERROR(CHOOSE(MATCH(I113,LISTS!$V$5:$V$9,0),INDEX($P$88:$P$95,MATCH(H113,$B$88:$B$95,0)),INDEX($Q$88:$Q$95,MATCH(H113,$B$88:$B$95,0)),INDEX($R$88:$R$95,MATCH(H113,$B$88:$B$95,0)),INDEX($R$88:$R$95,MATCH(H113,$B$88:$B$95,0))+ROUNDUP(INDEX($N$88:$N$95,MATCH(H113,$B$88:$B$95,0))/2,0)-1,INDEX($S$88:$S$95,MATCH(H113,$B$88:$B$95,0)))+J113,""),IF(ISNUMBER(M96),M96+$F$74,"")),""))</f>
        <v/>
      </c>
      <c r="L113" s="70" t="str">
        <f aca="false">IF(C113="Fixed quarter",IF(ISNUMBER(I96),I96+$F$74,""),IF(C113="Linked to another product",IF(ISNUMBER(IFERROR(CHOOSE(MATCH(E113,LISTS!$V$5:$V$9,0),INDEX($P$88:$P$95,MATCH(D113,$B$88:$B$95,0)),INDEX($Q$88:$Q$95,MATCH(D113,$B$88:$B$95,0)),INDEX($R$88:$R$95,MATCH(D113,$B$88:$B$95,0)),INDEX($R$88:$R$95,MATCH(D113,$B$88:$B$95,0))+ROUNDUP(INDEX($N$88:$N$95,MATCH(D113,$B$88:$B$95,0))/2,0)-1,INDEX($S$88:$S$95,MATCH(D113,$B$88:$B$95,0)))+F113,"")),IFERROR(CHOOSE(MATCH(E113,LISTS!$V$5:$V$9,0),INDEX($P$88:$P$95,MATCH(D113,$B$88:$B$95,0)),INDEX($Q$88:$Q$95,MATCH(D113,$B$88:$B$95,0)),INDEX($R$88:$R$95,MATCH(D113,$B$88:$B$95,0)),INDEX($R$88:$R$95,MATCH(D113,$B$88:$B$95,0))+ROUNDUP(INDEX($N$88:$N$95,MATCH(D113,$B$88:$B$95,0))/2,0)-1,INDEX($S$88:$S$95,MATCH(D113,$B$88:$B$95,0)))+F113,""),IF(ISNUMBER(I96),I96+$F$74,"")),IF(C113="After own construction start",IFERROR(K113+F113,""),"")))</f>
        <v/>
      </c>
      <c r="M113" s="70" t="str">
        <f aca="false">IF(G113="After own launch",IFERROR(L113+J113,""),K113)</f>
        <v/>
      </c>
      <c r="N113" s="60" t="str">
        <f aca="false">IF(E96&lt;&gt;"Yes","Off",IF(AND(IF(C113="Fixed quarter",AND(AND(ISNUMBER(I96),INT(I96)=I96),I96&gt;=1),IF(C113="Linked to another product",AND(AND(ISNUMBER(MATCH(D113,$B$88:$B$95,0)),OR(IFERROR(INDEX($E$88:$E$95,MATCH(D113,$B$88:$B$95,0))="Yes",FALSE()),AND(ISNUMBER(I96),I96&gt;=1,INT(I96)=I96))),COUNTIF(LISTS!$V$5:$V$9,E113)=1,AND(ISNUMBER(F113),INT(F113)=F113)),IF(C113="After own construction start",AND(AND(ISNUMBER(F113),INT(F113)=F113),G113&lt;&gt;"After own launch"),FALSE()))),IF(G113="Fixed quarter",AND(AND(ISNUMBER(M96),INT(M96)=M96),M96&gt;=1),IF(G113="After own launch",AND(AND(ISNUMBER(J113),INT(J113)=J113),C113&lt;&gt;"After own construction start"),IF(G113="Linked to another product",AND(AND(ISNUMBER(MATCH(H113,$B$88:$B$95,0)),OR(IFERROR(INDEX($E$88:$E$95,MATCH(H113,$B$88:$B$95,0))="Yes",FALSE()),AND(ISNUMBER(M96),M96&gt;=1,INT(M96)=M96))),COUNTIF(LISTS!$V$5:$V$9,I113)=1,AND(ISNUMBER(J113),INT(J113)=J113)),FALSE()))),ISNUMBER(L113),L113&gt;=1,ISNUMBER(M113),M113&gt;=1),"OK","ERROR"))</f>
        <v>Off</v>
      </c>
      <c r="O113" s="89" t="str">
        <f aca="false">IF(OR(N113="Off",E96&lt;&gt;"Yes"),"—",IF(N113&lt;&gt;"OK","Fix this row","Launch "&amp;"Q"&amp;L113&amp;" ("&amp;IF(C113="Fixed quarter","fixed",IF(C113="Linked to another product",IF(IFERROR(INDEX($E$88:$E$97,MATCH(D113,$B$88:$B$97,0))="Yes",FALSE()),IF(F113&lt;0,ABS(F113)&amp;" qtr(s) before ",F113&amp;" qtr(s) after ")&amp;D113&amp;" – "&amp;LOWER(E113),"fixed fallback – "&amp;D113&amp;" not active"),IF(F113&lt;0,ABS(F113)&amp;" qtr(s) before ",F113&amp;" qtr(s) after ")&amp;"own construction start"))&amp;")  |  Construction "&amp;"Q"&amp;M113&amp;" ("&amp;IF(G113="Fixed quarter","fixed",IF(G113="After own launch",IF(J113&lt;0,ABS(J113)&amp;" qtr(s) before ",J113&amp;" qtr(s) after ")&amp;"own launch",IF(IFERROR(INDEX($E$88:$E$97,MATCH(H113,$B$88:$B$97,0))="Yes",FALSE()),IF(J113&lt;0,ABS(J113)&amp;" qtr(s) before ",J113&amp;" qtr(s) after ")&amp;H113&amp;" – "&amp;LOWER(I113),"fixed fallback – "&amp;H113&amp;" not active")))&amp;")"))</f>
        <v>—</v>
      </c>
    </row>
    <row r="114" customFormat="false" ht="15" hidden="false" customHeight="false" outlineLevel="0" collapsed="false">
      <c r="B114" s="60" t="str">
        <f aca="false">IF(B97="","(row 10)",B97)</f>
        <v>(row 10)</v>
      </c>
      <c r="C114" s="87" t="s">
        <v>328</v>
      </c>
      <c r="D114" s="87"/>
      <c r="E114" s="87"/>
      <c r="F114" s="88"/>
      <c r="G114" s="87" t="s">
        <v>328</v>
      </c>
      <c r="H114" s="87"/>
      <c r="I114" s="87"/>
      <c r="J114" s="88"/>
      <c r="K114" s="70" t="str">
        <f aca="false">IF(G114="Fixed quarter",IF(ISNUMBER(M97),M97+$F$74,""),IF(G114="Linked to another product",IF(ISNUMBER(IFERROR(CHOOSE(MATCH(I114,LISTS!$V$5:$V$9,0),INDEX($P$88:$P$96,MATCH(H114,$B$88:$B$96,0)),INDEX($Q$88:$Q$96,MATCH(H114,$B$88:$B$96,0)),INDEX($R$88:$R$96,MATCH(H114,$B$88:$B$96,0)),INDEX($R$88:$R$96,MATCH(H114,$B$88:$B$96,0))+ROUNDUP(INDEX($N$88:$N$96,MATCH(H114,$B$88:$B$96,0))/2,0)-1,INDEX($S$88:$S$96,MATCH(H114,$B$88:$B$96,0)))+J114,"")),IFERROR(CHOOSE(MATCH(I114,LISTS!$V$5:$V$9,0),INDEX($P$88:$P$96,MATCH(H114,$B$88:$B$96,0)),INDEX($Q$88:$Q$96,MATCH(H114,$B$88:$B$96,0)),INDEX($R$88:$R$96,MATCH(H114,$B$88:$B$96,0)),INDEX($R$88:$R$96,MATCH(H114,$B$88:$B$96,0))+ROUNDUP(INDEX($N$88:$N$96,MATCH(H114,$B$88:$B$96,0))/2,0)-1,INDEX($S$88:$S$96,MATCH(H114,$B$88:$B$96,0)))+J114,""),IF(ISNUMBER(M97),M97+$F$74,"")),""))</f>
        <v/>
      </c>
      <c r="L114" s="70" t="str">
        <f aca="false">IF(C114="Fixed quarter",IF(ISNUMBER(I97),I97+$F$74,""),IF(C114="Linked to another product",IF(ISNUMBER(IFERROR(CHOOSE(MATCH(E114,LISTS!$V$5:$V$9,0),INDEX($P$88:$P$96,MATCH(D114,$B$88:$B$96,0)),INDEX($Q$88:$Q$96,MATCH(D114,$B$88:$B$96,0)),INDEX($R$88:$R$96,MATCH(D114,$B$88:$B$96,0)),INDEX($R$88:$R$96,MATCH(D114,$B$88:$B$96,0))+ROUNDUP(INDEX($N$88:$N$96,MATCH(D114,$B$88:$B$96,0))/2,0)-1,INDEX($S$88:$S$96,MATCH(D114,$B$88:$B$96,0)))+F114,"")),IFERROR(CHOOSE(MATCH(E114,LISTS!$V$5:$V$9,0),INDEX($P$88:$P$96,MATCH(D114,$B$88:$B$96,0)),INDEX($Q$88:$Q$96,MATCH(D114,$B$88:$B$96,0)),INDEX($R$88:$R$96,MATCH(D114,$B$88:$B$96,0)),INDEX($R$88:$R$96,MATCH(D114,$B$88:$B$96,0))+ROUNDUP(INDEX($N$88:$N$96,MATCH(D114,$B$88:$B$96,0))/2,0)-1,INDEX($S$88:$S$96,MATCH(D114,$B$88:$B$96,0)))+F114,""),IF(ISNUMBER(I97),I97+$F$74,"")),IF(C114="After own construction start",IFERROR(K114+F114,""),"")))</f>
        <v/>
      </c>
      <c r="M114" s="70" t="str">
        <f aca="false">IF(G114="After own launch",IFERROR(L114+J114,""),K114)</f>
        <v/>
      </c>
      <c r="N114" s="60" t="str">
        <f aca="false">IF(E97&lt;&gt;"Yes","Off",IF(AND(IF(C114="Fixed quarter",AND(AND(ISNUMBER(I97),INT(I97)=I97),I97&gt;=1),IF(C114="Linked to another product",AND(AND(ISNUMBER(MATCH(D114,$B$88:$B$96,0)),OR(IFERROR(INDEX($E$88:$E$96,MATCH(D114,$B$88:$B$96,0))="Yes",FALSE()),AND(ISNUMBER(I97),I97&gt;=1,INT(I97)=I97))),COUNTIF(LISTS!$V$5:$V$9,E114)=1,AND(ISNUMBER(F114),INT(F114)=F114)),IF(C114="After own construction start",AND(AND(ISNUMBER(F114),INT(F114)=F114),G114&lt;&gt;"After own launch"),FALSE()))),IF(G114="Fixed quarter",AND(AND(ISNUMBER(M97),INT(M97)=M97),M97&gt;=1),IF(G114="After own launch",AND(AND(ISNUMBER(J114),INT(J114)=J114),C114&lt;&gt;"After own construction start"),IF(G114="Linked to another product",AND(AND(ISNUMBER(MATCH(H114,$B$88:$B$96,0)),OR(IFERROR(INDEX($E$88:$E$96,MATCH(H114,$B$88:$B$96,0))="Yes",FALSE()),AND(ISNUMBER(M97),M97&gt;=1,INT(M97)=M97))),COUNTIF(LISTS!$V$5:$V$9,I114)=1,AND(ISNUMBER(J114),INT(J114)=J114)),FALSE()))),ISNUMBER(L114),L114&gt;=1,ISNUMBER(M114),M114&gt;=1),"OK","ERROR"))</f>
        <v>Off</v>
      </c>
      <c r="O114" s="89" t="str">
        <f aca="false">IF(OR(N114="Off",E97&lt;&gt;"Yes"),"—",IF(N114&lt;&gt;"OK","Fix this row","Launch "&amp;"Q"&amp;L114&amp;" ("&amp;IF(C114="Fixed quarter","fixed",IF(C114="Linked to another product",IF(IFERROR(INDEX($E$88:$E$97,MATCH(D114,$B$88:$B$97,0))="Yes",FALSE()),IF(F114&lt;0,ABS(F114)&amp;" qtr(s) before ",F114&amp;" qtr(s) after ")&amp;D114&amp;" – "&amp;LOWER(E114),"fixed fallback – "&amp;D114&amp;" not active"),IF(F114&lt;0,ABS(F114)&amp;" qtr(s) before ",F114&amp;" qtr(s) after ")&amp;"own construction start"))&amp;")  |  Construction "&amp;"Q"&amp;M114&amp;" ("&amp;IF(G114="Fixed quarter","fixed",IF(G114="After own launch",IF(J114&lt;0,ABS(J114)&amp;" qtr(s) before ",J114&amp;" qtr(s) after ")&amp;"own launch",IF(IFERROR(INDEX($E$88:$E$97,MATCH(H114,$B$88:$B$97,0))="Yes",FALSE()),IF(J114&lt;0,ABS(J114)&amp;" qtr(s) before ",J114&amp;" qtr(s) after ")&amp;H114&amp;" – "&amp;LOWER(I114),"fixed fallback – "&amp;H114&amp;" not active")))&amp;")"))</f>
        <v>—</v>
      </c>
    </row>
    <row r="115" customFormat="false" ht="15" hidden="false" customHeight="false" outlineLevel="0" collapsed="false">
      <c r="B115" s="17" t="s">
        <v>333</v>
      </c>
    </row>
    <row r="117" customFormat="false" ht="15" hidden="false" customHeight="false" outlineLevel="0" collapsed="false">
      <c r="B117" s="67" t="s">
        <v>334</v>
      </c>
      <c r="C117" s="68"/>
      <c r="D117" s="68"/>
      <c r="E117" s="68"/>
      <c r="F117" s="68"/>
    </row>
    <row r="118" customFormat="false" ht="30" hidden="false" customHeight="true" outlineLevel="0" collapsed="false">
      <c r="B118" s="27" t="s">
        <v>335</v>
      </c>
      <c r="C118" s="27" t="s">
        <v>195</v>
      </c>
      <c r="D118" s="27" t="s">
        <v>193</v>
      </c>
      <c r="E118" s="27" t="s">
        <v>199</v>
      </c>
      <c r="F118" s="27" t="s">
        <v>257</v>
      </c>
    </row>
    <row r="119" customFormat="false" ht="15" hidden="false" customHeight="false" outlineLevel="0" collapsed="false">
      <c r="B119" s="3" t="s">
        <v>336</v>
      </c>
      <c r="C119" s="73" t="n">
        <f aca="false">SUMIFS($F$88:$F$97,$D$88:$D$97,"Villa",$E$88:$E$97,"Yes")+SUMIFS($F$88:$F$97,$D$88:$D$97,"Apartment",$E$88:$E$97,"Yes")+SUMIFS($F$88:$F$97,$D$88:$D$97,"Plot",$E$88:$E$97,"Yes")</f>
        <v>850000</v>
      </c>
      <c r="D119" s="73" t="n">
        <f aca="false">C119/LISTS!$C$20</f>
        <v>94444.4444444444</v>
      </c>
      <c r="E119" s="74" t="n">
        <f aca="false">D119*LISTS!$C$23</f>
        <v>31.2213039485767</v>
      </c>
      <c r="F119" s="63" t="n">
        <f aca="false">SUMIF($D$88:$D$97,"Villa",$T$88:$T$97)+SUMIF($D$88:$D$97,"Apartment",$T$88:$T$97)+SUMIF($D$88:$D$97,"Plot",$T$88:$T$97)</f>
        <v>725</v>
      </c>
    </row>
    <row r="120" customFormat="false" ht="15" hidden="false" customHeight="false" outlineLevel="0" collapsed="false">
      <c r="B120" s="3" t="s">
        <v>337</v>
      </c>
      <c r="C120" s="73" t="n">
        <f aca="false">SUMIFS($F$88:$F$97,$D$88:$D$97,"Commercial",$E$88:$E$97,"Yes")</f>
        <v>30000</v>
      </c>
      <c r="D120" s="73" t="n">
        <f aca="false">C120/LISTS!$C$20</f>
        <v>3333.33333333333</v>
      </c>
      <c r="E120" s="74" t="n">
        <f aca="false">D120*LISTS!$C$23</f>
        <v>1.10192837465565</v>
      </c>
      <c r="F120" s="63" t="n">
        <f aca="false">SUMIF($D$88:$D$97,"Commercial",$T$88:$T$97)</f>
        <v>42</v>
      </c>
    </row>
    <row r="121" customFormat="false" ht="15" hidden="false" customHeight="false" outlineLevel="0" collapsed="false">
      <c r="B121" s="3" t="s">
        <v>338</v>
      </c>
      <c r="C121" s="73" t="n">
        <f aca="false">SUMIFS($F$88:$F$97,$D$88:$D$97,"Studio",$E$88:$E$97,"Yes")</f>
        <v>40000</v>
      </c>
      <c r="D121" s="73" t="n">
        <f aca="false">C121/LISTS!$C$20</f>
        <v>4444.44444444444</v>
      </c>
      <c r="E121" s="74" t="n">
        <f aca="false">D121*LISTS!$C$23</f>
        <v>1.4692378328742</v>
      </c>
      <c r="F121" s="63" t="n">
        <f aca="false">SUMIF($D$88:$D$97,"Studio",$T$88:$T$97)</f>
        <v>36</v>
      </c>
    </row>
    <row r="122" customFormat="false" ht="15" hidden="false" customHeight="false" outlineLevel="0" collapsed="false">
      <c r="B122" s="3" t="s">
        <v>339</v>
      </c>
      <c r="C122" s="73" t="n">
        <f aca="false">SUMIFS($F$88:$F$97,$D$88:$D$97,"Institutional",$E$88:$E$97,"Yes")</f>
        <v>0</v>
      </c>
      <c r="D122" s="73" t="n">
        <f aca="false">C122/LISTS!$C$20</f>
        <v>0</v>
      </c>
      <c r="E122" s="74" t="n">
        <f aca="false">D122*LISTS!$C$23</f>
        <v>0</v>
      </c>
      <c r="F122" s="63" t="n">
        <f aca="false">SUMIF($D$88:$D$97,"Institutional",$T$88:$T$97)</f>
        <v>0</v>
      </c>
    </row>
    <row r="123" customFormat="false" ht="15" hidden="false" customHeight="false" outlineLevel="0" collapsed="false">
      <c r="B123" s="3" t="s">
        <v>340</v>
      </c>
      <c r="C123" s="73" t="n">
        <f aca="false">SUMIFS($F$88:$F$97,$D$88:$D$97,"EWS/LIG",$E$88:$E$97,"Yes")</f>
        <v>0</v>
      </c>
      <c r="D123" s="73" t="n">
        <f aca="false">C123/LISTS!$C$20</f>
        <v>0</v>
      </c>
      <c r="E123" s="74" t="n">
        <f aca="false">D123*LISTS!$C$23</f>
        <v>0</v>
      </c>
      <c r="F123" s="63" t="n">
        <f aca="false">SUMIF($D$88:$D$97,"EWS/LIG",$T$88:$T$97)</f>
        <v>0</v>
      </c>
    </row>
    <row r="124" customFormat="false" ht="15" hidden="false" customHeight="false" outlineLevel="0" collapsed="false">
      <c r="B124" s="82" t="s">
        <v>341</v>
      </c>
      <c r="C124" s="84" t="n">
        <f aca="false">SUM(C119:C123)</f>
        <v>920000</v>
      </c>
      <c r="D124" s="84" t="n">
        <f aca="false">SUM(D119:D123)</f>
        <v>102222.222222222</v>
      </c>
      <c r="E124" s="90" t="n">
        <f aca="false">SUM(E119:E123)</f>
        <v>33.7924701561065</v>
      </c>
      <c r="F124" s="85" t="n">
        <f aca="false">SUM(F119:F123)</f>
        <v>803</v>
      </c>
    </row>
    <row r="126" customFormat="false" ht="19.5" hidden="false" customHeight="true" outlineLevel="0" collapsed="false">
      <c r="B126" s="4" t="s">
        <v>342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customFormat="false" ht="42" hidden="false" customHeight="true" outlineLevel="0" collapsed="false">
      <c r="B127" s="27" t="s">
        <v>343</v>
      </c>
      <c r="C127" s="27" t="s">
        <v>344</v>
      </c>
      <c r="D127" s="27" t="s">
        <v>345</v>
      </c>
      <c r="E127" s="27" t="s">
        <v>346</v>
      </c>
      <c r="F127" s="27" t="s">
        <v>347</v>
      </c>
      <c r="G127" s="27" t="s">
        <v>348</v>
      </c>
      <c r="H127" s="27" t="s">
        <v>349</v>
      </c>
      <c r="I127" s="27" t="s">
        <v>350</v>
      </c>
      <c r="J127" s="27" t="s">
        <v>351</v>
      </c>
      <c r="K127" s="27" t="s">
        <v>352</v>
      </c>
      <c r="L127" s="27" t="s">
        <v>353</v>
      </c>
      <c r="M127" s="27" t="s">
        <v>248</v>
      </c>
      <c r="N127" s="27" t="s">
        <v>151</v>
      </c>
    </row>
    <row r="128" customFormat="false" ht="15" hidden="false" customHeight="false" outlineLevel="0" collapsed="false">
      <c r="B128" s="3" t="s">
        <v>354</v>
      </c>
      <c r="C128" s="91" t="s">
        <v>355</v>
      </c>
      <c r="D128" s="60" t="s">
        <v>356</v>
      </c>
      <c r="E128" s="60"/>
      <c r="F128" s="60" t="s">
        <v>291</v>
      </c>
      <c r="G128" s="63" t="n">
        <f aca="false">IF(F128="Yes",$C$57,0)</f>
        <v>256.96</v>
      </c>
      <c r="H128" s="73" t="n">
        <f aca="false">IF($F$98&gt;0,G128*$C$25/$F$98,0)</f>
        <v>2793.04347826087</v>
      </c>
      <c r="I128" s="92" t="n">
        <f aca="false">IF($T$98&gt;0,G128/$T$98,0)</f>
        <v>0.32</v>
      </c>
      <c r="J128" s="60" t="str">
        <f aca="false">IF($C$21="JV","Follow Collections",$C$51)</f>
        <v>Follow Collections</v>
      </c>
      <c r="K128" s="70" t="str">
        <f aca="false">IF($C$21="JV","",$C$52)</f>
        <v/>
      </c>
      <c r="L128" s="70" t="str">
        <f aca="false">IF($C$21="JV","",$C$53)</f>
        <v/>
      </c>
      <c r="M128" s="60" t="str">
        <f aca="false">IF(AND(IF($C$21="JV",TRUE(),AND(COUNTIF(LISTS!$I$5:$I$9,$C$51)=1,ISNUMBER($C$52),$C$52&gt;=1,INT($C$52)=$C$52,$C$52&lt;=$C$24,IF($C$51="Upfront",TRUE(),AND(ISNUMBER($C$53),INT($C$53)=$C$53,$C$53&gt;=$C$52,$C$53&lt;=$C$24))))),"OK","ERROR")</f>
        <v>OK</v>
      </c>
      <c r="N128" s="17" t="s">
        <v>357</v>
      </c>
    </row>
    <row r="129" customFormat="false" ht="15" hidden="false" customHeight="false" outlineLevel="0" collapsed="false">
      <c r="B129" s="3" t="s">
        <v>358</v>
      </c>
      <c r="C129" s="91" t="s">
        <v>359</v>
      </c>
      <c r="D129" s="60" t="s">
        <v>356</v>
      </c>
      <c r="E129" s="60"/>
      <c r="F129" s="60" t="s">
        <v>291</v>
      </c>
      <c r="G129" s="63" t="n">
        <f aca="false">IF(F129="Yes",$C$58,0)</f>
        <v>0.8967465936</v>
      </c>
      <c r="H129" s="73" t="n">
        <f aca="false">IF($F$98&gt;0,G129*$C$25/$F$98,0)</f>
        <v>9.7472455826087</v>
      </c>
      <c r="I129" s="92" t="n">
        <f aca="false">IF($T$98&gt;0,G129/$T$98,0)</f>
        <v>0.00111674544657534</v>
      </c>
      <c r="J129" s="59" t="s">
        <v>221</v>
      </c>
      <c r="K129" s="77" t="n">
        <v>1</v>
      </c>
      <c r="L129" s="77" t="n">
        <v>1</v>
      </c>
      <c r="M129" s="60" t="str">
        <f aca="false">IF(AND(COUNTIF(LISTS!$D$5:$D$6,F129)=1,COUNTIF(LISTS!$J$5:$J$14,J129)=1,IF(OR(J129="Upfront",J129="Even",J129="Front-loaded",J129="Back-loaded",J129="S-curve"),AND(ISNUMBER(K129),K129&gt;=1,INT(K129)=K129,K129&lt;=$C$24,IF(J129="Upfront",TRUE(),AND(ISNUMBER(L129),INT(L129)=L129,L129&gt;=K129,L129&lt;=$C$24))),TRUE())),"OK","ERROR")</f>
        <v>OK</v>
      </c>
      <c r="N129" s="17" t="s">
        <v>360</v>
      </c>
    </row>
    <row r="130" customFormat="false" ht="15" hidden="false" customHeight="false" outlineLevel="0" collapsed="false">
      <c r="B130" s="3" t="s">
        <v>361</v>
      </c>
      <c r="C130" s="91" t="s">
        <v>362</v>
      </c>
      <c r="D130" s="76" t="n">
        <v>0.0118</v>
      </c>
      <c r="E130" s="60"/>
      <c r="F130" s="59" t="s">
        <v>291</v>
      </c>
      <c r="G130" s="63" t="n">
        <f aca="false">IF(F130="Yes",D130*$C$59,0)</f>
        <v>2.124</v>
      </c>
      <c r="H130" s="73" t="n">
        <f aca="false">IF($F$98&gt;0,G130*$C$25/$F$98,0)</f>
        <v>23.0869565217391</v>
      </c>
      <c r="I130" s="92" t="n">
        <f aca="false">IF($T$98&gt;0,G130/$T$98,0)</f>
        <v>0.00264508094645081</v>
      </c>
      <c r="J130" s="59" t="s">
        <v>221</v>
      </c>
      <c r="K130" s="77" t="n">
        <v>1</v>
      </c>
      <c r="L130" s="77" t="n">
        <v>1</v>
      </c>
      <c r="M130" s="60" t="str">
        <f aca="false">IF(AND(COUNTIF(LISTS!$D$5:$D$6,F130)=1,COUNTIF(LISTS!$J$5:$J$14,J130)=1,IF(OR(J130="Upfront",J130="Even",J130="Front-loaded",J130="Back-loaded",J130="S-curve"),AND(ISNUMBER(K130),K130&gt;=1,INT(K130)=K130,K130&lt;=$C$24,IF(J130="Upfront",TRUE(),AND(ISNUMBER(L130),INT(L130)=L130,L130&gt;=K130,L130&lt;=$C$24))),TRUE()),ISNUMBER(D130),D130&gt;=0),"OK","ERROR")</f>
        <v>OK</v>
      </c>
      <c r="N130" s="17" t="s">
        <v>363</v>
      </c>
    </row>
    <row r="131" customFormat="false" ht="15" hidden="false" customHeight="false" outlineLevel="0" collapsed="false">
      <c r="B131" s="3" t="s">
        <v>364</v>
      </c>
      <c r="C131" s="91" t="s">
        <v>365</v>
      </c>
      <c r="D131" s="73" t="n">
        <f aca="false">IFERROR(G131*$C$25/SUMIFS($F$88:$F$97,$D$88:$D$97,"Villa",$E$88:$E$97,"Yes"),0)</f>
        <v>2900</v>
      </c>
      <c r="E131" s="60"/>
      <c r="F131" s="59" t="s">
        <v>291</v>
      </c>
      <c r="G131" s="63" t="n">
        <f aca="false">IF(F131="Yes",SUMIF($D$88:$D$97,"Villa",$U$88:$U$97),0)</f>
        <v>72.5</v>
      </c>
      <c r="H131" s="73" t="n">
        <f aca="false">IF($F$98&gt;0,G131*$C$25/$F$98,0)</f>
        <v>788.04347826087</v>
      </c>
      <c r="I131" s="92" t="n">
        <f aca="false">IF($T$98&gt;0,G131/$T$98,0)</f>
        <v>0.0902864259028643</v>
      </c>
      <c r="J131" s="60" t="s">
        <v>366</v>
      </c>
      <c r="K131" s="70"/>
      <c r="L131" s="70"/>
      <c r="M131" s="60" t="str">
        <f aca="false">IF(AND(COUNTIF(LISTS!$D$5:$D$6,F131)=1,COUNTIF(LISTS!$J$5:$J$14,J131)=1,IF(OR(J131="Upfront",J131="Even",J131="Front-loaded",J131="Back-loaded",J131="S-curve"),AND(ISNUMBER(K131),K131&gt;=1,INT(K131)=K131,K131&lt;=$C$24,IF(J131="Upfront",TRUE(),AND(ISNUMBER(L131),INT(L131)=L131,L131&gt;=K131,L131&lt;=$C$24))),TRUE())),"OK","ERROR")</f>
        <v>OK</v>
      </c>
      <c r="N131" s="17" t="s">
        <v>367</v>
      </c>
    </row>
    <row r="132" customFormat="false" ht="15" hidden="false" customHeight="false" outlineLevel="0" collapsed="false">
      <c r="B132" s="3" t="s">
        <v>368</v>
      </c>
      <c r="C132" s="91" t="s">
        <v>369</v>
      </c>
      <c r="D132" s="73" t="n">
        <f aca="false">IFERROR(G132*$C$25/SUMIFS($F$88:$F$97,$D$88:$D$97,"Apartment",$E$88:$E$97,"Yes"),0)</f>
        <v>2900</v>
      </c>
      <c r="E132" s="60"/>
      <c r="F132" s="59" t="s">
        <v>291</v>
      </c>
      <c r="G132" s="63" t="n">
        <f aca="false">IF(F132="Yes",SUMIF($D$88:$D$97,"Apartment",$U$88:$U$97),0)</f>
        <v>174</v>
      </c>
      <c r="H132" s="73" t="n">
        <f aca="false">IF($F$98&gt;0,G132*$C$25/$F$98,0)</f>
        <v>1891.30434782609</v>
      </c>
      <c r="I132" s="92" t="n">
        <f aca="false">IF($T$98&gt;0,G132/$T$98,0)</f>
        <v>0.216687422166874</v>
      </c>
      <c r="J132" s="60" t="s">
        <v>366</v>
      </c>
      <c r="K132" s="70"/>
      <c r="L132" s="70"/>
      <c r="M132" s="60" t="str">
        <f aca="false">IF(AND(COUNTIF(LISTS!$D$5:$D$6,F132)=1,COUNTIF(LISTS!$J$5:$J$14,J132)=1,IF(OR(J132="Upfront",J132="Even",J132="Front-loaded",J132="Back-loaded",J132="S-curve"),AND(ISNUMBER(K132),K132&gt;=1,INT(K132)=K132,K132&lt;=$C$24,IF(J132="Upfront",TRUE(),AND(ISNUMBER(L132),INT(L132)=L132,L132&gt;=K132,L132&lt;=$C$24))),TRUE())),"OK","ERROR")</f>
        <v>OK</v>
      </c>
      <c r="N132" s="17" t="s">
        <v>370</v>
      </c>
    </row>
    <row r="133" customFormat="false" ht="15" hidden="false" customHeight="false" outlineLevel="0" collapsed="false">
      <c r="B133" s="3" t="s">
        <v>371</v>
      </c>
      <c r="C133" s="91" t="s">
        <v>372</v>
      </c>
      <c r="D133" s="73" t="n">
        <f aca="false">IFERROR(G133*$C$25/SUMIFS($F$88:$F$97,$D$88:$D$97,"Studio",$E$88:$E$97,"Yes"),0)</f>
        <v>3800</v>
      </c>
      <c r="E133" s="60"/>
      <c r="F133" s="59" t="s">
        <v>291</v>
      </c>
      <c r="G133" s="63" t="n">
        <f aca="false">IF(F133="Yes",SUMIF($D$88:$D$97,"Studio",$U$88:$U$97),0)</f>
        <v>15.2</v>
      </c>
      <c r="H133" s="73" t="n">
        <f aca="false">IF($F$98&gt;0,G133*$C$25/$F$98,0)</f>
        <v>165.217391304348</v>
      </c>
      <c r="I133" s="92" t="n">
        <f aca="false">IF($T$98&gt;0,G133/$T$98,0)</f>
        <v>0.0189290161892902</v>
      </c>
      <c r="J133" s="60" t="s">
        <v>366</v>
      </c>
      <c r="K133" s="70"/>
      <c r="L133" s="70"/>
      <c r="M133" s="60" t="str">
        <f aca="false">IF(AND(COUNTIF(LISTS!$D$5:$D$6,F133)=1,COUNTIF(LISTS!$J$5:$J$14,J133)=1,IF(OR(J133="Upfront",J133="Even",J133="Front-loaded",J133="Back-loaded",J133="S-curve"),AND(ISNUMBER(K133),K133&gt;=1,INT(K133)=K133,K133&lt;=$C$24,IF(J133="Upfront",TRUE(),AND(ISNUMBER(L133),INT(L133)=L133,L133&gt;=K133,L133&lt;=$C$24))),TRUE())),"OK","ERROR")</f>
        <v>OK</v>
      </c>
      <c r="N133" s="17" t="s">
        <v>373</v>
      </c>
    </row>
    <row r="134" customFormat="false" ht="15" hidden="false" customHeight="false" outlineLevel="0" collapsed="false">
      <c r="B134" s="3" t="s">
        <v>374</v>
      </c>
      <c r="C134" s="91" t="s">
        <v>375</v>
      </c>
      <c r="D134" s="73" t="n">
        <f aca="false">IFERROR(G134*$C$25/SUMIFS($F$88:$F$97,$D$88:$D$97,"Plot",$E$88:$E$97,"Yes"),0)</f>
        <v>0</v>
      </c>
      <c r="E134" s="60"/>
      <c r="F134" s="59" t="s">
        <v>291</v>
      </c>
      <c r="G134" s="63" t="n">
        <f aca="false">IF(F134="Yes",SUMIF($D$88:$D$97,"Plot",$U$88:$U$97),0)</f>
        <v>0</v>
      </c>
      <c r="H134" s="73" t="n">
        <f aca="false">IF($F$98&gt;0,G134*$C$25/$F$98,0)</f>
        <v>0</v>
      </c>
      <c r="I134" s="92" t="n">
        <f aca="false">IF($T$98&gt;0,G134/$T$98,0)</f>
        <v>0</v>
      </c>
      <c r="J134" s="60" t="s">
        <v>366</v>
      </c>
      <c r="K134" s="70"/>
      <c r="L134" s="70"/>
      <c r="M134" s="60" t="str">
        <f aca="false">IF(AND(COUNTIF(LISTS!$D$5:$D$6,F134)=1,COUNTIF(LISTS!$J$5:$J$14,J134)=1,IF(OR(J134="Upfront",J134="Even",J134="Front-loaded",J134="Back-loaded",J134="S-curve"),AND(ISNUMBER(K134),K134&gt;=1,INT(K134)=K134,K134&lt;=$C$24,IF(J134="Upfront",TRUE(),AND(ISNUMBER(L134),INT(L134)=L134,L134&gt;=K134,L134&lt;=$C$24))),TRUE())),"OK","ERROR")</f>
        <v>OK</v>
      </c>
      <c r="N134" s="17" t="s">
        <v>376</v>
      </c>
    </row>
    <row r="135" customFormat="false" ht="15" hidden="false" customHeight="false" outlineLevel="0" collapsed="false">
      <c r="B135" s="3" t="s">
        <v>377</v>
      </c>
      <c r="C135" s="91" t="s">
        <v>378</v>
      </c>
      <c r="D135" s="73" t="n">
        <f aca="false">IFERROR(G135*$C$25/SUMIFS($F$88:$F$97,$D$88:$D$97,"Institutional",$E$88:$E$97,"Yes"),0)</f>
        <v>0</v>
      </c>
      <c r="E135" s="60"/>
      <c r="F135" s="59" t="s">
        <v>291</v>
      </c>
      <c r="G135" s="63" t="n">
        <f aca="false">IF(F135="Yes",SUMIF($D$88:$D$97,"Institutional",$U$88:$U$97),0)</f>
        <v>0</v>
      </c>
      <c r="H135" s="73" t="n">
        <f aca="false">IF($F$98&gt;0,G135*$C$25/$F$98,0)</f>
        <v>0</v>
      </c>
      <c r="I135" s="92" t="n">
        <f aca="false">IF($T$98&gt;0,G135/$T$98,0)</f>
        <v>0</v>
      </c>
      <c r="J135" s="60" t="s">
        <v>366</v>
      </c>
      <c r="K135" s="70"/>
      <c r="L135" s="70"/>
      <c r="M135" s="60" t="str">
        <f aca="false">IF(AND(COUNTIF(LISTS!$D$5:$D$6,F135)=1,COUNTIF(LISTS!$J$5:$J$14,J135)=1,IF(OR(J135="Upfront",J135="Even",J135="Front-loaded",J135="Back-loaded",J135="S-curve"),AND(ISNUMBER(K135),K135&gt;=1,INT(K135)=K135,K135&lt;=$C$24,IF(J135="Upfront",TRUE(),AND(ISNUMBER(L135),INT(L135)=L135,L135&gt;=K135,L135&lt;=$C$24))),TRUE())),"OK","ERROR")</f>
        <v>OK</v>
      </c>
      <c r="N135" s="17"/>
    </row>
    <row r="136" customFormat="false" ht="15" hidden="false" customHeight="false" outlineLevel="0" collapsed="false">
      <c r="B136" s="3" t="s">
        <v>379</v>
      </c>
      <c r="C136" s="91" t="s">
        <v>380</v>
      </c>
      <c r="D136" s="73" t="n">
        <f aca="false">IFERROR(G136*$C$25/SUMIFS($F$88:$F$97,$D$88:$D$97,"Commercial",$E$88:$E$97,"Yes"),0)</f>
        <v>2900</v>
      </c>
      <c r="E136" s="60"/>
      <c r="F136" s="59" t="s">
        <v>291</v>
      </c>
      <c r="G136" s="63" t="n">
        <f aca="false">IF(F136="Yes",SUMIF($D$88:$D$97,"Commercial",$U$88:$U$97),0)</f>
        <v>8.7</v>
      </c>
      <c r="H136" s="73" t="n">
        <f aca="false">IF($F$98&gt;0,G136*$C$25/$F$98,0)</f>
        <v>94.5652173913043</v>
      </c>
      <c r="I136" s="92" t="n">
        <f aca="false">IF($T$98&gt;0,G136/$T$98,0)</f>
        <v>0.0108343711083437</v>
      </c>
      <c r="J136" s="60" t="s">
        <v>366</v>
      </c>
      <c r="K136" s="70"/>
      <c r="L136" s="70"/>
      <c r="M136" s="60" t="str">
        <f aca="false">IF(AND(COUNTIF(LISTS!$D$5:$D$6,F136)=1,COUNTIF(LISTS!$J$5:$J$14,J136)=1,IF(OR(J136="Upfront",J136="Even",J136="Front-loaded",J136="Back-loaded",J136="S-curve"),AND(ISNUMBER(K136),K136&gt;=1,INT(K136)=K136,K136&lt;=$C$24,IF(J136="Upfront",TRUE(),AND(ISNUMBER(L136),INT(L136)=L136,L136&gt;=K136,L136&lt;=$C$24))),TRUE())),"OK","ERROR")</f>
        <v>OK</v>
      </c>
      <c r="N136" s="17" t="s">
        <v>381</v>
      </c>
    </row>
    <row r="137" customFormat="false" ht="15" hidden="false" customHeight="false" outlineLevel="0" collapsed="false">
      <c r="B137" s="3" t="s">
        <v>382</v>
      </c>
      <c r="C137" s="91" t="s">
        <v>383</v>
      </c>
      <c r="D137" s="73" t="n">
        <f aca="false">IFERROR(G137*$C$25/SUMIFS($F$88:$F$97,$D$88:$D$97,"EWS/LIG",$E$88:$E$97,"Yes"),0)</f>
        <v>0</v>
      </c>
      <c r="E137" s="60"/>
      <c r="F137" s="59" t="s">
        <v>291</v>
      </c>
      <c r="G137" s="63" t="n">
        <f aca="false">IF(F137="Yes",SUMIF($D$88:$D$97,"EWS/LIG",$U$88:$U$97),0)</f>
        <v>0</v>
      </c>
      <c r="H137" s="73" t="n">
        <f aca="false">IF($F$98&gt;0,G137*$C$25/$F$98,0)</f>
        <v>0</v>
      </c>
      <c r="I137" s="92" t="n">
        <f aca="false">IF($T$98&gt;0,G137/$T$98,0)</f>
        <v>0</v>
      </c>
      <c r="J137" s="60" t="s">
        <v>366</v>
      </c>
      <c r="K137" s="70"/>
      <c r="L137" s="70"/>
      <c r="M137" s="60" t="str">
        <f aca="false">IF(AND(COUNTIF(LISTS!$D$5:$D$6,F137)=1,COUNTIF(LISTS!$J$5:$J$14,J137)=1,IF(OR(J137="Upfront",J137="Even",J137="Front-loaded",J137="Back-loaded",J137="S-curve"),AND(ISNUMBER(K137),K137&gt;=1,INT(K137)=K137,K137&lt;=$C$24,IF(J137="Upfront",TRUE(),AND(ISNUMBER(L137),INT(L137)=L137,L137&gt;=K137,L137&lt;=$C$24))),TRUE())),"OK","ERROR")</f>
        <v>OK</v>
      </c>
      <c r="N137" s="17"/>
    </row>
    <row r="138" customFormat="false" ht="15" hidden="false" customHeight="false" outlineLevel="0" collapsed="false">
      <c r="B138" s="3" t="s">
        <v>384</v>
      </c>
      <c r="C138" s="91" t="s">
        <v>385</v>
      </c>
      <c r="D138" s="75" t="n">
        <v>0.04</v>
      </c>
      <c r="E138" s="60"/>
      <c r="F138" s="59" t="s">
        <v>291</v>
      </c>
      <c r="G138" s="63" t="n">
        <f aca="false">IF(F138="Yes",D138*$T$98,0)</f>
        <v>32.12</v>
      </c>
      <c r="H138" s="73" t="n">
        <f aca="false">IF($F$98&gt;0,G138*$C$25/$F$98,0)</f>
        <v>349.130434782609</v>
      </c>
      <c r="I138" s="92" t="n">
        <f aca="false">IF($T$98&gt;0,G138/$T$98,0)</f>
        <v>0.04</v>
      </c>
      <c r="J138" s="59" t="s">
        <v>386</v>
      </c>
      <c r="K138" s="77"/>
      <c r="L138" s="77"/>
      <c r="M138" s="60" t="str">
        <f aca="false">IF(AND(COUNTIF(LISTS!$D$5:$D$6,F138)=1,COUNTIF(LISTS!$J$5:$J$14,J138)=1,IF(OR(J138="Upfront",J138="Even",J138="Front-loaded",J138="Back-loaded",J138="S-curve"),AND(ISNUMBER(K138),K138&gt;=1,INT(K138)=K138,K138&lt;=$C$24,IF(J138="Upfront",TRUE(),AND(ISNUMBER(L138),INT(L138)=L138,L138&gt;=K138,L138&lt;=$C$24))),TRUE()),ISNUMBER(D138),D138&gt;=0),"OK","ERROR")</f>
        <v>OK</v>
      </c>
      <c r="N138" s="17" t="s">
        <v>387</v>
      </c>
    </row>
    <row r="139" customFormat="false" ht="15" hidden="false" customHeight="false" outlineLevel="0" collapsed="false">
      <c r="B139" s="3" t="s">
        <v>388</v>
      </c>
      <c r="C139" s="91" t="s">
        <v>389</v>
      </c>
      <c r="D139" s="75" t="n">
        <v>0.07</v>
      </c>
      <c r="E139" s="75" t="n">
        <v>0.05</v>
      </c>
      <c r="F139" s="59" t="s">
        <v>291</v>
      </c>
      <c r="G139" s="93" t="n">
        <f aca="false">IF(F139="Yes",D139*($T$98-SUMIF($C$88:$C$97,"Plotted Development",$T$88:$T$97))+E139*SUMIF($C$88:$C$97,"Plotted Development",$T$88:$T$97),0)</f>
        <v>56.21</v>
      </c>
      <c r="H139" s="73" t="n">
        <f aca="false">IF($F$98&gt;0,G139*$C$25/$F$98,0)</f>
        <v>610.978260869565</v>
      </c>
      <c r="I139" s="92" t="n">
        <f aca="false">IF($T$98&gt;0,G139/$T$98,0)</f>
        <v>0.07</v>
      </c>
      <c r="J139" s="59" t="s">
        <v>390</v>
      </c>
      <c r="K139" s="77"/>
      <c r="L139" s="77"/>
      <c r="M139" s="60" t="str">
        <f aca="false">IF(AND(COUNTIF(LISTS!$D$5:$D$6,F139)=1,COUNTIF(LISTS!$J$5:$J$14,J139)=1,IF(OR(J139="Upfront",J139="Even",J139="Front-loaded",J139="Back-loaded",J139="S-curve"),AND(ISNUMBER(K139),K139&gt;=1,INT(K139)=K139,K139&lt;=$C$24,IF(J139="Upfront",TRUE(),AND(ISNUMBER(L139),INT(L139)=L139,L139&gt;=K139,L139&lt;=$C$24))),TRUE()),ISNUMBER(D139),D139&gt;=0,ISNUMBER(E139),E139&gt;=0),"OK","ERROR")</f>
        <v>OK</v>
      </c>
      <c r="N139" s="17" t="s">
        <v>391</v>
      </c>
    </row>
    <row r="140" customFormat="false" ht="15" hidden="false" customHeight="false" outlineLevel="0" collapsed="false">
      <c r="B140" s="3" t="s">
        <v>392</v>
      </c>
      <c r="C140" s="91" t="s">
        <v>393</v>
      </c>
      <c r="D140" s="72" t="n">
        <v>75</v>
      </c>
      <c r="E140" s="60"/>
      <c r="F140" s="59" t="s">
        <v>291</v>
      </c>
      <c r="G140" s="63" t="n">
        <f aca="false">IF(F140="Yes",D140*$F$98/$C$25,0)</f>
        <v>6.9</v>
      </c>
      <c r="H140" s="73" t="n">
        <f aca="false">IF($F$98&gt;0,G140*$C$25/$F$98,0)</f>
        <v>75</v>
      </c>
      <c r="I140" s="92" t="n">
        <f aca="false">IF($T$98&gt;0,G140/$T$98,0)</f>
        <v>0.00859277708592777</v>
      </c>
      <c r="J140" s="59" t="s">
        <v>288</v>
      </c>
      <c r="K140" s="77" t="n">
        <v>1</v>
      </c>
      <c r="L140" s="77" t="n">
        <v>8</v>
      </c>
      <c r="M140" s="60" t="str">
        <f aca="false">IF(AND(COUNTIF(LISTS!$D$5:$D$6,F140)=1,COUNTIF(LISTS!$J$5:$J$14,J140)=1,IF(OR(J140="Upfront",J140="Even",J140="Front-loaded",J140="Back-loaded",J140="S-curve"),AND(ISNUMBER(K140),K140&gt;=1,INT(K140)=K140,K140&lt;=$C$24,IF(J140="Upfront",TRUE(),AND(ISNUMBER(L140),INT(L140)=L140,L140&gt;=K140,L140&lt;=$C$24))),TRUE()),ISNUMBER(D140),D140&gt;=0),"OK","ERROR")</f>
        <v>OK</v>
      </c>
      <c r="N140" s="17" t="s">
        <v>394</v>
      </c>
    </row>
    <row r="141" customFormat="false" ht="15" hidden="false" customHeight="false" outlineLevel="0" collapsed="false">
      <c r="B141" s="3" t="s">
        <v>395</v>
      </c>
      <c r="C141" s="91" t="s">
        <v>396</v>
      </c>
      <c r="D141" s="72" t="n">
        <v>400</v>
      </c>
      <c r="E141" s="75" t="n">
        <v>0.05</v>
      </c>
      <c r="F141" s="59" t="s">
        <v>291</v>
      </c>
      <c r="G141" s="63" t="n">
        <f aca="false">IF(F141="Yes",D141*E141*$F$98/$C$25,0)</f>
        <v>1.84</v>
      </c>
      <c r="H141" s="73" t="n">
        <f aca="false">IF($F$98&gt;0,G141*$C$25/$F$98,0)</f>
        <v>20</v>
      </c>
      <c r="I141" s="92" t="n">
        <f aca="false">IF($T$98&gt;0,G141/$T$98,0)</f>
        <v>0.00229140722291407</v>
      </c>
      <c r="J141" s="59" t="s">
        <v>366</v>
      </c>
      <c r="K141" s="77"/>
      <c r="L141" s="77"/>
      <c r="M141" s="60" t="str">
        <f aca="false">IF(AND(COUNTIF(LISTS!$D$5:$D$6,F141)=1,COUNTIF(LISTS!$J$5:$J$14,J141)=1,IF(OR(J141="Upfront",J141="Even",J141="Front-loaded",J141="Back-loaded",J141="S-curve"),AND(ISNUMBER(K141),K141&gt;=1,INT(K141)=K141,K141&lt;=$C$24,IF(J141="Upfront",TRUE(),AND(ISNUMBER(L141),INT(L141)=L141,L141&gt;=K141,L141&lt;=$C$24))),TRUE()),ISNUMBER(D141),D141&gt;=0,ISNUMBER(E141),E141&gt;=0,E141&lt;=1),"OK","ERROR")</f>
        <v>OK</v>
      </c>
      <c r="N141" s="17" t="s">
        <v>397</v>
      </c>
    </row>
    <row r="142" customFormat="false" ht="15" hidden="false" customHeight="false" outlineLevel="0" collapsed="false">
      <c r="B142" s="3" t="s">
        <v>398</v>
      </c>
      <c r="C142" s="91" t="s">
        <v>399</v>
      </c>
      <c r="D142" s="75" t="n">
        <v>0</v>
      </c>
      <c r="E142" s="59" t="s">
        <v>400</v>
      </c>
      <c r="F142" s="59" t="s">
        <v>291</v>
      </c>
      <c r="G142" s="93" t="n">
        <f aca="false">IF(F142="Yes",D142*IF(E142="Construction cost",$U$98,(SUM($G$131:$G$141)+SUM($G$143:$G$151))),0)</f>
        <v>0</v>
      </c>
      <c r="H142" s="73" t="n">
        <f aca="false">IF($F$98&gt;0,G142*$C$25/$F$98,0)</f>
        <v>0</v>
      </c>
      <c r="I142" s="92" t="n">
        <f aca="false">IF($T$98&gt;0,G142/$T$98,0)</f>
        <v>0</v>
      </c>
      <c r="J142" s="59" t="s">
        <v>366</v>
      </c>
      <c r="K142" s="77"/>
      <c r="L142" s="77"/>
      <c r="M142" s="60" t="str">
        <f aca="false">IF(AND(COUNTIF(LISTS!$D$5:$D$6,F142)=1,COUNTIF(LISTS!$J$5:$J$14,J142)=1,IF(OR(J142="Upfront",J142="Even",J142="Front-loaded",J142="Back-loaded",J142="S-curve"),AND(ISNUMBER(K142),K142&gt;=1,INT(K142)=K142,K142&lt;=$C$24,IF(J142="Upfront",TRUE(),AND(ISNUMBER(L142),INT(L142)=L142,L142&gt;=K142,L142&lt;=$C$24))),TRUE()),ISNUMBER(D142),D142&gt;=0,COUNTIF(LISTS!$M$5:$M$6,E142)=1),"OK","ERROR")</f>
        <v>OK</v>
      </c>
      <c r="N142" s="17" t="s">
        <v>401</v>
      </c>
    </row>
    <row r="143" customFormat="false" ht="15" hidden="false" customHeight="false" outlineLevel="0" collapsed="false">
      <c r="B143" s="3" t="s">
        <v>402</v>
      </c>
      <c r="C143" s="91" t="s">
        <v>403</v>
      </c>
      <c r="D143" s="94" t="n">
        <v>0</v>
      </c>
      <c r="E143" s="59" t="s">
        <v>404</v>
      </c>
      <c r="F143" s="59" t="s">
        <v>291</v>
      </c>
      <c r="G143" s="93" t="n">
        <f aca="false">IF(F143="Yes",IF(E143="₹/sq ft (total saleable area)",D143*$F$98/$C$25,IF(E143="% of construction cost",D143*$U$98,IF(E143="Lump sum (₹ Cr)",D143,0))),0)</f>
        <v>0</v>
      </c>
      <c r="H143" s="73" t="n">
        <f aca="false">IF($F$98&gt;0,G143*$C$25/$F$98,0)</f>
        <v>0</v>
      </c>
      <c r="I143" s="92" t="n">
        <f aca="false">IF($T$98&gt;0,G143/$T$98,0)</f>
        <v>0</v>
      </c>
      <c r="J143" s="59" t="s">
        <v>366</v>
      </c>
      <c r="K143" s="77"/>
      <c r="L143" s="77"/>
      <c r="M143" s="60" t="str">
        <f aca="false">IF(AND(COUNTIF(LISTS!$D$5:$D$6,F143)=1,COUNTIF(LISTS!$J$5:$J$14,J143)=1,IF(OR(J143="Upfront",J143="Even",J143="Front-loaded",J143="Back-loaded",J143="S-curve"),AND(ISNUMBER(K143),K143&gt;=1,INT(K143)=K143,K143&lt;=$C$24,IF(J143="Upfront",TRUE(),AND(ISNUMBER(L143),INT(L143)=L143,L143&gt;=K143,L143&lt;=$C$24))),TRUE()),ISNUMBER(D143),D143&gt;=0,COUNTIF(LISTS!$L$5:$L$7,E143)=1),"OK","ERROR")</f>
        <v>OK</v>
      </c>
      <c r="N143" s="17" t="s">
        <v>405</v>
      </c>
    </row>
    <row r="144" customFormat="false" ht="15" hidden="false" customHeight="false" outlineLevel="0" collapsed="false">
      <c r="B144" s="3" t="s">
        <v>406</v>
      </c>
      <c r="C144" s="91" t="s">
        <v>407</v>
      </c>
      <c r="D144" s="72" t="n">
        <v>50000</v>
      </c>
      <c r="E144" s="66" t="n">
        <v>0</v>
      </c>
      <c r="F144" s="59" t="s">
        <v>291</v>
      </c>
      <c r="G144" s="63" t="n">
        <f aca="false">IF(F144="Yes",D144*E144/$C$25,0)</f>
        <v>0</v>
      </c>
      <c r="H144" s="73" t="n">
        <f aca="false">IF($F$98&gt;0,G144*$C$25/$F$98,0)</f>
        <v>0</v>
      </c>
      <c r="I144" s="92" t="n">
        <f aca="false">IF($T$98&gt;0,G144/$T$98,0)</f>
        <v>0</v>
      </c>
      <c r="J144" s="59" t="s">
        <v>366</v>
      </c>
      <c r="K144" s="77"/>
      <c r="L144" s="77"/>
      <c r="M144" s="60" t="str">
        <f aca="false">IF(AND(COUNTIF(LISTS!$D$5:$D$6,F144)=1,COUNTIF(LISTS!$J$5:$J$14,J144)=1,IF(OR(J144="Upfront",J144="Even",J144="Front-loaded",J144="Back-loaded",J144="S-curve"),AND(ISNUMBER(K144),K144&gt;=1,INT(K144)=K144,K144&lt;=$C$24,IF(J144="Upfront",TRUE(),AND(ISNUMBER(L144),INT(L144)=L144,L144&gt;=K144,L144&lt;=$C$24))),TRUE()),ISNUMBER(D144),D144&gt;=0,ISNUMBER(E144),E144&gt;=0),"OK","ERROR")</f>
        <v>OK</v>
      </c>
      <c r="N144" s="17" t="s">
        <v>408</v>
      </c>
    </row>
    <row r="145" customFormat="false" ht="15" hidden="false" customHeight="false" outlineLevel="0" collapsed="false">
      <c r="B145" s="3" t="s">
        <v>409</v>
      </c>
      <c r="C145" s="91" t="s">
        <v>410</v>
      </c>
      <c r="D145" s="72" t="n">
        <v>500</v>
      </c>
      <c r="E145" s="60"/>
      <c r="F145" s="59" t="s">
        <v>305</v>
      </c>
      <c r="G145" s="93" t="n">
        <f aca="false">IF(F145="Yes",D145*SUMIFS($F$88:$F$97,$D$88:$D$97,"Studio",$E$88:$E$97,"Yes")/$C$25,0)</f>
        <v>0</v>
      </c>
      <c r="H145" s="73" t="n">
        <f aca="false">IF($F$98&gt;0,G145*$C$25/$F$98,0)</f>
        <v>0</v>
      </c>
      <c r="I145" s="92" t="n">
        <f aca="false">IF($T$98&gt;0,G145/$T$98,0)</f>
        <v>0</v>
      </c>
      <c r="J145" s="59" t="s">
        <v>366</v>
      </c>
      <c r="K145" s="77"/>
      <c r="L145" s="77"/>
      <c r="M145" s="60" t="str">
        <f aca="false">IF(AND(COUNTIF(LISTS!$D$5:$D$6,F145)=1,COUNTIF(LISTS!$J$5:$J$14,J145)=1,IF(OR(J145="Upfront",J145="Even",J145="Front-loaded",J145="Back-loaded",J145="S-curve"),AND(ISNUMBER(K145),K145&gt;=1,INT(K145)=K145,K145&lt;=$C$24,IF(J145="Upfront",TRUE(),AND(ISNUMBER(L145),INT(L145)=L145,L145&gt;=K145,L145&lt;=$C$24))),TRUE()),ISNUMBER(D145),D145&gt;=0),"OK","ERROR")</f>
        <v>OK</v>
      </c>
      <c r="N145" s="17" t="s">
        <v>411</v>
      </c>
    </row>
    <row r="146" customFormat="false" ht="15" hidden="false" customHeight="false" outlineLevel="0" collapsed="false">
      <c r="B146" s="3" t="s">
        <v>412</v>
      </c>
      <c r="C146" s="91" t="s">
        <v>413</v>
      </c>
      <c r="D146" s="75" t="n">
        <v>0.18</v>
      </c>
      <c r="E146" s="75" t="n">
        <v>0.2</v>
      </c>
      <c r="F146" s="59" t="s">
        <v>305</v>
      </c>
      <c r="G146" s="93" t="n">
        <f aca="false">IF(F146="Yes",(SUMIF($D$88:$D$97,"Commercial",$T$88:$T$97)+SUMIF($D$88:$D$97,"Plot",$T$88:$T$97))*E146*D146*$C$46,0)</f>
        <v>0</v>
      </c>
      <c r="H146" s="73" t="n">
        <f aca="false">IF($F$98&gt;0,G146*$C$25/$F$98,0)</f>
        <v>0</v>
      </c>
      <c r="I146" s="92" t="n">
        <f aca="false">IF($T$98&gt;0,G146/$T$98,0)</f>
        <v>0</v>
      </c>
      <c r="J146" s="59" t="s">
        <v>414</v>
      </c>
      <c r="K146" s="77"/>
      <c r="L146" s="77"/>
      <c r="M146" s="60" t="str">
        <f aca="false">IF(AND(COUNTIF(LISTS!$D$5:$D$6,F146)=1,COUNTIF(LISTS!$J$5:$J$14,J146)=1,IF(OR(J146="Upfront",J146="Even",J146="Front-loaded",J146="Back-loaded",J146="S-curve"),AND(ISNUMBER(K146),K146&gt;=1,INT(K146)=K146,K146&lt;=$C$24,IF(J146="Upfront",TRUE(),AND(ISNUMBER(L146),INT(L146)=L146,L146&gt;=K146,L146&lt;=$C$24))),TRUE()),ISNUMBER(D146),D146&gt;=0,ISNUMBER(E146),E146&gt;=0,E146&lt;=1),"OK","ERROR")</f>
        <v>OK</v>
      </c>
      <c r="N146" s="17" t="s">
        <v>415</v>
      </c>
    </row>
    <row r="147" customFormat="false" ht="15" hidden="false" customHeight="false" outlineLevel="0" collapsed="false">
      <c r="B147" s="3" t="s">
        <v>416</v>
      </c>
      <c r="C147" s="91" t="s">
        <v>417</v>
      </c>
      <c r="D147" s="60" t="s">
        <v>356</v>
      </c>
      <c r="E147" s="60"/>
      <c r="F147" s="59" t="s">
        <v>305</v>
      </c>
      <c r="G147" s="93" t="n">
        <f aca="false">IF(F147="Yes",$C$186,0)</f>
        <v>0</v>
      </c>
      <c r="H147" s="73" t="n">
        <f aca="false">IF($F$98&gt;0,G147*$C$25/$F$98,0)</f>
        <v>0</v>
      </c>
      <c r="I147" s="92" t="n">
        <f aca="false">IF($T$98&gt;0,G147/$T$98,0)</f>
        <v>0</v>
      </c>
      <c r="J147" s="59" t="s">
        <v>386</v>
      </c>
      <c r="K147" s="77"/>
      <c r="L147" s="77"/>
      <c r="M147" s="60" t="str">
        <f aca="false">IF(AND(COUNTIF(LISTS!$D$5:$D$6,F147)=1,COUNTIF(LISTS!$J$5:$J$14,J147)=1,IF(OR(J147="Upfront",J147="Even",J147="Front-loaded",J147="Back-loaded",J147="S-curve"),AND(ISNUMBER(K147),K147&gt;=1,INT(K147)=K147,K147&lt;=$C$24,IF(J147="Upfront",TRUE(),AND(ISNUMBER(L147),INT(L147)=L147,L147&gt;=K147,L147&lt;=$C$24))),TRUE())),"OK","ERROR")</f>
        <v>OK</v>
      </c>
      <c r="N147" s="17" t="s">
        <v>418</v>
      </c>
    </row>
    <row r="148" customFormat="false" ht="15" hidden="false" customHeight="false" outlineLevel="0" collapsed="false">
      <c r="B148" s="3" t="s">
        <v>419</v>
      </c>
      <c r="C148" s="91" t="s">
        <v>420</v>
      </c>
      <c r="D148" s="60" t="s">
        <v>356</v>
      </c>
      <c r="E148" s="60"/>
      <c r="F148" s="59" t="s">
        <v>291</v>
      </c>
      <c r="G148" s="95" t="n">
        <f aca="false">IF(F148="Yes",$C$177,0)</f>
        <v>3.154574336</v>
      </c>
      <c r="H148" s="73" t="n">
        <f aca="false">IF($F$98&gt;0,G148*$C$25/$F$98,0)</f>
        <v>34.2888514782608</v>
      </c>
      <c r="I148" s="92" t="n">
        <f aca="false">IF($T$98&gt;0,G148/$T$98,0)</f>
        <v>0.00392848609713574</v>
      </c>
      <c r="J148" s="59" t="s">
        <v>221</v>
      </c>
      <c r="K148" s="77" t="n">
        <v>2</v>
      </c>
      <c r="L148" s="77" t="n">
        <v>2</v>
      </c>
      <c r="M148" s="60" t="str">
        <f aca="false">IF(AND(COUNTIF(LISTS!$D$5:$D$6,F148)=1,COUNTIF(LISTS!$J$5:$J$14,J148)=1,IF(OR(J148="Upfront",J148="Even",J148="Front-loaded",J148="Back-loaded",J148="S-curve"),AND(ISNUMBER(K148),K148&gt;=1,INT(K148)=K148,K148&lt;=$C$24,IF(J148="Upfront",TRUE(),AND(ISNUMBER(L148),INT(L148)=L148,L148&gt;=K148,L148&lt;=$C$24))),TRUE()),NOT(ISERROR(G148))),"OK","ERROR")</f>
        <v>OK</v>
      </c>
      <c r="N148" s="17" t="s">
        <v>421</v>
      </c>
    </row>
    <row r="149" customFormat="false" ht="15" hidden="false" customHeight="false" outlineLevel="0" collapsed="false">
      <c r="B149" s="59"/>
      <c r="C149" s="59"/>
      <c r="D149" s="94"/>
      <c r="E149" s="60"/>
      <c r="F149" s="59"/>
      <c r="G149" s="63" t="n">
        <f aca="false">IF(F149="Yes",IF(C149="₹/sq ft (total saleable area)",D149*$F$98/$C$25,IF(C149="% of total revenue",D149*$T$98,IF(C149="% of construction cost",D149*$U$98,IF(C149="Lump sum (₹ Cr)",D149,IF(C149="₹/sq yd (land area)",D149*$C$36/$C$25,0))))),0)</f>
        <v>0</v>
      </c>
      <c r="H149" s="73" t="n">
        <f aca="false">IF($F$98&gt;0,G149*$C$25/$F$98,0)</f>
        <v>0</v>
      </c>
      <c r="I149" s="92" t="n">
        <f aca="false">IF($T$98&gt;0,G149/$T$98,0)</f>
        <v>0</v>
      </c>
      <c r="J149" s="59"/>
      <c r="K149" s="77"/>
      <c r="L149" s="77"/>
      <c r="M149" s="60" t="str">
        <f aca="false">IF(COUNTA(B149:D149,F149,J149:L149)=0,"",IF(AND(LEN(B149)&gt;0,COUNTIF(LISTS!$K$5:$K$9,C149)=1,ISNUMBER(D149),D149&gt;=0,COUNTIF(LISTS!$D$5:$D$6,F149)=1,COUNTIF(LISTS!$J$5:$J$14,J149)=1,IF(OR(J149="Upfront",J149="Even",J149="Front-loaded",J149="Back-loaded",J149="S-curve"),AND(ISNUMBER(K149),K149&gt;=1,INT(K149)=K149,K149&lt;=$C$24,IF(J149="Upfront",TRUE(),AND(ISNUMBER(L149),INT(L149)=L149,L149&gt;=K149,L149&lt;=$C$24))),TRUE())),"OK","ERROR"))</f>
        <v/>
      </c>
      <c r="N149" s="17" t="s">
        <v>422</v>
      </c>
    </row>
    <row r="150" customFormat="false" ht="15" hidden="false" customHeight="false" outlineLevel="0" collapsed="false">
      <c r="B150" s="59"/>
      <c r="C150" s="59"/>
      <c r="D150" s="94"/>
      <c r="E150" s="60"/>
      <c r="F150" s="59"/>
      <c r="G150" s="63" t="n">
        <f aca="false">IF(F150="Yes",IF(C150="₹/sq ft (total saleable area)",D150*$F$98/$C$25,IF(C150="% of total revenue",D150*$T$98,IF(C150="% of construction cost",D150*$U$98,IF(C150="Lump sum (₹ Cr)",D150,IF(C150="₹/sq yd (land area)",D150*$C$36/$C$25,0))))),0)</f>
        <v>0</v>
      </c>
      <c r="H150" s="73" t="n">
        <f aca="false">IF($F$98&gt;0,G150*$C$25/$F$98,0)</f>
        <v>0</v>
      </c>
      <c r="I150" s="92" t="n">
        <f aca="false">IF($T$98&gt;0,G150/$T$98,0)</f>
        <v>0</v>
      </c>
      <c r="J150" s="59"/>
      <c r="K150" s="77"/>
      <c r="L150" s="77"/>
      <c r="M150" s="60" t="str">
        <f aca="false">IF(COUNTA(B150:D150,F150,J150:L150)=0,"",IF(AND(LEN(B150)&gt;0,COUNTIF(LISTS!$K$5:$K$9,C150)=1,ISNUMBER(D150),D150&gt;=0,COUNTIF(LISTS!$D$5:$D$6,F150)=1,COUNTIF(LISTS!$J$5:$J$14,J150)=1,IF(OR(J150="Upfront",J150="Even",J150="Front-loaded",J150="Back-loaded",J150="S-curve"),AND(ISNUMBER(K150),K150&gt;=1,INT(K150)=K150,K150&lt;=$C$24,IF(J150="Upfront",TRUE(),AND(ISNUMBER(L150),INT(L150)=L150,L150&gt;=K150,L150&lt;=$C$24))),TRUE())),"OK","ERROR"))</f>
        <v/>
      </c>
      <c r="N150" s="17" t="s">
        <v>422</v>
      </c>
    </row>
    <row r="151" customFormat="false" ht="15" hidden="false" customHeight="false" outlineLevel="0" collapsed="false">
      <c r="B151" s="59"/>
      <c r="C151" s="59"/>
      <c r="D151" s="94"/>
      <c r="E151" s="60"/>
      <c r="F151" s="59"/>
      <c r="G151" s="63" t="n">
        <f aca="false">IF(F151="Yes",IF(C151="₹/sq ft (total saleable area)",D151*$F$98/$C$25,IF(C151="% of total revenue",D151*$T$98,IF(C151="% of construction cost",D151*$U$98,IF(C151="Lump sum (₹ Cr)",D151,IF(C151="₹/sq yd (land area)",D151*$C$36/$C$25,0))))),0)</f>
        <v>0</v>
      </c>
      <c r="H151" s="73" t="n">
        <f aca="false">IF($F$98&gt;0,G151*$C$25/$F$98,0)</f>
        <v>0</v>
      </c>
      <c r="I151" s="92" t="n">
        <f aca="false">IF($T$98&gt;0,G151/$T$98,0)</f>
        <v>0</v>
      </c>
      <c r="J151" s="59"/>
      <c r="K151" s="77"/>
      <c r="L151" s="77"/>
      <c r="M151" s="60" t="str">
        <f aca="false">IF(COUNTA(B151:D151,F151,J151:L151)=0,"",IF(AND(LEN(B151)&gt;0,COUNTIF(LISTS!$K$5:$K$9,C151)=1,ISNUMBER(D151),D151&gt;=0,COUNTIF(LISTS!$D$5:$D$6,F151)=1,COUNTIF(LISTS!$J$5:$J$14,J151)=1,IF(OR(J151="Upfront",J151="Even",J151="Front-loaded",J151="Back-loaded",J151="S-curve"),AND(ISNUMBER(K151),K151&gt;=1,INT(K151)=K151,K151&lt;=$C$24,IF(J151="Upfront",TRUE(),AND(ISNUMBER(L151),INT(L151)=L151,L151&gt;=K151,L151&lt;=$C$24))),TRUE())),"OK","ERROR"))</f>
        <v/>
      </c>
      <c r="N151" s="17" t="s">
        <v>422</v>
      </c>
    </row>
    <row r="152" customFormat="false" ht="15" hidden="false" customHeight="false" outlineLevel="0" collapsed="false">
      <c r="B152" s="82" t="s">
        <v>423</v>
      </c>
      <c r="C152" s="86"/>
      <c r="D152" s="86"/>
      <c r="E152" s="86"/>
      <c r="F152" s="86"/>
      <c r="G152" s="85" t="n">
        <f aca="false">SUM(G128:G151)</f>
        <v>630.6053209296</v>
      </c>
      <c r="H152" s="84" t="n">
        <f aca="false">IF($F$98&gt;0,G152*$C$25/$F$98,0)</f>
        <v>6854.40566227826</v>
      </c>
      <c r="I152" s="83" t="n">
        <f aca="false">IF($T$98&gt;0,G152/$T$98,0)</f>
        <v>0.785311732166376</v>
      </c>
      <c r="J152" s="86"/>
      <c r="K152" s="86"/>
      <c r="L152" s="86"/>
      <c r="M152" s="86"/>
    </row>
    <row r="153" customFormat="false" ht="15" hidden="false" customHeight="false" outlineLevel="0" collapsed="false">
      <c r="B153" s="2" t="s">
        <v>424</v>
      </c>
      <c r="G153" s="96" t="n">
        <f aca="false">SUM(G131:G137)</f>
        <v>270.4</v>
      </c>
    </row>
    <row r="154" customFormat="false" ht="15" hidden="false" customHeight="false" outlineLevel="0" collapsed="false">
      <c r="B154" s="17" t="s">
        <v>425</v>
      </c>
    </row>
    <row r="156" customFormat="false" ht="19.5" hidden="false" customHeight="true" outlineLevel="0" collapsed="false">
      <c r="B156" s="4" t="s">
        <v>426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customFormat="false" ht="15" hidden="false" customHeight="false" outlineLevel="0" collapsed="false">
      <c r="B157" s="67" t="s">
        <v>427</v>
      </c>
      <c r="C157" s="68"/>
      <c r="D157" s="68"/>
      <c r="E157" s="68"/>
    </row>
    <row r="158" customFormat="false" ht="42" hidden="false" customHeight="true" outlineLevel="0" collapsed="false">
      <c r="B158" s="27" t="s">
        <v>149</v>
      </c>
      <c r="C158" s="27" t="s">
        <v>82</v>
      </c>
      <c r="D158" s="27" t="s">
        <v>150</v>
      </c>
      <c r="E158" s="27" t="s">
        <v>151</v>
      </c>
    </row>
    <row r="159" customFormat="false" ht="15" hidden="false" customHeight="false" outlineLevel="0" collapsed="false">
      <c r="B159" s="3" t="s">
        <v>428</v>
      </c>
      <c r="C159" s="59" t="s">
        <v>429</v>
      </c>
      <c r="D159" s="3" t="s">
        <v>160</v>
      </c>
      <c r="E159" s="17" t="s">
        <v>430</v>
      </c>
    </row>
    <row r="160" customFormat="false" ht="15" hidden="false" customHeight="false" outlineLevel="0" collapsed="false">
      <c r="B160" s="3" t="s">
        <v>431</v>
      </c>
      <c r="C160" s="59" t="s">
        <v>432</v>
      </c>
      <c r="D160" s="3" t="s">
        <v>160</v>
      </c>
      <c r="E160" s="17"/>
    </row>
    <row r="161" customFormat="false" ht="15" hidden="false" customHeight="false" outlineLevel="0" collapsed="false">
      <c r="B161" s="3" t="s">
        <v>433</v>
      </c>
      <c r="C161" s="59" t="n">
        <v>2</v>
      </c>
      <c r="D161" s="3" t="s">
        <v>434</v>
      </c>
      <c r="E161" s="17" t="s">
        <v>435</v>
      </c>
    </row>
    <row r="162" customFormat="false" ht="15" hidden="false" customHeight="false" outlineLevel="0" collapsed="false">
      <c r="B162" s="3" t="s">
        <v>436</v>
      </c>
      <c r="C162" s="59" t="n">
        <v>1.35</v>
      </c>
      <c r="D162" s="3" t="s">
        <v>434</v>
      </c>
      <c r="E162" s="17" t="s">
        <v>437</v>
      </c>
    </row>
    <row r="163" customFormat="false" ht="15" hidden="false" customHeight="false" outlineLevel="0" collapsed="false">
      <c r="B163" s="3" t="s">
        <v>438</v>
      </c>
      <c r="C163" s="72" t="n">
        <v>12000</v>
      </c>
      <c r="D163" s="3" t="s">
        <v>204</v>
      </c>
      <c r="E163" s="17" t="s">
        <v>439</v>
      </c>
    </row>
    <row r="164" customFormat="false" ht="15" hidden="false" customHeight="false" outlineLevel="0" collapsed="false">
      <c r="B164" s="3" t="s">
        <v>440</v>
      </c>
      <c r="C164" s="59" t="s">
        <v>305</v>
      </c>
      <c r="D164" s="3" t="s">
        <v>160</v>
      </c>
      <c r="E164" s="17" t="s">
        <v>441</v>
      </c>
    </row>
    <row r="165" customFormat="false" ht="15" hidden="false" customHeight="false" outlineLevel="0" collapsed="false">
      <c r="B165" s="3" t="s">
        <v>442</v>
      </c>
      <c r="C165" s="75" t="n">
        <v>0.18</v>
      </c>
      <c r="D165" s="3" t="s">
        <v>209</v>
      </c>
      <c r="E165" s="17"/>
    </row>
    <row r="166" customFormat="false" ht="15" hidden="false" customHeight="false" outlineLevel="0" collapsed="false">
      <c r="B166" s="2" t="s">
        <v>443</v>
      </c>
    </row>
    <row r="167" customFormat="false" ht="19.5" hidden="false" customHeight="true" outlineLevel="0" collapsed="false">
      <c r="B167" s="27" t="s">
        <v>431</v>
      </c>
      <c r="C167" s="27" t="s">
        <v>444</v>
      </c>
      <c r="D167" s="27" t="s">
        <v>429</v>
      </c>
    </row>
    <row r="168" customFormat="false" ht="15" hidden="false" customHeight="false" outlineLevel="0" collapsed="false">
      <c r="B168" s="3" t="s">
        <v>445</v>
      </c>
      <c r="C168" s="75" t="n">
        <v>0.2</v>
      </c>
      <c r="D168" s="75"/>
    </row>
    <row r="169" customFormat="false" ht="15" hidden="false" customHeight="false" outlineLevel="0" collapsed="false">
      <c r="B169" s="3" t="s">
        <v>432</v>
      </c>
      <c r="C169" s="75" t="n">
        <v>0.3</v>
      </c>
      <c r="D169" s="75" t="n">
        <v>0.2</v>
      </c>
    </row>
    <row r="170" customFormat="false" ht="15" hidden="false" customHeight="false" outlineLevel="0" collapsed="false">
      <c r="B170" s="3" t="s">
        <v>299</v>
      </c>
      <c r="C170" s="75" t="n">
        <v>0.4</v>
      </c>
      <c r="D170" s="75" t="n">
        <v>0.4</v>
      </c>
    </row>
    <row r="171" customFormat="false" ht="15" hidden="false" customHeight="false" outlineLevel="0" collapsed="false">
      <c r="B171" s="67" t="s">
        <v>183</v>
      </c>
      <c r="C171" s="68"/>
      <c r="D171" s="68"/>
      <c r="E171" s="68"/>
    </row>
    <row r="172" customFormat="false" ht="15" hidden="false" customHeight="false" outlineLevel="0" collapsed="false">
      <c r="B172" s="3" t="s">
        <v>446</v>
      </c>
      <c r="C172" s="73" t="n">
        <f aca="false">$C$38*$C$161</f>
        <v>50167.6416</v>
      </c>
      <c r="D172" s="3" t="s">
        <v>197</v>
      </c>
      <c r="E172" s="17"/>
    </row>
    <row r="173" customFormat="false" ht="15" hidden="false" customHeight="false" outlineLevel="0" collapsed="false">
      <c r="B173" s="3" t="s">
        <v>447</v>
      </c>
      <c r="C173" s="73" t="n">
        <f aca="false">IF($C$162&gt;0,$F$98*LISTS!$C$21/LISTS!$C$20/$C$162,0)</f>
        <v>63311.7013333333</v>
      </c>
      <c r="D173" s="3" t="s">
        <v>197</v>
      </c>
      <c r="E173" s="17" t="s">
        <v>448</v>
      </c>
    </row>
    <row r="174" customFormat="false" ht="15" hidden="false" customHeight="false" outlineLevel="0" collapsed="false">
      <c r="B174" s="3" t="s">
        <v>449</v>
      </c>
      <c r="C174" s="73" t="n">
        <f aca="false">MAX(0,$C$173-$C$172)</f>
        <v>13144.0597333333</v>
      </c>
      <c r="D174" s="3" t="s">
        <v>197</v>
      </c>
      <c r="E174" s="17" t="s">
        <v>450</v>
      </c>
    </row>
    <row r="175" customFormat="false" ht="15" hidden="false" customHeight="false" outlineLevel="0" collapsed="false">
      <c r="B175" s="3" t="s">
        <v>451</v>
      </c>
      <c r="C175" s="64" t="n">
        <f aca="false">INDEX($C$168:$D$170,MATCH($C$160,$B$168:$B$170,0),MATCH($C$159,LISTS!$O$5:$O$6,0))</f>
        <v>0.2</v>
      </c>
      <c r="D175" s="3" t="s">
        <v>209</v>
      </c>
      <c r="E175" s="17" t="s">
        <v>452</v>
      </c>
    </row>
    <row r="176" customFormat="false" ht="15" hidden="false" customHeight="false" outlineLevel="0" collapsed="false">
      <c r="B176" s="3" t="s">
        <v>453</v>
      </c>
      <c r="C176" s="63" t="n">
        <f aca="false">IFERROR($C$174*$C$163*$C$175/$C$25,0)</f>
        <v>3.154574336</v>
      </c>
      <c r="D176" s="3" t="s">
        <v>64</v>
      </c>
      <c r="E176" s="17" t="s">
        <v>454</v>
      </c>
    </row>
    <row r="177" customFormat="false" ht="15" hidden="false" customHeight="false" outlineLevel="0" collapsed="false">
      <c r="B177" s="3" t="s">
        <v>455</v>
      </c>
      <c r="C177" s="63" t="n">
        <f aca="false">$C$176*(1+IF($C$164="Yes",$C$165,0))</f>
        <v>3.154574336</v>
      </c>
      <c r="D177" s="3" t="s">
        <v>64</v>
      </c>
      <c r="E177" s="17" t="s">
        <v>456</v>
      </c>
    </row>
    <row r="179" customFormat="false" ht="15" hidden="false" customHeight="false" outlineLevel="0" collapsed="false">
      <c r="B179" s="67" t="s">
        <v>457</v>
      </c>
      <c r="C179" s="68"/>
      <c r="D179" s="68"/>
      <c r="E179" s="68"/>
    </row>
    <row r="180" customFormat="false" ht="42" hidden="false" customHeight="true" outlineLevel="0" collapsed="false">
      <c r="B180" s="27" t="s">
        <v>149</v>
      </c>
      <c r="C180" s="27" t="s">
        <v>82</v>
      </c>
      <c r="D180" s="27" t="s">
        <v>150</v>
      </c>
      <c r="E180" s="27" t="s">
        <v>151</v>
      </c>
    </row>
    <row r="181" customFormat="false" ht="15" hidden="false" customHeight="false" outlineLevel="0" collapsed="false">
      <c r="B181" s="3" t="s">
        <v>458</v>
      </c>
      <c r="C181" s="63" t="n">
        <f aca="false">$C$60</f>
        <v>259.9807465936</v>
      </c>
      <c r="D181" s="3" t="s">
        <v>64</v>
      </c>
      <c r="E181" s="17" t="s">
        <v>459</v>
      </c>
    </row>
    <row r="182" customFormat="false" ht="15" hidden="false" customHeight="false" outlineLevel="0" collapsed="false">
      <c r="B182" s="3" t="s">
        <v>460</v>
      </c>
      <c r="C182" s="75" t="n">
        <v>0.18</v>
      </c>
      <c r="D182" s="3" t="s">
        <v>209</v>
      </c>
      <c r="E182" s="17"/>
    </row>
    <row r="183" customFormat="false" ht="15" hidden="false" customHeight="false" outlineLevel="0" collapsed="false">
      <c r="B183" s="3" t="s">
        <v>461</v>
      </c>
      <c r="C183" s="59" t="n">
        <v>3</v>
      </c>
      <c r="D183" s="3" t="s">
        <v>181</v>
      </c>
      <c r="E183" s="17"/>
    </row>
    <row r="184" customFormat="false" ht="15" hidden="false" customHeight="false" outlineLevel="0" collapsed="false">
      <c r="B184" s="3" t="s">
        <v>462</v>
      </c>
      <c r="C184" s="59" t="s">
        <v>463</v>
      </c>
      <c r="D184" s="3" t="s">
        <v>160</v>
      </c>
      <c r="E184" s="17"/>
    </row>
    <row r="185" customFormat="false" ht="15" hidden="false" customHeight="false" outlineLevel="0" collapsed="false">
      <c r="B185" s="3" t="s">
        <v>464</v>
      </c>
      <c r="C185" s="97" t="n">
        <f aca="false">IFERROR(INDEX({1,2,4,12},MATCH($C$184,LISTS!$Q$5:$Q$8,0)),1)</f>
        <v>1</v>
      </c>
      <c r="D185" s="3" t="s">
        <v>465</v>
      </c>
      <c r="E185" s="17"/>
    </row>
    <row r="186" customFormat="false" ht="15" hidden="false" customHeight="false" outlineLevel="0" collapsed="false">
      <c r="B186" s="3" t="s">
        <v>466</v>
      </c>
      <c r="C186" s="63" t="n">
        <f aca="false">$C$181*((1+$C$182/$C$185)^($C$185*$C$183)-1)</f>
        <v>167.175939443576</v>
      </c>
      <c r="D186" s="3" t="s">
        <v>64</v>
      </c>
      <c r="E186" s="17" t="s">
        <v>467</v>
      </c>
    </row>
    <row r="188" customFormat="false" ht="15" hidden="false" customHeight="false" outlineLevel="0" collapsed="false">
      <c r="B188" s="67" t="s">
        <v>468</v>
      </c>
      <c r="C188" s="68"/>
      <c r="D188" s="68"/>
      <c r="E188" s="68"/>
      <c r="F188" s="68"/>
      <c r="G188" s="68"/>
    </row>
    <row r="189" customFormat="false" ht="15" hidden="false" customHeight="false" outlineLevel="0" collapsed="false">
      <c r="B189" s="3" t="s">
        <v>469</v>
      </c>
      <c r="C189" s="75" t="n">
        <v>0.1</v>
      </c>
      <c r="D189" s="3" t="s">
        <v>209</v>
      </c>
      <c r="E189" s="17" t="s">
        <v>470</v>
      </c>
    </row>
    <row r="190" customFormat="false" ht="30" hidden="false" customHeight="true" outlineLevel="0" collapsed="false">
      <c r="B190" s="27" t="s">
        <v>471</v>
      </c>
      <c r="C190" s="27" t="s">
        <v>472</v>
      </c>
      <c r="D190" s="27" t="s">
        <v>348</v>
      </c>
      <c r="E190" s="27" t="s">
        <v>473</v>
      </c>
      <c r="F190" s="27" t="s">
        <v>474</v>
      </c>
    </row>
    <row r="191" customFormat="false" ht="15" hidden="false" customHeight="false" outlineLevel="0" collapsed="false">
      <c r="B191" s="3" t="s">
        <v>475</v>
      </c>
      <c r="C191" s="60" t="s">
        <v>476</v>
      </c>
      <c r="D191" s="63" t="n">
        <f aca="false">$C$189*$C$55-D192-D193</f>
        <v>18</v>
      </c>
      <c r="E191" s="77" t="n">
        <v>1</v>
      </c>
      <c r="F191" s="17" t="s">
        <v>477</v>
      </c>
    </row>
    <row r="192" customFormat="false" ht="15" hidden="false" customHeight="false" outlineLevel="0" collapsed="false">
      <c r="B192" s="3" t="s">
        <v>478</v>
      </c>
      <c r="C192" s="60" t="s">
        <v>26</v>
      </c>
      <c r="D192" s="98" t="n">
        <v>0</v>
      </c>
      <c r="E192" s="77" t="n">
        <v>1</v>
      </c>
      <c r="F192" s="17"/>
    </row>
    <row r="193" customFormat="false" ht="15" hidden="false" customHeight="false" outlineLevel="0" collapsed="false">
      <c r="B193" s="3" t="s">
        <v>479</v>
      </c>
      <c r="C193" s="60" t="s">
        <v>26</v>
      </c>
      <c r="D193" s="98" t="n">
        <v>0</v>
      </c>
      <c r="E193" s="77" t="n">
        <v>2</v>
      </c>
      <c r="F193" s="17"/>
    </row>
    <row r="194" customFormat="false" ht="15" hidden="false" customHeight="false" outlineLevel="0" collapsed="false">
      <c r="B194" s="3" t="s">
        <v>480</v>
      </c>
      <c r="C194" s="60" t="s">
        <v>481</v>
      </c>
      <c r="D194" s="63" t="n">
        <f aca="false">$G$140*$C$200</f>
        <v>6.9</v>
      </c>
      <c r="E194" s="77" t="n">
        <v>2</v>
      </c>
      <c r="F194" s="17"/>
    </row>
    <row r="195" customFormat="false" ht="15" hidden="false" customHeight="false" outlineLevel="0" collapsed="false">
      <c r="B195" s="3" t="s">
        <v>482</v>
      </c>
      <c r="C195" s="60" t="s">
        <v>26</v>
      </c>
      <c r="D195" s="98" t="n">
        <v>0</v>
      </c>
      <c r="E195" s="77" t="n">
        <v>2</v>
      </c>
      <c r="F195" s="17" t="s">
        <v>483</v>
      </c>
    </row>
    <row r="196" customFormat="false" ht="15" hidden="false" customHeight="false" outlineLevel="0" collapsed="false">
      <c r="B196" s="3" t="s">
        <v>484</v>
      </c>
      <c r="C196" s="60" t="s">
        <v>26</v>
      </c>
      <c r="D196" s="98" t="n">
        <v>0</v>
      </c>
      <c r="E196" s="77" t="n">
        <v>2</v>
      </c>
      <c r="F196" s="17" t="s">
        <v>483</v>
      </c>
    </row>
    <row r="197" customFormat="false" ht="15" hidden="false" customHeight="false" outlineLevel="0" collapsed="false">
      <c r="B197" s="3" t="s">
        <v>485</v>
      </c>
      <c r="C197" s="60" t="s">
        <v>486</v>
      </c>
      <c r="D197" s="63" t="n">
        <f aca="false">$G$129</f>
        <v>0.8967465936</v>
      </c>
      <c r="E197" s="77" t="n">
        <v>2</v>
      </c>
      <c r="F197" s="17"/>
    </row>
    <row r="198" customFormat="false" ht="15" hidden="false" customHeight="false" outlineLevel="0" collapsed="false">
      <c r="B198" s="3" t="s">
        <v>361</v>
      </c>
      <c r="C198" s="60" t="s">
        <v>486</v>
      </c>
      <c r="D198" s="63" t="n">
        <f aca="false">$G$130</f>
        <v>2.124</v>
      </c>
      <c r="E198" s="77" t="n">
        <v>2</v>
      </c>
      <c r="F198" s="17"/>
    </row>
    <row r="199" customFormat="false" ht="15" hidden="false" customHeight="false" outlineLevel="0" collapsed="false">
      <c r="B199" s="3" t="s">
        <v>487</v>
      </c>
      <c r="C199" s="60" t="s">
        <v>488</v>
      </c>
      <c r="D199" s="63" t="n">
        <f aca="false">$G$148*$C$201</f>
        <v>0.788643583999999</v>
      </c>
      <c r="E199" s="77" t="n">
        <v>2</v>
      </c>
      <c r="F199" s="17" t="s">
        <v>489</v>
      </c>
    </row>
    <row r="200" customFormat="false" ht="15" hidden="false" customHeight="false" outlineLevel="0" collapsed="false">
      <c r="B200" s="3" t="s">
        <v>490</v>
      </c>
      <c r="C200" s="75" t="n">
        <v>1</v>
      </c>
      <c r="D200" s="3" t="s">
        <v>209</v>
      </c>
      <c r="E200" s="17"/>
    </row>
    <row r="201" customFormat="false" ht="15" hidden="false" customHeight="false" outlineLevel="0" collapsed="false">
      <c r="B201" s="3" t="s">
        <v>491</v>
      </c>
      <c r="C201" s="75" t="n">
        <v>0.25</v>
      </c>
      <c r="D201" s="3" t="s">
        <v>209</v>
      </c>
      <c r="E201" s="17" t="s">
        <v>492</v>
      </c>
    </row>
    <row r="202" customFormat="false" ht="15" hidden="false" customHeight="false" outlineLevel="0" collapsed="false">
      <c r="B202" s="3" t="s">
        <v>493</v>
      </c>
      <c r="C202" s="63" t="n">
        <f aca="false">SUM(D191:D199)</f>
        <v>28.7093901776</v>
      </c>
      <c r="D202" s="3" t="s">
        <v>64</v>
      </c>
      <c r="E202" s="17"/>
    </row>
    <row r="204" customFormat="false" ht="15" hidden="false" customHeight="false" outlineLevel="0" collapsed="false">
      <c r="B204" s="67" t="s">
        <v>494</v>
      </c>
      <c r="C204" s="68"/>
      <c r="D204" s="68"/>
      <c r="E204" s="68"/>
    </row>
    <row r="205" customFormat="false" ht="15" hidden="false" customHeight="false" outlineLevel="0" collapsed="false">
      <c r="B205" s="3" t="s">
        <v>495</v>
      </c>
      <c r="C205" s="75" t="n">
        <v>0.1</v>
      </c>
      <c r="D205" s="3" t="s">
        <v>209</v>
      </c>
      <c r="E205" s="17"/>
    </row>
    <row r="206" customFormat="false" ht="15" hidden="false" customHeight="false" outlineLevel="0" collapsed="false">
      <c r="B206" s="3" t="s">
        <v>496</v>
      </c>
      <c r="C206" s="75" t="n">
        <v>0.1</v>
      </c>
      <c r="D206" s="3" t="s">
        <v>209</v>
      </c>
      <c r="E206" s="17"/>
    </row>
    <row r="207" customFormat="false" ht="15" hidden="false" customHeight="false" outlineLevel="0" collapsed="false">
      <c r="B207" s="3" t="s">
        <v>497</v>
      </c>
      <c r="C207" s="63" t="n">
        <f aca="false">$C$60+$C$205*($G$131+$G$132+$G$133)+$C$206*$G$140</f>
        <v>286.8407465936</v>
      </c>
      <c r="D207" s="3" t="s">
        <v>64</v>
      </c>
      <c r="E207" s="17" t="s">
        <v>498</v>
      </c>
    </row>
    <row r="208" customFormat="false" ht="15" hidden="false" customHeight="false" outlineLevel="0" collapsed="false">
      <c r="B208" s="3" t="s">
        <v>499</v>
      </c>
      <c r="C208" s="96" t="n">
        <f aca="false">IF($C$21="JV",$C$202,$C$207)</f>
        <v>28.7093901776</v>
      </c>
      <c r="D208" s="3" t="s">
        <v>64</v>
      </c>
      <c r="E208" s="17" t="s">
        <v>500</v>
      </c>
    </row>
    <row r="209" customFormat="false" ht="15" hidden="false" customHeight="false" outlineLevel="0" collapsed="false">
      <c r="B209" s="17" t="s">
        <v>501</v>
      </c>
    </row>
    <row r="211" customFormat="false" ht="19.5" hidden="false" customHeight="true" outlineLevel="0" collapsed="false">
      <c r="B211" s="4" t="s">
        <v>502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customFormat="false" ht="15" hidden="false" customHeight="false" outlineLevel="0" collapsed="false">
      <c r="B212" s="17" t="s">
        <v>503</v>
      </c>
    </row>
    <row r="213" customFormat="false" ht="15" hidden="false" customHeight="false" outlineLevel="0" collapsed="false">
      <c r="B213" s="17" t="s">
        <v>504</v>
      </c>
    </row>
    <row r="214" customFormat="false" ht="24" hidden="false" customHeight="true" outlineLevel="0" collapsed="false">
      <c r="B214" s="27" t="s">
        <v>149</v>
      </c>
      <c r="C214" s="27" t="s">
        <v>82</v>
      </c>
      <c r="D214" s="27" t="s">
        <v>150</v>
      </c>
      <c r="E214" s="27" t="s">
        <v>151</v>
      </c>
    </row>
    <row r="215" customFormat="false" ht="15" hidden="false" customHeight="false" outlineLevel="0" collapsed="false">
      <c r="B215" s="3" t="s">
        <v>505</v>
      </c>
      <c r="C215" s="79" t="n">
        <v>1</v>
      </c>
      <c r="D215" s="3" t="s">
        <v>175</v>
      </c>
      <c r="E215" s="17" t="s">
        <v>506</v>
      </c>
    </row>
    <row r="217" customFormat="false" ht="15" hidden="false" customHeight="false" outlineLevel="0" collapsed="false">
      <c r="B217" s="2" t="s">
        <v>507</v>
      </c>
      <c r="C217" s="59" t="s">
        <v>289</v>
      </c>
      <c r="D217" s="17" t="s">
        <v>508</v>
      </c>
    </row>
    <row r="218" customFormat="false" ht="30" hidden="false" customHeight="true" outlineLevel="0" collapsed="false">
      <c r="B218" s="27" t="s">
        <v>509</v>
      </c>
      <c r="C218" s="27" t="s">
        <v>510</v>
      </c>
      <c r="D218" s="27" t="s">
        <v>511</v>
      </c>
      <c r="E218" s="27" t="s">
        <v>512</v>
      </c>
      <c r="F218" s="27" t="s">
        <v>513</v>
      </c>
      <c r="G218" s="27" t="s">
        <v>248</v>
      </c>
    </row>
    <row r="219" customFormat="false" ht="15" hidden="false" customHeight="false" outlineLevel="0" collapsed="false">
      <c r="B219" s="59" t="s">
        <v>514</v>
      </c>
      <c r="C219" s="59" t="s">
        <v>515</v>
      </c>
      <c r="D219" s="99" t="n">
        <v>0</v>
      </c>
      <c r="E219" s="75" t="n">
        <v>0.1</v>
      </c>
      <c r="F219" s="64" t="n">
        <f aca="false">IF(COUNTA(B219:E219)=0,"",SUM(E$219:E219))</f>
        <v>0.1</v>
      </c>
      <c r="G219" s="60" t="str">
        <f aca="false">IF(COUNTA(B219:E219)=0,"",IF(AND(LEN(B219)&gt;0,ISNUMBER(E219),E219&gt;=0,ISNUMBER(D219),OR(AND(C219="Booking + quarters",D219&gt;=0,INT(D219)=D219,D219&lt;=12),AND(C219="Construction % complete",D219&gt;=0,D219&lt;=1))),"OK","ERROR"))</f>
        <v>OK</v>
      </c>
    </row>
    <row r="220" customFormat="false" ht="15" hidden="false" customHeight="false" outlineLevel="0" collapsed="false">
      <c r="B220" s="59" t="s">
        <v>516</v>
      </c>
      <c r="C220" s="59" t="s">
        <v>515</v>
      </c>
      <c r="D220" s="99" t="n">
        <v>1</v>
      </c>
      <c r="E220" s="75" t="n">
        <v>0.1</v>
      </c>
      <c r="F220" s="64" t="n">
        <f aca="false">IF(COUNTA(B220:E220)=0,"",SUM(E$219:E220))</f>
        <v>0.2</v>
      </c>
      <c r="G220" s="60" t="str">
        <f aca="false">IF(COUNTA(B220:E220)=0,"",IF(AND(LEN(B220)&gt;0,ISNUMBER(E220),E220&gt;=0,ISNUMBER(D220),OR(AND(C220="Booking + quarters",D220&gt;=0,INT(D220)=D220,D220&lt;=12),AND(C220="Construction % complete",D220&gt;=0,D220&lt;=1))),"OK","ERROR"))</f>
        <v>OK</v>
      </c>
    </row>
    <row r="221" customFormat="false" ht="15" hidden="false" customHeight="false" outlineLevel="0" collapsed="false">
      <c r="B221" s="59" t="s">
        <v>517</v>
      </c>
      <c r="C221" s="59" t="s">
        <v>518</v>
      </c>
      <c r="D221" s="99" t="n">
        <v>0.05</v>
      </c>
      <c r="E221" s="75" t="n">
        <v>0.1</v>
      </c>
      <c r="F221" s="64" t="n">
        <f aca="false">IF(COUNTA(B221:E221)=0,"",SUM(E$219:E221))</f>
        <v>0.3</v>
      </c>
      <c r="G221" s="60" t="str">
        <f aca="false">IF(COUNTA(B221:E221)=0,"",IF(AND(LEN(B221)&gt;0,ISNUMBER(E221),E221&gt;=0,ISNUMBER(D221),OR(AND(C221="Booking + quarters",D221&gt;=0,INT(D221)=D221,D221&lt;=12),AND(C221="Construction % complete",D221&gt;=0,D221&lt;=1))),"OK","ERROR"))</f>
        <v>OK</v>
      </c>
    </row>
    <row r="222" customFormat="false" ht="15" hidden="false" customHeight="false" outlineLevel="0" collapsed="false">
      <c r="B222" s="59" t="s">
        <v>519</v>
      </c>
      <c r="C222" s="59" t="s">
        <v>518</v>
      </c>
      <c r="D222" s="99" t="n">
        <v>0.15</v>
      </c>
      <c r="E222" s="75" t="n">
        <v>0.1</v>
      </c>
      <c r="F222" s="64" t="n">
        <f aca="false">IF(COUNTA(B222:E222)=0,"",SUM(E$219:E222))</f>
        <v>0.4</v>
      </c>
      <c r="G222" s="60" t="str">
        <f aca="false">IF(COUNTA(B222:E222)=0,"",IF(AND(LEN(B222)&gt;0,ISNUMBER(E222),E222&gt;=0,ISNUMBER(D222),OR(AND(C222="Booking + quarters",D222&gt;=0,INT(D222)=D222,D222&lt;=12),AND(C222="Construction % complete",D222&gt;=0,D222&lt;=1))),"OK","ERROR"))</f>
        <v>OK</v>
      </c>
    </row>
    <row r="223" customFormat="false" ht="15" hidden="false" customHeight="false" outlineLevel="0" collapsed="false">
      <c r="B223" s="59" t="s">
        <v>520</v>
      </c>
      <c r="C223" s="59" t="s">
        <v>518</v>
      </c>
      <c r="D223" s="99" t="n">
        <v>0.35</v>
      </c>
      <c r="E223" s="75" t="n">
        <v>0.15</v>
      </c>
      <c r="F223" s="64" t="n">
        <f aca="false">IF(COUNTA(B223:E223)=0,"",SUM(E$219:E223))</f>
        <v>0.55</v>
      </c>
      <c r="G223" s="60" t="str">
        <f aca="false">IF(COUNTA(B223:E223)=0,"",IF(AND(LEN(B223)&gt;0,ISNUMBER(E223),E223&gt;=0,ISNUMBER(D223),OR(AND(C223="Booking + quarters",D223&gt;=0,INT(D223)=D223,D223&lt;=12),AND(C223="Construction % complete",D223&gt;=0,D223&lt;=1))),"OK","ERROR"))</f>
        <v>OK</v>
      </c>
    </row>
    <row r="224" customFormat="false" ht="15" hidden="false" customHeight="false" outlineLevel="0" collapsed="false">
      <c r="B224" s="59" t="s">
        <v>521</v>
      </c>
      <c r="C224" s="59" t="s">
        <v>518</v>
      </c>
      <c r="D224" s="99" t="n">
        <v>0.55</v>
      </c>
      <c r="E224" s="75" t="n">
        <v>0.15</v>
      </c>
      <c r="F224" s="64" t="n">
        <f aca="false">IF(COUNTA(B224:E224)=0,"",SUM(E$219:E224))</f>
        <v>0.7</v>
      </c>
      <c r="G224" s="60" t="str">
        <f aca="false">IF(COUNTA(B224:E224)=0,"",IF(AND(LEN(B224)&gt;0,ISNUMBER(E224),E224&gt;=0,ISNUMBER(D224),OR(AND(C224="Booking + quarters",D224&gt;=0,INT(D224)=D224,D224&lt;=12),AND(C224="Construction % complete",D224&gt;=0,D224&lt;=1))),"OK","ERROR"))</f>
        <v>OK</v>
      </c>
    </row>
    <row r="225" customFormat="false" ht="15" hidden="false" customHeight="false" outlineLevel="0" collapsed="false">
      <c r="B225" s="59" t="s">
        <v>522</v>
      </c>
      <c r="C225" s="59" t="s">
        <v>518</v>
      </c>
      <c r="D225" s="99" t="n">
        <v>0.75</v>
      </c>
      <c r="E225" s="75" t="n">
        <v>0.15</v>
      </c>
      <c r="F225" s="64" t="n">
        <f aca="false">IF(COUNTA(B225:E225)=0,"",SUM(E$219:E225))</f>
        <v>0.85</v>
      </c>
      <c r="G225" s="60" t="str">
        <f aca="false">IF(COUNTA(B225:E225)=0,"",IF(AND(LEN(B225)&gt;0,ISNUMBER(E225),E225&gt;=0,ISNUMBER(D225),OR(AND(C225="Booking + quarters",D225&gt;=0,INT(D225)=D225,D225&lt;=12),AND(C225="Construction % complete",D225&gt;=0,D225&lt;=1))),"OK","ERROR"))</f>
        <v>OK</v>
      </c>
    </row>
    <row r="226" customFormat="false" ht="15" hidden="false" customHeight="false" outlineLevel="0" collapsed="false">
      <c r="B226" s="59" t="s">
        <v>523</v>
      </c>
      <c r="C226" s="59" t="s">
        <v>518</v>
      </c>
      <c r="D226" s="99" t="n">
        <v>0.95</v>
      </c>
      <c r="E226" s="75" t="n">
        <v>0.05</v>
      </c>
      <c r="F226" s="64" t="n">
        <f aca="false">IF(COUNTA(B226:E226)=0,"",SUM(E$219:E226))</f>
        <v>0.9</v>
      </c>
      <c r="G226" s="60" t="str">
        <f aca="false">IF(COUNTA(B226:E226)=0,"",IF(AND(LEN(B226)&gt;0,ISNUMBER(E226),E226&gt;=0,ISNUMBER(D226),OR(AND(C226="Booking + quarters",D226&gt;=0,INT(D226)=D226,D226&lt;=12),AND(C226="Construction % complete",D226&gt;=0,D226&lt;=1))),"OK","ERROR"))</f>
        <v>OK</v>
      </c>
    </row>
    <row r="227" customFormat="false" ht="15" hidden="false" customHeight="false" outlineLevel="0" collapsed="false">
      <c r="B227" s="59" t="s">
        <v>524</v>
      </c>
      <c r="C227" s="59" t="s">
        <v>518</v>
      </c>
      <c r="D227" s="99" t="n">
        <v>1</v>
      </c>
      <c r="E227" s="75" t="n">
        <v>0.1</v>
      </c>
      <c r="F227" s="64" t="n">
        <f aca="false">IF(COUNTA(B227:E227)=0,"",SUM(E$219:E227))</f>
        <v>1</v>
      </c>
      <c r="G227" s="60" t="str">
        <f aca="false">IF(COUNTA(B227:E227)=0,"",IF(AND(LEN(B227)&gt;0,ISNUMBER(E227),E227&gt;=0,ISNUMBER(D227),OR(AND(C227="Booking + quarters",D227&gt;=0,INT(D227)=D227,D227&lt;=12),AND(C227="Construction % complete",D227&gt;=0,D227&lt;=1))),"OK","ERROR"))</f>
        <v>OK</v>
      </c>
    </row>
    <row r="228" customFormat="false" ht="15" hidden="false" customHeight="false" outlineLevel="0" collapsed="false">
      <c r="B228" s="59"/>
      <c r="C228" s="59"/>
      <c r="D228" s="99"/>
      <c r="E228" s="75"/>
      <c r="F228" s="64" t="str">
        <f aca="false">IF(COUNTA(B228:E228)=0,"",SUM(E$219:E228))</f>
        <v/>
      </c>
      <c r="G228" s="60" t="str">
        <f aca="false">IF(COUNTA(B228:E228)=0,"",IF(AND(LEN(B228)&gt;0,ISNUMBER(E228),E228&gt;=0,ISNUMBER(D228),OR(AND(C228="Booking + quarters",D228&gt;=0,INT(D228)=D228,D228&lt;=12),AND(C228="Construction % complete",D228&gt;=0,D228&lt;=1))),"OK","ERROR"))</f>
        <v/>
      </c>
    </row>
    <row r="229" customFormat="false" ht="15" hidden="false" customHeight="false" outlineLevel="0" collapsed="false">
      <c r="B229" s="59"/>
      <c r="C229" s="59"/>
      <c r="D229" s="99"/>
      <c r="E229" s="75"/>
      <c r="F229" s="64" t="str">
        <f aca="false">IF(COUNTA(B229:E229)=0,"",SUM(E$219:E229))</f>
        <v/>
      </c>
      <c r="G229" s="60" t="str">
        <f aca="false">IF(COUNTA(B229:E229)=0,"",IF(AND(LEN(B229)&gt;0,ISNUMBER(E229),E229&gt;=0,ISNUMBER(D229),OR(AND(C229="Booking + quarters",D229&gt;=0,INT(D229)=D229,D229&lt;=12),AND(C229="Construction % complete",D229&gt;=0,D229&lt;=1))),"OK","ERROR"))</f>
        <v/>
      </c>
    </row>
    <row r="230" customFormat="false" ht="15" hidden="false" customHeight="false" outlineLevel="0" collapsed="false">
      <c r="B230" s="59"/>
      <c r="C230" s="59"/>
      <c r="D230" s="99"/>
      <c r="E230" s="75"/>
      <c r="F230" s="64" t="str">
        <f aca="false">IF(COUNTA(B230:E230)=0,"",SUM(E$219:E230))</f>
        <v/>
      </c>
      <c r="G230" s="60" t="str">
        <f aca="false">IF(COUNTA(B230:E230)=0,"",IF(AND(LEN(B230)&gt;0,ISNUMBER(E230),E230&gt;=0,ISNUMBER(D230),OR(AND(C230="Booking + quarters",D230&gt;=0,INT(D230)=D230,D230&lt;=12),AND(C230="Construction % complete",D230&gt;=0,D230&lt;=1))),"OK","ERROR"))</f>
        <v/>
      </c>
    </row>
    <row r="231" customFormat="false" ht="15" hidden="false" customHeight="false" outlineLevel="0" collapsed="false">
      <c r="B231" s="59"/>
      <c r="C231" s="59"/>
      <c r="D231" s="99"/>
      <c r="E231" s="75"/>
      <c r="F231" s="64" t="str">
        <f aca="false">IF(COUNTA(B231:E231)=0,"",SUM(E$219:E231))</f>
        <v/>
      </c>
      <c r="G231" s="60" t="str">
        <f aca="false">IF(COUNTA(B231:E231)=0,"",IF(AND(LEN(B231)&gt;0,ISNUMBER(E231),E231&gt;=0,ISNUMBER(D231),OR(AND(C231="Booking + quarters",D231&gt;=0,INT(D231)=D231,D231&lt;=12),AND(C231="Construction % complete",D231&gt;=0,D231&lt;=1))),"OK","ERROR"))</f>
        <v/>
      </c>
    </row>
    <row r="232" customFormat="false" ht="15" hidden="false" customHeight="false" outlineLevel="0" collapsed="false">
      <c r="B232" s="59"/>
      <c r="C232" s="59"/>
      <c r="D232" s="99"/>
      <c r="E232" s="75"/>
      <c r="F232" s="64" t="str">
        <f aca="false">IF(COUNTA(B232:E232)=0,"",SUM(E$219:E232))</f>
        <v/>
      </c>
      <c r="G232" s="60" t="str">
        <f aca="false">IF(COUNTA(B232:E232)=0,"",IF(AND(LEN(B232)&gt;0,ISNUMBER(E232),E232&gt;=0,ISNUMBER(D232),OR(AND(C232="Booking + quarters",D232&gt;=0,INT(D232)=D232,D232&lt;=12),AND(C232="Construction % complete",D232&gt;=0,D232&lt;=1))),"OK","ERROR"))</f>
        <v/>
      </c>
    </row>
    <row r="233" customFormat="false" ht="15" hidden="false" customHeight="false" outlineLevel="0" collapsed="false">
      <c r="B233" s="59"/>
      <c r="C233" s="59"/>
      <c r="D233" s="99"/>
      <c r="E233" s="75"/>
      <c r="F233" s="64" t="str">
        <f aca="false">IF(COUNTA(B233:E233)=0,"",SUM(E$219:E233))</f>
        <v/>
      </c>
      <c r="G233" s="60" t="str">
        <f aca="false">IF(COUNTA(B233:E233)=0,"",IF(AND(LEN(B233)&gt;0,ISNUMBER(E233),E233&gt;=0,ISNUMBER(D233),OR(AND(C233="Booking + quarters",D233&gt;=0,INT(D233)=D233,D233&lt;=12),AND(C233="Construction % complete",D233&gt;=0,D233&lt;=1))),"OK","ERROR"))</f>
        <v/>
      </c>
    </row>
    <row r="234" customFormat="false" ht="15" hidden="false" customHeight="false" outlineLevel="0" collapsed="false">
      <c r="B234" s="59"/>
      <c r="C234" s="59"/>
      <c r="D234" s="99"/>
      <c r="E234" s="75"/>
      <c r="F234" s="64" t="str">
        <f aca="false">IF(COUNTA(B234:E234)=0,"",SUM(E$219:E234))</f>
        <v/>
      </c>
      <c r="G234" s="60" t="str">
        <f aca="false">IF(COUNTA(B234:E234)=0,"",IF(AND(LEN(B234)&gt;0,ISNUMBER(E234),E234&gt;=0,ISNUMBER(D234),OR(AND(C234="Booking + quarters",D234&gt;=0,INT(D234)=D234,D234&lt;=12),AND(C234="Construction % complete",D234&gt;=0,D234&lt;=1))),"OK","ERROR"))</f>
        <v/>
      </c>
    </row>
    <row r="235" customFormat="false" ht="15" hidden="false" customHeight="false" outlineLevel="0" collapsed="false">
      <c r="B235" s="59"/>
      <c r="C235" s="59"/>
      <c r="D235" s="99"/>
      <c r="E235" s="75"/>
      <c r="F235" s="64" t="str">
        <f aca="false">IF(COUNTA(B235:E235)=0,"",SUM(E$219:E235))</f>
        <v/>
      </c>
      <c r="G235" s="60" t="str">
        <f aca="false">IF(COUNTA(B235:E235)=0,"",IF(AND(LEN(B235)&gt;0,ISNUMBER(E235),E235&gt;=0,ISNUMBER(D235),OR(AND(C235="Booking + quarters",D235&gt;=0,INT(D235)=D235,D235&lt;=12),AND(C235="Construction % complete",D235&gt;=0,D235&lt;=1))),"OK","ERROR"))</f>
        <v/>
      </c>
    </row>
    <row r="236" customFormat="false" ht="15" hidden="false" customHeight="false" outlineLevel="0" collapsed="false">
      <c r="B236" s="59"/>
      <c r="C236" s="59"/>
      <c r="D236" s="99"/>
      <c r="E236" s="75"/>
      <c r="F236" s="64" t="str">
        <f aca="false">IF(COUNTA(B236:E236)=0,"",SUM(E$219:E236))</f>
        <v/>
      </c>
      <c r="G236" s="60" t="str">
        <f aca="false">IF(COUNTA(B236:E236)=0,"",IF(AND(LEN(B236)&gt;0,ISNUMBER(E236),E236&gt;=0,ISNUMBER(D236),OR(AND(C236="Booking + quarters",D236&gt;=0,INT(D236)=D236,D236&lt;=12),AND(C236="Construction % complete",D236&gt;=0,D236&lt;=1))),"OK","ERROR"))</f>
        <v/>
      </c>
    </row>
    <row r="237" customFormat="false" ht="15" hidden="false" customHeight="false" outlineLevel="0" collapsed="false">
      <c r="B237" s="59"/>
      <c r="C237" s="59"/>
      <c r="D237" s="99"/>
      <c r="E237" s="75"/>
      <c r="F237" s="64" t="str">
        <f aca="false">IF(COUNTA(B237:E237)=0,"",SUM(E$219:E237))</f>
        <v/>
      </c>
      <c r="G237" s="60" t="str">
        <f aca="false">IF(COUNTA(B237:E237)=0,"",IF(AND(LEN(B237)&gt;0,ISNUMBER(E237),E237&gt;=0,ISNUMBER(D237),OR(AND(C237="Booking + quarters",D237&gt;=0,INT(D237)=D237,D237&lt;=12),AND(C237="Construction % complete",D237&gt;=0,D237&lt;=1))),"OK","ERROR"))</f>
        <v/>
      </c>
    </row>
    <row r="238" customFormat="false" ht="15" hidden="false" customHeight="false" outlineLevel="0" collapsed="false">
      <c r="B238" s="59"/>
      <c r="C238" s="59"/>
      <c r="D238" s="99"/>
      <c r="E238" s="75"/>
      <c r="F238" s="64" t="str">
        <f aca="false">IF(COUNTA(B238:E238)=0,"",SUM(E$219:E238))</f>
        <v/>
      </c>
      <c r="G238" s="60" t="str">
        <f aca="false">IF(COUNTA(B238:E238)=0,"",IF(AND(LEN(B238)&gt;0,ISNUMBER(E238),E238&gt;=0,ISNUMBER(D238),OR(AND(C238="Booking + quarters",D238&gt;=0,INT(D238)=D238,D238&lt;=12),AND(C238="Construction % complete",D238&gt;=0,D238&lt;=1))),"OK","ERROR"))</f>
        <v/>
      </c>
    </row>
    <row r="239" customFormat="false" ht="15" hidden="false" customHeight="false" outlineLevel="0" collapsed="false">
      <c r="B239" s="59"/>
      <c r="C239" s="59"/>
      <c r="D239" s="99"/>
      <c r="E239" s="75"/>
      <c r="F239" s="64" t="str">
        <f aca="false">IF(COUNTA(B239:E239)=0,"",SUM(E$219:E239))</f>
        <v/>
      </c>
      <c r="G239" s="60" t="str">
        <f aca="false">IF(COUNTA(B239:E239)=0,"",IF(AND(LEN(B239)&gt;0,ISNUMBER(E239),E239&gt;=0,ISNUMBER(D239),OR(AND(C239="Booking + quarters",D239&gt;=0,INT(D239)=D239,D239&lt;=12),AND(C239="Construction % complete",D239&gt;=0,D239&lt;=1))),"OK","ERROR"))</f>
        <v/>
      </c>
    </row>
    <row r="240" customFormat="false" ht="15" hidden="false" customHeight="false" outlineLevel="0" collapsed="false">
      <c r="B240" s="59"/>
      <c r="C240" s="59"/>
      <c r="D240" s="99"/>
      <c r="E240" s="75"/>
      <c r="F240" s="64" t="str">
        <f aca="false">IF(COUNTA(B240:E240)=0,"",SUM(E$219:E240))</f>
        <v/>
      </c>
      <c r="G240" s="60" t="str">
        <f aca="false">IF(COUNTA(B240:E240)=0,"",IF(AND(LEN(B240)&gt;0,ISNUMBER(E240),E240&gt;=0,ISNUMBER(D240),OR(AND(C240="Booking + quarters",D240&gt;=0,INT(D240)=D240,D240&lt;=12),AND(C240="Construction % complete",D240&gt;=0,D240&lt;=1))),"OK","ERROR"))</f>
        <v/>
      </c>
    </row>
    <row r="241" customFormat="false" ht="15" hidden="false" customHeight="false" outlineLevel="0" collapsed="false">
      <c r="B241" s="59"/>
      <c r="C241" s="59"/>
      <c r="D241" s="99"/>
      <c r="E241" s="75"/>
      <c r="F241" s="64" t="str">
        <f aca="false">IF(COUNTA(B241:E241)=0,"",SUM(E$219:E241))</f>
        <v/>
      </c>
      <c r="G241" s="60" t="str">
        <f aca="false">IF(COUNTA(B241:E241)=0,"",IF(AND(LEN(B241)&gt;0,ISNUMBER(E241),E241&gt;=0,ISNUMBER(D241),OR(AND(C241="Booking + quarters",D241&gt;=0,INT(D241)=D241,D241&lt;=12),AND(C241="Construction % complete",D241&gt;=0,D241&lt;=1))),"OK","ERROR"))</f>
        <v/>
      </c>
    </row>
    <row r="242" customFormat="false" ht="15" hidden="false" customHeight="false" outlineLevel="0" collapsed="false">
      <c r="B242" s="59"/>
      <c r="C242" s="59"/>
      <c r="D242" s="99"/>
      <c r="E242" s="75"/>
      <c r="F242" s="64" t="str">
        <f aca="false">IF(COUNTA(B242:E242)=0,"",SUM(E$219:E242))</f>
        <v/>
      </c>
      <c r="G242" s="60" t="str">
        <f aca="false">IF(COUNTA(B242:E242)=0,"",IF(AND(LEN(B242)&gt;0,ISNUMBER(E242),E242&gt;=0,ISNUMBER(D242),OR(AND(C242="Booking + quarters",D242&gt;=0,INT(D242)=D242,D242&lt;=12),AND(C242="Construction % complete",D242&gt;=0,D242&lt;=1))),"OK","ERROR"))</f>
        <v/>
      </c>
    </row>
    <row r="243" customFormat="false" ht="15" hidden="false" customHeight="false" outlineLevel="0" collapsed="false">
      <c r="B243" s="59"/>
      <c r="C243" s="59"/>
      <c r="D243" s="99"/>
      <c r="E243" s="75"/>
      <c r="F243" s="64" t="str">
        <f aca="false">IF(COUNTA(B243:E243)=0,"",SUM(E$219:E243))</f>
        <v/>
      </c>
      <c r="G243" s="60" t="str">
        <f aca="false">IF(COUNTA(B243:E243)=0,"",IF(AND(LEN(B243)&gt;0,ISNUMBER(E243),E243&gt;=0,ISNUMBER(D243),OR(AND(C243="Booking + quarters",D243&gt;=0,INT(D243)=D243,D243&lt;=12),AND(C243="Construction % complete",D243&gt;=0,D243&lt;=1))),"OK","ERROR"))</f>
        <v/>
      </c>
    </row>
    <row r="244" customFormat="false" ht="15" hidden="false" customHeight="false" outlineLevel="0" collapsed="false">
      <c r="B244" s="59"/>
      <c r="C244" s="59"/>
      <c r="D244" s="99"/>
      <c r="E244" s="75"/>
      <c r="F244" s="64" t="str">
        <f aca="false">IF(COUNTA(B244:E244)=0,"",SUM(E$219:E244))</f>
        <v/>
      </c>
      <c r="G244" s="60" t="str">
        <f aca="false">IF(COUNTA(B244:E244)=0,"",IF(AND(LEN(B244)&gt;0,ISNUMBER(E244),E244&gt;=0,ISNUMBER(D244),OR(AND(C244="Booking + quarters",D244&gt;=0,INT(D244)=D244,D244&lt;=12),AND(C244="Construction % complete",D244&gt;=0,D244&lt;=1))),"OK","ERROR"))</f>
        <v/>
      </c>
    </row>
    <row r="245" customFormat="false" ht="15" hidden="false" customHeight="false" outlineLevel="0" collapsed="false">
      <c r="B245" s="59"/>
      <c r="C245" s="59"/>
      <c r="D245" s="99"/>
      <c r="E245" s="75"/>
      <c r="F245" s="64" t="str">
        <f aca="false">IF(COUNTA(B245:E245)=0,"",SUM(E$219:E245))</f>
        <v/>
      </c>
      <c r="G245" s="60" t="str">
        <f aca="false">IF(COUNTA(B245:E245)=0,"",IF(AND(LEN(B245)&gt;0,ISNUMBER(E245),E245&gt;=0,ISNUMBER(D245),OR(AND(C245="Booking + quarters",D245&gt;=0,INT(D245)=D245,D245&lt;=12),AND(C245="Construction % complete",D245&gt;=0,D245&lt;=1))),"OK","ERROR"))</f>
        <v/>
      </c>
    </row>
    <row r="246" customFormat="false" ht="15" hidden="false" customHeight="false" outlineLevel="0" collapsed="false">
      <c r="B246" s="59"/>
      <c r="C246" s="59"/>
      <c r="D246" s="99"/>
      <c r="E246" s="75"/>
      <c r="F246" s="64" t="str">
        <f aca="false">IF(COUNTA(B246:E246)=0,"",SUM(E$219:E246))</f>
        <v/>
      </c>
      <c r="G246" s="60" t="str">
        <f aca="false">IF(COUNTA(B246:E246)=0,"",IF(AND(LEN(B246)&gt;0,ISNUMBER(E246),E246&gt;=0,ISNUMBER(D246),OR(AND(C246="Booking + quarters",D246&gt;=0,INT(D246)=D246,D246&lt;=12),AND(C246="Construction % complete",D246&gt;=0,D246&lt;=1))),"OK","ERROR"))</f>
        <v/>
      </c>
    </row>
    <row r="247" customFormat="false" ht="15" hidden="false" customHeight="false" outlineLevel="0" collapsed="false">
      <c r="B247" s="59"/>
      <c r="C247" s="59"/>
      <c r="D247" s="99"/>
      <c r="E247" s="75"/>
      <c r="F247" s="64" t="str">
        <f aca="false">IF(COUNTA(B247:E247)=0,"",SUM(E$219:E247))</f>
        <v/>
      </c>
      <c r="G247" s="60" t="str">
        <f aca="false">IF(COUNTA(B247:E247)=0,"",IF(AND(LEN(B247)&gt;0,ISNUMBER(E247),E247&gt;=0,ISNUMBER(D247),OR(AND(C247="Booking + quarters",D247&gt;=0,INT(D247)=D247,D247&lt;=12),AND(C247="Construction % complete",D247&gt;=0,D247&lt;=1))),"OK","ERROR"))</f>
        <v/>
      </c>
    </row>
    <row r="248" customFormat="false" ht="15" hidden="false" customHeight="false" outlineLevel="0" collapsed="false">
      <c r="B248" s="59"/>
      <c r="C248" s="59"/>
      <c r="D248" s="99"/>
      <c r="E248" s="75"/>
      <c r="F248" s="64" t="str">
        <f aca="false">IF(COUNTA(B248:E248)=0,"",SUM(E$219:E248))</f>
        <v/>
      </c>
      <c r="G248" s="60" t="str">
        <f aca="false">IF(COUNTA(B248:E248)=0,"",IF(AND(LEN(B248)&gt;0,ISNUMBER(E248),E248&gt;=0,ISNUMBER(D248),OR(AND(C248="Booking + quarters",D248&gt;=0,INT(D248)=D248,D248&lt;=12),AND(C248="Construction % complete",D248&gt;=0,D248&lt;=1))),"OK","ERROR"))</f>
        <v/>
      </c>
    </row>
    <row r="249" customFormat="false" ht="15" hidden="false" customHeight="false" outlineLevel="0" collapsed="false">
      <c r="B249" s="82" t="s">
        <v>525</v>
      </c>
      <c r="C249" s="86"/>
      <c r="D249" s="86"/>
      <c r="E249" s="83" t="n">
        <f aca="false">SUM(E219:E248)</f>
        <v>1</v>
      </c>
      <c r="F249" s="86"/>
      <c r="G249" s="100" t="str">
        <f aca="false">IF(COUNTA(B219:E248)=0,"Unused",IF(AND(LEN(C217)&gt;0,COUNTIF(LISTS!$R$5:$R$10,C217)=1,ABS(E249-1)&lt;0.000001,COUNTIF(G219:G248,"ERROR")=0),"OK","ERROR"))</f>
        <v>OK</v>
      </c>
    </row>
    <row r="251" customFormat="false" ht="15" hidden="false" customHeight="false" outlineLevel="0" collapsed="false">
      <c r="B251" s="2" t="s">
        <v>507</v>
      </c>
      <c r="C251" s="59" t="s">
        <v>295</v>
      </c>
      <c r="D251" s="17" t="s">
        <v>508</v>
      </c>
    </row>
    <row r="252" customFormat="false" ht="30" hidden="false" customHeight="true" outlineLevel="0" collapsed="false">
      <c r="B252" s="27" t="s">
        <v>509</v>
      </c>
      <c r="C252" s="27" t="s">
        <v>510</v>
      </c>
      <c r="D252" s="27" t="s">
        <v>511</v>
      </c>
      <c r="E252" s="27" t="s">
        <v>512</v>
      </c>
      <c r="F252" s="27" t="s">
        <v>513</v>
      </c>
      <c r="G252" s="27" t="s">
        <v>248</v>
      </c>
    </row>
    <row r="253" customFormat="false" ht="15" hidden="false" customHeight="false" outlineLevel="0" collapsed="false">
      <c r="B253" s="59" t="s">
        <v>526</v>
      </c>
      <c r="C253" s="59" t="s">
        <v>515</v>
      </c>
      <c r="D253" s="99" t="n">
        <v>0</v>
      </c>
      <c r="E253" s="75" t="n">
        <v>0.1</v>
      </c>
      <c r="F253" s="64" t="n">
        <f aca="false">IF(COUNTA(B253:E253)=0,"",SUM(E$253:E253))</f>
        <v>0.1</v>
      </c>
      <c r="G253" s="60" t="str">
        <f aca="false">IF(COUNTA(B253:E253)=0,"",IF(AND(LEN(B253)&gt;0,ISNUMBER(E253),E253&gt;=0,ISNUMBER(D253),OR(AND(C253="Booking + quarters",D253&gt;=0,INT(D253)=D253,D253&lt;=12),AND(C253="Construction % complete",D253&gt;=0,D253&lt;=1))),"OK","ERROR"))</f>
        <v>OK</v>
      </c>
    </row>
    <row r="254" customFormat="false" ht="15" hidden="false" customHeight="false" outlineLevel="0" collapsed="false">
      <c r="B254" s="59" t="s">
        <v>516</v>
      </c>
      <c r="C254" s="59" t="s">
        <v>515</v>
      </c>
      <c r="D254" s="99" t="n">
        <v>1</v>
      </c>
      <c r="E254" s="75" t="n">
        <v>0.1</v>
      </c>
      <c r="F254" s="64" t="n">
        <f aca="false">IF(COUNTA(B254:E254)=0,"",SUM(E$253:E254))</f>
        <v>0.2</v>
      </c>
      <c r="G254" s="60" t="str">
        <f aca="false">IF(COUNTA(B254:E254)=0,"",IF(AND(LEN(B254)&gt;0,ISNUMBER(E254),E254&gt;=0,ISNUMBER(D254),OR(AND(C254="Booking + quarters",D254&gt;=0,INT(D254)=D254,D254&lt;=12),AND(C254="Construction % complete",D254&gt;=0,D254&lt;=1))),"OK","ERROR"))</f>
        <v>OK</v>
      </c>
    </row>
    <row r="255" customFormat="false" ht="15" hidden="false" customHeight="false" outlineLevel="0" collapsed="false">
      <c r="B255" s="59" t="s">
        <v>527</v>
      </c>
      <c r="C255" s="59" t="s">
        <v>518</v>
      </c>
      <c r="D255" s="99" t="n">
        <v>0.1</v>
      </c>
      <c r="E255" s="75" t="n">
        <v>0.1</v>
      </c>
      <c r="F255" s="64" t="n">
        <f aca="false">IF(COUNTA(B255:E255)=0,"",SUM(E$253:E255))</f>
        <v>0.3</v>
      </c>
      <c r="G255" s="60" t="str">
        <f aca="false">IF(COUNTA(B255:E255)=0,"",IF(AND(LEN(B255)&gt;0,ISNUMBER(E255),E255&gt;=0,ISNUMBER(D255),OR(AND(C255="Booking + quarters",D255&gt;=0,INT(D255)=D255,D255&lt;=12),AND(C255="Construction % complete",D255&gt;=0,D255&lt;=1))),"OK","ERROR"))</f>
        <v>OK</v>
      </c>
    </row>
    <row r="256" customFormat="false" ht="15" hidden="false" customHeight="false" outlineLevel="0" collapsed="false">
      <c r="B256" s="59" t="s">
        <v>528</v>
      </c>
      <c r="C256" s="59" t="s">
        <v>518</v>
      </c>
      <c r="D256" s="99" t="n">
        <v>0.2</v>
      </c>
      <c r="E256" s="75" t="n">
        <v>0.1</v>
      </c>
      <c r="F256" s="64" t="n">
        <f aca="false">IF(COUNTA(B256:E256)=0,"",SUM(E$253:E256))</f>
        <v>0.4</v>
      </c>
      <c r="G256" s="60" t="str">
        <f aca="false">IF(COUNTA(B256:E256)=0,"",IF(AND(LEN(B256)&gt;0,ISNUMBER(E256),E256&gt;=0,ISNUMBER(D256),OR(AND(C256="Booking + quarters",D256&gt;=0,INT(D256)=D256,D256&lt;=12),AND(C256="Construction % complete",D256&gt;=0,D256&lt;=1))),"OK","ERROR"))</f>
        <v>OK</v>
      </c>
    </row>
    <row r="257" customFormat="false" ht="15" hidden="false" customHeight="false" outlineLevel="0" collapsed="false">
      <c r="B257" s="59" t="s">
        <v>529</v>
      </c>
      <c r="C257" s="59" t="s">
        <v>518</v>
      </c>
      <c r="D257" s="99" t="n">
        <v>0.35</v>
      </c>
      <c r="E257" s="75" t="n">
        <v>0.1</v>
      </c>
      <c r="F257" s="64" t="n">
        <f aca="false">IF(COUNTA(B257:E257)=0,"",SUM(E$253:E257))</f>
        <v>0.5</v>
      </c>
      <c r="G257" s="60" t="str">
        <f aca="false">IF(COUNTA(B257:E257)=0,"",IF(AND(LEN(B257)&gt;0,ISNUMBER(E257),E257&gt;=0,ISNUMBER(D257),OR(AND(C257="Booking + quarters",D257&gt;=0,INT(D257)=D257,D257&lt;=12),AND(C257="Construction % complete",D257&gt;=0,D257&lt;=1))),"OK","ERROR"))</f>
        <v>OK</v>
      </c>
    </row>
    <row r="258" customFormat="false" ht="15" hidden="false" customHeight="false" outlineLevel="0" collapsed="false">
      <c r="B258" s="59" t="s">
        <v>530</v>
      </c>
      <c r="C258" s="59" t="s">
        <v>518</v>
      </c>
      <c r="D258" s="99" t="n">
        <v>0.5</v>
      </c>
      <c r="E258" s="75" t="n">
        <v>0.1</v>
      </c>
      <c r="F258" s="64" t="n">
        <f aca="false">IF(COUNTA(B258:E258)=0,"",SUM(E$253:E258))</f>
        <v>0.6</v>
      </c>
      <c r="G258" s="60" t="str">
        <f aca="false">IF(COUNTA(B258:E258)=0,"",IF(AND(LEN(B258)&gt;0,ISNUMBER(E258),E258&gt;=0,ISNUMBER(D258),OR(AND(C258="Booking + quarters",D258&gt;=0,INT(D258)=D258,D258&lt;=12),AND(C258="Construction % complete",D258&gt;=0,D258&lt;=1))),"OK","ERROR"))</f>
        <v>OK</v>
      </c>
    </row>
    <row r="259" customFormat="false" ht="15" hidden="false" customHeight="false" outlineLevel="0" collapsed="false">
      <c r="B259" s="59" t="s">
        <v>531</v>
      </c>
      <c r="C259" s="59" t="s">
        <v>518</v>
      </c>
      <c r="D259" s="99" t="n">
        <v>0.65</v>
      </c>
      <c r="E259" s="75" t="n">
        <v>0.1</v>
      </c>
      <c r="F259" s="64" t="n">
        <f aca="false">IF(COUNTA(B259:E259)=0,"",SUM(E$253:E259))</f>
        <v>0.7</v>
      </c>
      <c r="G259" s="60" t="str">
        <f aca="false">IF(COUNTA(B259:E259)=0,"",IF(AND(LEN(B259)&gt;0,ISNUMBER(E259),E259&gt;=0,ISNUMBER(D259),OR(AND(C259="Booking + quarters",D259&gt;=0,INT(D259)=D259,D259&lt;=12),AND(C259="Construction % complete",D259&gt;=0,D259&lt;=1))),"OK","ERROR"))</f>
        <v>OK</v>
      </c>
    </row>
    <row r="260" customFormat="false" ht="15" hidden="false" customHeight="false" outlineLevel="0" collapsed="false">
      <c r="B260" s="59" t="s">
        <v>532</v>
      </c>
      <c r="C260" s="59" t="s">
        <v>518</v>
      </c>
      <c r="D260" s="99" t="n">
        <v>0.8</v>
      </c>
      <c r="E260" s="75" t="n">
        <v>0.1</v>
      </c>
      <c r="F260" s="64" t="n">
        <f aca="false">IF(COUNTA(B260:E260)=0,"",SUM(E$253:E260))</f>
        <v>0.8</v>
      </c>
      <c r="G260" s="60" t="str">
        <f aca="false">IF(COUNTA(B260:E260)=0,"",IF(AND(LEN(B260)&gt;0,ISNUMBER(E260),E260&gt;=0,ISNUMBER(D260),OR(AND(C260="Booking + quarters",D260&gt;=0,INT(D260)=D260,D260&lt;=12),AND(C260="Construction % complete",D260&gt;=0,D260&lt;=1))),"OK","ERROR"))</f>
        <v>OK</v>
      </c>
    </row>
    <row r="261" customFormat="false" ht="15" hidden="false" customHeight="false" outlineLevel="0" collapsed="false">
      <c r="B261" s="59" t="s">
        <v>533</v>
      </c>
      <c r="C261" s="59" t="s">
        <v>518</v>
      </c>
      <c r="D261" s="99" t="n">
        <v>0.9</v>
      </c>
      <c r="E261" s="75" t="n">
        <v>0.05</v>
      </c>
      <c r="F261" s="64" t="n">
        <f aca="false">IF(COUNTA(B261:E261)=0,"",SUM(E$253:E261))</f>
        <v>0.85</v>
      </c>
      <c r="G261" s="60" t="str">
        <f aca="false">IF(COUNTA(B261:E261)=0,"",IF(AND(LEN(B261)&gt;0,ISNUMBER(E261),E261&gt;=0,ISNUMBER(D261),OR(AND(C261="Booking + quarters",D261&gt;=0,INT(D261)=D261,D261&lt;=12),AND(C261="Construction % complete",D261&gt;=0,D261&lt;=1))),"OK","ERROR"))</f>
        <v>OK</v>
      </c>
    </row>
    <row r="262" customFormat="false" ht="15" hidden="false" customHeight="false" outlineLevel="0" collapsed="false">
      <c r="B262" s="59" t="s">
        <v>534</v>
      </c>
      <c r="C262" s="59" t="s">
        <v>518</v>
      </c>
      <c r="D262" s="99" t="n">
        <v>0.95</v>
      </c>
      <c r="E262" s="75" t="n">
        <v>0.05</v>
      </c>
      <c r="F262" s="64" t="n">
        <f aca="false">IF(COUNTA(B262:E262)=0,"",SUM(E$253:E262))</f>
        <v>0.9</v>
      </c>
      <c r="G262" s="60" t="str">
        <f aca="false">IF(COUNTA(B262:E262)=0,"",IF(AND(LEN(B262)&gt;0,ISNUMBER(E262),E262&gt;=0,ISNUMBER(D262),OR(AND(C262="Booking + quarters",D262&gt;=0,INT(D262)=D262,D262&lt;=12),AND(C262="Construction % complete",D262&gt;=0,D262&lt;=1))),"OK","ERROR"))</f>
        <v>OK</v>
      </c>
    </row>
    <row r="263" customFormat="false" ht="15" hidden="false" customHeight="false" outlineLevel="0" collapsed="false">
      <c r="B263" s="59" t="s">
        <v>524</v>
      </c>
      <c r="C263" s="59" t="s">
        <v>518</v>
      </c>
      <c r="D263" s="99" t="n">
        <v>1</v>
      </c>
      <c r="E263" s="75" t="n">
        <v>0.1</v>
      </c>
      <c r="F263" s="64" t="n">
        <f aca="false">IF(COUNTA(B263:E263)=0,"",SUM(E$253:E263))</f>
        <v>1</v>
      </c>
      <c r="G263" s="60" t="str">
        <f aca="false">IF(COUNTA(B263:E263)=0,"",IF(AND(LEN(B263)&gt;0,ISNUMBER(E263),E263&gt;=0,ISNUMBER(D263),OR(AND(C263="Booking + quarters",D263&gt;=0,INT(D263)=D263,D263&lt;=12),AND(C263="Construction % complete",D263&gt;=0,D263&lt;=1))),"OK","ERROR"))</f>
        <v>OK</v>
      </c>
    </row>
    <row r="264" customFormat="false" ht="15" hidden="false" customHeight="false" outlineLevel="0" collapsed="false">
      <c r="B264" s="59"/>
      <c r="C264" s="59"/>
      <c r="D264" s="99"/>
      <c r="E264" s="75"/>
      <c r="F264" s="64" t="str">
        <f aca="false">IF(COUNTA(B264:E264)=0,"",SUM(E$253:E264))</f>
        <v/>
      </c>
      <c r="G264" s="60" t="str">
        <f aca="false">IF(COUNTA(B264:E264)=0,"",IF(AND(LEN(B264)&gt;0,ISNUMBER(E264),E264&gt;=0,ISNUMBER(D264),OR(AND(C264="Booking + quarters",D264&gt;=0,INT(D264)=D264,D264&lt;=12),AND(C264="Construction % complete",D264&gt;=0,D264&lt;=1))),"OK","ERROR"))</f>
        <v/>
      </c>
    </row>
    <row r="265" customFormat="false" ht="15" hidden="false" customHeight="false" outlineLevel="0" collapsed="false">
      <c r="B265" s="59"/>
      <c r="C265" s="59"/>
      <c r="D265" s="99"/>
      <c r="E265" s="75"/>
      <c r="F265" s="64" t="str">
        <f aca="false">IF(COUNTA(B265:E265)=0,"",SUM(E$253:E265))</f>
        <v/>
      </c>
      <c r="G265" s="60" t="str">
        <f aca="false">IF(COUNTA(B265:E265)=0,"",IF(AND(LEN(B265)&gt;0,ISNUMBER(E265),E265&gt;=0,ISNUMBER(D265),OR(AND(C265="Booking + quarters",D265&gt;=0,INT(D265)=D265,D265&lt;=12),AND(C265="Construction % complete",D265&gt;=0,D265&lt;=1))),"OK","ERROR"))</f>
        <v/>
      </c>
    </row>
    <row r="266" customFormat="false" ht="15" hidden="false" customHeight="false" outlineLevel="0" collapsed="false">
      <c r="B266" s="59"/>
      <c r="C266" s="59"/>
      <c r="D266" s="99"/>
      <c r="E266" s="75"/>
      <c r="F266" s="64" t="str">
        <f aca="false">IF(COUNTA(B266:E266)=0,"",SUM(E$253:E266))</f>
        <v/>
      </c>
      <c r="G266" s="60" t="str">
        <f aca="false">IF(COUNTA(B266:E266)=0,"",IF(AND(LEN(B266)&gt;0,ISNUMBER(E266),E266&gt;=0,ISNUMBER(D266),OR(AND(C266="Booking + quarters",D266&gt;=0,INT(D266)=D266,D266&lt;=12),AND(C266="Construction % complete",D266&gt;=0,D266&lt;=1))),"OK","ERROR"))</f>
        <v/>
      </c>
    </row>
    <row r="267" customFormat="false" ht="15" hidden="false" customHeight="false" outlineLevel="0" collapsed="false">
      <c r="B267" s="59"/>
      <c r="C267" s="59"/>
      <c r="D267" s="99"/>
      <c r="E267" s="75"/>
      <c r="F267" s="64" t="str">
        <f aca="false">IF(COUNTA(B267:E267)=0,"",SUM(E$253:E267))</f>
        <v/>
      </c>
      <c r="G267" s="60" t="str">
        <f aca="false">IF(COUNTA(B267:E267)=0,"",IF(AND(LEN(B267)&gt;0,ISNUMBER(E267),E267&gt;=0,ISNUMBER(D267),OR(AND(C267="Booking + quarters",D267&gt;=0,INT(D267)=D267,D267&lt;=12),AND(C267="Construction % complete",D267&gt;=0,D267&lt;=1))),"OK","ERROR"))</f>
        <v/>
      </c>
    </row>
    <row r="268" customFormat="false" ht="15" hidden="false" customHeight="false" outlineLevel="0" collapsed="false">
      <c r="B268" s="59"/>
      <c r="C268" s="59"/>
      <c r="D268" s="99"/>
      <c r="E268" s="75"/>
      <c r="F268" s="64" t="str">
        <f aca="false">IF(COUNTA(B268:E268)=0,"",SUM(E$253:E268))</f>
        <v/>
      </c>
      <c r="G268" s="60" t="str">
        <f aca="false">IF(COUNTA(B268:E268)=0,"",IF(AND(LEN(B268)&gt;0,ISNUMBER(E268),E268&gt;=0,ISNUMBER(D268),OR(AND(C268="Booking + quarters",D268&gt;=0,INT(D268)=D268,D268&lt;=12),AND(C268="Construction % complete",D268&gt;=0,D268&lt;=1))),"OK","ERROR"))</f>
        <v/>
      </c>
    </row>
    <row r="269" customFormat="false" ht="15" hidden="false" customHeight="false" outlineLevel="0" collapsed="false">
      <c r="B269" s="59"/>
      <c r="C269" s="59"/>
      <c r="D269" s="99"/>
      <c r="E269" s="75"/>
      <c r="F269" s="64" t="str">
        <f aca="false">IF(COUNTA(B269:E269)=0,"",SUM(E$253:E269))</f>
        <v/>
      </c>
      <c r="G269" s="60" t="str">
        <f aca="false">IF(COUNTA(B269:E269)=0,"",IF(AND(LEN(B269)&gt;0,ISNUMBER(E269),E269&gt;=0,ISNUMBER(D269),OR(AND(C269="Booking + quarters",D269&gt;=0,INT(D269)=D269,D269&lt;=12),AND(C269="Construction % complete",D269&gt;=0,D269&lt;=1))),"OK","ERROR"))</f>
        <v/>
      </c>
    </row>
    <row r="270" customFormat="false" ht="15" hidden="false" customHeight="false" outlineLevel="0" collapsed="false">
      <c r="B270" s="59"/>
      <c r="C270" s="59"/>
      <c r="D270" s="99"/>
      <c r="E270" s="75"/>
      <c r="F270" s="64" t="str">
        <f aca="false">IF(COUNTA(B270:E270)=0,"",SUM(E$253:E270))</f>
        <v/>
      </c>
      <c r="G270" s="60" t="str">
        <f aca="false">IF(COUNTA(B270:E270)=0,"",IF(AND(LEN(B270)&gt;0,ISNUMBER(E270),E270&gt;=0,ISNUMBER(D270),OR(AND(C270="Booking + quarters",D270&gt;=0,INT(D270)=D270,D270&lt;=12),AND(C270="Construction % complete",D270&gt;=0,D270&lt;=1))),"OK","ERROR"))</f>
        <v/>
      </c>
    </row>
    <row r="271" customFormat="false" ht="15" hidden="false" customHeight="false" outlineLevel="0" collapsed="false">
      <c r="B271" s="59"/>
      <c r="C271" s="59"/>
      <c r="D271" s="99"/>
      <c r="E271" s="75"/>
      <c r="F271" s="64" t="str">
        <f aca="false">IF(COUNTA(B271:E271)=0,"",SUM(E$253:E271))</f>
        <v/>
      </c>
      <c r="G271" s="60" t="str">
        <f aca="false">IF(COUNTA(B271:E271)=0,"",IF(AND(LEN(B271)&gt;0,ISNUMBER(E271),E271&gt;=0,ISNUMBER(D271),OR(AND(C271="Booking + quarters",D271&gt;=0,INT(D271)=D271,D271&lt;=12),AND(C271="Construction % complete",D271&gt;=0,D271&lt;=1))),"OK","ERROR"))</f>
        <v/>
      </c>
    </row>
    <row r="272" customFormat="false" ht="15" hidden="false" customHeight="false" outlineLevel="0" collapsed="false">
      <c r="B272" s="59"/>
      <c r="C272" s="59"/>
      <c r="D272" s="99"/>
      <c r="E272" s="75"/>
      <c r="F272" s="64" t="str">
        <f aca="false">IF(COUNTA(B272:E272)=0,"",SUM(E$253:E272))</f>
        <v/>
      </c>
      <c r="G272" s="60" t="str">
        <f aca="false">IF(COUNTA(B272:E272)=0,"",IF(AND(LEN(B272)&gt;0,ISNUMBER(E272),E272&gt;=0,ISNUMBER(D272),OR(AND(C272="Booking + quarters",D272&gt;=0,INT(D272)=D272,D272&lt;=12),AND(C272="Construction % complete",D272&gt;=0,D272&lt;=1))),"OK","ERROR"))</f>
        <v/>
      </c>
    </row>
    <row r="273" customFormat="false" ht="15" hidden="false" customHeight="false" outlineLevel="0" collapsed="false">
      <c r="B273" s="59"/>
      <c r="C273" s="59"/>
      <c r="D273" s="99"/>
      <c r="E273" s="75"/>
      <c r="F273" s="64" t="str">
        <f aca="false">IF(COUNTA(B273:E273)=0,"",SUM(E$253:E273))</f>
        <v/>
      </c>
      <c r="G273" s="60" t="str">
        <f aca="false">IF(COUNTA(B273:E273)=0,"",IF(AND(LEN(B273)&gt;0,ISNUMBER(E273),E273&gt;=0,ISNUMBER(D273),OR(AND(C273="Booking + quarters",D273&gt;=0,INT(D273)=D273,D273&lt;=12),AND(C273="Construction % complete",D273&gt;=0,D273&lt;=1))),"OK","ERROR"))</f>
        <v/>
      </c>
    </row>
    <row r="274" customFormat="false" ht="15" hidden="false" customHeight="false" outlineLevel="0" collapsed="false">
      <c r="B274" s="59"/>
      <c r="C274" s="59"/>
      <c r="D274" s="99"/>
      <c r="E274" s="75"/>
      <c r="F274" s="64" t="str">
        <f aca="false">IF(COUNTA(B274:E274)=0,"",SUM(E$253:E274))</f>
        <v/>
      </c>
      <c r="G274" s="60" t="str">
        <f aca="false">IF(COUNTA(B274:E274)=0,"",IF(AND(LEN(B274)&gt;0,ISNUMBER(E274),E274&gt;=0,ISNUMBER(D274),OR(AND(C274="Booking + quarters",D274&gt;=0,INT(D274)=D274,D274&lt;=12),AND(C274="Construction % complete",D274&gt;=0,D274&lt;=1))),"OK","ERROR"))</f>
        <v/>
      </c>
    </row>
    <row r="275" customFormat="false" ht="15" hidden="false" customHeight="false" outlineLevel="0" collapsed="false">
      <c r="B275" s="59"/>
      <c r="C275" s="59"/>
      <c r="D275" s="99"/>
      <c r="E275" s="75"/>
      <c r="F275" s="64" t="str">
        <f aca="false">IF(COUNTA(B275:E275)=0,"",SUM(E$253:E275))</f>
        <v/>
      </c>
      <c r="G275" s="60" t="str">
        <f aca="false">IF(COUNTA(B275:E275)=0,"",IF(AND(LEN(B275)&gt;0,ISNUMBER(E275),E275&gt;=0,ISNUMBER(D275),OR(AND(C275="Booking + quarters",D275&gt;=0,INT(D275)=D275,D275&lt;=12),AND(C275="Construction % complete",D275&gt;=0,D275&lt;=1))),"OK","ERROR"))</f>
        <v/>
      </c>
    </row>
    <row r="276" customFormat="false" ht="15" hidden="false" customHeight="false" outlineLevel="0" collapsed="false">
      <c r="B276" s="59"/>
      <c r="C276" s="59"/>
      <c r="D276" s="99"/>
      <c r="E276" s="75"/>
      <c r="F276" s="64" t="str">
        <f aca="false">IF(COUNTA(B276:E276)=0,"",SUM(E$253:E276))</f>
        <v/>
      </c>
      <c r="G276" s="60" t="str">
        <f aca="false">IF(COUNTA(B276:E276)=0,"",IF(AND(LEN(B276)&gt;0,ISNUMBER(E276),E276&gt;=0,ISNUMBER(D276),OR(AND(C276="Booking + quarters",D276&gt;=0,INT(D276)=D276,D276&lt;=12),AND(C276="Construction % complete",D276&gt;=0,D276&lt;=1))),"OK","ERROR"))</f>
        <v/>
      </c>
    </row>
    <row r="277" customFormat="false" ht="15" hidden="false" customHeight="false" outlineLevel="0" collapsed="false">
      <c r="B277" s="59"/>
      <c r="C277" s="59"/>
      <c r="D277" s="99"/>
      <c r="E277" s="75"/>
      <c r="F277" s="64" t="str">
        <f aca="false">IF(COUNTA(B277:E277)=0,"",SUM(E$253:E277))</f>
        <v/>
      </c>
      <c r="G277" s="60" t="str">
        <f aca="false">IF(COUNTA(B277:E277)=0,"",IF(AND(LEN(B277)&gt;0,ISNUMBER(E277),E277&gt;=0,ISNUMBER(D277),OR(AND(C277="Booking + quarters",D277&gt;=0,INT(D277)=D277,D277&lt;=12),AND(C277="Construction % complete",D277&gt;=0,D277&lt;=1))),"OK","ERROR"))</f>
        <v/>
      </c>
    </row>
    <row r="278" customFormat="false" ht="15" hidden="false" customHeight="false" outlineLevel="0" collapsed="false">
      <c r="B278" s="59"/>
      <c r="C278" s="59"/>
      <c r="D278" s="99"/>
      <c r="E278" s="75"/>
      <c r="F278" s="64" t="str">
        <f aca="false">IF(COUNTA(B278:E278)=0,"",SUM(E$253:E278))</f>
        <v/>
      </c>
      <c r="G278" s="60" t="str">
        <f aca="false">IF(COUNTA(B278:E278)=0,"",IF(AND(LEN(B278)&gt;0,ISNUMBER(E278),E278&gt;=0,ISNUMBER(D278),OR(AND(C278="Booking + quarters",D278&gt;=0,INT(D278)=D278,D278&lt;=12),AND(C278="Construction % complete",D278&gt;=0,D278&lt;=1))),"OK","ERROR"))</f>
        <v/>
      </c>
    </row>
    <row r="279" customFormat="false" ht="15" hidden="false" customHeight="false" outlineLevel="0" collapsed="false">
      <c r="B279" s="59"/>
      <c r="C279" s="59"/>
      <c r="D279" s="99"/>
      <c r="E279" s="75"/>
      <c r="F279" s="64" t="str">
        <f aca="false">IF(COUNTA(B279:E279)=0,"",SUM(E$253:E279))</f>
        <v/>
      </c>
      <c r="G279" s="60" t="str">
        <f aca="false">IF(COUNTA(B279:E279)=0,"",IF(AND(LEN(B279)&gt;0,ISNUMBER(E279),E279&gt;=0,ISNUMBER(D279),OR(AND(C279="Booking + quarters",D279&gt;=0,INT(D279)=D279,D279&lt;=12),AND(C279="Construction % complete",D279&gt;=0,D279&lt;=1))),"OK","ERROR"))</f>
        <v/>
      </c>
    </row>
    <row r="280" customFormat="false" ht="15" hidden="false" customHeight="false" outlineLevel="0" collapsed="false">
      <c r="B280" s="59"/>
      <c r="C280" s="59"/>
      <c r="D280" s="99"/>
      <c r="E280" s="75"/>
      <c r="F280" s="64" t="str">
        <f aca="false">IF(COUNTA(B280:E280)=0,"",SUM(E$253:E280))</f>
        <v/>
      </c>
      <c r="G280" s="60" t="str">
        <f aca="false">IF(COUNTA(B280:E280)=0,"",IF(AND(LEN(B280)&gt;0,ISNUMBER(E280),E280&gt;=0,ISNUMBER(D280),OR(AND(C280="Booking + quarters",D280&gt;=0,INT(D280)=D280,D280&lt;=12),AND(C280="Construction % complete",D280&gt;=0,D280&lt;=1))),"OK","ERROR"))</f>
        <v/>
      </c>
    </row>
    <row r="281" customFormat="false" ht="15" hidden="false" customHeight="false" outlineLevel="0" collapsed="false">
      <c r="B281" s="59"/>
      <c r="C281" s="59"/>
      <c r="D281" s="99"/>
      <c r="E281" s="75"/>
      <c r="F281" s="64" t="str">
        <f aca="false">IF(COUNTA(B281:E281)=0,"",SUM(E$253:E281))</f>
        <v/>
      </c>
      <c r="G281" s="60" t="str">
        <f aca="false">IF(COUNTA(B281:E281)=0,"",IF(AND(LEN(B281)&gt;0,ISNUMBER(E281),E281&gt;=0,ISNUMBER(D281),OR(AND(C281="Booking + quarters",D281&gt;=0,INT(D281)=D281,D281&lt;=12),AND(C281="Construction % complete",D281&gt;=0,D281&lt;=1))),"OK","ERROR"))</f>
        <v/>
      </c>
    </row>
    <row r="282" customFormat="false" ht="15" hidden="false" customHeight="false" outlineLevel="0" collapsed="false">
      <c r="B282" s="59"/>
      <c r="C282" s="59"/>
      <c r="D282" s="99"/>
      <c r="E282" s="75"/>
      <c r="F282" s="64" t="str">
        <f aca="false">IF(COUNTA(B282:E282)=0,"",SUM(E$253:E282))</f>
        <v/>
      </c>
      <c r="G282" s="60" t="str">
        <f aca="false">IF(COUNTA(B282:E282)=0,"",IF(AND(LEN(B282)&gt;0,ISNUMBER(E282),E282&gt;=0,ISNUMBER(D282),OR(AND(C282="Booking + quarters",D282&gt;=0,INT(D282)=D282,D282&lt;=12),AND(C282="Construction % complete",D282&gt;=0,D282&lt;=1))),"OK","ERROR"))</f>
        <v/>
      </c>
    </row>
    <row r="283" customFormat="false" ht="15" hidden="false" customHeight="false" outlineLevel="0" collapsed="false">
      <c r="B283" s="82" t="s">
        <v>525</v>
      </c>
      <c r="C283" s="86"/>
      <c r="D283" s="86"/>
      <c r="E283" s="83" t="n">
        <f aca="false">SUM(E253:E282)</f>
        <v>1</v>
      </c>
      <c r="F283" s="86"/>
      <c r="G283" s="100" t="str">
        <f aca="false">IF(COUNTA(B253:E282)=0,"Unused",IF(AND(LEN(C251)&gt;0,COUNTIF(LISTS!$R$5:$R$10,C251)=1,ABS(E283-1)&lt;0.000001,COUNTIF(G253:G282,"ERROR")=0),"OK","ERROR"))</f>
        <v>OK</v>
      </c>
    </row>
    <row r="285" customFormat="false" ht="15" hidden="false" customHeight="false" outlineLevel="0" collapsed="false">
      <c r="B285" s="2" t="s">
        <v>507</v>
      </c>
      <c r="C285" s="59" t="s">
        <v>304</v>
      </c>
      <c r="D285" s="17" t="s">
        <v>508</v>
      </c>
    </row>
    <row r="286" customFormat="false" ht="30" hidden="false" customHeight="true" outlineLevel="0" collapsed="false">
      <c r="B286" s="27" t="s">
        <v>509</v>
      </c>
      <c r="C286" s="27" t="s">
        <v>510</v>
      </c>
      <c r="D286" s="27" t="s">
        <v>511</v>
      </c>
      <c r="E286" s="27" t="s">
        <v>512</v>
      </c>
      <c r="F286" s="27" t="s">
        <v>513</v>
      </c>
      <c r="G286" s="27" t="s">
        <v>248</v>
      </c>
    </row>
    <row r="287" customFormat="false" ht="15" hidden="false" customHeight="false" outlineLevel="0" collapsed="false">
      <c r="B287" s="59" t="s">
        <v>526</v>
      </c>
      <c r="C287" s="59" t="s">
        <v>515</v>
      </c>
      <c r="D287" s="99" t="n">
        <v>0</v>
      </c>
      <c r="E287" s="75" t="n">
        <v>0.1</v>
      </c>
      <c r="F287" s="64" t="n">
        <f aca="false">IF(COUNTA(B287:E287)=0,"",SUM(E$287:E287))</f>
        <v>0.1</v>
      </c>
      <c r="G287" s="60" t="str">
        <f aca="false">IF(COUNTA(B287:E287)=0,"",IF(AND(LEN(B287)&gt;0,ISNUMBER(E287),E287&gt;=0,ISNUMBER(D287),OR(AND(C287="Booking + quarters",D287&gt;=0,INT(D287)=D287,D287&lt;=12),AND(C287="Construction % complete",D287&gt;=0,D287&lt;=1))),"OK","ERROR"))</f>
        <v>OK</v>
      </c>
    </row>
    <row r="288" customFormat="false" ht="15" hidden="false" customHeight="false" outlineLevel="0" collapsed="false">
      <c r="B288" s="59" t="s">
        <v>516</v>
      </c>
      <c r="C288" s="59" t="s">
        <v>515</v>
      </c>
      <c r="D288" s="99" t="n">
        <v>1</v>
      </c>
      <c r="E288" s="75" t="n">
        <v>0.2</v>
      </c>
      <c r="F288" s="64" t="n">
        <f aca="false">IF(COUNTA(B288:E288)=0,"",SUM(E$287:E288))</f>
        <v>0.3</v>
      </c>
      <c r="G288" s="60" t="str">
        <f aca="false">IF(COUNTA(B288:E288)=0,"",IF(AND(LEN(B288)&gt;0,ISNUMBER(E288),E288&gt;=0,ISNUMBER(D288),OR(AND(C288="Booking + quarters",D288&gt;=0,INT(D288)=D288,D288&lt;=12),AND(C288="Construction % complete",D288&gt;=0,D288&lt;=1))),"OK","ERROR"))</f>
        <v>OK</v>
      </c>
    </row>
    <row r="289" customFormat="false" ht="15" hidden="false" customHeight="false" outlineLevel="0" collapsed="false">
      <c r="B289" s="59" t="s">
        <v>535</v>
      </c>
      <c r="C289" s="59" t="s">
        <v>518</v>
      </c>
      <c r="D289" s="99" t="n">
        <v>0.25</v>
      </c>
      <c r="E289" s="75" t="n">
        <v>0.2</v>
      </c>
      <c r="F289" s="64" t="n">
        <f aca="false">IF(COUNTA(B289:E289)=0,"",SUM(E$287:E289))</f>
        <v>0.5</v>
      </c>
      <c r="G289" s="60" t="str">
        <f aca="false">IF(COUNTA(B289:E289)=0,"",IF(AND(LEN(B289)&gt;0,ISNUMBER(E289),E289&gt;=0,ISNUMBER(D289),OR(AND(C289="Booking + quarters",D289&gt;=0,INT(D289)=D289,D289&lt;=12),AND(C289="Construction % complete",D289&gt;=0,D289&lt;=1))),"OK","ERROR"))</f>
        <v>OK</v>
      </c>
    </row>
    <row r="290" customFormat="false" ht="15" hidden="false" customHeight="false" outlineLevel="0" collapsed="false">
      <c r="B290" s="59" t="s">
        <v>536</v>
      </c>
      <c r="C290" s="59" t="s">
        <v>518</v>
      </c>
      <c r="D290" s="99" t="n">
        <v>0.6</v>
      </c>
      <c r="E290" s="75" t="n">
        <v>0.2</v>
      </c>
      <c r="F290" s="64" t="n">
        <f aca="false">IF(COUNTA(B290:E290)=0,"",SUM(E$287:E290))</f>
        <v>0.7</v>
      </c>
      <c r="G290" s="60" t="str">
        <f aca="false">IF(COUNTA(B290:E290)=0,"",IF(AND(LEN(B290)&gt;0,ISNUMBER(E290),E290&gt;=0,ISNUMBER(D290),OR(AND(C290="Booking + quarters",D290&gt;=0,INT(D290)=D290,D290&lt;=12),AND(C290="Construction % complete",D290&gt;=0,D290&lt;=1))),"OK","ERROR"))</f>
        <v>OK</v>
      </c>
    </row>
    <row r="291" customFormat="false" ht="15" hidden="false" customHeight="false" outlineLevel="0" collapsed="false">
      <c r="B291" s="59" t="s">
        <v>537</v>
      </c>
      <c r="C291" s="59" t="s">
        <v>518</v>
      </c>
      <c r="D291" s="99" t="n">
        <v>1</v>
      </c>
      <c r="E291" s="75" t="n">
        <v>0.3</v>
      </c>
      <c r="F291" s="64" t="n">
        <f aca="false">IF(COUNTA(B291:E291)=0,"",SUM(E$287:E291))</f>
        <v>1</v>
      </c>
      <c r="G291" s="60" t="str">
        <f aca="false">IF(COUNTA(B291:E291)=0,"",IF(AND(LEN(B291)&gt;0,ISNUMBER(E291),E291&gt;=0,ISNUMBER(D291),OR(AND(C291="Booking + quarters",D291&gt;=0,INT(D291)=D291,D291&lt;=12),AND(C291="Construction % complete",D291&gt;=0,D291&lt;=1))),"OK","ERROR"))</f>
        <v>OK</v>
      </c>
    </row>
    <row r="292" customFormat="false" ht="15" hidden="false" customHeight="false" outlineLevel="0" collapsed="false">
      <c r="B292" s="59"/>
      <c r="C292" s="59"/>
      <c r="D292" s="99"/>
      <c r="E292" s="75"/>
      <c r="F292" s="64" t="str">
        <f aca="false">IF(COUNTA(B292:E292)=0,"",SUM(E$287:E292))</f>
        <v/>
      </c>
      <c r="G292" s="60" t="str">
        <f aca="false">IF(COUNTA(B292:E292)=0,"",IF(AND(LEN(B292)&gt;0,ISNUMBER(E292),E292&gt;=0,ISNUMBER(D292),OR(AND(C292="Booking + quarters",D292&gt;=0,INT(D292)=D292,D292&lt;=12),AND(C292="Construction % complete",D292&gt;=0,D292&lt;=1))),"OK","ERROR"))</f>
        <v/>
      </c>
    </row>
    <row r="293" customFormat="false" ht="15" hidden="false" customHeight="false" outlineLevel="0" collapsed="false">
      <c r="B293" s="59"/>
      <c r="C293" s="59"/>
      <c r="D293" s="99"/>
      <c r="E293" s="75"/>
      <c r="F293" s="64" t="str">
        <f aca="false">IF(COUNTA(B293:E293)=0,"",SUM(E$287:E293))</f>
        <v/>
      </c>
      <c r="G293" s="60" t="str">
        <f aca="false">IF(COUNTA(B293:E293)=0,"",IF(AND(LEN(B293)&gt;0,ISNUMBER(E293),E293&gt;=0,ISNUMBER(D293),OR(AND(C293="Booking + quarters",D293&gt;=0,INT(D293)=D293,D293&lt;=12),AND(C293="Construction % complete",D293&gt;=0,D293&lt;=1))),"OK","ERROR"))</f>
        <v/>
      </c>
    </row>
    <row r="294" customFormat="false" ht="15" hidden="false" customHeight="false" outlineLevel="0" collapsed="false">
      <c r="B294" s="59"/>
      <c r="C294" s="59"/>
      <c r="D294" s="99"/>
      <c r="E294" s="75"/>
      <c r="F294" s="64" t="str">
        <f aca="false">IF(COUNTA(B294:E294)=0,"",SUM(E$287:E294))</f>
        <v/>
      </c>
      <c r="G294" s="60" t="str">
        <f aca="false">IF(COUNTA(B294:E294)=0,"",IF(AND(LEN(B294)&gt;0,ISNUMBER(E294),E294&gt;=0,ISNUMBER(D294),OR(AND(C294="Booking + quarters",D294&gt;=0,INT(D294)=D294,D294&lt;=12),AND(C294="Construction % complete",D294&gt;=0,D294&lt;=1))),"OK","ERROR"))</f>
        <v/>
      </c>
    </row>
    <row r="295" customFormat="false" ht="15" hidden="false" customHeight="false" outlineLevel="0" collapsed="false">
      <c r="B295" s="59"/>
      <c r="C295" s="59"/>
      <c r="D295" s="99"/>
      <c r="E295" s="75"/>
      <c r="F295" s="64" t="str">
        <f aca="false">IF(COUNTA(B295:E295)=0,"",SUM(E$287:E295))</f>
        <v/>
      </c>
      <c r="G295" s="60" t="str">
        <f aca="false">IF(COUNTA(B295:E295)=0,"",IF(AND(LEN(B295)&gt;0,ISNUMBER(E295),E295&gt;=0,ISNUMBER(D295),OR(AND(C295="Booking + quarters",D295&gt;=0,INT(D295)=D295,D295&lt;=12),AND(C295="Construction % complete",D295&gt;=0,D295&lt;=1))),"OK","ERROR"))</f>
        <v/>
      </c>
    </row>
    <row r="296" customFormat="false" ht="15" hidden="false" customHeight="false" outlineLevel="0" collapsed="false">
      <c r="B296" s="59"/>
      <c r="C296" s="59"/>
      <c r="D296" s="99"/>
      <c r="E296" s="75"/>
      <c r="F296" s="64" t="str">
        <f aca="false">IF(COUNTA(B296:E296)=0,"",SUM(E$287:E296))</f>
        <v/>
      </c>
      <c r="G296" s="60" t="str">
        <f aca="false">IF(COUNTA(B296:E296)=0,"",IF(AND(LEN(B296)&gt;0,ISNUMBER(E296),E296&gt;=0,ISNUMBER(D296),OR(AND(C296="Booking + quarters",D296&gt;=0,INT(D296)=D296,D296&lt;=12),AND(C296="Construction % complete",D296&gt;=0,D296&lt;=1))),"OK","ERROR"))</f>
        <v/>
      </c>
    </row>
    <row r="297" customFormat="false" ht="15" hidden="false" customHeight="false" outlineLevel="0" collapsed="false">
      <c r="B297" s="59"/>
      <c r="C297" s="59"/>
      <c r="D297" s="99"/>
      <c r="E297" s="75"/>
      <c r="F297" s="64" t="str">
        <f aca="false">IF(COUNTA(B297:E297)=0,"",SUM(E$287:E297))</f>
        <v/>
      </c>
      <c r="G297" s="60" t="str">
        <f aca="false">IF(COUNTA(B297:E297)=0,"",IF(AND(LEN(B297)&gt;0,ISNUMBER(E297),E297&gt;=0,ISNUMBER(D297),OR(AND(C297="Booking + quarters",D297&gt;=0,INT(D297)=D297,D297&lt;=12),AND(C297="Construction % complete",D297&gt;=0,D297&lt;=1))),"OK","ERROR"))</f>
        <v/>
      </c>
    </row>
    <row r="298" customFormat="false" ht="15" hidden="false" customHeight="false" outlineLevel="0" collapsed="false">
      <c r="B298" s="59"/>
      <c r="C298" s="59"/>
      <c r="D298" s="99"/>
      <c r="E298" s="75"/>
      <c r="F298" s="64" t="str">
        <f aca="false">IF(COUNTA(B298:E298)=0,"",SUM(E$287:E298))</f>
        <v/>
      </c>
      <c r="G298" s="60" t="str">
        <f aca="false">IF(COUNTA(B298:E298)=0,"",IF(AND(LEN(B298)&gt;0,ISNUMBER(E298),E298&gt;=0,ISNUMBER(D298),OR(AND(C298="Booking + quarters",D298&gt;=0,INT(D298)=D298,D298&lt;=12),AND(C298="Construction % complete",D298&gt;=0,D298&lt;=1))),"OK","ERROR"))</f>
        <v/>
      </c>
    </row>
    <row r="299" customFormat="false" ht="15" hidden="false" customHeight="false" outlineLevel="0" collapsed="false">
      <c r="B299" s="59"/>
      <c r="C299" s="59"/>
      <c r="D299" s="99"/>
      <c r="E299" s="75"/>
      <c r="F299" s="64" t="str">
        <f aca="false">IF(COUNTA(B299:E299)=0,"",SUM(E$287:E299))</f>
        <v/>
      </c>
      <c r="G299" s="60" t="str">
        <f aca="false">IF(COUNTA(B299:E299)=0,"",IF(AND(LEN(B299)&gt;0,ISNUMBER(E299),E299&gt;=0,ISNUMBER(D299),OR(AND(C299="Booking + quarters",D299&gt;=0,INT(D299)=D299,D299&lt;=12),AND(C299="Construction % complete",D299&gt;=0,D299&lt;=1))),"OK","ERROR"))</f>
        <v/>
      </c>
    </row>
    <row r="300" customFormat="false" ht="15" hidden="false" customHeight="false" outlineLevel="0" collapsed="false">
      <c r="B300" s="59"/>
      <c r="C300" s="59"/>
      <c r="D300" s="99"/>
      <c r="E300" s="75"/>
      <c r="F300" s="64" t="str">
        <f aca="false">IF(COUNTA(B300:E300)=0,"",SUM(E$287:E300))</f>
        <v/>
      </c>
      <c r="G300" s="60" t="str">
        <f aca="false">IF(COUNTA(B300:E300)=0,"",IF(AND(LEN(B300)&gt;0,ISNUMBER(E300),E300&gt;=0,ISNUMBER(D300),OR(AND(C300="Booking + quarters",D300&gt;=0,INT(D300)=D300,D300&lt;=12),AND(C300="Construction % complete",D300&gt;=0,D300&lt;=1))),"OK","ERROR"))</f>
        <v/>
      </c>
    </row>
    <row r="301" customFormat="false" ht="15" hidden="false" customHeight="false" outlineLevel="0" collapsed="false">
      <c r="B301" s="59"/>
      <c r="C301" s="59"/>
      <c r="D301" s="99"/>
      <c r="E301" s="75"/>
      <c r="F301" s="64" t="str">
        <f aca="false">IF(COUNTA(B301:E301)=0,"",SUM(E$287:E301))</f>
        <v/>
      </c>
      <c r="G301" s="60" t="str">
        <f aca="false">IF(COUNTA(B301:E301)=0,"",IF(AND(LEN(B301)&gt;0,ISNUMBER(E301),E301&gt;=0,ISNUMBER(D301),OR(AND(C301="Booking + quarters",D301&gt;=0,INT(D301)=D301,D301&lt;=12),AND(C301="Construction % complete",D301&gt;=0,D301&lt;=1))),"OK","ERROR"))</f>
        <v/>
      </c>
    </row>
    <row r="302" customFormat="false" ht="15" hidden="false" customHeight="false" outlineLevel="0" collapsed="false">
      <c r="B302" s="59"/>
      <c r="C302" s="59"/>
      <c r="D302" s="99"/>
      <c r="E302" s="75"/>
      <c r="F302" s="64" t="str">
        <f aca="false">IF(COUNTA(B302:E302)=0,"",SUM(E$287:E302))</f>
        <v/>
      </c>
      <c r="G302" s="60" t="str">
        <f aca="false">IF(COUNTA(B302:E302)=0,"",IF(AND(LEN(B302)&gt;0,ISNUMBER(E302),E302&gt;=0,ISNUMBER(D302),OR(AND(C302="Booking + quarters",D302&gt;=0,INT(D302)=D302,D302&lt;=12),AND(C302="Construction % complete",D302&gt;=0,D302&lt;=1))),"OK","ERROR"))</f>
        <v/>
      </c>
    </row>
    <row r="303" customFormat="false" ht="15" hidden="false" customHeight="false" outlineLevel="0" collapsed="false">
      <c r="B303" s="59"/>
      <c r="C303" s="59"/>
      <c r="D303" s="99"/>
      <c r="E303" s="75"/>
      <c r="F303" s="64" t="str">
        <f aca="false">IF(COUNTA(B303:E303)=0,"",SUM(E$287:E303))</f>
        <v/>
      </c>
      <c r="G303" s="60" t="str">
        <f aca="false">IF(COUNTA(B303:E303)=0,"",IF(AND(LEN(B303)&gt;0,ISNUMBER(E303),E303&gt;=0,ISNUMBER(D303),OR(AND(C303="Booking + quarters",D303&gt;=0,INT(D303)=D303,D303&lt;=12),AND(C303="Construction % complete",D303&gt;=0,D303&lt;=1))),"OK","ERROR"))</f>
        <v/>
      </c>
    </row>
    <row r="304" customFormat="false" ht="15" hidden="false" customHeight="false" outlineLevel="0" collapsed="false">
      <c r="B304" s="59"/>
      <c r="C304" s="59"/>
      <c r="D304" s="99"/>
      <c r="E304" s="75"/>
      <c r="F304" s="64" t="str">
        <f aca="false">IF(COUNTA(B304:E304)=0,"",SUM(E$287:E304))</f>
        <v/>
      </c>
      <c r="G304" s="60" t="str">
        <f aca="false">IF(COUNTA(B304:E304)=0,"",IF(AND(LEN(B304)&gt;0,ISNUMBER(E304),E304&gt;=0,ISNUMBER(D304),OR(AND(C304="Booking + quarters",D304&gt;=0,INT(D304)=D304,D304&lt;=12),AND(C304="Construction % complete",D304&gt;=0,D304&lt;=1))),"OK","ERROR"))</f>
        <v/>
      </c>
    </row>
    <row r="305" customFormat="false" ht="15" hidden="false" customHeight="false" outlineLevel="0" collapsed="false">
      <c r="B305" s="59"/>
      <c r="C305" s="59"/>
      <c r="D305" s="99"/>
      <c r="E305" s="75"/>
      <c r="F305" s="64" t="str">
        <f aca="false">IF(COUNTA(B305:E305)=0,"",SUM(E$287:E305))</f>
        <v/>
      </c>
      <c r="G305" s="60" t="str">
        <f aca="false">IF(COUNTA(B305:E305)=0,"",IF(AND(LEN(B305)&gt;0,ISNUMBER(E305),E305&gt;=0,ISNUMBER(D305),OR(AND(C305="Booking + quarters",D305&gt;=0,INT(D305)=D305,D305&lt;=12),AND(C305="Construction % complete",D305&gt;=0,D305&lt;=1))),"OK","ERROR"))</f>
        <v/>
      </c>
    </row>
    <row r="306" customFormat="false" ht="15" hidden="false" customHeight="false" outlineLevel="0" collapsed="false">
      <c r="B306" s="59"/>
      <c r="C306" s="59"/>
      <c r="D306" s="99"/>
      <c r="E306" s="75"/>
      <c r="F306" s="64" t="str">
        <f aca="false">IF(COUNTA(B306:E306)=0,"",SUM(E$287:E306))</f>
        <v/>
      </c>
      <c r="G306" s="60" t="str">
        <f aca="false">IF(COUNTA(B306:E306)=0,"",IF(AND(LEN(B306)&gt;0,ISNUMBER(E306),E306&gt;=0,ISNUMBER(D306),OR(AND(C306="Booking + quarters",D306&gt;=0,INT(D306)=D306,D306&lt;=12),AND(C306="Construction % complete",D306&gt;=0,D306&lt;=1))),"OK","ERROR"))</f>
        <v/>
      </c>
    </row>
    <row r="307" customFormat="false" ht="15" hidden="false" customHeight="false" outlineLevel="0" collapsed="false">
      <c r="B307" s="59"/>
      <c r="C307" s="59"/>
      <c r="D307" s="99"/>
      <c r="E307" s="75"/>
      <c r="F307" s="64" t="str">
        <f aca="false">IF(COUNTA(B307:E307)=0,"",SUM(E$287:E307))</f>
        <v/>
      </c>
      <c r="G307" s="60" t="str">
        <f aca="false">IF(COUNTA(B307:E307)=0,"",IF(AND(LEN(B307)&gt;0,ISNUMBER(E307),E307&gt;=0,ISNUMBER(D307),OR(AND(C307="Booking + quarters",D307&gt;=0,INT(D307)=D307,D307&lt;=12),AND(C307="Construction % complete",D307&gt;=0,D307&lt;=1))),"OK","ERROR"))</f>
        <v/>
      </c>
    </row>
    <row r="308" customFormat="false" ht="15" hidden="false" customHeight="false" outlineLevel="0" collapsed="false">
      <c r="B308" s="59"/>
      <c r="C308" s="59"/>
      <c r="D308" s="99"/>
      <c r="E308" s="75"/>
      <c r="F308" s="64" t="str">
        <f aca="false">IF(COUNTA(B308:E308)=0,"",SUM(E$287:E308))</f>
        <v/>
      </c>
      <c r="G308" s="60" t="str">
        <f aca="false">IF(COUNTA(B308:E308)=0,"",IF(AND(LEN(B308)&gt;0,ISNUMBER(E308),E308&gt;=0,ISNUMBER(D308),OR(AND(C308="Booking + quarters",D308&gt;=0,INT(D308)=D308,D308&lt;=12),AND(C308="Construction % complete",D308&gt;=0,D308&lt;=1))),"OK","ERROR"))</f>
        <v/>
      </c>
    </row>
    <row r="309" customFormat="false" ht="15" hidden="false" customHeight="false" outlineLevel="0" collapsed="false">
      <c r="B309" s="59"/>
      <c r="C309" s="59"/>
      <c r="D309" s="99"/>
      <c r="E309" s="75"/>
      <c r="F309" s="64" t="str">
        <f aca="false">IF(COUNTA(B309:E309)=0,"",SUM(E$287:E309))</f>
        <v/>
      </c>
      <c r="G309" s="60" t="str">
        <f aca="false">IF(COUNTA(B309:E309)=0,"",IF(AND(LEN(B309)&gt;0,ISNUMBER(E309),E309&gt;=0,ISNUMBER(D309),OR(AND(C309="Booking + quarters",D309&gt;=0,INT(D309)=D309,D309&lt;=12),AND(C309="Construction % complete",D309&gt;=0,D309&lt;=1))),"OK","ERROR"))</f>
        <v/>
      </c>
    </row>
    <row r="310" customFormat="false" ht="15" hidden="false" customHeight="false" outlineLevel="0" collapsed="false">
      <c r="B310" s="59"/>
      <c r="C310" s="59"/>
      <c r="D310" s="99"/>
      <c r="E310" s="75"/>
      <c r="F310" s="64" t="str">
        <f aca="false">IF(COUNTA(B310:E310)=0,"",SUM(E$287:E310))</f>
        <v/>
      </c>
      <c r="G310" s="60" t="str">
        <f aca="false">IF(COUNTA(B310:E310)=0,"",IF(AND(LEN(B310)&gt;0,ISNUMBER(E310),E310&gt;=0,ISNUMBER(D310),OR(AND(C310="Booking + quarters",D310&gt;=0,INT(D310)=D310,D310&lt;=12),AND(C310="Construction % complete",D310&gt;=0,D310&lt;=1))),"OK","ERROR"))</f>
        <v/>
      </c>
    </row>
    <row r="311" customFormat="false" ht="15" hidden="false" customHeight="false" outlineLevel="0" collapsed="false">
      <c r="B311" s="59"/>
      <c r="C311" s="59"/>
      <c r="D311" s="99"/>
      <c r="E311" s="75"/>
      <c r="F311" s="64" t="str">
        <f aca="false">IF(COUNTA(B311:E311)=0,"",SUM(E$287:E311))</f>
        <v/>
      </c>
      <c r="G311" s="60" t="str">
        <f aca="false">IF(COUNTA(B311:E311)=0,"",IF(AND(LEN(B311)&gt;0,ISNUMBER(E311),E311&gt;=0,ISNUMBER(D311),OR(AND(C311="Booking + quarters",D311&gt;=0,INT(D311)=D311,D311&lt;=12),AND(C311="Construction % complete",D311&gt;=0,D311&lt;=1))),"OK","ERROR"))</f>
        <v/>
      </c>
    </row>
    <row r="312" customFormat="false" ht="15" hidden="false" customHeight="false" outlineLevel="0" collapsed="false">
      <c r="B312" s="59"/>
      <c r="C312" s="59"/>
      <c r="D312" s="99"/>
      <c r="E312" s="75"/>
      <c r="F312" s="64" t="str">
        <f aca="false">IF(COUNTA(B312:E312)=0,"",SUM(E$287:E312))</f>
        <v/>
      </c>
      <c r="G312" s="60" t="str">
        <f aca="false">IF(COUNTA(B312:E312)=0,"",IF(AND(LEN(B312)&gt;0,ISNUMBER(E312),E312&gt;=0,ISNUMBER(D312),OR(AND(C312="Booking + quarters",D312&gt;=0,INT(D312)=D312,D312&lt;=12),AND(C312="Construction % complete",D312&gt;=0,D312&lt;=1))),"OK","ERROR"))</f>
        <v/>
      </c>
    </row>
    <row r="313" customFormat="false" ht="15" hidden="false" customHeight="false" outlineLevel="0" collapsed="false">
      <c r="B313" s="59"/>
      <c r="C313" s="59"/>
      <c r="D313" s="99"/>
      <c r="E313" s="75"/>
      <c r="F313" s="64" t="str">
        <f aca="false">IF(COUNTA(B313:E313)=0,"",SUM(E$287:E313))</f>
        <v/>
      </c>
      <c r="G313" s="60" t="str">
        <f aca="false">IF(COUNTA(B313:E313)=0,"",IF(AND(LEN(B313)&gt;0,ISNUMBER(E313),E313&gt;=0,ISNUMBER(D313),OR(AND(C313="Booking + quarters",D313&gt;=0,INT(D313)=D313,D313&lt;=12),AND(C313="Construction % complete",D313&gt;=0,D313&lt;=1))),"OK","ERROR"))</f>
        <v/>
      </c>
    </row>
    <row r="314" customFormat="false" ht="15" hidden="false" customHeight="false" outlineLevel="0" collapsed="false">
      <c r="B314" s="59"/>
      <c r="C314" s="59"/>
      <c r="D314" s="99"/>
      <c r="E314" s="75"/>
      <c r="F314" s="64" t="str">
        <f aca="false">IF(COUNTA(B314:E314)=0,"",SUM(E$287:E314))</f>
        <v/>
      </c>
      <c r="G314" s="60" t="str">
        <f aca="false">IF(COUNTA(B314:E314)=0,"",IF(AND(LEN(B314)&gt;0,ISNUMBER(E314),E314&gt;=0,ISNUMBER(D314),OR(AND(C314="Booking + quarters",D314&gt;=0,INT(D314)=D314,D314&lt;=12),AND(C314="Construction % complete",D314&gt;=0,D314&lt;=1))),"OK","ERROR"))</f>
        <v/>
      </c>
    </row>
    <row r="315" customFormat="false" ht="15" hidden="false" customHeight="false" outlineLevel="0" collapsed="false">
      <c r="B315" s="59"/>
      <c r="C315" s="59"/>
      <c r="D315" s="99"/>
      <c r="E315" s="75"/>
      <c r="F315" s="64" t="str">
        <f aca="false">IF(COUNTA(B315:E315)=0,"",SUM(E$287:E315))</f>
        <v/>
      </c>
      <c r="G315" s="60" t="str">
        <f aca="false">IF(COUNTA(B315:E315)=0,"",IF(AND(LEN(B315)&gt;0,ISNUMBER(E315),E315&gt;=0,ISNUMBER(D315),OR(AND(C315="Booking + quarters",D315&gt;=0,INT(D315)=D315,D315&lt;=12),AND(C315="Construction % complete",D315&gt;=0,D315&lt;=1))),"OK","ERROR"))</f>
        <v/>
      </c>
    </row>
    <row r="316" customFormat="false" ht="15" hidden="false" customHeight="false" outlineLevel="0" collapsed="false">
      <c r="B316" s="59"/>
      <c r="C316" s="59"/>
      <c r="D316" s="99"/>
      <c r="E316" s="75"/>
      <c r="F316" s="64" t="str">
        <f aca="false">IF(COUNTA(B316:E316)=0,"",SUM(E$287:E316))</f>
        <v/>
      </c>
      <c r="G316" s="60" t="str">
        <f aca="false">IF(COUNTA(B316:E316)=0,"",IF(AND(LEN(B316)&gt;0,ISNUMBER(E316),E316&gt;=0,ISNUMBER(D316),OR(AND(C316="Booking + quarters",D316&gt;=0,INT(D316)=D316,D316&lt;=12),AND(C316="Construction % complete",D316&gt;=0,D316&lt;=1))),"OK","ERROR"))</f>
        <v/>
      </c>
    </row>
    <row r="317" customFormat="false" ht="15" hidden="false" customHeight="false" outlineLevel="0" collapsed="false">
      <c r="B317" s="82" t="s">
        <v>525</v>
      </c>
      <c r="C317" s="86"/>
      <c r="D317" s="86"/>
      <c r="E317" s="83" t="n">
        <f aca="false">SUM(E287:E316)</f>
        <v>1</v>
      </c>
      <c r="F317" s="86"/>
      <c r="G317" s="100" t="str">
        <f aca="false">IF(COUNTA(B287:E316)=0,"Unused",IF(AND(LEN(C285)&gt;0,COUNTIF(LISTS!$R$5:$R$10,C285)=1,ABS(E317-1)&lt;0.000001,COUNTIF(G287:G316,"ERROR")=0),"OK","ERROR"))</f>
        <v>OK</v>
      </c>
    </row>
    <row r="319" customFormat="false" ht="15" hidden="false" customHeight="false" outlineLevel="0" collapsed="false">
      <c r="B319" s="2" t="s">
        <v>507</v>
      </c>
      <c r="C319" s="59" t="s">
        <v>301</v>
      </c>
      <c r="D319" s="17" t="s">
        <v>508</v>
      </c>
    </row>
    <row r="320" customFormat="false" ht="30" hidden="false" customHeight="true" outlineLevel="0" collapsed="false">
      <c r="B320" s="27" t="s">
        <v>509</v>
      </c>
      <c r="C320" s="27" t="s">
        <v>510</v>
      </c>
      <c r="D320" s="27" t="s">
        <v>511</v>
      </c>
      <c r="E320" s="27" t="s">
        <v>512</v>
      </c>
      <c r="F320" s="27" t="s">
        <v>513</v>
      </c>
      <c r="G320" s="27" t="s">
        <v>248</v>
      </c>
    </row>
    <row r="321" customFormat="false" ht="15" hidden="false" customHeight="false" outlineLevel="0" collapsed="false">
      <c r="B321" s="59" t="s">
        <v>526</v>
      </c>
      <c r="C321" s="59" t="s">
        <v>515</v>
      </c>
      <c r="D321" s="99" t="n">
        <v>0</v>
      </c>
      <c r="E321" s="75" t="n">
        <v>0.1</v>
      </c>
      <c r="F321" s="64" t="n">
        <f aca="false">IF(COUNTA(B321:E321)=0,"",SUM(E$321:E321))</f>
        <v>0.1</v>
      </c>
      <c r="G321" s="60" t="str">
        <f aca="false">IF(COUNTA(B321:E321)=0,"",IF(AND(LEN(B321)&gt;0,ISNUMBER(E321),E321&gt;=0,ISNUMBER(D321),OR(AND(C321="Booking + quarters",D321&gt;=0,INT(D321)=D321,D321&lt;=12),AND(C321="Construction % complete",D321&gt;=0,D321&lt;=1))),"OK","ERROR"))</f>
        <v>OK</v>
      </c>
    </row>
    <row r="322" customFormat="false" ht="15" hidden="false" customHeight="false" outlineLevel="0" collapsed="false">
      <c r="B322" s="59" t="s">
        <v>538</v>
      </c>
      <c r="C322" s="59" t="s">
        <v>515</v>
      </c>
      <c r="D322" s="99" t="n">
        <v>1</v>
      </c>
      <c r="E322" s="75" t="n">
        <v>0.8</v>
      </c>
      <c r="F322" s="64" t="n">
        <f aca="false">IF(COUNTA(B322:E322)=0,"",SUM(E$321:E322))</f>
        <v>0.9</v>
      </c>
      <c r="G322" s="60" t="str">
        <f aca="false">IF(COUNTA(B322:E322)=0,"",IF(AND(LEN(B322)&gt;0,ISNUMBER(E322),E322&gt;=0,ISNUMBER(D322),OR(AND(C322="Booking + quarters",D322&gt;=0,INT(D322)=D322,D322&lt;=12),AND(C322="Construction % complete",D322&gt;=0,D322&lt;=1))),"OK","ERROR"))</f>
        <v>OK</v>
      </c>
    </row>
    <row r="323" customFormat="false" ht="15" hidden="false" customHeight="false" outlineLevel="0" collapsed="false">
      <c r="B323" s="59" t="s">
        <v>524</v>
      </c>
      <c r="C323" s="59" t="s">
        <v>518</v>
      </c>
      <c r="D323" s="99" t="n">
        <v>1</v>
      </c>
      <c r="E323" s="75" t="n">
        <v>0.1</v>
      </c>
      <c r="F323" s="64" t="n">
        <f aca="false">IF(COUNTA(B323:E323)=0,"",SUM(E$321:E323))</f>
        <v>1</v>
      </c>
      <c r="G323" s="60" t="str">
        <f aca="false">IF(COUNTA(B323:E323)=0,"",IF(AND(LEN(B323)&gt;0,ISNUMBER(E323),E323&gt;=0,ISNUMBER(D323),OR(AND(C323="Booking + quarters",D323&gt;=0,INT(D323)=D323,D323&lt;=12),AND(C323="Construction % complete",D323&gt;=0,D323&lt;=1))),"OK","ERROR"))</f>
        <v>OK</v>
      </c>
    </row>
    <row r="324" customFormat="false" ht="15" hidden="false" customHeight="false" outlineLevel="0" collapsed="false">
      <c r="B324" s="59"/>
      <c r="C324" s="59"/>
      <c r="D324" s="99"/>
      <c r="E324" s="75"/>
      <c r="F324" s="64" t="str">
        <f aca="false">IF(COUNTA(B324:E324)=0,"",SUM(E$321:E324))</f>
        <v/>
      </c>
      <c r="G324" s="60" t="str">
        <f aca="false">IF(COUNTA(B324:E324)=0,"",IF(AND(LEN(B324)&gt;0,ISNUMBER(E324),E324&gt;=0,ISNUMBER(D324),OR(AND(C324="Booking + quarters",D324&gt;=0,INT(D324)=D324,D324&lt;=12),AND(C324="Construction % complete",D324&gt;=0,D324&lt;=1))),"OK","ERROR"))</f>
        <v/>
      </c>
    </row>
    <row r="325" customFormat="false" ht="15" hidden="false" customHeight="false" outlineLevel="0" collapsed="false">
      <c r="B325" s="59"/>
      <c r="C325" s="59"/>
      <c r="D325" s="99"/>
      <c r="E325" s="75"/>
      <c r="F325" s="64" t="str">
        <f aca="false">IF(COUNTA(B325:E325)=0,"",SUM(E$321:E325))</f>
        <v/>
      </c>
      <c r="G325" s="60" t="str">
        <f aca="false">IF(COUNTA(B325:E325)=0,"",IF(AND(LEN(B325)&gt;0,ISNUMBER(E325),E325&gt;=0,ISNUMBER(D325),OR(AND(C325="Booking + quarters",D325&gt;=0,INT(D325)=D325,D325&lt;=12),AND(C325="Construction % complete",D325&gt;=0,D325&lt;=1))),"OK","ERROR"))</f>
        <v/>
      </c>
    </row>
    <row r="326" customFormat="false" ht="15" hidden="false" customHeight="false" outlineLevel="0" collapsed="false">
      <c r="B326" s="59"/>
      <c r="C326" s="59"/>
      <c r="D326" s="99"/>
      <c r="E326" s="75"/>
      <c r="F326" s="64" t="str">
        <f aca="false">IF(COUNTA(B326:E326)=0,"",SUM(E$321:E326))</f>
        <v/>
      </c>
      <c r="G326" s="60" t="str">
        <f aca="false">IF(COUNTA(B326:E326)=0,"",IF(AND(LEN(B326)&gt;0,ISNUMBER(E326),E326&gt;=0,ISNUMBER(D326),OR(AND(C326="Booking + quarters",D326&gt;=0,INT(D326)=D326,D326&lt;=12),AND(C326="Construction % complete",D326&gt;=0,D326&lt;=1))),"OK","ERROR"))</f>
        <v/>
      </c>
    </row>
    <row r="327" customFormat="false" ht="15" hidden="false" customHeight="false" outlineLevel="0" collapsed="false">
      <c r="B327" s="59"/>
      <c r="C327" s="59"/>
      <c r="D327" s="99"/>
      <c r="E327" s="75"/>
      <c r="F327" s="64" t="str">
        <f aca="false">IF(COUNTA(B327:E327)=0,"",SUM(E$321:E327))</f>
        <v/>
      </c>
      <c r="G327" s="60" t="str">
        <f aca="false">IF(COUNTA(B327:E327)=0,"",IF(AND(LEN(B327)&gt;0,ISNUMBER(E327),E327&gt;=0,ISNUMBER(D327),OR(AND(C327="Booking + quarters",D327&gt;=0,INT(D327)=D327,D327&lt;=12),AND(C327="Construction % complete",D327&gt;=0,D327&lt;=1))),"OK","ERROR"))</f>
        <v/>
      </c>
    </row>
    <row r="328" customFormat="false" ht="15" hidden="false" customHeight="false" outlineLevel="0" collapsed="false">
      <c r="B328" s="59"/>
      <c r="C328" s="59"/>
      <c r="D328" s="99"/>
      <c r="E328" s="75"/>
      <c r="F328" s="64" t="str">
        <f aca="false">IF(COUNTA(B328:E328)=0,"",SUM(E$321:E328))</f>
        <v/>
      </c>
      <c r="G328" s="60" t="str">
        <f aca="false">IF(COUNTA(B328:E328)=0,"",IF(AND(LEN(B328)&gt;0,ISNUMBER(E328),E328&gt;=0,ISNUMBER(D328),OR(AND(C328="Booking + quarters",D328&gt;=0,INT(D328)=D328,D328&lt;=12),AND(C328="Construction % complete",D328&gt;=0,D328&lt;=1))),"OK","ERROR"))</f>
        <v/>
      </c>
    </row>
    <row r="329" customFormat="false" ht="15" hidden="false" customHeight="false" outlineLevel="0" collapsed="false">
      <c r="B329" s="59"/>
      <c r="C329" s="59"/>
      <c r="D329" s="99"/>
      <c r="E329" s="75"/>
      <c r="F329" s="64" t="str">
        <f aca="false">IF(COUNTA(B329:E329)=0,"",SUM(E$321:E329))</f>
        <v/>
      </c>
      <c r="G329" s="60" t="str">
        <f aca="false">IF(COUNTA(B329:E329)=0,"",IF(AND(LEN(B329)&gt;0,ISNUMBER(E329),E329&gt;=0,ISNUMBER(D329),OR(AND(C329="Booking + quarters",D329&gt;=0,INT(D329)=D329,D329&lt;=12),AND(C329="Construction % complete",D329&gt;=0,D329&lt;=1))),"OK","ERROR"))</f>
        <v/>
      </c>
    </row>
    <row r="330" customFormat="false" ht="15" hidden="false" customHeight="false" outlineLevel="0" collapsed="false">
      <c r="B330" s="59"/>
      <c r="C330" s="59"/>
      <c r="D330" s="99"/>
      <c r="E330" s="75"/>
      <c r="F330" s="64" t="str">
        <f aca="false">IF(COUNTA(B330:E330)=0,"",SUM(E$321:E330))</f>
        <v/>
      </c>
      <c r="G330" s="60" t="str">
        <f aca="false">IF(COUNTA(B330:E330)=0,"",IF(AND(LEN(B330)&gt;0,ISNUMBER(E330),E330&gt;=0,ISNUMBER(D330),OR(AND(C330="Booking + quarters",D330&gt;=0,INT(D330)=D330,D330&lt;=12),AND(C330="Construction % complete",D330&gt;=0,D330&lt;=1))),"OK","ERROR"))</f>
        <v/>
      </c>
    </row>
    <row r="331" customFormat="false" ht="15" hidden="false" customHeight="false" outlineLevel="0" collapsed="false">
      <c r="B331" s="59"/>
      <c r="C331" s="59"/>
      <c r="D331" s="99"/>
      <c r="E331" s="75"/>
      <c r="F331" s="64" t="str">
        <f aca="false">IF(COUNTA(B331:E331)=0,"",SUM(E$321:E331))</f>
        <v/>
      </c>
      <c r="G331" s="60" t="str">
        <f aca="false">IF(COUNTA(B331:E331)=0,"",IF(AND(LEN(B331)&gt;0,ISNUMBER(E331),E331&gt;=0,ISNUMBER(D331),OR(AND(C331="Booking + quarters",D331&gt;=0,INT(D331)=D331,D331&lt;=12),AND(C331="Construction % complete",D331&gt;=0,D331&lt;=1))),"OK","ERROR"))</f>
        <v/>
      </c>
    </row>
    <row r="332" customFormat="false" ht="15" hidden="false" customHeight="false" outlineLevel="0" collapsed="false">
      <c r="B332" s="59"/>
      <c r="C332" s="59"/>
      <c r="D332" s="99"/>
      <c r="E332" s="75"/>
      <c r="F332" s="64" t="str">
        <f aca="false">IF(COUNTA(B332:E332)=0,"",SUM(E$321:E332))</f>
        <v/>
      </c>
      <c r="G332" s="60" t="str">
        <f aca="false">IF(COUNTA(B332:E332)=0,"",IF(AND(LEN(B332)&gt;0,ISNUMBER(E332),E332&gt;=0,ISNUMBER(D332),OR(AND(C332="Booking + quarters",D332&gt;=0,INT(D332)=D332,D332&lt;=12),AND(C332="Construction % complete",D332&gt;=0,D332&lt;=1))),"OK","ERROR"))</f>
        <v/>
      </c>
    </row>
    <row r="333" customFormat="false" ht="15" hidden="false" customHeight="false" outlineLevel="0" collapsed="false">
      <c r="B333" s="59"/>
      <c r="C333" s="59"/>
      <c r="D333" s="99"/>
      <c r="E333" s="75"/>
      <c r="F333" s="64" t="str">
        <f aca="false">IF(COUNTA(B333:E333)=0,"",SUM(E$321:E333))</f>
        <v/>
      </c>
      <c r="G333" s="60" t="str">
        <f aca="false">IF(COUNTA(B333:E333)=0,"",IF(AND(LEN(B333)&gt;0,ISNUMBER(E333),E333&gt;=0,ISNUMBER(D333),OR(AND(C333="Booking + quarters",D333&gt;=0,INT(D333)=D333,D333&lt;=12),AND(C333="Construction % complete",D333&gt;=0,D333&lt;=1))),"OK","ERROR"))</f>
        <v/>
      </c>
    </row>
    <row r="334" customFormat="false" ht="15" hidden="false" customHeight="false" outlineLevel="0" collapsed="false">
      <c r="B334" s="59"/>
      <c r="C334" s="59"/>
      <c r="D334" s="99"/>
      <c r="E334" s="75"/>
      <c r="F334" s="64" t="str">
        <f aca="false">IF(COUNTA(B334:E334)=0,"",SUM(E$321:E334))</f>
        <v/>
      </c>
      <c r="G334" s="60" t="str">
        <f aca="false">IF(COUNTA(B334:E334)=0,"",IF(AND(LEN(B334)&gt;0,ISNUMBER(E334),E334&gt;=0,ISNUMBER(D334),OR(AND(C334="Booking + quarters",D334&gt;=0,INT(D334)=D334,D334&lt;=12),AND(C334="Construction % complete",D334&gt;=0,D334&lt;=1))),"OK","ERROR"))</f>
        <v/>
      </c>
    </row>
    <row r="335" customFormat="false" ht="15" hidden="false" customHeight="false" outlineLevel="0" collapsed="false">
      <c r="B335" s="59"/>
      <c r="C335" s="59"/>
      <c r="D335" s="99"/>
      <c r="E335" s="75"/>
      <c r="F335" s="64" t="str">
        <f aca="false">IF(COUNTA(B335:E335)=0,"",SUM(E$321:E335))</f>
        <v/>
      </c>
      <c r="G335" s="60" t="str">
        <f aca="false">IF(COUNTA(B335:E335)=0,"",IF(AND(LEN(B335)&gt;0,ISNUMBER(E335),E335&gt;=0,ISNUMBER(D335),OR(AND(C335="Booking + quarters",D335&gt;=0,INT(D335)=D335,D335&lt;=12),AND(C335="Construction % complete",D335&gt;=0,D335&lt;=1))),"OK","ERROR"))</f>
        <v/>
      </c>
    </row>
    <row r="336" customFormat="false" ht="15" hidden="false" customHeight="false" outlineLevel="0" collapsed="false">
      <c r="B336" s="59"/>
      <c r="C336" s="59"/>
      <c r="D336" s="99"/>
      <c r="E336" s="75"/>
      <c r="F336" s="64" t="str">
        <f aca="false">IF(COUNTA(B336:E336)=0,"",SUM(E$321:E336))</f>
        <v/>
      </c>
      <c r="G336" s="60" t="str">
        <f aca="false">IF(COUNTA(B336:E336)=0,"",IF(AND(LEN(B336)&gt;0,ISNUMBER(E336),E336&gt;=0,ISNUMBER(D336),OR(AND(C336="Booking + quarters",D336&gt;=0,INT(D336)=D336,D336&lt;=12),AND(C336="Construction % complete",D336&gt;=0,D336&lt;=1))),"OK","ERROR"))</f>
        <v/>
      </c>
    </row>
    <row r="337" customFormat="false" ht="15" hidden="false" customHeight="false" outlineLevel="0" collapsed="false">
      <c r="B337" s="59"/>
      <c r="C337" s="59"/>
      <c r="D337" s="99"/>
      <c r="E337" s="75"/>
      <c r="F337" s="64" t="str">
        <f aca="false">IF(COUNTA(B337:E337)=0,"",SUM(E$321:E337))</f>
        <v/>
      </c>
      <c r="G337" s="60" t="str">
        <f aca="false">IF(COUNTA(B337:E337)=0,"",IF(AND(LEN(B337)&gt;0,ISNUMBER(E337),E337&gt;=0,ISNUMBER(D337),OR(AND(C337="Booking + quarters",D337&gt;=0,INT(D337)=D337,D337&lt;=12),AND(C337="Construction % complete",D337&gt;=0,D337&lt;=1))),"OK","ERROR"))</f>
        <v/>
      </c>
    </row>
    <row r="338" customFormat="false" ht="15" hidden="false" customHeight="false" outlineLevel="0" collapsed="false">
      <c r="B338" s="59"/>
      <c r="C338" s="59"/>
      <c r="D338" s="99"/>
      <c r="E338" s="75"/>
      <c r="F338" s="64" t="str">
        <f aca="false">IF(COUNTA(B338:E338)=0,"",SUM(E$321:E338))</f>
        <v/>
      </c>
      <c r="G338" s="60" t="str">
        <f aca="false">IF(COUNTA(B338:E338)=0,"",IF(AND(LEN(B338)&gt;0,ISNUMBER(E338),E338&gt;=0,ISNUMBER(D338),OR(AND(C338="Booking + quarters",D338&gt;=0,INT(D338)=D338,D338&lt;=12),AND(C338="Construction % complete",D338&gt;=0,D338&lt;=1))),"OK","ERROR"))</f>
        <v/>
      </c>
    </row>
    <row r="339" customFormat="false" ht="15" hidden="false" customHeight="false" outlineLevel="0" collapsed="false">
      <c r="B339" s="59"/>
      <c r="C339" s="59"/>
      <c r="D339" s="99"/>
      <c r="E339" s="75"/>
      <c r="F339" s="64" t="str">
        <f aca="false">IF(COUNTA(B339:E339)=0,"",SUM(E$321:E339))</f>
        <v/>
      </c>
      <c r="G339" s="60" t="str">
        <f aca="false">IF(COUNTA(B339:E339)=0,"",IF(AND(LEN(B339)&gt;0,ISNUMBER(E339),E339&gt;=0,ISNUMBER(D339),OR(AND(C339="Booking + quarters",D339&gt;=0,INT(D339)=D339,D339&lt;=12),AND(C339="Construction % complete",D339&gt;=0,D339&lt;=1))),"OK","ERROR"))</f>
        <v/>
      </c>
    </row>
    <row r="340" customFormat="false" ht="15" hidden="false" customHeight="false" outlineLevel="0" collapsed="false">
      <c r="B340" s="59"/>
      <c r="C340" s="59"/>
      <c r="D340" s="99"/>
      <c r="E340" s="75"/>
      <c r="F340" s="64" t="str">
        <f aca="false">IF(COUNTA(B340:E340)=0,"",SUM(E$321:E340))</f>
        <v/>
      </c>
      <c r="G340" s="60" t="str">
        <f aca="false">IF(COUNTA(B340:E340)=0,"",IF(AND(LEN(B340)&gt;0,ISNUMBER(E340),E340&gt;=0,ISNUMBER(D340),OR(AND(C340="Booking + quarters",D340&gt;=0,INT(D340)=D340,D340&lt;=12),AND(C340="Construction % complete",D340&gt;=0,D340&lt;=1))),"OK","ERROR"))</f>
        <v/>
      </c>
    </row>
    <row r="341" customFormat="false" ht="15" hidden="false" customHeight="false" outlineLevel="0" collapsed="false">
      <c r="B341" s="59"/>
      <c r="C341" s="59"/>
      <c r="D341" s="99"/>
      <c r="E341" s="75"/>
      <c r="F341" s="64" t="str">
        <f aca="false">IF(COUNTA(B341:E341)=0,"",SUM(E$321:E341))</f>
        <v/>
      </c>
      <c r="G341" s="60" t="str">
        <f aca="false">IF(COUNTA(B341:E341)=0,"",IF(AND(LEN(B341)&gt;0,ISNUMBER(E341),E341&gt;=0,ISNUMBER(D341),OR(AND(C341="Booking + quarters",D341&gt;=0,INT(D341)=D341,D341&lt;=12),AND(C341="Construction % complete",D341&gt;=0,D341&lt;=1))),"OK","ERROR"))</f>
        <v/>
      </c>
    </row>
    <row r="342" customFormat="false" ht="15" hidden="false" customHeight="false" outlineLevel="0" collapsed="false">
      <c r="B342" s="59"/>
      <c r="C342" s="59"/>
      <c r="D342" s="99"/>
      <c r="E342" s="75"/>
      <c r="F342" s="64" t="str">
        <f aca="false">IF(COUNTA(B342:E342)=0,"",SUM(E$321:E342))</f>
        <v/>
      </c>
      <c r="G342" s="60" t="str">
        <f aca="false">IF(COUNTA(B342:E342)=0,"",IF(AND(LEN(B342)&gt;0,ISNUMBER(E342),E342&gt;=0,ISNUMBER(D342),OR(AND(C342="Booking + quarters",D342&gt;=0,INT(D342)=D342,D342&lt;=12),AND(C342="Construction % complete",D342&gt;=0,D342&lt;=1))),"OK","ERROR"))</f>
        <v/>
      </c>
    </row>
    <row r="343" customFormat="false" ht="15" hidden="false" customHeight="false" outlineLevel="0" collapsed="false">
      <c r="B343" s="59"/>
      <c r="C343" s="59"/>
      <c r="D343" s="99"/>
      <c r="E343" s="75"/>
      <c r="F343" s="64" t="str">
        <f aca="false">IF(COUNTA(B343:E343)=0,"",SUM(E$321:E343))</f>
        <v/>
      </c>
      <c r="G343" s="60" t="str">
        <f aca="false">IF(COUNTA(B343:E343)=0,"",IF(AND(LEN(B343)&gt;0,ISNUMBER(E343),E343&gt;=0,ISNUMBER(D343),OR(AND(C343="Booking + quarters",D343&gt;=0,INT(D343)=D343,D343&lt;=12),AND(C343="Construction % complete",D343&gt;=0,D343&lt;=1))),"OK","ERROR"))</f>
        <v/>
      </c>
    </row>
    <row r="344" customFormat="false" ht="15" hidden="false" customHeight="false" outlineLevel="0" collapsed="false">
      <c r="B344" s="59"/>
      <c r="C344" s="59"/>
      <c r="D344" s="99"/>
      <c r="E344" s="75"/>
      <c r="F344" s="64" t="str">
        <f aca="false">IF(COUNTA(B344:E344)=0,"",SUM(E$321:E344))</f>
        <v/>
      </c>
      <c r="G344" s="60" t="str">
        <f aca="false">IF(COUNTA(B344:E344)=0,"",IF(AND(LEN(B344)&gt;0,ISNUMBER(E344),E344&gt;=0,ISNUMBER(D344),OR(AND(C344="Booking + quarters",D344&gt;=0,INT(D344)=D344,D344&lt;=12),AND(C344="Construction % complete",D344&gt;=0,D344&lt;=1))),"OK","ERROR"))</f>
        <v/>
      </c>
    </row>
    <row r="345" customFormat="false" ht="15" hidden="false" customHeight="false" outlineLevel="0" collapsed="false">
      <c r="B345" s="59"/>
      <c r="C345" s="59"/>
      <c r="D345" s="99"/>
      <c r="E345" s="75"/>
      <c r="F345" s="64" t="str">
        <f aca="false">IF(COUNTA(B345:E345)=0,"",SUM(E$321:E345))</f>
        <v/>
      </c>
      <c r="G345" s="60" t="str">
        <f aca="false">IF(COUNTA(B345:E345)=0,"",IF(AND(LEN(B345)&gt;0,ISNUMBER(E345),E345&gt;=0,ISNUMBER(D345),OR(AND(C345="Booking + quarters",D345&gt;=0,INT(D345)=D345,D345&lt;=12),AND(C345="Construction % complete",D345&gt;=0,D345&lt;=1))),"OK","ERROR"))</f>
        <v/>
      </c>
    </row>
    <row r="346" customFormat="false" ht="15" hidden="false" customHeight="false" outlineLevel="0" collapsed="false">
      <c r="B346" s="59"/>
      <c r="C346" s="59"/>
      <c r="D346" s="99"/>
      <c r="E346" s="75"/>
      <c r="F346" s="64" t="str">
        <f aca="false">IF(COUNTA(B346:E346)=0,"",SUM(E$321:E346))</f>
        <v/>
      </c>
      <c r="G346" s="60" t="str">
        <f aca="false">IF(COUNTA(B346:E346)=0,"",IF(AND(LEN(B346)&gt;0,ISNUMBER(E346),E346&gt;=0,ISNUMBER(D346),OR(AND(C346="Booking + quarters",D346&gt;=0,INT(D346)=D346,D346&lt;=12),AND(C346="Construction % complete",D346&gt;=0,D346&lt;=1))),"OK","ERROR"))</f>
        <v/>
      </c>
    </row>
    <row r="347" customFormat="false" ht="15" hidden="false" customHeight="false" outlineLevel="0" collapsed="false">
      <c r="B347" s="59"/>
      <c r="C347" s="59"/>
      <c r="D347" s="99"/>
      <c r="E347" s="75"/>
      <c r="F347" s="64" t="str">
        <f aca="false">IF(COUNTA(B347:E347)=0,"",SUM(E$321:E347))</f>
        <v/>
      </c>
      <c r="G347" s="60" t="str">
        <f aca="false">IF(COUNTA(B347:E347)=0,"",IF(AND(LEN(B347)&gt;0,ISNUMBER(E347),E347&gt;=0,ISNUMBER(D347),OR(AND(C347="Booking + quarters",D347&gt;=0,INT(D347)=D347,D347&lt;=12),AND(C347="Construction % complete",D347&gt;=0,D347&lt;=1))),"OK","ERROR"))</f>
        <v/>
      </c>
    </row>
    <row r="348" customFormat="false" ht="15" hidden="false" customHeight="false" outlineLevel="0" collapsed="false">
      <c r="B348" s="59"/>
      <c r="C348" s="59"/>
      <c r="D348" s="99"/>
      <c r="E348" s="75"/>
      <c r="F348" s="64" t="str">
        <f aca="false">IF(COUNTA(B348:E348)=0,"",SUM(E$321:E348))</f>
        <v/>
      </c>
      <c r="G348" s="60" t="str">
        <f aca="false">IF(COUNTA(B348:E348)=0,"",IF(AND(LEN(B348)&gt;0,ISNUMBER(E348),E348&gt;=0,ISNUMBER(D348),OR(AND(C348="Booking + quarters",D348&gt;=0,INT(D348)=D348,D348&lt;=12),AND(C348="Construction % complete",D348&gt;=0,D348&lt;=1))),"OK","ERROR"))</f>
        <v/>
      </c>
    </row>
    <row r="349" customFormat="false" ht="15" hidden="false" customHeight="false" outlineLevel="0" collapsed="false">
      <c r="B349" s="59"/>
      <c r="C349" s="59"/>
      <c r="D349" s="99"/>
      <c r="E349" s="75"/>
      <c r="F349" s="64" t="str">
        <f aca="false">IF(COUNTA(B349:E349)=0,"",SUM(E$321:E349))</f>
        <v/>
      </c>
      <c r="G349" s="60" t="str">
        <f aca="false">IF(COUNTA(B349:E349)=0,"",IF(AND(LEN(B349)&gt;0,ISNUMBER(E349),E349&gt;=0,ISNUMBER(D349),OR(AND(C349="Booking + quarters",D349&gt;=0,INT(D349)=D349,D349&lt;=12),AND(C349="Construction % complete",D349&gt;=0,D349&lt;=1))),"OK","ERROR"))</f>
        <v/>
      </c>
    </row>
    <row r="350" customFormat="false" ht="15" hidden="false" customHeight="false" outlineLevel="0" collapsed="false">
      <c r="B350" s="59"/>
      <c r="C350" s="59"/>
      <c r="D350" s="99"/>
      <c r="E350" s="75"/>
      <c r="F350" s="64" t="str">
        <f aca="false">IF(COUNTA(B350:E350)=0,"",SUM(E$321:E350))</f>
        <v/>
      </c>
      <c r="G350" s="60" t="str">
        <f aca="false">IF(COUNTA(B350:E350)=0,"",IF(AND(LEN(B350)&gt;0,ISNUMBER(E350),E350&gt;=0,ISNUMBER(D350),OR(AND(C350="Booking + quarters",D350&gt;=0,INT(D350)=D350,D350&lt;=12),AND(C350="Construction % complete",D350&gt;=0,D350&lt;=1))),"OK","ERROR"))</f>
        <v/>
      </c>
    </row>
    <row r="351" customFormat="false" ht="15" hidden="false" customHeight="false" outlineLevel="0" collapsed="false">
      <c r="B351" s="82" t="s">
        <v>525</v>
      </c>
      <c r="C351" s="86"/>
      <c r="D351" s="86"/>
      <c r="E351" s="83" t="n">
        <f aca="false">SUM(E321:E350)</f>
        <v>1</v>
      </c>
      <c r="F351" s="86"/>
      <c r="G351" s="100" t="str">
        <f aca="false">IF(COUNTA(B321:E350)=0,"Unused",IF(AND(LEN(C319)&gt;0,COUNTIF(LISTS!$R$5:$R$10,C319)=1,ABS(E351-1)&lt;0.000001,COUNTIF(G321:G350,"ERROR")=0),"OK","ERROR"))</f>
        <v>OK</v>
      </c>
    </row>
    <row r="353" customFormat="false" ht="15" hidden="false" customHeight="false" outlineLevel="0" collapsed="false">
      <c r="B353" s="2" t="s">
        <v>507</v>
      </c>
      <c r="C353" s="59" t="s">
        <v>539</v>
      </c>
      <c r="D353" s="17" t="s">
        <v>508</v>
      </c>
    </row>
    <row r="354" customFormat="false" ht="30" hidden="false" customHeight="true" outlineLevel="0" collapsed="false">
      <c r="B354" s="27" t="s">
        <v>509</v>
      </c>
      <c r="C354" s="27" t="s">
        <v>510</v>
      </c>
      <c r="D354" s="27" t="s">
        <v>511</v>
      </c>
      <c r="E354" s="27" t="s">
        <v>512</v>
      </c>
      <c r="F354" s="27" t="s">
        <v>513</v>
      </c>
      <c r="G354" s="27" t="s">
        <v>248</v>
      </c>
    </row>
    <row r="355" customFormat="false" ht="15" hidden="false" customHeight="false" outlineLevel="0" collapsed="false">
      <c r="B355" s="59" t="s">
        <v>526</v>
      </c>
      <c r="C355" s="59" t="s">
        <v>515</v>
      </c>
      <c r="D355" s="99" t="n">
        <v>0</v>
      </c>
      <c r="E355" s="75" t="n">
        <v>0.1</v>
      </c>
      <c r="F355" s="64" t="n">
        <f aca="false">IF(COUNTA(B355:E355)=0,"",SUM(E$355:E355))</f>
        <v>0.1</v>
      </c>
      <c r="G355" s="60" t="str">
        <f aca="false">IF(COUNTA(B355:E355)=0,"",IF(AND(LEN(B355)&gt;0,ISNUMBER(E355),E355&gt;=0,ISNUMBER(D355),OR(AND(C355="Booking + quarters",D355&gt;=0,INT(D355)=D355,D355&lt;=12),AND(C355="Construction % complete",D355&gt;=0,D355&lt;=1))),"OK","ERROR"))</f>
        <v>OK</v>
      </c>
    </row>
    <row r="356" customFormat="false" ht="15" hidden="false" customHeight="false" outlineLevel="0" collapsed="false">
      <c r="B356" s="59" t="s">
        <v>516</v>
      </c>
      <c r="C356" s="59" t="s">
        <v>515</v>
      </c>
      <c r="D356" s="99" t="n">
        <v>1</v>
      </c>
      <c r="E356" s="75" t="n">
        <v>0.1</v>
      </c>
      <c r="F356" s="64" t="n">
        <f aca="false">IF(COUNTA(B356:E356)=0,"",SUM(E$355:E356))</f>
        <v>0.2</v>
      </c>
      <c r="G356" s="60" t="str">
        <f aca="false">IF(COUNTA(B356:E356)=0,"",IF(AND(LEN(B356)&gt;0,ISNUMBER(E356),E356&gt;=0,ISNUMBER(D356),OR(AND(C356="Booking + quarters",D356&gt;=0,INT(D356)=D356,D356&lt;=12),AND(C356="Construction % complete",D356&gt;=0,D356&lt;=1))),"OK","ERROR"))</f>
        <v>OK</v>
      </c>
    </row>
    <row r="357" customFormat="false" ht="15" hidden="false" customHeight="false" outlineLevel="0" collapsed="false">
      <c r="B357" s="59" t="s">
        <v>540</v>
      </c>
      <c r="C357" s="59" t="s">
        <v>518</v>
      </c>
      <c r="D357" s="99" t="n">
        <v>0.03</v>
      </c>
      <c r="E357" s="75" t="n">
        <v>0.05</v>
      </c>
      <c r="F357" s="64" t="n">
        <f aca="false">IF(COUNTA(B357:E357)=0,"",SUM(E$355:E357))</f>
        <v>0.25</v>
      </c>
      <c r="G357" s="60" t="str">
        <f aca="false">IF(COUNTA(B357:E357)=0,"",IF(AND(LEN(B357)&gt;0,ISNUMBER(E357),E357&gt;=0,ISNUMBER(D357),OR(AND(C357="Booking + quarters",D357&gt;=0,INT(D357)=D357,D357&lt;=12),AND(C357="Construction % complete",D357&gt;=0,D357&lt;=1))),"OK","ERROR"))</f>
        <v>OK</v>
      </c>
    </row>
    <row r="358" customFormat="false" ht="15" hidden="false" customHeight="false" outlineLevel="0" collapsed="false">
      <c r="B358" s="59" t="s">
        <v>541</v>
      </c>
      <c r="C358" s="59" t="s">
        <v>518</v>
      </c>
      <c r="D358" s="99" t="n">
        <v>0.08</v>
      </c>
      <c r="E358" s="75" t="n">
        <v>0.05</v>
      </c>
      <c r="F358" s="64" t="n">
        <f aca="false">IF(COUNTA(B358:E358)=0,"",SUM(E$355:E358))</f>
        <v>0.3</v>
      </c>
      <c r="G358" s="60" t="str">
        <f aca="false">IF(COUNTA(B358:E358)=0,"",IF(AND(LEN(B358)&gt;0,ISNUMBER(E358),E358&gt;=0,ISNUMBER(D358),OR(AND(C358="Booking + quarters",D358&gt;=0,INT(D358)=D358,D358&lt;=12),AND(C358="Construction % complete",D358&gt;=0,D358&lt;=1))),"OK","ERROR"))</f>
        <v>OK</v>
      </c>
    </row>
    <row r="359" customFormat="false" ht="15" hidden="false" customHeight="false" outlineLevel="0" collapsed="false">
      <c r="B359" s="59" t="s">
        <v>542</v>
      </c>
      <c r="C359" s="59" t="s">
        <v>518</v>
      </c>
      <c r="D359" s="99" t="n">
        <v>0.12</v>
      </c>
      <c r="E359" s="75" t="n">
        <v>0.025</v>
      </c>
      <c r="F359" s="64" t="n">
        <f aca="false">IF(COUNTA(B359:E359)=0,"",SUM(E$355:E359))</f>
        <v>0.325</v>
      </c>
      <c r="G359" s="60" t="str">
        <f aca="false">IF(COUNTA(B359:E359)=0,"",IF(AND(LEN(B359)&gt;0,ISNUMBER(E359),E359&gt;=0,ISNUMBER(D359),OR(AND(C359="Booking + quarters",D359&gt;=0,INT(D359)=D359,D359&lt;=12),AND(C359="Construction % complete",D359&gt;=0,D359&lt;=1))),"OK","ERROR"))</f>
        <v>OK</v>
      </c>
    </row>
    <row r="360" customFormat="false" ht="15" hidden="false" customHeight="false" outlineLevel="0" collapsed="false">
      <c r="B360" s="59" t="s">
        <v>543</v>
      </c>
      <c r="C360" s="59" t="s">
        <v>518</v>
      </c>
      <c r="D360" s="99" t="n">
        <v>0.15625</v>
      </c>
      <c r="E360" s="75" t="n">
        <v>0.025</v>
      </c>
      <c r="F360" s="64" t="n">
        <f aca="false">IF(COUNTA(B360:E360)=0,"",SUM(E$355:E360))</f>
        <v>0.35</v>
      </c>
      <c r="G360" s="60" t="str">
        <f aca="false">IF(COUNTA(B360:E360)=0,"",IF(AND(LEN(B360)&gt;0,ISNUMBER(E360),E360&gt;=0,ISNUMBER(D360),OR(AND(C360="Booking + quarters",D360&gt;=0,INT(D360)=D360,D360&lt;=12),AND(C360="Construction % complete",D360&gt;=0,D360&lt;=1))),"OK","ERROR"))</f>
        <v>OK</v>
      </c>
    </row>
    <row r="361" customFormat="false" ht="15" hidden="false" customHeight="false" outlineLevel="0" collapsed="false">
      <c r="B361" s="59" t="s">
        <v>544</v>
      </c>
      <c r="C361" s="59" t="s">
        <v>518</v>
      </c>
      <c r="D361" s="99" t="n">
        <v>0.1925</v>
      </c>
      <c r="E361" s="75" t="n">
        <v>0.025</v>
      </c>
      <c r="F361" s="64" t="n">
        <f aca="false">IF(COUNTA(B361:E361)=0,"",SUM(E$355:E361))</f>
        <v>0.375</v>
      </c>
      <c r="G361" s="60" t="str">
        <f aca="false">IF(COUNTA(B361:E361)=0,"",IF(AND(LEN(B361)&gt;0,ISNUMBER(E361),E361&gt;=0,ISNUMBER(D361),OR(AND(C361="Booking + quarters",D361&gt;=0,INT(D361)=D361,D361&lt;=12),AND(C361="Construction % complete",D361&gt;=0,D361&lt;=1))),"OK","ERROR"))</f>
        <v>OK</v>
      </c>
    </row>
    <row r="362" customFormat="false" ht="15" hidden="false" customHeight="false" outlineLevel="0" collapsed="false">
      <c r="B362" s="59" t="s">
        <v>545</v>
      </c>
      <c r="C362" s="59" t="s">
        <v>518</v>
      </c>
      <c r="D362" s="99" t="n">
        <v>0.22875</v>
      </c>
      <c r="E362" s="75" t="n">
        <v>0.025</v>
      </c>
      <c r="F362" s="64" t="n">
        <f aca="false">IF(COUNTA(B362:E362)=0,"",SUM(E$355:E362))</f>
        <v>0.4</v>
      </c>
      <c r="G362" s="60" t="str">
        <f aca="false">IF(COUNTA(B362:E362)=0,"",IF(AND(LEN(B362)&gt;0,ISNUMBER(E362),E362&gt;=0,ISNUMBER(D362),OR(AND(C362="Booking + quarters",D362&gt;=0,INT(D362)=D362,D362&lt;=12),AND(C362="Construction % complete",D362&gt;=0,D362&lt;=1))),"OK","ERROR"))</f>
        <v>OK</v>
      </c>
    </row>
    <row r="363" customFormat="false" ht="15" hidden="false" customHeight="false" outlineLevel="0" collapsed="false">
      <c r="B363" s="59" t="s">
        <v>546</v>
      </c>
      <c r="C363" s="59" t="s">
        <v>518</v>
      </c>
      <c r="D363" s="99" t="n">
        <v>0.265</v>
      </c>
      <c r="E363" s="75" t="n">
        <v>0.025</v>
      </c>
      <c r="F363" s="64" t="n">
        <f aca="false">IF(COUNTA(B363:E363)=0,"",SUM(E$355:E363))</f>
        <v>0.425</v>
      </c>
      <c r="G363" s="60" t="str">
        <f aca="false">IF(COUNTA(B363:E363)=0,"",IF(AND(LEN(B363)&gt;0,ISNUMBER(E363),E363&gt;=0,ISNUMBER(D363),OR(AND(C363="Booking + quarters",D363&gt;=0,INT(D363)=D363,D363&lt;=12),AND(C363="Construction % complete",D363&gt;=0,D363&lt;=1))),"OK","ERROR"))</f>
        <v>OK</v>
      </c>
    </row>
    <row r="364" customFormat="false" ht="15" hidden="false" customHeight="false" outlineLevel="0" collapsed="false">
      <c r="B364" s="59" t="s">
        <v>547</v>
      </c>
      <c r="C364" s="59" t="s">
        <v>518</v>
      </c>
      <c r="D364" s="99" t="n">
        <v>0.30125</v>
      </c>
      <c r="E364" s="75" t="n">
        <v>0.025</v>
      </c>
      <c r="F364" s="64" t="n">
        <f aca="false">IF(COUNTA(B364:E364)=0,"",SUM(E$355:E364))</f>
        <v>0.45</v>
      </c>
      <c r="G364" s="60" t="str">
        <f aca="false">IF(COUNTA(B364:E364)=0,"",IF(AND(LEN(B364)&gt;0,ISNUMBER(E364),E364&gt;=0,ISNUMBER(D364),OR(AND(C364="Booking + quarters",D364&gt;=0,INT(D364)=D364,D364&lt;=12),AND(C364="Construction % complete",D364&gt;=0,D364&lt;=1))),"OK","ERROR"))</f>
        <v>OK</v>
      </c>
    </row>
    <row r="365" customFormat="false" ht="15" hidden="false" customHeight="false" outlineLevel="0" collapsed="false">
      <c r="B365" s="59" t="s">
        <v>548</v>
      </c>
      <c r="C365" s="59" t="s">
        <v>518</v>
      </c>
      <c r="D365" s="99" t="n">
        <v>0.3375</v>
      </c>
      <c r="E365" s="75" t="n">
        <v>0.025</v>
      </c>
      <c r="F365" s="64" t="n">
        <f aca="false">IF(COUNTA(B365:E365)=0,"",SUM(E$355:E365))</f>
        <v>0.475</v>
      </c>
      <c r="G365" s="60" t="str">
        <f aca="false">IF(COUNTA(B365:E365)=0,"",IF(AND(LEN(B365)&gt;0,ISNUMBER(E365),E365&gt;=0,ISNUMBER(D365),OR(AND(C365="Booking + quarters",D365&gt;=0,INT(D365)=D365,D365&lt;=12),AND(C365="Construction % complete",D365&gt;=0,D365&lt;=1))),"OK","ERROR"))</f>
        <v>OK</v>
      </c>
    </row>
    <row r="366" customFormat="false" ht="15" hidden="false" customHeight="false" outlineLevel="0" collapsed="false">
      <c r="B366" s="59" t="s">
        <v>549</v>
      </c>
      <c r="C366" s="59" t="s">
        <v>518</v>
      </c>
      <c r="D366" s="99" t="n">
        <v>0.37375</v>
      </c>
      <c r="E366" s="75" t="n">
        <v>0.025</v>
      </c>
      <c r="F366" s="64" t="n">
        <f aca="false">IF(COUNTA(B366:E366)=0,"",SUM(E$355:E366))</f>
        <v>0.5</v>
      </c>
      <c r="G366" s="60" t="str">
        <f aca="false">IF(COUNTA(B366:E366)=0,"",IF(AND(LEN(B366)&gt;0,ISNUMBER(E366),E366&gt;=0,ISNUMBER(D366),OR(AND(C366="Booking + quarters",D366&gt;=0,INT(D366)=D366,D366&lt;=12),AND(C366="Construction % complete",D366&gt;=0,D366&lt;=1))),"OK","ERROR"))</f>
        <v>OK</v>
      </c>
    </row>
    <row r="367" customFormat="false" ht="15" hidden="false" customHeight="false" outlineLevel="0" collapsed="false">
      <c r="B367" s="59" t="s">
        <v>550</v>
      </c>
      <c r="C367" s="59" t="s">
        <v>518</v>
      </c>
      <c r="D367" s="99" t="n">
        <v>0.41</v>
      </c>
      <c r="E367" s="75" t="n">
        <v>0.025</v>
      </c>
      <c r="F367" s="64" t="n">
        <f aca="false">IF(COUNTA(B367:E367)=0,"",SUM(E$355:E367))</f>
        <v>0.525</v>
      </c>
      <c r="G367" s="60" t="str">
        <f aca="false">IF(COUNTA(B367:E367)=0,"",IF(AND(LEN(B367)&gt;0,ISNUMBER(E367),E367&gt;=0,ISNUMBER(D367),OR(AND(C367="Booking + quarters",D367&gt;=0,INT(D367)=D367,D367&lt;=12),AND(C367="Construction % complete",D367&gt;=0,D367&lt;=1))),"OK","ERROR"))</f>
        <v>OK</v>
      </c>
    </row>
    <row r="368" customFormat="false" ht="15" hidden="false" customHeight="false" outlineLevel="0" collapsed="false">
      <c r="B368" s="59" t="s">
        <v>551</v>
      </c>
      <c r="C368" s="59" t="s">
        <v>518</v>
      </c>
      <c r="D368" s="99" t="n">
        <v>0.44625</v>
      </c>
      <c r="E368" s="75" t="n">
        <v>0.025</v>
      </c>
      <c r="F368" s="64" t="n">
        <f aca="false">IF(COUNTA(B368:E368)=0,"",SUM(E$355:E368))</f>
        <v>0.55</v>
      </c>
      <c r="G368" s="60" t="str">
        <f aca="false">IF(COUNTA(B368:E368)=0,"",IF(AND(LEN(B368)&gt;0,ISNUMBER(E368),E368&gt;=0,ISNUMBER(D368),OR(AND(C368="Booking + quarters",D368&gt;=0,INT(D368)=D368,D368&lt;=12),AND(C368="Construction % complete",D368&gt;=0,D368&lt;=1))),"OK","ERROR"))</f>
        <v>OK</v>
      </c>
    </row>
    <row r="369" customFormat="false" ht="15" hidden="false" customHeight="false" outlineLevel="0" collapsed="false">
      <c r="B369" s="59" t="s">
        <v>552</v>
      </c>
      <c r="C369" s="59" t="s">
        <v>518</v>
      </c>
      <c r="D369" s="99" t="n">
        <v>0.4825</v>
      </c>
      <c r="E369" s="75" t="n">
        <v>0.025</v>
      </c>
      <c r="F369" s="64" t="n">
        <f aca="false">IF(COUNTA(B369:E369)=0,"",SUM(E$355:E369))</f>
        <v>0.575</v>
      </c>
      <c r="G369" s="60" t="str">
        <f aca="false">IF(COUNTA(B369:E369)=0,"",IF(AND(LEN(B369)&gt;0,ISNUMBER(E369),E369&gt;=0,ISNUMBER(D369),OR(AND(C369="Booking + quarters",D369&gt;=0,INT(D369)=D369,D369&lt;=12),AND(C369="Construction % complete",D369&gt;=0,D369&lt;=1))),"OK","ERROR"))</f>
        <v>OK</v>
      </c>
    </row>
    <row r="370" customFormat="false" ht="15" hidden="false" customHeight="false" outlineLevel="0" collapsed="false">
      <c r="B370" s="59" t="s">
        <v>553</v>
      </c>
      <c r="C370" s="59" t="s">
        <v>518</v>
      </c>
      <c r="D370" s="99" t="n">
        <v>0.51875</v>
      </c>
      <c r="E370" s="75" t="n">
        <v>0.025</v>
      </c>
      <c r="F370" s="64" t="n">
        <f aca="false">IF(COUNTA(B370:E370)=0,"",SUM(E$355:E370))</f>
        <v>0.6</v>
      </c>
      <c r="G370" s="60" t="str">
        <f aca="false">IF(COUNTA(B370:E370)=0,"",IF(AND(LEN(B370)&gt;0,ISNUMBER(E370),E370&gt;=0,ISNUMBER(D370),OR(AND(C370="Booking + quarters",D370&gt;=0,INT(D370)=D370,D370&lt;=12),AND(C370="Construction % complete",D370&gt;=0,D370&lt;=1))),"OK","ERROR"))</f>
        <v>OK</v>
      </c>
    </row>
    <row r="371" customFormat="false" ht="15" hidden="false" customHeight="false" outlineLevel="0" collapsed="false">
      <c r="B371" s="59" t="s">
        <v>554</v>
      </c>
      <c r="C371" s="59" t="s">
        <v>518</v>
      </c>
      <c r="D371" s="99" t="n">
        <v>0.555</v>
      </c>
      <c r="E371" s="75" t="n">
        <v>0.025</v>
      </c>
      <c r="F371" s="64" t="n">
        <f aca="false">IF(COUNTA(B371:E371)=0,"",SUM(E$355:E371))</f>
        <v>0.625</v>
      </c>
      <c r="G371" s="60" t="str">
        <f aca="false">IF(COUNTA(B371:E371)=0,"",IF(AND(LEN(B371)&gt;0,ISNUMBER(E371),E371&gt;=0,ISNUMBER(D371),OR(AND(C371="Booking + quarters",D371&gt;=0,INT(D371)=D371,D371&lt;=12),AND(C371="Construction % complete",D371&gt;=0,D371&lt;=1))),"OK","ERROR"))</f>
        <v>OK</v>
      </c>
    </row>
    <row r="372" customFormat="false" ht="15" hidden="false" customHeight="false" outlineLevel="0" collapsed="false">
      <c r="B372" s="59" t="s">
        <v>555</v>
      </c>
      <c r="C372" s="59" t="s">
        <v>518</v>
      </c>
      <c r="D372" s="99" t="n">
        <v>0.59125</v>
      </c>
      <c r="E372" s="75" t="n">
        <v>0.025</v>
      </c>
      <c r="F372" s="64" t="n">
        <f aca="false">IF(COUNTA(B372:E372)=0,"",SUM(E$355:E372))</f>
        <v>0.65</v>
      </c>
      <c r="G372" s="60" t="str">
        <f aca="false">IF(COUNTA(B372:E372)=0,"",IF(AND(LEN(B372)&gt;0,ISNUMBER(E372),E372&gt;=0,ISNUMBER(D372),OR(AND(C372="Booking + quarters",D372&gt;=0,INT(D372)=D372,D372&lt;=12),AND(C372="Construction % complete",D372&gt;=0,D372&lt;=1))),"OK","ERROR"))</f>
        <v>OK</v>
      </c>
    </row>
    <row r="373" customFormat="false" ht="15" hidden="false" customHeight="false" outlineLevel="0" collapsed="false">
      <c r="B373" s="59" t="s">
        <v>556</v>
      </c>
      <c r="C373" s="59" t="s">
        <v>518</v>
      </c>
      <c r="D373" s="99" t="n">
        <v>0.6275</v>
      </c>
      <c r="E373" s="75" t="n">
        <v>0.025</v>
      </c>
      <c r="F373" s="64" t="n">
        <f aca="false">IF(COUNTA(B373:E373)=0,"",SUM(E$355:E373))</f>
        <v>0.675</v>
      </c>
      <c r="G373" s="60" t="str">
        <f aca="false">IF(COUNTA(B373:E373)=0,"",IF(AND(LEN(B373)&gt;0,ISNUMBER(E373),E373&gt;=0,ISNUMBER(D373),OR(AND(C373="Booking + quarters",D373&gt;=0,INT(D373)=D373,D373&lt;=12),AND(C373="Construction % complete",D373&gt;=0,D373&lt;=1))),"OK","ERROR"))</f>
        <v>OK</v>
      </c>
    </row>
    <row r="374" customFormat="false" ht="15" hidden="false" customHeight="false" outlineLevel="0" collapsed="false">
      <c r="B374" s="59" t="s">
        <v>557</v>
      </c>
      <c r="C374" s="59" t="s">
        <v>518</v>
      </c>
      <c r="D374" s="99" t="n">
        <v>0.66375</v>
      </c>
      <c r="E374" s="75" t="n">
        <v>0.025</v>
      </c>
      <c r="F374" s="64" t="n">
        <f aca="false">IF(COUNTA(B374:E374)=0,"",SUM(E$355:E374))</f>
        <v>0.7</v>
      </c>
      <c r="G374" s="60" t="str">
        <f aca="false">IF(COUNTA(B374:E374)=0,"",IF(AND(LEN(B374)&gt;0,ISNUMBER(E374),E374&gt;=0,ISNUMBER(D374),OR(AND(C374="Booking + quarters",D374&gt;=0,INT(D374)=D374,D374&lt;=12),AND(C374="Construction % complete",D374&gt;=0,D374&lt;=1))),"OK","ERROR"))</f>
        <v>OK</v>
      </c>
    </row>
    <row r="375" customFormat="false" ht="15" hidden="false" customHeight="false" outlineLevel="0" collapsed="false">
      <c r="B375" s="59" t="s">
        <v>558</v>
      </c>
      <c r="C375" s="59" t="s">
        <v>518</v>
      </c>
      <c r="D375" s="99" t="n">
        <v>0.7</v>
      </c>
      <c r="E375" s="75" t="n">
        <v>0.025</v>
      </c>
      <c r="F375" s="64" t="n">
        <f aca="false">IF(COUNTA(B375:E375)=0,"",SUM(E$355:E375))</f>
        <v>0.725</v>
      </c>
      <c r="G375" s="60" t="str">
        <f aca="false">IF(COUNTA(B375:E375)=0,"",IF(AND(LEN(B375)&gt;0,ISNUMBER(E375),E375&gt;=0,ISNUMBER(D375),OR(AND(C375="Booking + quarters",D375&gt;=0,INT(D375)=D375,D375&lt;=12),AND(C375="Construction % complete",D375&gt;=0,D375&lt;=1))),"OK","ERROR"))</f>
        <v>OK</v>
      </c>
    </row>
    <row r="376" customFormat="false" ht="15" hidden="false" customHeight="false" outlineLevel="0" collapsed="false">
      <c r="B376" s="59" t="s">
        <v>559</v>
      </c>
      <c r="C376" s="59" t="s">
        <v>518</v>
      </c>
      <c r="D376" s="99" t="n">
        <v>0.78</v>
      </c>
      <c r="E376" s="75" t="n">
        <v>0.05</v>
      </c>
      <c r="F376" s="64" t="n">
        <f aca="false">IF(COUNTA(B376:E376)=0,"",SUM(E$355:E376))</f>
        <v>0.775</v>
      </c>
      <c r="G376" s="60" t="str">
        <f aca="false">IF(COUNTA(B376:E376)=0,"",IF(AND(LEN(B376)&gt;0,ISNUMBER(E376),E376&gt;=0,ISNUMBER(D376),OR(AND(C376="Booking + quarters",D376&gt;=0,INT(D376)=D376,D376&lt;=12),AND(C376="Construction % complete",D376&gt;=0,D376&lt;=1))),"OK","ERROR"))</f>
        <v>OK</v>
      </c>
    </row>
    <row r="377" customFormat="false" ht="15" hidden="false" customHeight="false" outlineLevel="0" collapsed="false">
      <c r="B377" s="59" t="s">
        <v>560</v>
      </c>
      <c r="C377" s="59" t="s">
        <v>518</v>
      </c>
      <c r="D377" s="99" t="n">
        <v>0.85</v>
      </c>
      <c r="E377" s="75" t="n">
        <v>0.05</v>
      </c>
      <c r="F377" s="64" t="n">
        <f aca="false">IF(COUNTA(B377:E377)=0,"",SUM(E$355:E377))</f>
        <v>0.825</v>
      </c>
      <c r="G377" s="60" t="str">
        <f aca="false">IF(COUNTA(B377:E377)=0,"",IF(AND(LEN(B377)&gt;0,ISNUMBER(E377),E377&gt;=0,ISNUMBER(D377),OR(AND(C377="Booking + quarters",D377&gt;=0,INT(D377)=D377,D377&lt;=12),AND(C377="Construction % complete",D377&gt;=0,D377&lt;=1))),"OK","ERROR"))</f>
        <v>OK</v>
      </c>
    </row>
    <row r="378" customFormat="false" ht="15" hidden="false" customHeight="false" outlineLevel="0" collapsed="false">
      <c r="B378" s="59" t="s">
        <v>534</v>
      </c>
      <c r="C378" s="59" t="s">
        <v>518</v>
      </c>
      <c r="D378" s="99" t="n">
        <v>0.92</v>
      </c>
      <c r="E378" s="75" t="n">
        <v>0.075</v>
      </c>
      <c r="F378" s="64" t="n">
        <f aca="false">IF(COUNTA(B378:E378)=0,"",SUM(E$355:E378))</f>
        <v>0.9</v>
      </c>
      <c r="G378" s="60" t="str">
        <f aca="false">IF(COUNTA(B378:E378)=0,"",IF(AND(LEN(B378)&gt;0,ISNUMBER(E378),E378&gt;=0,ISNUMBER(D378),OR(AND(C378="Booking + quarters",D378&gt;=0,INT(D378)=D378,D378&lt;=12),AND(C378="Construction % complete",D378&gt;=0,D378&lt;=1))),"OK","ERROR"))</f>
        <v>OK</v>
      </c>
    </row>
    <row r="379" customFormat="false" ht="15" hidden="false" customHeight="false" outlineLevel="0" collapsed="false">
      <c r="B379" s="59" t="s">
        <v>524</v>
      </c>
      <c r="C379" s="59" t="s">
        <v>518</v>
      </c>
      <c r="D379" s="99" t="n">
        <v>1</v>
      </c>
      <c r="E379" s="75" t="n">
        <v>0.1</v>
      </c>
      <c r="F379" s="64" t="n">
        <f aca="false">IF(COUNTA(B379:E379)=0,"",SUM(E$355:E379))</f>
        <v>1</v>
      </c>
      <c r="G379" s="60" t="str">
        <f aca="false">IF(COUNTA(B379:E379)=0,"",IF(AND(LEN(B379)&gt;0,ISNUMBER(E379),E379&gt;=0,ISNUMBER(D379),OR(AND(C379="Booking + quarters",D379&gt;=0,INT(D379)=D379,D379&lt;=12),AND(C379="Construction % complete",D379&gt;=0,D379&lt;=1))),"OK","ERROR"))</f>
        <v>OK</v>
      </c>
    </row>
    <row r="380" customFormat="false" ht="15" hidden="false" customHeight="false" outlineLevel="0" collapsed="false">
      <c r="B380" s="59"/>
      <c r="C380" s="59"/>
      <c r="D380" s="99"/>
      <c r="E380" s="75"/>
      <c r="F380" s="64" t="str">
        <f aca="false">IF(COUNTA(B380:E380)=0,"",SUM(E$355:E380))</f>
        <v/>
      </c>
      <c r="G380" s="60" t="str">
        <f aca="false">IF(COUNTA(B380:E380)=0,"",IF(AND(LEN(B380)&gt;0,ISNUMBER(E380),E380&gt;=0,ISNUMBER(D380),OR(AND(C380="Booking + quarters",D380&gt;=0,INT(D380)=D380,D380&lt;=12),AND(C380="Construction % complete",D380&gt;=0,D380&lt;=1))),"OK","ERROR"))</f>
        <v/>
      </c>
    </row>
    <row r="381" customFormat="false" ht="15" hidden="false" customHeight="false" outlineLevel="0" collapsed="false">
      <c r="B381" s="59"/>
      <c r="C381" s="59"/>
      <c r="D381" s="99"/>
      <c r="E381" s="75"/>
      <c r="F381" s="64" t="str">
        <f aca="false">IF(COUNTA(B381:E381)=0,"",SUM(E$355:E381))</f>
        <v/>
      </c>
      <c r="G381" s="60" t="str">
        <f aca="false">IF(COUNTA(B381:E381)=0,"",IF(AND(LEN(B381)&gt;0,ISNUMBER(E381),E381&gt;=0,ISNUMBER(D381),OR(AND(C381="Booking + quarters",D381&gt;=0,INT(D381)=D381,D381&lt;=12),AND(C381="Construction % complete",D381&gt;=0,D381&lt;=1))),"OK","ERROR"))</f>
        <v/>
      </c>
    </row>
    <row r="382" customFormat="false" ht="15" hidden="false" customHeight="false" outlineLevel="0" collapsed="false">
      <c r="B382" s="59"/>
      <c r="C382" s="59"/>
      <c r="D382" s="99"/>
      <c r="E382" s="75"/>
      <c r="F382" s="64" t="str">
        <f aca="false">IF(COUNTA(B382:E382)=0,"",SUM(E$355:E382))</f>
        <v/>
      </c>
      <c r="G382" s="60" t="str">
        <f aca="false">IF(COUNTA(B382:E382)=0,"",IF(AND(LEN(B382)&gt;0,ISNUMBER(E382),E382&gt;=0,ISNUMBER(D382),OR(AND(C382="Booking + quarters",D382&gt;=0,INT(D382)=D382,D382&lt;=12),AND(C382="Construction % complete",D382&gt;=0,D382&lt;=1))),"OK","ERROR"))</f>
        <v/>
      </c>
    </row>
    <row r="383" customFormat="false" ht="15" hidden="false" customHeight="false" outlineLevel="0" collapsed="false">
      <c r="B383" s="59"/>
      <c r="C383" s="59"/>
      <c r="D383" s="99"/>
      <c r="E383" s="75"/>
      <c r="F383" s="64" t="str">
        <f aca="false">IF(COUNTA(B383:E383)=0,"",SUM(E$355:E383))</f>
        <v/>
      </c>
      <c r="G383" s="60" t="str">
        <f aca="false">IF(COUNTA(B383:E383)=0,"",IF(AND(LEN(B383)&gt;0,ISNUMBER(E383),E383&gt;=0,ISNUMBER(D383),OR(AND(C383="Booking + quarters",D383&gt;=0,INT(D383)=D383,D383&lt;=12),AND(C383="Construction % complete",D383&gt;=0,D383&lt;=1))),"OK","ERROR"))</f>
        <v/>
      </c>
    </row>
    <row r="384" customFormat="false" ht="15" hidden="false" customHeight="false" outlineLevel="0" collapsed="false">
      <c r="B384" s="59"/>
      <c r="C384" s="59"/>
      <c r="D384" s="99"/>
      <c r="E384" s="75"/>
      <c r="F384" s="64" t="str">
        <f aca="false">IF(COUNTA(B384:E384)=0,"",SUM(E$355:E384))</f>
        <v/>
      </c>
      <c r="G384" s="60" t="str">
        <f aca="false">IF(COUNTA(B384:E384)=0,"",IF(AND(LEN(B384)&gt;0,ISNUMBER(E384),E384&gt;=0,ISNUMBER(D384),OR(AND(C384="Booking + quarters",D384&gt;=0,INT(D384)=D384,D384&lt;=12),AND(C384="Construction % complete",D384&gt;=0,D384&lt;=1))),"OK","ERROR"))</f>
        <v/>
      </c>
    </row>
    <row r="385" customFormat="false" ht="15" hidden="false" customHeight="false" outlineLevel="0" collapsed="false">
      <c r="B385" s="82" t="s">
        <v>525</v>
      </c>
      <c r="C385" s="86"/>
      <c r="D385" s="86"/>
      <c r="E385" s="83" t="n">
        <f aca="false">SUM(E355:E384)</f>
        <v>1</v>
      </c>
      <c r="F385" s="86"/>
      <c r="G385" s="100" t="str">
        <f aca="false">IF(COUNTA(B355:E384)=0,"Unused",IF(AND(LEN(C353)&gt;0,COUNTIF(LISTS!$R$5:$R$10,C353)=1,ABS(E385-1)&lt;0.000001,COUNTIF(G355:G384,"ERROR")=0),"OK","ERROR"))</f>
        <v>OK</v>
      </c>
    </row>
    <row r="387" customFormat="false" ht="15" hidden="false" customHeight="false" outlineLevel="0" collapsed="false">
      <c r="B387" s="2" t="s">
        <v>507</v>
      </c>
      <c r="C387" s="59"/>
      <c r="D387" s="17" t="s">
        <v>508</v>
      </c>
    </row>
    <row r="388" customFormat="false" ht="30" hidden="false" customHeight="true" outlineLevel="0" collapsed="false">
      <c r="B388" s="27" t="s">
        <v>509</v>
      </c>
      <c r="C388" s="27" t="s">
        <v>510</v>
      </c>
      <c r="D388" s="27" t="s">
        <v>511</v>
      </c>
      <c r="E388" s="27" t="s">
        <v>512</v>
      </c>
      <c r="F388" s="27" t="s">
        <v>513</v>
      </c>
      <c r="G388" s="27" t="s">
        <v>248</v>
      </c>
    </row>
    <row r="389" customFormat="false" ht="15" hidden="false" customHeight="false" outlineLevel="0" collapsed="false">
      <c r="B389" s="59"/>
      <c r="C389" s="59"/>
      <c r="D389" s="99"/>
      <c r="E389" s="75"/>
      <c r="F389" s="64" t="str">
        <f aca="false">IF(COUNTA(B389:E389)=0,"",SUM(E$389:E389))</f>
        <v/>
      </c>
      <c r="G389" s="60" t="str">
        <f aca="false">IF(COUNTA(B389:E389)=0,"",IF(AND(LEN(B389)&gt;0,ISNUMBER(E389),E389&gt;=0,ISNUMBER(D389),OR(AND(C389="Booking + quarters",D389&gt;=0,INT(D389)=D389,D389&lt;=12),AND(C389="Construction % complete",D389&gt;=0,D389&lt;=1))),"OK","ERROR"))</f>
        <v/>
      </c>
    </row>
    <row r="390" customFormat="false" ht="15" hidden="false" customHeight="false" outlineLevel="0" collapsed="false">
      <c r="B390" s="59"/>
      <c r="C390" s="59"/>
      <c r="D390" s="99"/>
      <c r="E390" s="75"/>
      <c r="F390" s="64" t="str">
        <f aca="false">IF(COUNTA(B390:E390)=0,"",SUM(E$389:E390))</f>
        <v/>
      </c>
      <c r="G390" s="60" t="str">
        <f aca="false">IF(COUNTA(B390:E390)=0,"",IF(AND(LEN(B390)&gt;0,ISNUMBER(E390),E390&gt;=0,ISNUMBER(D390),OR(AND(C390="Booking + quarters",D390&gt;=0,INT(D390)=D390,D390&lt;=12),AND(C390="Construction % complete",D390&gt;=0,D390&lt;=1))),"OK","ERROR"))</f>
        <v/>
      </c>
    </row>
    <row r="391" customFormat="false" ht="15" hidden="false" customHeight="false" outlineLevel="0" collapsed="false">
      <c r="B391" s="59"/>
      <c r="C391" s="59"/>
      <c r="D391" s="99"/>
      <c r="E391" s="75"/>
      <c r="F391" s="64" t="str">
        <f aca="false">IF(COUNTA(B391:E391)=0,"",SUM(E$389:E391))</f>
        <v/>
      </c>
      <c r="G391" s="60" t="str">
        <f aca="false">IF(COUNTA(B391:E391)=0,"",IF(AND(LEN(B391)&gt;0,ISNUMBER(E391),E391&gt;=0,ISNUMBER(D391),OR(AND(C391="Booking + quarters",D391&gt;=0,INT(D391)=D391,D391&lt;=12),AND(C391="Construction % complete",D391&gt;=0,D391&lt;=1))),"OK","ERROR"))</f>
        <v/>
      </c>
    </row>
    <row r="392" customFormat="false" ht="15" hidden="false" customHeight="false" outlineLevel="0" collapsed="false">
      <c r="B392" s="59"/>
      <c r="C392" s="59"/>
      <c r="D392" s="99"/>
      <c r="E392" s="75"/>
      <c r="F392" s="64" t="str">
        <f aca="false">IF(COUNTA(B392:E392)=0,"",SUM(E$389:E392))</f>
        <v/>
      </c>
      <c r="G392" s="60" t="str">
        <f aca="false">IF(COUNTA(B392:E392)=0,"",IF(AND(LEN(B392)&gt;0,ISNUMBER(E392),E392&gt;=0,ISNUMBER(D392),OR(AND(C392="Booking + quarters",D392&gt;=0,INT(D392)=D392,D392&lt;=12),AND(C392="Construction % complete",D392&gt;=0,D392&lt;=1))),"OK","ERROR"))</f>
        <v/>
      </c>
    </row>
    <row r="393" customFormat="false" ht="15" hidden="false" customHeight="false" outlineLevel="0" collapsed="false">
      <c r="B393" s="59"/>
      <c r="C393" s="59"/>
      <c r="D393" s="99"/>
      <c r="E393" s="75"/>
      <c r="F393" s="64" t="str">
        <f aca="false">IF(COUNTA(B393:E393)=0,"",SUM(E$389:E393))</f>
        <v/>
      </c>
      <c r="G393" s="60" t="str">
        <f aca="false">IF(COUNTA(B393:E393)=0,"",IF(AND(LEN(B393)&gt;0,ISNUMBER(E393),E393&gt;=0,ISNUMBER(D393),OR(AND(C393="Booking + quarters",D393&gt;=0,INT(D393)=D393,D393&lt;=12),AND(C393="Construction % complete",D393&gt;=0,D393&lt;=1))),"OK","ERROR"))</f>
        <v/>
      </c>
    </row>
    <row r="394" customFormat="false" ht="15" hidden="false" customHeight="false" outlineLevel="0" collapsed="false">
      <c r="B394" s="59"/>
      <c r="C394" s="59"/>
      <c r="D394" s="99"/>
      <c r="E394" s="75"/>
      <c r="F394" s="64" t="str">
        <f aca="false">IF(COUNTA(B394:E394)=0,"",SUM(E$389:E394))</f>
        <v/>
      </c>
      <c r="G394" s="60" t="str">
        <f aca="false">IF(COUNTA(B394:E394)=0,"",IF(AND(LEN(B394)&gt;0,ISNUMBER(E394),E394&gt;=0,ISNUMBER(D394),OR(AND(C394="Booking + quarters",D394&gt;=0,INT(D394)=D394,D394&lt;=12),AND(C394="Construction % complete",D394&gt;=0,D394&lt;=1))),"OK","ERROR"))</f>
        <v/>
      </c>
    </row>
    <row r="395" customFormat="false" ht="15" hidden="false" customHeight="false" outlineLevel="0" collapsed="false">
      <c r="B395" s="59"/>
      <c r="C395" s="59"/>
      <c r="D395" s="99"/>
      <c r="E395" s="75"/>
      <c r="F395" s="64" t="str">
        <f aca="false">IF(COUNTA(B395:E395)=0,"",SUM(E$389:E395))</f>
        <v/>
      </c>
      <c r="G395" s="60" t="str">
        <f aca="false">IF(COUNTA(B395:E395)=0,"",IF(AND(LEN(B395)&gt;0,ISNUMBER(E395),E395&gt;=0,ISNUMBER(D395),OR(AND(C395="Booking + quarters",D395&gt;=0,INT(D395)=D395,D395&lt;=12),AND(C395="Construction % complete",D395&gt;=0,D395&lt;=1))),"OK","ERROR"))</f>
        <v/>
      </c>
    </row>
    <row r="396" customFormat="false" ht="15" hidden="false" customHeight="false" outlineLevel="0" collapsed="false">
      <c r="B396" s="59"/>
      <c r="C396" s="59"/>
      <c r="D396" s="99"/>
      <c r="E396" s="75"/>
      <c r="F396" s="64" t="str">
        <f aca="false">IF(COUNTA(B396:E396)=0,"",SUM(E$389:E396))</f>
        <v/>
      </c>
      <c r="G396" s="60" t="str">
        <f aca="false">IF(COUNTA(B396:E396)=0,"",IF(AND(LEN(B396)&gt;0,ISNUMBER(E396),E396&gt;=0,ISNUMBER(D396),OR(AND(C396="Booking + quarters",D396&gt;=0,INT(D396)=D396,D396&lt;=12),AND(C396="Construction % complete",D396&gt;=0,D396&lt;=1))),"OK","ERROR"))</f>
        <v/>
      </c>
    </row>
    <row r="397" customFormat="false" ht="15" hidden="false" customHeight="false" outlineLevel="0" collapsed="false">
      <c r="B397" s="59"/>
      <c r="C397" s="59"/>
      <c r="D397" s="99"/>
      <c r="E397" s="75"/>
      <c r="F397" s="64" t="str">
        <f aca="false">IF(COUNTA(B397:E397)=0,"",SUM(E$389:E397))</f>
        <v/>
      </c>
      <c r="G397" s="60" t="str">
        <f aca="false">IF(COUNTA(B397:E397)=0,"",IF(AND(LEN(B397)&gt;0,ISNUMBER(E397),E397&gt;=0,ISNUMBER(D397),OR(AND(C397="Booking + quarters",D397&gt;=0,INT(D397)=D397,D397&lt;=12),AND(C397="Construction % complete",D397&gt;=0,D397&lt;=1))),"OK","ERROR"))</f>
        <v/>
      </c>
    </row>
    <row r="398" customFormat="false" ht="15" hidden="false" customHeight="false" outlineLevel="0" collapsed="false">
      <c r="B398" s="59"/>
      <c r="C398" s="59"/>
      <c r="D398" s="99"/>
      <c r="E398" s="75"/>
      <c r="F398" s="64" t="str">
        <f aca="false">IF(COUNTA(B398:E398)=0,"",SUM(E$389:E398))</f>
        <v/>
      </c>
      <c r="G398" s="60" t="str">
        <f aca="false">IF(COUNTA(B398:E398)=0,"",IF(AND(LEN(B398)&gt;0,ISNUMBER(E398),E398&gt;=0,ISNUMBER(D398),OR(AND(C398="Booking + quarters",D398&gt;=0,INT(D398)=D398,D398&lt;=12),AND(C398="Construction % complete",D398&gt;=0,D398&lt;=1))),"OK","ERROR"))</f>
        <v/>
      </c>
    </row>
    <row r="399" customFormat="false" ht="15" hidden="false" customHeight="false" outlineLevel="0" collapsed="false">
      <c r="B399" s="59"/>
      <c r="C399" s="59"/>
      <c r="D399" s="99"/>
      <c r="E399" s="75"/>
      <c r="F399" s="64" t="str">
        <f aca="false">IF(COUNTA(B399:E399)=0,"",SUM(E$389:E399))</f>
        <v/>
      </c>
      <c r="G399" s="60" t="str">
        <f aca="false">IF(COUNTA(B399:E399)=0,"",IF(AND(LEN(B399)&gt;0,ISNUMBER(E399),E399&gt;=0,ISNUMBER(D399),OR(AND(C399="Booking + quarters",D399&gt;=0,INT(D399)=D399,D399&lt;=12),AND(C399="Construction % complete",D399&gt;=0,D399&lt;=1))),"OK","ERROR"))</f>
        <v/>
      </c>
    </row>
    <row r="400" customFormat="false" ht="15" hidden="false" customHeight="false" outlineLevel="0" collapsed="false">
      <c r="B400" s="59"/>
      <c r="C400" s="59"/>
      <c r="D400" s="99"/>
      <c r="E400" s="75"/>
      <c r="F400" s="64" t="str">
        <f aca="false">IF(COUNTA(B400:E400)=0,"",SUM(E$389:E400))</f>
        <v/>
      </c>
      <c r="G400" s="60" t="str">
        <f aca="false">IF(COUNTA(B400:E400)=0,"",IF(AND(LEN(B400)&gt;0,ISNUMBER(E400),E400&gt;=0,ISNUMBER(D400),OR(AND(C400="Booking + quarters",D400&gt;=0,INT(D400)=D400,D400&lt;=12),AND(C400="Construction % complete",D400&gt;=0,D400&lt;=1))),"OK","ERROR"))</f>
        <v/>
      </c>
    </row>
    <row r="401" customFormat="false" ht="15" hidden="false" customHeight="false" outlineLevel="0" collapsed="false">
      <c r="B401" s="59"/>
      <c r="C401" s="59"/>
      <c r="D401" s="99"/>
      <c r="E401" s="75"/>
      <c r="F401" s="64" t="str">
        <f aca="false">IF(COUNTA(B401:E401)=0,"",SUM(E$389:E401))</f>
        <v/>
      </c>
      <c r="G401" s="60" t="str">
        <f aca="false">IF(COUNTA(B401:E401)=0,"",IF(AND(LEN(B401)&gt;0,ISNUMBER(E401),E401&gt;=0,ISNUMBER(D401),OR(AND(C401="Booking + quarters",D401&gt;=0,INT(D401)=D401,D401&lt;=12),AND(C401="Construction % complete",D401&gt;=0,D401&lt;=1))),"OK","ERROR"))</f>
        <v/>
      </c>
    </row>
    <row r="402" customFormat="false" ht="15" hidden="false" customHeight="false" outlineLevel="0" collapsed="false">
      <c r="B402" s="59"/>
      <c r="C402" s="59"/>
      <c r="D402" s="99"/>
      <c r="E402" s="75"/>
      <c r="F402" s="64" t="str">
        <f aca="false">IF(COUNTA(B402:E402)=0,"",SUM(E$389:E402))</f>
        <v/>
      </c>
      <c r="G402" s="60" t="str">
        <f aca="false">IF(COUNTA(B402:E402)=0,"",IF(AND(LEN(B402)&gt;0,ISNUMBER(E402),E402&gt;=0,ISNUMBER(D402),OR(AND(C402="Booking + quarters",D402&gt;=0,INT(D402)=D402,D402&lt;=12),AND(C402="Construction % complete",D402&gt;=0,D402&lt;=1))),"OK","ERROR"))</f>
        <v/>
      </c>
    </row>
    <row r="403" customFormat="false" ht="15" hidden="false" customHeight="false" outlineLevel="0" collapsed="false">
      <c r="B403" s="59"/>
      <c r="C403" s="59"/>
      <c r="D403" s="99"/>
      <c r="E403" s="75"/>
      <c r="F403" s="64" t="str">
        <f aca="false">IF(COUNTA(B403:E403)=0,"",SUM(E$389:E403))</f>
        <v/>
      </c>
      <c r="G403" s="60" t="str">
        <f aca="false">IF(COUNTA(B403:E403)=0,"",IF(AND(LEN(B403)&gt;0,ISNUMBER(E403),E403&gt;=0,ISNUMBER(D403),OR(AND(C403="Booking + quarters",D403&gt;=0,INT(D403)=D403,D403&lt;=12),AND(C403="Construction % complete",D403&gt;=0,D403&lt;=1))),"OK","ERROR"))</f>
        <v/>
      </c>
    </row>
    <row r="404" customFormat="false" ht="15" hidden="false" customHeight="false" outlineLevel="0" collapsed="false">
      <c r="B404" s="59"/>
      <c r="C404" s="59"/>
      <c r="D404" s="99"/>
      <c r="E404" s="75"/>
      <c r="F404" s="64" t="str">
        <f aca="false">IF(COUNTA(B404:E404)=0,"",SUM(E$389:E404))</f>
        <v/>
      </c>
      <c r="G404" s="60" t="str">
        <f aca="false">IF(COUNTA(B404:E404)=0,"",IF(AND(LEN(B404)&gt;0,ISNUMBER(E404),E404&gt;=0,ISNUMBER(D404),OR(AND(C404="Booking + quarters",D404&gt;=0,INT(D404)=D404,D404&lt;=12),AND(C404="Construction % complete",D404&gt;=0,D404&lt;=1))),"OK","ERROR"))</f>
        <v/>
      </c>
    </row>
    <row r="405" customFormat="false" ht="15" hidden="false" customHeight="false" outlineLevel="0" collapsed="false">
      <c r="B405" s="59"/>
      <c r="C405" s="59"/>
      <c r="D405" s="99"/>
      <c r="E405" s="75"/>
      <c r="F405" s="64" t="str">
        <f aca="false">IF(COUNTA(B405:E405)=0,"",SUM(E$389:E405))</f>
        <v/>
      </c>
      <c r="G405" s="60" t="str">
        <f aca="false">IF(COUNTA(B405:E405)=0,"",IF(AND(LEN(B405)&gt;0,ISNUMBER(E405),E405&gt;=0,ISNUMBER(D405),OR(AND(C405="Booking + quarters",D405&gt;=0,INT(D405)=D405,D405&lt;=12),AND(C405="Construction % complete",D405&gt;=0,D405&lt;=1))),"OK","ERROR"))</f>
        <v/>
      </c>
    </row>
    <row r="406" customFormat="false" ht="15" hidden="false" customHeight="false" outlineLevel="0" collapsed="false">
      <c r="B406" s="59"/>
      <c r="C406" s="59"/>
      <c r="D406" s="99"/>
      <c r="E406" s="75"/>
      <c r="F406" s="64" t="str">
        <f aca="false">IF(COUNTA(B406:E406)=0,"",SUM(E$389:E406))</f>
        <v/>
      </c>
      <c r="G406" s="60" t="str">
        <f aca="false">IF(COUNTA(B406:E406)=0,"",IF(AND(LEN(B406)&gt;0,ISNUMBER(E406),E406&gt;=0,ISNUMBER(D406),OR(AND(C406="Booking + quarters",D406&gt;=0,INT(D406)=D406,D406&lt;=12),AND(C406="Construction % complete",D406&gt;=0,D406&lt;=1))),"OK","ERROR"))</f>
        <v/>
      </c>
    </row>
    <row r="407" customFormat="false" ht="15" hidden="false" customHeight="false" outlineLevel="0" collapsed="false">
      <c r="B407" s="59"/>
      <c r="C407" s="59"/>
      <c r="D407" s="99"/>
      <c r="E407" s="75"/>
      <c r="F407" s="64" t="str">
        <f aca="false">IF(COUNTA(B407:E407)=0,"",SUM(E$389:E407))</f>
        <v/>
      </c>
      <c r="G407" s="60" t="str">
        <f aca="false">IF(COUNTA(B407:E407)=0,"",IF(AND(LEN(B407)&gt;0,ISNUMBER(E407),E407&gt;=0,ISNUMBER(D407),OR(AND(C407="Booking + quarters",D407&gt;=0,INT(D407)=D407,D407&lt;=12),AND(C407="Construction % complete",D407&gt;=0,D407&lt;=1))),"OK","ERROR"))</f>
        <v/>
      </c>
    </row>
    <row r="408" customFormat="false" ht="15" hidden="false" customHeight="false" outlineLevel="0" collapsed="false">
      <c r="B408" s="59"/>
      <c r="C408" s="59"/>
      <c r="D408" s="99"/>
      <c r="E408" s="75"/>
      <c r="F408" s="64" t="str">
        <f aca="false">IF(COUNTA(B408:E408)=0,"",SUM(E$389:E408))</f>
        <v/>
      </c>
      <c r="G408" s="60" t="str">
        <f aca="false">IF(COUNTA(B408:E408)=0,"",IF(AND(LEN(B408)&gt;0,ISNUMBER(E408),E408&gt;=0,ISNUMBER(D408),OR(AND(C408="Booking + quarters",D408&gt;=0,INT(D408)=D408,D408&lt;=12),AND(C408="Construction % complete",D408&gt;=0,D408&lt;=1))),"OK","ERROR"))</f>
        <v/>
      </c>
    </row>
    <row r="409" customFormat="false" ht="15" hidden="false" customHeight="false" outlineLevel="0" collapsed="false">
      <c r="B409" s="59"/>
      <c r="C409" s="59"/>
      <c r="D409" s="99"/>
      <c r="E409" s="75"/>
      <c r="F409" s="64" t="str">
        <f aca="false">IF(COUNTA(B409:E409)=0,"",SUM(E$389:E409))</f>
        <v/>
      </c>
      <c r="G409" s="60" t="str">
        <f aca="false">IF(COUNTA(B409:E409)=0,"",IF(AND(LEN(B409)&gt;0,ISNUMBER(E409),E409&gt;=0,ISNUMBER(D409),OR(AND(C409="Booking + quarters",D409&gt;=0,INT(D409)=D409,D409&lt;=12),AND(C409="Construction % complete",D409&gt;=0,D409&lt;=1))),"OK","ERROR"))</f>
        <v/>
      </c>
    </row>
    <row r="410" customFormat="false" ht="15" hidden="false" customHeight="false" outlineLevel="0" collapsed="false">
      <c r="B410" s="59"/>
      <c r="C410" s="59"/>
      <c r="D410" s="99"/>
      <c r="E410" s="75"/>
      <c r="F410" s="64" t="str">
        <f aca="false">IF(COUNTA(B410:E410)=0,"",SUM(E$389:E410))</f>
        <v/>
      </c>
      <c r="G410" s="60" t="str">
        <f aca="false">IF(COUNTA(B410:E410)=0,"",IF(AND(LEN(B410)&gt;0,ISNUMBER(E410),E410&gt;=0,ISNUMBER(D410),OR(AND(C410="Booking + quarters",D410&gt;=0,INT(D410)=D410,D410&lt;=12),AND(C410="Construction % complete",D410&gt;=0,D410&lt;=1))),"OK","ERROR"))</f>
        <v/>
      </c>
    </row>
    <row r="411" customFormat="false" ht="15" hidden="false" customHeight="false" outlineLevel="0" collapsed="false">
      <c r="B411" s="59"/>
      <c r="C411" s="59"/>
      <c r="D411" s="99"/>
      <c r="E411" s="75"/>
      <c r="F411" s="64" t="str">
        <f aca="false">IF(COUNTA(B411:E411)=0,"",SUM(E$389:E411))</f>
        <v/>
      </c>
      <c r="G411" s="60" t="str">
        <f aca="false">IF(COUNTA(B411:E411)=0,"",IF(AND(LEN(B411)&gt;0,ISNUMBER(E411),E411&gt;=0,ISNUMBER(D411),OR(AND(C411="Booking + quarters",D411&gt;=0,INT(D411)=D411,D411&lt;=12),AND(C411="Construction % complete",D411&gt;=0,D411&lt;=1))),"OK","ERROR"))</f>
        <v/>
      </c>
    </row>
    <row r="412" customFormat="false" ht="15" hidden="false" customHeight="false" outlineLevel="0" collapsed="false">
      <c r="B412" s="59"/>
      <c r="C412" s="59"/>
      <c r="D412" s="99"/>
      <c r="E412" s="75"/>
      <c r="F412" s="64" t="str">
        <f aca="false">IF(COUNTA(B412:E412)=0,"",SUM(E$389:E412))</f>
        <v/>
      </c>
      <c r="G412" s="60" t="str">
        <f aca="false">IF(COUNTA(B412:E412)=0,"",IF(AND(LEN(B412)&gt;0,ISNUMBER(E412),E412&gt;=0,ISNUMBER(D412),OR(AND(C412="Booking + quarters",D412&gt;=0,INT(D412)=D412,D412&lt;=12),AND(C412="Construction % complete",D412&gt;=0,D412&lt;=1))),"OK","ERROR"))</f>
        <v/>
      </c>
    </row>
    <row r="413" customFormat="false" ht="15" hidden="false" customHeight="false" outlineLevel="0" collapsed="false">
      <c r="B413" s="59"/>
      <c r="C413" s="59"/>
      <c r="D413" s="99"/>
      <c r="E413" s="75"/>
      <c r="F413" s="64" t="str">
        <f aca="false">IF(COUNTA(B413:E413)=0,"",SUM(E$389:E413))</f>
        <v/>
      </c>
      <c r="G413" s="60" t="str">
        <f aca="false">IF(COUNTA(B413:E413)=0,"",IF(AND(LEN(B413)&gt;0,ISNUMBER(E413),E413&gt;=0,ISNUMBER(D413),OR(AND(C413="Booking + quarters",D413&gt;=0,INT(D413)=D413,D413&lt;=12),AND(C413="Construction % complete",D413&gt;=0,D413&lt;=1))),"OK","ERROR"))</f>
        <v/>
      </c>
    </row>
    <row r="414" customFormat="false" ht="15" hidden="false" customHeight="false" outlineLevel="0" collapsed="false">
      <c r="B414" s="59"/>
      <c r="C414" s="59"/>
      <c r="D414" s="99"/>
      <c r="E414" s="75"/>
      <c r="F414" s="64" t="str">
        <f aca="false">IF(COUNTA(B414:E414)=0,"",SUM(E$389:E414))</f>
        <v/>
      </c>
      <c r="G414" s="60" t="str">
        <f aca="false">IF(COUNTA(B414:E414)=0,"",IF(AND(LEN(B414)&gt;0,ISNUMBER(E414),E414&gt;=0,ISNUMBER(D414),OR(AND(C414="Booking + quarters",D414&gt;=0,INT(D414)=D414,D414&lt;=12),AND(C414="Construction % complete",D414&gt;=0,D414&lt;=1))),"OK","ERROR"))</f>
        <v/>
      </c>
    </row>
    <row r="415" customFormat="false" ht="15" hidden="false" customHeight="false" outlineLevel="0" collapsed="false">
      <c r="B415" s="59"/>
      <c r="C415" s="59"/>
      <c r="D415" s="99"/>
      <c r="E415" s="75"/>
      <c r="F415" s="64" t="str">
        <f aca="false">IF(COUNTA(B415:E415)=0,"",SUM(E$389:E415))</f>
        <v/>
      </c>
      <c r="G415" s="60" t="str">
        <f aca="false">IF(COUNTA(B415:E415)=0,"",IF(AND(LEN(B415)&gt;0,ISNUMBER(E415),E415&gt;=0,ISNUMBER(D415),OR(AND(C415="Booking + quarters",D415&gt;=0,INT(D415)=D415,D415&lt;=12),AND(C415="Construction % complete",D415&gt;=0,D415&lt;=1))),"OK","ERROR"))</f>
        <v/>
      </c>
    </row>
    <row r="416" customFormat="false" ht="15" hidden="false" customHeight="false" outlineLevel="0" collapsed="false">
      <c r="B416" s="59"/>
      <c r="C416" s="59"/>
      <c r="D416" s="99"/>
      <c r="E416" s="75"/>
      <c r="F416" s="64" t="str">
        <f aca="false">IF(COUNTA(B416:E416)=0,"",SUM(E$389:E416))</f>
        <v/>
      </c>
      <c r="G416" s="60" t="str">
        <f aca="false">IF(COUNTA(B416:E416)=0,"",IF(AND(LEN(B416)&gt;0,ISNUMBER(E416),E416&gt;=0,ISNUMBER(D416),OR(AND(C416="Booking + quarters",D416&gt;=0,INT(D416)=D416,D416&lt;=12),AND(C416="Construction % complete",D416&gt;=0,D416&lt;=1))),"OK","ERROR"))</f>
        <v/>
      </c>
    </row>
    <row r="417" customFormat="false" ht="15" hidden="false" customHeight="false" outlineLevel="0" collapsed="false">
      <c r="B417" s="59"/>
      <c r="C417" s="59"/>
      <c r="D417" s="99"/>
      <c r="E417" s="75"/>
      <c r="F417" s="64" t="str">
        <f aca="false">IF(COUNTA(B417:E417)=0,"",SUM(E$389:E417))</f>
        <v/>
      </c>
      <c r="G417" s="60" t="str">
        <f aca="false">IF(COUNTA(B417:E417)=0,"",IF(AND(LEN(B417)&gt;0,ISNUMBER(E417),E417&gt;=0,ISNUMBER(D417),OR(AND(C417="Booking + quarters",D417&gt;=0,INT(D417)=D417,D417&lt;=12),AND(C417="Construction % complete",D417&gt;=0,D417&lt;=1))),"OK","ERROR"))</f>
        <v/>
      </c>
    </row>
    <row r="418" customFormat="false" ht="15" hidden="false" customHeight="false" outlineLevel="0" collapsed="false">
      <c r="B418" s="59"/>
      <c r="C418" s="59"/>
      <c r="D418" s="99"/>
      <c r="E418" s="75"/>
      <c r="F418" s="64" t="str">
        <f aca="false">IF(COUNTA(B418:E418)=0,"",SUM(E$389:E418))</f>
        <v/>
      </c>
      <c r="G418" s="60" t="str">
        <f aca="false">IF(COUNTA(B418:E418)=0,"",IF(AND(LEN(B418)&gt;0,ISNUMBER(E418),E418&gt;=0,ISNUMBER(D418),OR(AND(C418="Booking + quarters",D418&gt;=0,INT(D418)=D418,D418&lt;=12),AND(C418="Construction % complete",D418&gt;=0,D418&lt;=1))),"OK","ERROR"))</f>
        <v/>
      </c>
    </row>
    <row r="419" customFormat="false" ht="15" hidden="false" customHeight="false" outlineLevel="0" collapsed="false">
      <c r="B419" s="82" t="s">
        <v>525</v>
      </c>
      <c r="C419" s="86"/>
      <c r="D419" s="86"/>
      <c r="E419" s="83" t="n">
        <f aca="false">SUM(E389:E418)</f>
        <v>0</v>
      </c>
      <c r="F419" s="86"/>
      <c r="G419" s="100" t="str">
        <f aca="false">IF(COUNTA(B389:E418)=0,"Unused",IF(AND(LEN(C387)&gt;0,COUNTIF(LISTS!$R$5:$R$10,C387)=1,ABS(E419-1)&lt;0.000001,COUNTIF(G389:G418,"ERROR")=0),"OK","ERROR"))</f>
        <v>Unused</v>
      </c>
    </row>
    <row r="421" customFormat="false" ht="19.5" hidden="false" customHeight="true" outlineLevel="0" collapsed="false">
      <c r="B421" s="4" t="s">
        <v>561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customFormat="false" ht="42" hidden="false" customHeight="true" outlineLevel="0" collapsed="false">
      <c r="B422" s="27" t="s">
        <v>149</v>
      </c>
      <c r="C422" s="27" t="s">
        <v>82</v>
      </c>
      <c r="D422" s="27" t="s">
        <v>150</v>
      </c>
      <c r="E422" s="27" t="s">
        <v>151</v>
      </c>
    </row>
    <row r="423" customFormat="false" ht="15" hidden="false" customHeight="false" outlineLevel="0" collapsed="false">
      <c r="B423" s="3" t="s">
        <v>562</v>
      </c>
      <c r="C423" s="76" t="n">
        <v>0.26</v>
      </c>
      <c r="D423" s="3" t="s">
        <v>209</v>
      </c>
      <c r="E423" s="17" t="s">
        <v>563</v>
      </c>
    </row>
    <row r="424" customFormat="false" ht="15" hidden="false" customHeight="false" outlineLevel="0" collapsed="false">
      <c r="B424" s="3" t="s">
        <v>564</v>
      </c>
      <c r="C424" s="76" t="n">
        <v>0.35</v>
      </c>
      <c r="D424" s="3" t="s">
        <v>209</v>
      </c>
      <c r="E424" s="17" t="s">
        <v>565</v>
      </c>
    </row>
    <row r="425" customFormat="false" ht="15" hidden="false" customHeight="false" outlineLevel="0" collapsed="false">
      <c r="B425" s="3" t="s">
        <v>566</v>
      </c>
      <c r="C425" s="92" t="n">
        <f aca="false">IF($C$22="LLP",$C$424,$C$423)</f>
        <v>0.26</v>
      </c>
      <c r="D425" s="3" t="s">
        <v>209</v>
      </c>
      <c r="E425" s="17"/>
    </row>
    <row r="426" customFormat="false" ht="15" hidden="false" customHeight="false" outlineLevel="0" collapsed="false">
      <c r="B426" s="3" t="s">
        <v>567</v>
      </c>
      <c r="C426" s="75" t="n">
        <v>0.18</v>
      </c>
      <c r="D426" s="3" t="s">
        <v>209</v>
      </c>
      <c r="E426" s="17" t="s">
        <v>568</v>
      </c>
    </row>
    <row r="427" customFormat="false" ht="15" hidden="false" customHeight="false" outlineLevel="0" collapsed="false">
      <c r="B427" s="67" t="s">
        <v>569</v>
      </c>
      <c r="C427" s="68"/>
      <c r="D427" s="68"/>
      <c r="E427" s="68"/>
    </row>
    <row r="428" customFormat="false" ht="15" hidden="false" customHeight="false" outlineLevel="0" collapsed="false">
      <c r="B428" s="3" t="s">
        <v>53</v>
      </c>
      <c r="C428" s="75" t="n">
        <v>0.22</v>
      </c>
      <c r="D428" s="3" t="s">
        <v>209</v>
      </c>
      <c r="E428" s="17"/>
    </row>
    <row r="429" customFormat="false" ht="15" hidden="false" customHeight="false" outlineLevel="0" collapsed="false">
      <c r="B429" s="3" t="s">
        <v>107</v>
      </c>
      <c r="C429" s="75" t="n">
        <v>0.18</v>
      </c>
      <c r="D429" s="3" t="s">
        <v>209</v>
      </c>
      <c r="E429" s="17" t="s">
        <v>570</v>
      </c>
    </row>
    <row r="430" customFormat="false" ht="15" hidden="false" customHeight="false" outlineLevel="0" collapsed="false">
      <c r="B430" s="3" t="s">
        <v>55</v>
      </c>
      <c r="C430" s="78" t="n">
        <v>2</v>
      </c>
      <c r="D430" s="3" t="s">
        <v>571</v>
      </c>
      <c r="E430" s="17"/>
    </row>
    <row r="431" customFormat="false" ht="15" hidden="false" customHeight="false" outlineLevel="0" collapsed="false">
      <c r="B431" s="3" t="s">
        <v>58</v>
      </c>
      <c r="C431" s="75" t="n">
        <v>0.3</v>
      </c>
      <c r="D431" s="3" t="s">
        <v>209</v>
      </c>
      <c r="E431" s="17" t="s">
        <v>572</v>
      </c>
    </row>
    <row r="432" customFormat="false" ht="15" hidden="false" customHeight="false" outlineLevel="0" collapsed="false">
      <c r="B432" s="3" t="s">
        <v>59</v>
      </c>
      <c r="C432" s="75" t="n">
        <v>0.3</v>
      </c>
      <c r="D432" s="3" t="s">
        <v>209</v>
      </c>
      <c r="E432" s="17"/>
    </row>
    <row r="433" customFormat="false" ht="15" hidden="false" customHeight="false" outlineLevel="0" collapsed="false">
      <c r="B433" s="3" t="s">
        <v>110</v>
      </c>
      <c r="C433" s="75" t="n">
        <v>0.15</v>
      </c>
      <c r="D433" s="3" t="s">
        <v>209</v>
      </c>
      <c r="E433" s="17" t="s">
        <v>573</v>
      </c>
    </row>
    <row r="434" customFormat="false" ht="15" hidden="false" customHeight="false" outlineLevel="0" collapsed="false">
      <c r="B434" s="3" t="s">
        <v>146</v>
      </c>
      <c r="C434" s="75" t="n">
        <v>0.2</v>
      </c>
      <c r="D434" s="3" t="s">
        <v>209</v>
      </c>
      <c r="E434" s="17" t="s">
        <v>574</v>
      </c>
    </row>
    <row r="436" customFormat="false" ht="19.5" hidden="false" customHeight="true" outlineLevel="0" collapsed="false">
      <c r="B436" s="4" t="s">
        <v>575</v>
      </c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customFormat="false" ht="24" hidden="false" customHeight="true" outlineLevel="0" collapsed="false">
      <c r="B437" s="27" t="s">
        <v>576</v>
      </c>
      <c r="C437" s="27" t="s">
        <v>577</v>
      </c>
      <c r="D437" s="27" t="s">
        <v>578</v>
      </c>
    </row>
    <row r="438" customFormat="false" ht="15" hidden="false" customHeight="false" outlineLevel="0" collapsed="false">
      <c r="B438" s="3" t="s">
        <v>579</v>
      </c>
      <c r="C438" s="60" t="str">
        <f aca="false">IF(AND(ISNUMBER($C$20),$C$20=EOMONTH($C$20,0),MOD(MONTH($C$20),3)=0),"OK","ERROR")</f>
        <v>OK</v>
      </c>
      <c r="D438" s="17" t="s">
        <v>580</v>
      </c>
    </row>
    <row r="439" customFormat="false" ht="15" hidden="false" customHeight="false" outlineLevel="0" collapsed="false">
      <c r="B439" s="3" t="s">
        <v>581</v>
      </c>
      <c r="C439" s="60" t="str">
        <f aca="false">IF(AND(COUNTIF(LISTS!$E$5:$E$8,$C$19)=1,COUNTIF(LISTS!$B$5:$B$6,$C$21)=1,COUNTIF(LISTS!$C$5:$C$6,$C$22)=1),"OK","ERROR")</f>
        <v>OK</v>
      </c>
      <c r="D439" s="17" t="s">
        <v>582</v>
      </c>
    </row>
    <row r="440" customFormat="false" ht="15" hidden="false" customHeight="false" outlineLevel="0" collapsed="false">
      <c r="B440" s="3" t="s">
        <v>583</v>
      </c>
      <c r="C440" s="60" t="str">
        <f aca="false">IF(OR($C$26="",AND(ISNUMBER($C$26),$C$26&gt;0)),"OK","ERROR")</f>
        <v>OK</v>
      </c>
      <c r="D440" s="17" t="s">
        <v>584</v>
      </c>
    </row>
    <row r="441" customFormat="false" ht="15" hidden="false" customHeight="false" outlineLevel="0" collapsed="false">
      <c r="B441" s="3" t="s">
        <v>585</v>
      </c>
      <c r="C441" s="60" t="str">
        <f aca="false">IF(AND(COUNTIF($G$71:$G$73,"ERROR")=0,COUNTIF($B$71:$B$73,$C$23)=1),"OK","ERROR")</f>
        <v>OK</v>
      </c>
      <c r="D441" s="17" t="s">
        <v>173</v>
      </c>
    </row>
    <row r="442" customFormat="false" ht="15" hidden="false" customHeight="false" outlineLevel="0" collapsed="false">
      <c r="B442" s="3" t="s">
        <v>586</v>
      </c>
      <c r="C442" s="60" t="str">
        <f aca="false">IF(AND(ISNUMBER($C$36),$C$36&gt;0,ISNUMBER($C$41),$C$41&gt;0,ISNUMBER($C$42),$C$42&gt;0,IF($C$21="JV",AND(ISNUMBER($C$45),$C$45&gt;=0,$C$45&lt;1,ISNUMBER($C$47),$C$47&gt;=0),AND(ISNUMBER($C$49),$C$49&gt;0,ISNUMBER($C$50),$C$50&gt;=0))),"OK","ERROR")</f>
        <v>OK</v>
      </c>
      <c r="D442" s="17" t="s">
        <v>587</v>
      </c>
    </row>
    <row r="443" customFormat="false" ht="15" hidden="false" customHeight="false" outlineLevel="0" collapsed="false">
      <c r="B443" s="3" t="s">
        <v>588</v>
      </c>
      <c r="C443" s="60" t="str">
        <f aca="false">IF(AND(COUNT($C$78:$C$81)=COUNTA($C$78:$C$81),MIN($C$78:$C$81)&gt;=0,$C$82&lt;=1.000001),"OK","ERROR")</f>
        <v>OK</v>
      </c>
      <c r="D443" s="17" t="s">
        <v>589</v>
      </c>
    </row>
    <row r="444" customFormat="false" ht="15" hidden="false" customHeight="false" outlineLevel="0" collapsed="false">
      <c r="B444" s="3" t="s">
        <v>590</v>
      </c>
      <c r="C444" s="60" t="str">
        <f aca="false">IF(COUNTIF($E$88:$E$97,"Yes")&gt;=1,"OK","ERROR")</f>
        <v>OK</v>
      </c>
      <c r="D444" s="17" t="s">
        <v>591</v>
      </c>
    </row>
    <row r="445" customFormat="false" ht="15" hidden="false" customHeight="false" outlineLevel="0" collapsed="false">
      <c r="B445" s="3" t="s">
        <v>592</v>
      </c>
      <c r="C445" s="60" t="str">
        <f aca="false">IF(COUNTIF($W$88:$W$97,"ERROR")=0,"OK","ERROR")</f>
        <v>OK</v>
      </c>
      <c r="D445" s="17" t="s">
        <v>593</v>
      </c>
    </row>
    <row r="446" customFormat="false" ht="15" hidden="false" customHeight="false" outlineLevel="0" collapsed="false">
      <c r="B446" s="3" t="s">
        <v>594</v>
      </c>
      <c r="C446" s="60" t="str">
        <f aca="false">IF(SUMPRODUCT(($B$88:$B$97&lt;&gt;"")*(COUNTIF($B$88:$B$97,$B$88:$B$97)&gt;1))=0,"OK","ERROR")</f>
        <v>OK</v>
      </c>
      <c r="D446" s="17" t="s">
        <v>595</v>
      </c>
    </row>
    <row r="447" customFormat="false" ht="15" hidden="false" customHeight="false" outlineLevel="0" collapsed="false">
      <c r="B447" s="3" t="s">
        <v>596</v>
      </c>
      <c r="C447" s="60" t="str">
        <f aca="false">IF(COUNTIF(N105:N114,"ERROR")=0,"OK","ERROR")</f>
        <v>OK</v>
      </c>
      <c r="D447" s="17" t="s">
        <v>597</v>
      </c>
    </row>
    <row r="448" customFormat="false" ht="15" hidden="false" customHeight="false" outlineLevel="0" collapsed="false">
      <c r="B448" s="3" t="s">
        <v>598</v>
      </c>
      <c r="C448" s="60" t="str">
        <f aca="false">IF(COUNTIF(LISTS!$S$5:$S$10,"ERROR")=0,"OK","ERROR")</f>
        <v>OK</v>
      </c>
      <c r="D448" s="17" t="s">
        <v>599</v>
      </c>
    </row>
    <row r="449" customFormat="false" ht="15" hidden="false" customHeight="false" outlineLevel="0" collapsed="false">
      <c r="B449" s="3" t="s">
        <v>600</v>
      </c>
      <c r="C449" s="60" t="str">
        <f aca="false">IF(COUNTIF($M$128:$M$151,"ERROR")=0,"OK","ERROR")</f>
        <v>OK</v>
      </c>
      <c r="D449" s="17" t="s">
        <v>601</v>
      </c>
    </row>
    <row r="450" customFormat="false" ht="15" hidden="false" customHeight="false" outlineLevel="0" collapsed="false">
      <c r="B450" s="3" t="s">
        <v>602</v>
      </c>
      <c r="C450" s="60" t="str">
        <f aca="false">IF(ABS(SUMIF($D$88:$D$97,"Villa",$U$88:$U$97)+SUMIF($D$88:$D$97,"Apartment",$U$88:$U$97)+SUMIF($D$88:$D$97,"Studio",$U$88:$U$97)+SUMIF($D$88:$D$97,"Plot",$U$88:$U$97)+SUMIF($D$88:$D$97,"Institutional",$U$88:$U$97)+SUMIF($D$88:$D$97,"Commercial",$U$88:$U$97)+SUMIF($D$88:$D$97,"EWS/LIG",$U$88:$U$97)-$U$98)&lt;0.000001,"OK","ERROR")</f>
        <v>OK</v>
      </c>
      <c r="D450" s="17" t="s">
        <v>603</v>
      </c>
    </row>
    <row r="451" customFormat="false" ht="15" hidden="false" customHeight="false" outlineLevel="0" collapsed="false">
      <c r="B451" s="3" t="s">
        <v>604</v>
      </c>
      <c r="C451" s="60" t="str">
        <f aca="false">IF(AND(COUNTIF(LISTS!$O$5:$O$6,$C$159)=1,COUNTIF(LISTS!$P$5:$P$7,$C$160)=1,ISNUMBER($C$175),$C$175&gt;0,ISNUMBER($C$161),$C$161&gt;=0,ISNUMBER($C$162),$C$162&gt;0,ISNUMBER($C$163),$C$163&gt;=0),"OK","ERROR")</f>
        <v>OK</v>
      </c>
      <c r="D451" s="17" t="s">
        <v>605</v>
      </c>
    </row>
    <row r="452" customFormat="false" ht="15" hidden="false" customHeight="false" outlineLevel="0" collapsed="false">
      <c r="B452" s="3" t="s">
        <v>606</v>
      </c>
      <c r="C452" s="60" t="str">
        <f aca="false">IF(AND(ISNUMBER($C$182),$C$182&gt;=0,ISNUMBER($C$183),$C$183&gt;=0,COUNTIF(LISTS!$Q$5:$Q$8,$C$184)=1),"OK","ERROR")</f>
        <v>OK</v>
      </c>
      <c r="D452" s="17" t="s">
        <v>607</v>
      </c>
    </row>
    <row r="453" customFormat="false" ht="15" hidden="false" customHeight="false" outlineLevel="0" collapsed="false">
      <c r="B453" s="3" t="s">
        <v>608</v>
      </c>
      <c r="C453" s="60" t="str">
        <f aca="false">IF(AND(D191&gt;=-0.000001,COUNT($E$191:$E$199)=9,MIN($E$191:$E$199)&gt;=1,MAX($E$191:$E$199)&lt;=$C$24,SUMPRODUCT(($E$191:$E$199-INT($E$191:$E$199))^2)=0),"OK","ERROR")</f>
        <v>OK</v>
      </c>
      <c r="D453" s="17" t="s">
        <v>609</v>
      </c>
    </row>
    <row r="454" customFormat="false" ht="15" hidden="false" customHeight="false" outlineLevel="0" collapsed="false">
      <c r="B454" s="3" t="s">
        <v>610</v>
      </c>
      <c r="C454" s="60" t="str">
        <f aca="false">IF(AND($C$29&gt;=1,$C$29&lt;=$C$24),"OK","ERROR")</f>
        <v>OK</v>
      </c>
      <c r="D454" s="17" t="s">
        <v>611</v>
      </c>
    </row>
    <row r="455" customFormat="false" ht="15" hidden="false" customHeight="false" outlineLevel="0" collapsed="false">
      <c r="B455" s="3" t="s">
        <v>612</v>
      </c>
      <c r="C455" s="60" t="str">
        <f aca="false">IF(AND(COUNT($C$423,$C$424,$C$426,$C$428,$C$429,$C$430,$C$431,$C$432,$C$433,$C$434)=10,$C$423&lt;1,$C$424&lt;1),"OK","ERROR")</f>
        <v>OK</v>
      </c>
      <c r="D455" s="17" t="s">
        <v>613</v>
      </c>
    </row>
    <row r="456" customFormat="false" ht="15" hidden="false" customHeight="false" outlineLevel="0" collapsed="false">
      <c r="B456" s="3" t="s">
        <v>614</v>
      </c>
      <c r="C456" s="60" t="str">
        <f aca="false">IF(CASHFLOW!$C$3="OK","OK","ERROR")</f>
        <v>OK</v>
      </c>
      <c r="D456" s="17" t="s">
        <v>615</v>
      </c>
    </row>
    <row r="457" customFormat="false" ht="15" hidden="false" customHeight="false" outlineLevel="0" collapsed="false">
      <c r="B457" s="3" t="s">
        <v>616</v>
      </c>
      <c r="C457" s="60" t="str">
        <f aca="false">IF(COLLECTIONS!$C$3="OK","OK","ERROR")</f>
        <v>OK</v>
      </c>
      <c r="D457" s="17" t="s">
        <v>617</v>
      </c>
    </row>
    <row r="458" customFormat="false" ht="15" hidden="false" customHeight="false" outlineLevel="0" collapsed="false">
      <c r="B458" s="3" t="s">
        <v>618</v>
      </c>
      <c r="C458" s="60" t="str">
        <f aca="false">IF(AND(ISNUMBER($C$215),$C$215&gt;=0,$C$215&lt;=4,INT($C$215)=$C$215),"OK","ERROR")</f>
        <v>OK</v>
      </c>
      <c r="D458" s="17" t="s">
        <v>599</v>
      </c>
    </row>
    <row r="459" customFormat="false" ht="15" hidden="false" customHeight="false" outlineLevel="0" collapsed="false">
      <c r="B459" s="3" t="s">
        <v>619</v>
      </c>
      <c r="C459" s="60" t="str">
        <f aca="false">IF(CURVES!$C$3="OK","OK","ERROR")</f>
        <v>OK</v>
      </c>
      <c r="D459" s="17" t="s">
        <v>620</v>
      </c>
    </row>
    <row r="460" customFormat="false" ht="15" hidden="false" customHeight="false" outlineLevel="0" collapsed="false">
      <c r="B460" s="3" t="s">
        <v>621</v>
      </c>
      <c r="C460" s="60" t="str">
        <f aca="false">IF(TIMELINE!$C$3="OK","OK","ERROR")</f>
        <v>OK</v>
      </c>
      <c r="D460" s="17" t="s">
        <v>622</v>
      </c>
    </row>
  </sheetData>
  <conditionalFormatting sqref="B78:G81">
    <cfRule type="expression" priority="2" aboveAverage="0" equalAverage="0" bottom="0" percent="0" rank="0" text="" dxfId="5">
      <formula>$G78="Not used"</formula>
    </cfRule>
  </conditionalFormatting>
  <conditionalFormatting sqref="I88:I97">
    <cfRule type="expression" priority="3" aboveAverage="0" equalAverage="0" bottom="0" percent="0" rank="0" text="" dxfId="6">
      <formula>$C105&lt;&gt;"Fixed quarter"</formula>
    </cfRule>
  </conditionalFormatting>
  <conditionalFormatting sqref="M88:M97">
    <cfRule type="expression" priority="4" aboveAverage="0" equalAverage="0" bottom="0" percent="0" rank="0" text="" dxfId="6">
      <formula>$G105&lt;&gt;"Fixed quarter"</formula>
    </cfRule>
  </conditionalFormatting>
  <conditionalFormatting sqref="D105:F114">
    <cfRule type="expression" priority="5" aboveAverage="0" equalAverage="0" bottom="0" percent="0" rank="0" text="" dxfId="6">
      <formula>$C105="Fixed quarter"</formula>
    </cfRule>
  </conditionalFormatting>
  <conditionalFormatting sqref="D105:E114">
    <cfRule type="expression" priority="6" aboveAverage="0" equalAverage="0" bottom="0" percent="0" rank="0" text="" dxfId="6">
      <formula>$C105="After own construction start"</formula>
    </cfRule>
  </conditionalFormatting>
  <conditionalFormatting sqref="H105:J114">
    <cfRule type="expression" priority="7" aboveAverage="0" equalAverage="0" bottom="0" percent="0" rank="0" text="" dxfId="6">
      <formula>$G105="Fixed quarter"</formula>
    </cfRule>
  </conditionalFormatting>
  <conditionalFormatting sqref="H105:I114">
    <cfRule type="expression" priority="8" aboveAverage="0" equalAverage="0" bottom="0" percent="0" rank="0" text="" dxfId="6">
      <formula>$G105="After own launch"</formula>
    </cfRule>
  </conditionalFormatting>
  <conditionalFormatting sqref="D219:D248">
    <cfRule type="expression" priority="9" aboveAverage="0" equalAverage="0" bottom="0" percent="0" rank="0" text="" dxfId="7">
      <formula>$C219="Construction % complete"</formula>
    </cfRule>
  </conditionalFormatting>
  <conditionalFormatting sqref="D253:D282">
    <cfRule type="expression" priority="10" aboveAverage="0" equalAverage="0" bottom="0" percent="0" rank="0" text="" dxfId="7">
      <formula>$C253="Construction % complete"</formula>
    </cfRule>
  </conditionalFormatting>
  <conditionalFormatting sqref="D287:D316">
    <cfRule type="expression" priority="11" aboveAverage="0" equalAverage="0" bottom="0" percent="0" rank="0" text="" dxfId="7">
      <formula>$C287="Construction % complete"</formula>
    </cfRule>
  </conditionalFormatting>
  <conditionalFormatting sqref="D321:D350">
    <cfRule type="expression" priority="12" aboveAverage="0" equalAverage="0" bottom="0" percent="0" rank="0" text="" dxfId="7">
      <formula>$C321="Construction % complete"</formula>
    </cfRule>
  </conditionalFormatting>
  <conditionalFormatting sqref="D355:D384">
    <cfRule type="expression" priority="13" aboveAverage="0" equalAverage="0" bottom="0" percent="0" rank="0" text="" dxfId="7">
      <formula>$C355="Construction % complete"</formula>
    </cfRule>
  </conditionalFormatting>
  <conditionalFormatting sqref="D389:D418">
    <cfRule type="expression" priority="14" aboveAverage="0" equalAverage="0" bottom="0" percent="0" rank="0" text="" dxfId="7">
      <formula>$C389="Construction % complete"</formula>
    </cfRule>
  </conditionalFormatting>
  <conditionalFormatting sqref="N105:N114">
    <cfRule type="cellIs" priority="15" operator="equal" aboveAverage="0" equalAverage="0" bottom="0" percent="0" rank="0" text="" dxfId="8">
      <formula>"ERROR"</formula>
    </cfRule>
    <cfRule type="cellIs" priority="16" operator="equal" aboveAverage="0" equalAverage="0" bottom="0" percent="0" rank="0" text="" dxfId="9">
      <formula>"OK"</formula>
    </cfRule>
    <cfRule type="cellIs" priority="17" operator="equal" aboveAverage="0" equalAverage="0" bottom="0" percent="0" rank="0" text="" dxfId="10">
      <formula>"Off"</formula>
    </cfRule>
    <cfRule type="cellIs" priority="18" operator="equal" aboveAverage="0" equalAverage="0" bottom="0" percent="0" rank="0" text="" dxfId="10">
      <formula>"Unused"</formula>
    </cfRule>
    <cfRule type="cellIs" priority="19" operator="equal" aboveAverage="0" equalAverage="0" bottom="0" percent="0" rank="0" text="" dxfId="10">
      <formula>"Excluded"</formula>
    </cfRule>
  </conditionalFormatting>
  <conditionalFormatting sqref="W88:W97">
    <cfRule type="cellIs" priority="20" operator="equal" aboveAverage="0" equalAverage="0" bottom="0" percent="0" rank="0" text="" dxfId="8">
      <formula>"ERROR"</formula>
    </cfRule>
    <cfRule type="cellIs" priority="21" operator="equal" aboveAverage="0" equalAverage="0" bottom="0" percent="0" rank="0" text="" dxfId="9">
      <formula>"OK"</formula>
    </cfRule>
    <cfRule type="cellIs" priority="22" operator="equal" aboveAverage="0" equalAverage="0" bottom="0" percent="0" rank="0" text="" dxfId="10">
      <formula>"Off"</formula>
    </cfRule>
    <cfRule type="cellIs" priority="23" operator="equal" aboveAverage="0" equalAverage="0" bottom="0" percent="0" rank="0" text="" dxfId="10">
      <formula>"Unused"</formula>
    </cfRule>
    <cfRule type="cellIs" priority="24" operator="equal" aboveAverage="0" equalAverage="0" bottom="0" percent="0" rank="0" text="" dxfId="10">
      <formula>"Excluded"</formula>
    </cfRule>
  </conditionalFormatting>
  <conditionalFormatting sqref="M128:M151">
    <cfRule type="cellIs" priority="25" operator="equal" aboveAverage="0" equalAverage="0" bottom="0" percent="0" rank="0" text="" dxfId="8">
      <formula>"ERROR"</formula>
    </cfRule>
    <cfRule type="cellIs" priority="26" operator="equal" aboveAverage="0" equalAverage="0" bottom="0" percent="0" rank="0" text="" dxfId="9">
      <formula>"OK"</formula>
    </cfRule>
    <cfRule type="cellIs" priority="27" operator="equal" aboveAverage="0" equalAverage="0" bottom="0" percent="0" rank="0" text="" dxfId="10">
      <formula>"Off"</formula>
    </cfRule>
    <cfRule type="cellIs" priority="28" operator="equal" aboveAverage="0" equalAverage="0" bottom="0" percent="0" rank="0" text="" dxfId="10">
      <formula>"Unused"</formula>
    </cfRule>
    <cfRule type="cellIs" priority="29" operator="equal" aboveAverage="0" equalAverage="0" bottom="0" percent="0" rank="0" text="" dxfId="10">
      <formula>"Excluded"</formula>
    </cfRule>
  </conditionalFormatting>
  <conditionalFormatting sqref="G71:G73">
    <cfRule type="cellIs" priority="30" operator="equal" aboveAverage="0" equalAverage="0" bottom="0" percent="0" rank="0" text="" dxfId="8">
      <formula>"ERROR"</formula>
    </cfRule>
    <cfRule type="cellIs" priority="31" operator="equal" aboveAverage="0" equalAverage="0" bottom="0" percent="0" rank="0" text="" dxfId="9">
      <formula>"OK"</formula>
    </cfRule>
    <cfRule type="cellIs" priority="32" operator="equal" aboveAverage="0" equalAverage="0" bottom="0" percent="0" rank="0" text="" dxfId="10">
      <formula>"Off"</formula>
    </cfRule>
    <cfRule type="cellIs" priority="33" operator="equal" aboveAverage="0" equalAverage="0" bottom="0" percent="0" rank="0" text="" dxfId="10">
      <formula>"Unused"</formula>
    </cfRule>
    <cfRule type="cellIs" priority="34" operator="equal" aboveAverage="0" equalAverage="0" bottom="0" percent="0" rank="0" text="" dxfId="10">
      <formula>"Excluded"</formula>
    </cfRule>
  </conditionalFormatting>
  <conditionalFormatting sqref="C438:C460">
    <cfRule type="cellIs" priority="35" operator="equal" aboveAverage="0" equalAverage="0" bottom="0" percent="0" rank="0" text="" dxfId="8">
      <formula>"ERROR"</formula>
    </cfRule>
    <cfRule type="cellIs" priority="36" operator="equal" aboveAverage="0" equalAverage="0" bottom="0" percent="0" rank="0" text="" dxfId="9">
      <formula>"OK"</formula>
    </cfRule>
    <cfRule type="cellIs" priority="37" operator="equal" aboveAverage="0" equalAverage="0" bottom="0" percent="0" rank="0" text="" dxfId="10">
      <formula>"Off"</formula>
    </cfRule>
    <cfRule type="cellIs" priority="38" operator="equal" aboveAverage="0" equalAverage="0" bottom="0" percent="0" rank="0" text="" dxfId="10">
      <formula>"Unused"</formula>
    </cfRule>
    <cfRule type="cellIs" priority="39" operator="equal" aboveAverage="0" equalAverage="0" bottom="0" percent="0" rank="0" text="" dxfId="10">
      <formula>"Excluded"</formula>
    </cfRule>
  </conditionalFormatting>
  <conditionalFormatting sqref="G249">
    <cfRule type="cellIs" priority="40" operator="equal" aboveAverage="0" equalAverage="0" bottom="0" percent="0" rank="0" text="" dxfId="8">
      <formula>"ERROR"</formula>
    </cfRule>
    <cfRule type="cellIs" priority="41" operator="equal" aboveAverage="0" equalAverage="0" bottom="0" percent="0" rank="0" text="" dxfId="9">
      <formula>"OK"</formula>
    </cfRule>
    <cfRule type="cellIs" priority="42" operator="equal" aboveAverage="0" equalAverage="0" bottom="0" percent="0" rank="0" text="" dxfId="10">
      <formula>"Off"</formula>
    </cfRule>
    <cfRule type="cellIs" priority="43" operator="equal" aboveAverage="0" equalAverage="0" bottom="0" percent="0" rank="0" text="" dxfId="10">
      <formula>"Unused"</formula>
    </cfRule>
    <cfRule type="cellIs" priority="44" operator="equal" aboveAverage="0" equalAverage="0" bottom="0" percent="0" rank="0" text="" dxfId="10">
      <formula>"Excluded"</formula>
    </cfRule>
  </conditionalFormatting>
  <conditionalFormatting sqref="G283">
    <cfRule type="cellIs" priority="45" operator="equal" aboveAverage="0" equalAverage="0" bottom="0" percent="0" rank="0" text="" dxfId="8">
      <formula>"ERROR"</formula>
    </cfRule>
    <cfRule type="cellIs" priority="46" operator="equal" aboveAverage="0" equalAverage="0" bottom="0" percent="0" rank="0" text="" dxfId="9">
      <formula>"OK"</formula>
    </cfRule>
    <cfRule type="cellIs" priority="47" operator="equal" aboveAverage="0" equalAverage="0" bottom="0" percent="0" rank="0" text="" dxfId="10">
      <formula>"Off"</formula>
    </cfRule>
    <cfRule type="cellIs" priority="48" operator="equal" aboveAverage="0" equalAverage="0" bottom="0" percent="0" rank="0" text="" dxfId="10">
      <formula>"Unused"</formula>
    </cfRule>
    <cfRule type="cellIs" priority="49" operator="equal" aboveAverage="0" equalAverage="0" bottom="0" percent="0" rank="0" text="" dxfId="10">
      <formula>"Excluded"</formula>
    </cfRule>
  </conditionalFormatting>
  <conditionalFormatting sqref="G317">
    <cfRule type="cellIs" priority="50" operator="equal" aboveAverage="0" equalAverage="0" bottom="0" percent="0" rank="0" text="" dxfId="8">
      <formula>"ERROR"</formula>
    </cfRule>
    <cfRule type="cellIs" priority="51" operator="equal" aboveAverage="0" equalAverage="0" bottom="0" percent="0" rank="0" text="" dxfId="9">
      <formula>"OK"</formula>
    </cfRule>
    <cfRule type="cellIs" priority="52" operator="equal" aboveAverage="0" equalAverage="0" bottom="0" percent="0" rank="0" text="" dxfId="10">
      <formula>"Off"</formula>
    </cfRule>
    <cfRule type="cellIs" priority="53" operator="equal" aboveAverage="0" equalAverage="0" bottom="0" percent="0" rank="0" text="" dxfId="10">
      <formula>"Unused"</formula>
    </cfRule>
    <cfRule type="cellIs" priority="54" operator="equal" aboveAverage="0" equalAverage="0" bottom="0" percent="0" rank="0" text="" dxfId="10">
      <formula>"Excluded"</formula>
    </cfRule>
  </conditionalFormatting>
  <conditionalFormatting sqref="G351">
    <cfRule type="cellIs" priority="55" operator="equal" aboveAverage="0" equalAverage="0" bottom="0" percent="0" rank="0" text="" dxfId="8">
      <formula>"ERROR"</formula>
    </cfRule>
    <cfRule type="cellIs" priority="56" operator="equal" aboveAverage="0" equalAverage="0" bottom="0" percent="0" rank="0" text="" dxfId="9">
      <formula>"OK"</formula>
    </cfRule>
    <cfRule type="cellIs" priority="57" operator="equal" aboveAverage="0" equalAverage="0" bottom="0" percent="0" rank="0" text="" dxfId="10">
      <formula>"Off"</formula>
    </cfRule>
    <cfRule type="cellIs" priority="58" operator="equal" aboveAverage="0" equalAverage="0" bottom="0" percent="0" rank="0" text="" dxfId="10">
      <formula>"Unused"</formula>
    </cfRule>
    <cfRule type="cellIs" priority="59" operator="equal" aboveAverage="0" equalAverage="0" bottom="0" percent="0" rank="0" text="" dxfId="10">
      <formula>"Excluded"</formula>
    </cfRule>
  </conditionalFormatting>
  <conditionalFormatting sqref="G385">
    <cfRule type="cellIs" priority="60" operator="equal" aboveAverage="0" equalAverage="0" bottom="0" percent="0" rank="0" text="" dxfId="8">
      <formula>"ERROR"</formula>
    </cfRule>
    <cfRule type="cellIs" priority="61" operator="equal" aboveAverage="0" equalAverage="0" bottom="0" percent="0" rank="0" text="" dxfId="9">
      <formula>"OK"</formula>
    </cfRule>
    <cfRule type="cellIs" priority="62" operator="equal" aboveAverage="0" equalAverage="0" bottom="0" percent="0" rank="0" text="" dxfId="10">
      <formula>"Off"</formula>
    </cfRule>
    <cfRule type="cellIs" priority="63" operator="equal" aboveAverage="0" equalAverage="0" bottom="0" percent="0" rank="0" text="" dxfId="10">
      <formula>"Unused"</formula>
    </cfRule>
    <cfRule type="cellIs" priority="64" operator="equal" aboveAverage="0" equalAverage="0" bottom="0" percent="0" rank="0" text="" dxfId="10">
      <formula>"Excluded"</formula>
    </cfRule>
  </conditionalFormatting>
  <conditionalFormatting sqref="G419">
    <cfRule type="cellIs" priority="65" operator="equal" aboveAverage="0" equalAverage="0" bottom="0" percent="0" rank="0" text="" dxfId="8">
      <formula>"ERROR"</formula>
    </cfRule>
    <cfRule type="cellIs" priority="66" operator="equal" aboveAverage="0" equalAverage="0" bottom="0" percent="0" rank="0" text="" dxfId="9">
      <formula>"OK"</formula>
    </cfRule>
    <cfRule type="cellIs" priority="67" operator="equal" aboveAverage="0" equalAverage="0" bottom="0" percent="0" rank="0" text="" dxfId="10">
      <formula>"Off"</formula>
    </cfRule>
    <cfRule type="cellIs" priority="68" operator="equal" aboveAverage="0" equalAverage="0" bottom="0" percent="0" rank="0" text="" dxfId="10">
      <formula>"Unused"</formula>
    </cfRule>
    <cfRule type="cellIs" priority="69" operator="equal" aboveAverage="0" equalAverage="0" bottom="0" percent="0" rank="0" text="" dxfId="10">
      <formula>"Excluded"</formula>
    </cfRule>
  </conditionalFormatting>
  <conditionalFormatting sqref="G219:G248">
    <cfRule type="cellIs" priority="70" operator="equal" aboveAverage="0" equalAverage="0" bottom="0" percent="0" rank="0" text="" dxfId="8">
      <formula>"ERROR"</formula>
    </cfRule>
    <cfRule type="cellIs" priority="71" operator="equal" aboveAverage="0" equalAverage="0" bottom="0" percent="0" rank="0" text="" dxfId="9">
      <formula>"OK"</formula>
    </cfRule>
    <cfRule type="cellIs" priority="72" operator="equal" aboveAverage="0" equalAverage="0" bottom="0" percent="0" rank="0" text="" dxfId="10">
      <formula>"Off"</formula>
    </cfRule>
    <cfRule type="cellIs" priority="73" operator="equal" aboveAverage="0" equalAverage="0" bottom="0" percent="0" rank="0" text="" dxfId="10">
      <formula>"Unused"</formula>
    </cfRule>
    <cfRule type="cellIs" priority="74" operator="equal" aboveAverage="0" equalAverage="0" bottom="0" percent="0" rank="0" text="" dxfId="10">
      <formula>"Excluded"</formula>
    </cfRule>
  </conditionalFormatting>
  <conditionalFormatting sqref="G253:G282">
    <cfRule type="cellIs" priority="75" operator="equal" aboveAverage="0" equalAverage="0" bottom="0" percent="0" rank="0" text="" dxfId="8">
      <formula>"ERROR"</formula>
    </cfRule>
    <cfRule type="cellIs" priority="76" operator="equal" aboveAverage="0" equalAverage="0" bottom="0" percent="0" rank="0" text="" dxfId="9">
      <formula>"OK"</formula>
    </cfRule>
    <cfRule type="cellIs" priority="77" operator="equal" aboveAverage="0" equalAverage="0" bottom="0" percent="0" rank="0" text="" dxfId="10">
      <formula>"Off"</formula>
    </cfRule>
    <cfRule type="cellIs" priority="78" operator="equal" aboveAverage="0" equalAverage="0" bottom="0" percent="0" rank="0" text="" dxfId="10">
      <formula>"Unused"</formula>
    </cfRule>
    <cfRule type="cellIs" priority="79" operator="equal" aboveAverage="0" equalAverage="0" bottom="0" percent="0" rank="0" text="" dxfId="10">
      <formula>"Excluded"</formula>
    </cfRule>
  </conditionalFormatting>
  <conditionalFormatting sqref="G287:G316">
    <cfRule type="cellIs" priority="80" operator="equal" aboveAverage="0" equalAverage="0" bottom="0" percent="0" rank="0" text="" dxfId="8">
      <formula>"ERROR"</formula>
    </cfRule>
    <cfRule type="cellIs" priority="81" operator="equal" aboveAverage="0" equalAverage="0" bottom="0" percent="0" rank="0" text="" dxfId="9">
      <formula>"OK"</formula>
    </cfRule>
    <cfRule type="cellIs" priority="82" operator="equal" aboveAverage="0" equalAverage="0" bottom="0" percent="0" rank="0" text="" dxfId="10">
      <formula>"Off"</formula>
    </cfRule>
    <cfRule type="cellIs" priority="83" operator="equal" aboveAverage="0" equalAverage="0" bottom="0" percent="0" rank="0" text="" dxfId="10">
      <formula>"Unused"</formula>
    </cfRule>
    <cfRule type="cellIs" priority="84" operator="equal" aboveAverage="0" equalAverage="0" bottom="0" percent="0" rank="0" text="" dxfId="10">
      <formula>"Excluded"</formula>
    </cfRule>
  </conditionalFormatting>
  <conditionalFormatting sqref="G321:G350">
    <cfRule type="cellIs" priority="85" operator="equal" aboveAverage="0" equalAverage="0" bottom="0" percent="0" rank="0" text="" dxfId="8">
      <formula>"ERROR"</formula>
    </cfRule>
    <cfRule type="cellIs" priority="86" operator="equal" aboveAverage="0" equalAverage="0" bottom="0" percent="0" rank="0" text="" dxfId="9">
      <formula>"OK"</formula>
    </cfRule>
    <cfRule type="cellIs" priority="87" operator="equal" aboveAverage="0" equalAverage="0" bottom="0" percent="0" rank="0" text="" dxfId="10">
      <formula>"Off"</formula>
    </cfRule>
    <cfRule type="cellIs" priority="88" operator="equal" aboveAverage="0" equalAverage="0" bottom="0" percent="0" rank="0" text="" dxfId="10">
      <formula>"Unused"</formula>
    </cfRule>
    <cfRule type="cellIs" priority="89" operator="equal" aboveAverage="0" equalAverage="0" bottom="0" percent="0" rank="0" text="" dxfId="10">
      <formula>"Excluded"</formula>
    </cfRule>
  </conditionalFormatting>
  <conditionalFormatting sqref="G355:G384">
    <cfRule type="cellIs" priority="90" operator="equal" aboveAverage="0" equalAverage="0" bottom="0" percent="0" rank="0" text="" dxfId="8">
      <formula>"ERROR"</formula>
    </cfRule>
    <cfRule type="cellIs" priority="91" operator="equal" aboveAverage="0" equalAverage="0" bottom="0" percent="0" rank="0" text="" dxfId="9">
      <formula>"OK"</formula>
    </cfRule>
    <cfRule type="cellIs" priority="92" operator="equal" aboveAverage="0" equalAverage="0" bottom="0" percent="0" rank="0" text="" dxfId="10">
      <formula>"Off"</formula>
    </cfRule>
    <cfRule type="cellIs" priority="93" operator="equal" aboveAverage="0" equalAverage="0" bottom="0" percent="0" rank="0" text="" dxfId="10">
      <formula>"Unused"</formula>
    </cfRule>
    <cfRule type="cellIs" priority="94" operator="equal" aboveAverage="0" equalAverage="0" bottom="0" percent="0" rank="0" text="" dxfId="10">
      <formula>"Excluded"</formula>
    </cfRule>
  </conditionalFormatting>
  <conditionalFormatting sqref="G389:G418">
    <cfRule type="cellIs" priority="95" operator="equal" aboveAverage="0" equalAverage="0" bottom="0" percent="0" rank="0" text="" dxfId="8">
      <formula>"ERROR"</formula>
    </cfRule>
    <cfRule type="cellIs" priority="96" operator="equal" aboveAverage="0" equalAverage="0" bottom="0" percent="0" rank="0" text="" dxfId="9">
      <formula>"OK"</formula>
    </cfRule>
    <cfRule type="cellIs" priority="97" operator="equal" aboveAverage="0" equalAverage="0" bottom="0" percent="0" rank="0" text="" dxfId="10">
      <formula>"Off"</formula>
    </cfRule>
    <cfRule type="cellIs" priority="98" operator="equal" aboveAverage="0" equalAverage="0" bottom="0" percent="0" rank="0" text="" dxfId="10">
      <formula>"Unused"</formula>
    </cfRule>
    <cfRule type="cellIs" priority="99" operator="equal" aboveAverage="0" equalAverage="0" bottom="0" percent="0" rank="0" text="" dxfId="10">
      <formula>"Excluded"</formula>
    </cfRule>
  </conditionalFormatting>
  <conditionalFormatting sqref="C7">
    <cfRule type="expression" priority="100" aboveAverage="0" equalAverage="0" bottom="0" percent="0" rank="0" text="" dxfId="11">
      <formula>$C$8=0</formula>
    </cfRule>
    <cfRule type="expression" priority="101" aboveAverage="0" equalAverage="0" bottom="0" percent="0" rank="0" text="" dxfId="8">
      <formula>$C$8&gt;0</formula>
    </cfRule>
  </conditionalFormatting>
  <conditionalFormatting sqref="K128:L151">
    <cfRule type="expression" priority="102" aboveAverage="0" equalAverage="0" bottom="0" percent="0" rank="0" text="" dxfId="6">
      <formula>OR(LEFT($J128,6)="Follow",$J128="At Project End")</formula>
    </cfRule>
  </conditionalFormatting>
  <conditionalFormatting sqref="L128:L151">
    <cfRule type="expression" priority="103" aboveAverage="0" equalAverage="0" bottom="0" percent="0" rank="0" text="" dxfId="6">
      <formula>$J128="Upfront"</formula>
    </cfRule>
  </conditionalFormatting>
  <conditionalFormatting sqref="B88:O97">
    <cfRule type="expression" priority="104" aboveAverage="0" equalAverage="0" bottom="0" percent="0" rank="0" text="" dxfId="5">
      <formula>$E88="No"</formula>
    </cfRule>
  </conditionalFormatting>
  <conditionalFormatting sqref="B128:L151">
    <cfRule type="expression" priority="105" aboveAverage="0" equalAverage="0" bottom="0" percent="0" rank="0" text="" dxfId="5">
      <formula>$F128="No"</formula>
    </cfRule>
  </conditionalFormatting>
  <conditionalFormatting sqref="D149:D151">
    <cfRule type="expression" priority="106" aboveAverage="0" equalAverage="0" bottom="0" percent="0" rank="0" text="" dxfId="12">
      <formula>LEFT($C149,1)="%"</formula>
    </cfRule>
  </conditionalFormatting>
  <conditionalFormatting sqref="D143">
    <cfRule type="expression" priority="107" aboveAverage="0" equalAverage="0" bottom="0" percent="0" rank="0" text="" dxfId="12">
      <formula>LEFT($E143,1)="%"</formula>
    </cfRule>
  </conditionalFormatting>
  <dataValidations count="70">
    <dataValidation allowBlank="true" error="Pick from the list." errorStyle="stop" operator="between" showDropDown="false" showErrorMessage="true" showInputMessage="false" sqref="C105:C114" type="list">
      <formula1>LISTS!$T$5:$T$7</formula1>
      <formula2>0</formula2>
    </dataValidation>
    <dataValidation allowBlank="true" error="Pick from the list." errorStyle="stop" operator="between" showDropDown="false" showErrorMessage="true" showInputMessage="false" sqref="G105:G114" type="list">
      <formula1>LISTS!$U$5:$U$7</formula1>
      <formula2>0</formula2>
    </dataValidation>
    <dataValidation allowBlank="true" error="Pick from the list." errorStyle="stop" operator="between" showDropDown="false" showErrorMessage="true" showInputMessage="false" sqref="E105:E114" type="list">
      <formula1>LISTS!$V$5:$V$9</formula1>
      <formula2>0</formula2>
    </dataValidation>
    <dataValidation allowBlank="true" error="Pick from the list." errorStyle="stop" operator="between" showDropDown="false" showErrorMessage="true" showInputMessage="false" sqref="I105:I114" type="list">
      <formula1>LISTS!$V$5:$V$9</formula1>
      <formula2>0</formula2>
    </dataValidation>
    <dataValidation allowBlank="true" error="Pick from the list." errorStyle="stop" operator="between" showDropDown="false" showErrorMessage="true" showInputMessage="false" sqref="D105:D114" type="list">
      <formula1>$B$88:$B$97</formula1>
      <formula2>0</formula2>
    </dataValidation>
    <dataValidation allowBlank="true" error="Pick from the list." errorStyle="stop" operator="between" showDropDown="false" showErrorMessage="true" showInputMessage="false" sqref="H105:H114" type="list">
      <formula1>$B$88:$B$97</formula1>
      <formula2>0</formula2>
    </dataValidation>
    <dataValidation allowBlank="true" error="Whole number of quarters between −8 and 40." errorStyle="stop" operator="between" showDropDown="false" showErrorMessage="true" showInputMessage="false" sqref="F105:F114 J105:J114" type="whole">
      <formula1>-8</formula1>
      <formula2>40</formula2>
    </dataValidation>
    <dataValidation allowBlank="true" error="Pick a value from the list." errorStyle="stop" errorTitle="Invalid entry" operator="between" showDropDown="false" showErrorMessage="true" showInputMessage="false" sqref="C19" type="list">
      <formula1>LISTS!$E$5:$E$8</formula1>
      <formula2>0</formula2>
    </dataValidation>
    <dataValidation allowBlank="true" error="Pick a value from the list." errorStyle="stop" errorTitle="Invalid entry" operator="between" showDropDown="false" showErrorMessage="true" showInputMessage="false" sqref="C21" type="list">
      <formula1>LISTS!$B$5:$B$6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22" type="list">
      <formula1>LISTS!$C$5:$C$6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51" type="list">
      <formula1>LISTS!$I$5:$I$9</formula1>
      <formula2>0</formula2>
    </dataValidation>
    <dataValidation allowBlank="true" error="Pick a value from the list." errorStyle="stop" errorTitle="Invalid entry" operator="between" showDropDown="false" showErrorMessage="true" showInputMessage="false" sqref="C159" type="list">
      <formula1>LISTS!$O$5:$O$6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160" type="list">
      <formula1>LISTS!$P$5:$P$7</formula1>
      <formula2>0</formula2>
    </dataValidation>
    <dataValidation allowBlank="true" error="Pick a value from the list." errorStyle="stop" errorTitle="Invalid entry" operator="between" showDropDown="false" showErrorMessage="true" showInputMessage="false" sqref="C164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184" type="list">
      <formula1>LISTS!$Q$5:$Q$8</formula1>
      <formula2>0</formula2>
    </dataValidation>
    <dataValidation allowBlank="true" error="Pick a value from the list." errorStyle="stop" errorTitle="Invalid entry" operator="between" showDropDown="false" showErrorMessage="true" showInputMessage="false" sqref="C23" type="list">
      <formula1>$B$71:$B$73</formula1>
      <formula2>0</formula2>
    </dataValidation>
    <dataValidation allowBlank="true" error="Whole quarter number 1–40." errorStyle="stop" operator="between" showDropDown="false" showErrorMessage="true" showInputMessage="false" sqref="C52:C53 I88:J97 M88:N97 K129:L130 K138:L151 E191:E199" type="whole">
      <formula1>1</formula1>
      <formula2>40</formula2>
    </dataValidation>
    <dataValidation allowBlank="true" error="Pick a value from the list." errorStyle="stop" errorTitle="Invalid entry" operator="between" showDropDown="false" showErrorMessage="true" showInputMessage="false" sqref="C88:C97" type="list">
      <formula1>LISTS!$F$5:$F$8</formula1>
      <formula2>0</formula2>
    </dataValidation>
    <dataValidation allowBlank="true" error="Pick a value from the list." errorStyle="stop" errorTitle="Invalid entry" operator="between" showDropDown="false" showErrorMessage="true" showInputMessage="false" sqref="D88:D97" type="list">
      <formula1>LISTS!$G$5:$G$11</formula1>
      <formula2>0</formula2>
    </dataValidation>
    <dataValidation allowBlank="true" error="Pick a value from the list." errorStyle="stop" errorTitle="Invalid entry" operator="between" showDropDown="false" showErrorMessage="true" showInputMessage="false" sqref="X88:X97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K88:K97" type="list">
      <formula1>LISTS!$H$5:$H$8</formula1>
      <formula2>0</formula2>
    </dataValidation>
    <dataValidation allowBlank="true" error="Pick a value from the list." errorStyle="stop" errorTitle="Invalid entry" operator="between" showDropDown="false" showErrorMessage="true" showInputMessage="false" sqref="O88:O97" type="list">
      <formula1>LISTS!$H$5:$H$8</formula1>
      <formula2>0</formula2>
    </dataValidation>
    <dataValidation allowBlank="true" error="Pick a value from the list." errorStyle="stop" errorTitle="Invalid entry" operator="between" showDropDown="false" showErrorMessage="true" showInputMessage="false" sqref="L88:L97" type="list">
      <formula1>LISTS!$R$5:$R$10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0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1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2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3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4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5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6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7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8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39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0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1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2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3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4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5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6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7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8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49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50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F151" type="list">
      <formula1>LISTS!$D$5:$D$6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29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30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38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39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0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1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2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3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4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5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6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7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8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49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50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J151" type="list">
      <formula1>LISTS!$J$5:$J$14</formula1>
      <formula2>0</formula2>
    </dataValidation>
    <dataValidation allowBlank="true" error="Pick a value from the list." errorStyle="stop" errorTitle="Invalid entry" operator="between" showDropDown="false" showErrorMessage="true" showInputMessage="false" sqref="C149:C151" type="list">
      <formula1>LISTS!$K$5:$K$9</formula1>
      <formula2>0</formula2>
    </dataValidation>
    <dataValidation allowBlank="true" error="Pick a value from the list." errorStyle="stop" errorTitle="Invalid entry" operator="between" showDropDown="false" showErrorMessage="true" showInputMessage="false" sqref="E142" type="list">
      <formula1>LISTS!$M$5:$M$6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E143" type="list">
      <formula1>LISTS!$L$5:$L$7</formula1>
      <formula2>0</formula2>
    </dataValidation>
    <dataValidation allowBlank="true" error="Pick a value from the list." errorStyle="stop" errorTitle="Invalid entry" operator="between" showDropDown="false" showErrorMessage="true" showInputMessage="false" sqref="C219:C248" type="list">
      <formula1>LISTS!$N$5:$N$6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253:C282" type="list">
      <formula1>LISTS!$N$5:$N$6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287:C316" type="list">
      <formula1>LISTS!$N$5:$N$6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321:C350" type="list">
      <formula1>LISTS!$N$5:$N$6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355:C384" type="list">
      <formula1>LISTS!$N$5:$N$6</formula1>
      <formula2>0</formula2>
    </dataValidation>
    <dataValidation allowBlank="true" error="Pick a value from the list." errorStyle="stop" errorTitle="Invalid entry" operator="between" showDropDown="false" showErrorMessage="true" showInputMessage="false" sqref="C389:C418" type="list">
      <formula1>LISTS!$N$5:$N$6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B2:AQ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3" min="4" style="0" width="9.51"/>
  </cols>
  <sheetData>
    <row r="2" customFormat="false" ht="19.7" hidden="false" customHeight="false" outlineLevel="0" collapsed="false">
      <c r="B2" s="1" t="s">
        <v>623</v>
      </c>
    </row>
    <row r="3" customFormat="false" ht="15" hidden="false" customHeight="false" outlineLevel="0" collapsed="false">
      <c r="B3" s="2" t="s">
        <v>624</v>
      </c>
      <c r="C3" s="34" t="str">
        <f aca="false">IF(COUNTIF(C205:C210,"ERROR")=0,"OK","ERROR")</f>
        <v>OK</v>
      </c>
    </row>
    <row r="4" customFormat="false" ht="15" hidden="false" customHeight="false" outlineLevel="0" collapsed="false">
      <c r="B4" s="17" t="s">
        <v>625</v>
      </c>
    </row>
    <row r="6" customFormat="false" ht="19.5" hidden="false" customHeight="true" outlineLevel="0" collapsed="false">
      <c r="B6" s="4" t="s">
        <v>626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customFormat="false" ht="15" hidden="false" customHeight="false" outlineLevel="0" collapsed="false">
      <c r="B7" s="2" t="s">
        <v>627</v>
      </c>
      <c r="C7" s="60"/>
      <c r="D7" s="101" t="n">
        <f aca="false">COLUMN()-COLUMN($C$7)</f>
        <v>1</v>
      </c>
      <c r="E7" s="101" t="n">
        <f aca="false">COLUMN()-COLUMN($C$7)</f>
        <v>2</v>
      </c>
      <c r="F7" s="101" t="n">
        <f aca="false">COLUMN()-COLUMN($C$7)</f>
        <v>3</v>
      </c>
      <c r="G7" s="101" t="n">
        <f aca="false">COLUMN()-COLUMN($C$7)</f>
        <v>4</v>
      </c>
      <c r="H7" s="101" t="n">
        <f aca="false">COLUMN()-COLUMN($C$7)</f>
        <v>5</v>
      </c>
      <c r="I7" s="101" t="n">
        <f aca="false">COLUMN()-COLUMN($C$7)</f>
        <v>6</v>
      </c>
      <c r="J7" s="101" t="n">
        <f aca="false">COLUMN()-COLUMN($C$7)</f>
        <v>7</v>
      </c>
      <c r="K7" s="101" t="n">
        <f aca="false">COLUMN()-COLUMN($C$7)</f>
        <v>8</v>
      </c>
      <c r="L7" s="101" t="n">
        <f aca="false">COLUMN()-COLUMN($C$7)</f>
        <v>9</v>
      </c>
      <c r="M7" s="101" t="n">
        <f aca="false">COLUMN()-COLUMN($C$7)</f>
        <v>10</v>
      </c>
      <c r="N7" s="101" t="n">
        <f aca="false">COLUMN()-COLUMN($C$7)</f>
        <v>11</v>
      </c>
      <c r="O7" s="101" t="n">
        <f aca="false">COLUMN()-COLUMN($C$7)</f>
        <v>12</v>
      </c>
      <c r="P7" s="101" t="n">
        <f aca="false">COLUMN()-COLUMN($C$7)</f>
        <v>13</v>
      </c>
      <c r="Q7" s="101" t="n">
        <f aca="false">COLUMN()-COLUMN($C$7)</f>
        <v>14</v>
      </c>
      <c r="R7" s="101" t="n">
        <f aca="false">COLUMN()-COLUMN($C$7)</f>
        <v>15</v>
      </c>
      <c r="S7" s="101" t="n">
        <f aca="false">COLUMN()-COLUMN($C$7)</f>
        <v>16</v>
      </c>
      <c r="T7" s="101" t="n">
        <f aca="false">COLUMN()-COLUMN($C$7)</f>
        <v>17</v>
      </c>
      <c r="U7" s="101" t="n">
        <f aca="false">COLUMN()-COLUMN($C$7)</f>
        <v>18</v>
      </c>
      <c r="V7" s="101" t="n">
        <f aca="false">COLUMN()-COLUMN($C$7)</f>
        <v>19</v>
      </c>
      <c r="W7" s="101" t="n">
        <f aca="false">COLUMN()-COLUMN($C$7)</f>
        <v>20</v>
      </c>
      <c r="X7" s="101" t="n">
        <f aca="false">COLUMN()-COLUMN($C$7)</f>
        <v>21</v>
      </c>
      <c r="Y7" s="101" t="n">
        <f aca="false">COLUMN()-COLUMN($C$7)</f>
        <v>22</v>
      </c>
      <c r="Z7" s="101" t="n">
        <f aca="false">COLUMN()-COLUMN($C$7)</f>
        <v>23</v>
      </c>
      <c r="AA7" s="101" t="n">
        <f aca="false">COLUMN()-COLUMN($C$7)</f>
        <v>24</v>
      </c>
      <c r="AB7" s="101" t="n">
        <f aca="false">COLUMN()-COLUMN($C$7)</f>
        <v>25</v>
      </c>
      <c r="AC7" s="101" t="n">
        <f aca="false">COLUMN()-COLUMN($C$7)</f>
        <v>26</v>
      </c>
      <c r="AD7" s="101" t="n">
        <f aca="false">COLUMN()-COLUMN($C$7)</f>
        <v>27</v>
      </c>
      <c r="AE7" s="101" t="n">
        <f aca="false">COLUMN()-COLUMN($C$7)</f>
        <v>28</v>
      </c>
      <c r="AF7" s="101" t="n">
        <f aca="false">COLUMN()-COLUMN($C$7)</f>
        <v>29</v>
      </c>
      <c r="AG7" s="101" t="n">
        <f aca="false">COLUMN()-COLUMN($C$7)</f>
        <v>30</v>
      </c>
      <c r="AH7" s="101" t="n">
        <f aca="false">COLUMN()-COLUMN($C$7)</f>
        <v>31</v>
      </c>
      <c r="AI7" s="101" t="n">
        <f aca="false">COLUMN()-COLUMN($C$7)</f>
        <v>32</v>
      </c>
      <c r="AJ7" s="101" t="n">
        <f aca="false">COLUMN()-COLUMN($C$7)</f>
        <v>33</v>
      </c>
      <c r="AK7" s="101" t="n">
        <f aca="false">COLUMN()-COLUMN($C$7)</f>
        <v>34</v>
      </c>
      <c r="AL7" s="101" t="n">
        <f aca="false">COLUMN()-COLUMN($C$7)</f>
        <v>35</v>
      </c>
      <c r="AM7" s="101" t="n">
        <f aca="false">COLUMN()-COLUMN($C$7)</f>
        <v>36</v>
      </c>
      <c r="AN7" s="101" t="n">
        <f aca="false">COLUMN()-COLUMN($C$7)</f>
        <v>37</v>
      </c>
      <c r="AO7" s="101" t="n">
        <f aca="false">COLUMN()-COLUMN($C$7)</f>
        <v>38</v>
      </c>
      <c r="AP7" s="101" t="n">
        <f aca="false">COLUMN()-COLUMN($C$7)</f>
        <v>39</v>
      </c>
      <c r="AQ7" s="101" t="n">
        <f aca="false">COLUMN()-COLUMN($C$7)</f>
        <v>40</v>
      </c>
    </row>
    <row r="8" customFormat="false" ht="15" hidden="false" customHeight="false" outlineLevel="0" collapsed="false">
      <c r="B8" s="2" t="s">
        <v>628</v>
      </c>
      <c r="D8" s="102" t="str">
        <f aca="false">"Q"&amp;D$7</f>
        <v>Q1</v>
      </c>
      <c r="E8" s="102" t="str">
        <f aca="false">"Q"&amp;E$7</f>
        <v>Q2</v>
      </c>
      <c r="F8" s="102" t="str">
        <f aca="false">"Q"&amp;F$7</f>
        <v>Q3</v>
      </c>
      <c r="G8" s="102" t="str">
        <f aca="false">"Q"&amp;G$7</f>
        <v>Q4</v>
      </c>
      <c r="H8" s="102" t="str">
        <f aca="false">"Q"&amp;H$7</f>
        <v>Q5</v>
      </c>
      <c r="I8" s="102" t="str">
        <f aca="false">"Q"&amp;I$7</f>
        <v>Q6</v>
      </c>
      <c r="J8" s="102" t="str">
        <f aca="false">"Q"&amp;J$7</f>
        <v>Q7</v>
      </c>
      <c r="K8" s="102" t="str">
        <f aca="false">"Q"&amp;K$7</f>
        <v>Q8</v>
      </c>
      <c r="L8" s="102" t="str">
        <f aca="false">"Q"&amp;L$7</f>
        <v>Q9</v>
      </c>
      <c r="M8" s="102" t="str">
        <f aca="false">"Q"&amp;M$7</f>
        <v>Q10</v>
      </c>
      <c r="N8" s="102" t="str">
        <f aca="false">"Q"&amp;N$7</f>
        <v>Q11</v>
      </c>
      <c r="O8" s="102" t="str">
        <f aca="false">"Q"&amp;O$7</f>
        <v>Q12</v>
      </c>
      <c r="P8" s="102" t="str">
        <f aca="false">"Q"&amp;P$7</f>
        <v>Q13</v>
      </c>
      <c r="Q8" s="102" t="str">
        <f aca="false">"Q"&amp;Q$7</f>
        <v>Q14</v>
      </c>
      <c r="R8" s="102" t="str">
        <f aca="false">"Q"&amp;R$7</f>
        <v>Q15</v>
      </c>
      <c r="S8" s="102" t="str">
        <f aca="false">"Q"&amp;S$7</f>
        <v>Q16</v>
      </c>
      <c r="T8" s="102" t="str">
        <f aca="false">"Q"&amp;T$7</f>
        <v>Q17</v>
      </c>
      <c r="U8" s="102" t="str">
        <f aca="false">"Q"&amp;U$7</f>
        <v>Q18</v>
      </c>
      <c r="V8" s="102" t="str">
        <f aca="false">"Q"&amp;V$7</f>
        <v>Q19</v>
      </c>
      <c r="W8" s="102" t="str">
        <f aca="false">"Q"&amp;W$7</f>
        <v>Q20</v>
      </c>
      <c r="X8" s="102" t="str">
        <f aca="false">"Q"&amp;X$7</f>
        <v>Q21</v>
      </c>
      <c r="Y8" s="102" t="str">
        <f aca="false">"Q"&amp;Y$7</f>
        <v>Q22</v>
      </c>
      <c r="Z8" s="102" t="str">
        <f aca="false">"Q"&amp;Z$7</f>
        <v>Q23</v>
      </c>
      <c r="AA8" s="102" t="str">
        <f aca="false">"Q"&amp;AA$7</f>
        <v>Q24</v>
      </c>
      <c r="AB8" s="102" t="str">
        <f aca="false">"Q"&amp;AB$7</f>
        <v>Q25</v>
      </c>
      <c r="AC8" s="102" t="str">
        <f aca="false">"Q"&amp;AC$7</f>
        <v>Q26</v>
      </c>
      <c r="AD8" s="102" t="str">
        <f aca="false">"Q"&amp;AD$7</f>
        <v>Q27</v>
      </c>
      <c r="AE8" s="102" t="str">
        <f aca="false">"Q"&amp;AE$7</f>
        <v>Q28</v>
      </c>
      <c r="AF8" s="102" t="str">
        <f aca="false">"Q"&amp;AF$7</f>
        <v>Q29</v>
      </c>
      <c r="AG8" s="102" t="str">
        <f aca="false">"Q"&amp;AG$7</f>
        <v>Q30</v>
      </c>
      <c r="AH8" s="102" t="str">
        <f aca="false">"Q"&amp;AH$7</f>
        <v>Q31</v>
      </c>
      <c r="AI8" s="102" t="str">
        <f aca="false">"Q"&amp;AI$7</f>
        <v>Q32</v>
      </c>
      <c r="AJ8" s="102" t="str">
        <f aca="false">"Q"&amp;AJ$7</f>
        <v>Q33</v>
      </c>
      <c r="AK8" s="102" t="str">
        <f aca="false">"Q"&amp;AK$7</f>
        <v>Q34</v>
      </c>
      <c r="AL8" s="102" t="str">
        <f aca="false">"Q"&amp;AL$7</f>
        <v>Q35</v>
      </c>
      <c r="AM8" s="102" t="str">
        <f aca="false">"Q"&amp;AM$7</f>
        <v>Q36</v>
      </c>
      <c r="AN8" s="102" t="str">
        <f aca="false">"Q"&amp;AN$7</f>
        <v>Q37</v>
      </c>
      <c r="AO8" s="102" t="str">
        <f aca="false">"Q"&amp;AO$7</f>
        <v>Q38</v>
      </c>
      <c r="AP8" s="102" t="str">
        <f aca="false">"Q"&amp;AP$7</f>
        <v>Q39</v>
      </c>
      <c r="AQ8" s="102" t="str">
        <f aca="false">"Q"&amp;AQ$7</f>
        <v>Q40</v>
      </c>
    </row>
    <row r="9" customFormat="false" ht="15" hidden="false" customHeight="false" outlineLevel="0" collapsed="false">
      <c r="B9" s="2" t="s">
        <v>629</v>
      </c>
      <c r="D9" s="103" t="n">
        <f aca="false">EOMONTH(INPUTS!$C$20,3*(D$7-1))</f>
        <v>46568</v>
      </c>
      <c r="E9" s="103" t="n">
        <f aca="false">EOMONTH(INPUTS!$C$20,3*(E$7-1))</f>
        <v>46660</v>
      </c>
      <c r="F9" s="103" t="n">
        <f aca="false">EOMONTH(INPUTS!$C$20,3*(F$7-1))</f>
        <v>46752</v>
      </c>
      <c r="G9" s="103" t="n">
        <f aca="false">EOMONTH(INPUTS!$C$20,3*(G$7-1))</f>
        <v>46843</v>
      </c>
      <c r="H9" s="103" t="n">
        <f aca="false">EOMONTH(INPUTS!$C$20,3*(H$7-1))</f>
        <v>46934</v>
      </c>
      <c r="I9" s="103" t="n">
        <f aca="false">EOMONTH(INPUTS!$C$20,3*(I$7-1))</f>
        <v>47026</v>
      </c>
      <c r="J9" s="103" t="n">
        <f aca="false">EOMONTH(INPUTS!$C$20,3*(J$7-1))</f>
        <v>47118</v>
      </c>
      <c r="K9" s="103" t="n">
        <f aca="false">EOMONTH(INPUTS!$C$20,3*(K$7-1))</f>
        <v>47208</v>
      </c>
      <c r="L9" s="103" t="n">
        <f aca="false">EOMONTH(INPUTS!$C$20,3*(L$7-1))</f>
        <v>47299</v>
      </c>
      <c r="M9" s="103" t="n">
        <f aca="false">EOMONTH(INPUTS!$C$20,3*(M$7-1))</f>
        <v>47391</v>
      </c>
      <c r="N9" s="103" t="n">
        <f aca="false">EOMONTH(INPUTS!$C$20,3*(N$7-1))</f>
        <v>47483</v>
      </c>
      <c r="O9" s="103" t="n">
        <f aca="false">EOMONTH(INPUTS!$C$20,3*(O$7-1))</f>
        <v>47573</v>
      </c>
      <c r="P9" s="103" t="n">
        <f aca="false">EOMONTH(INPUTS!$C$20,3*(P$7-1))</f>
        <v>47664</v>
      </c>
      <c r="Q9" s="103" t="n">
        <f aca="false">EOMONTH(INPUTS!$C$20,3*(Q$7-1))</f>
        <v>47756</v>
      </c>
      <c r="R9" s="103" t="n">
        <f aca="false">EOMONTH(INPUTS!$C$20,3*(R$7-1))</f>
        <v>47848</v>
      </c>
      <c r="S9" s="103" t="n">
        <f aca="false">EOMONTH(INPUTS!$C$20,3*(S$7-1))</f>
        <v>47938</v>
      </c>
      <c r="T9" s="103" t="n">
        <f aca="false">EOMONTH(INPUTS!$C$20,3*(T$7-1))</f>
        <v>48029</v>
      </c>
      <c r="U9" s="103" t="n">
        <f aca="false">EOMONTH(INPUTS!$C$20,3*(U$7-1))</f>
        <v>48121</v>
      </c>
      <c r="V9" s="103" t="n">
        <f aca="false">EOMONTH(INPUTS!$C$20,3*(V$7-1))</f>
        <v>48213</v>
      </c>
      <c r="W9" s="103" t="n">
        <f aca="false">EOMONTH(INPUTS!$C$20,3*(W$7-1))</f>
        <v>48304</v>
      </c>
      <c r="X9" s="103" t="n">
        <f aca="false">EOMONTH(INPUTS!$C$20,3*(X$7-1))</f>
        <v>48395</v>
      </c>
      <c r="Y9" s="103" t="n">
        <f aca="false">EOMONTH(INPUTS!$C$20,3*(Y$7-1))</f>
        <v>48487</v>
      </c>
      <c r="Z9" s="103" t="n">
        <f aca="false">EOMONTH(INPUTS!$C$20,3*(Z$7-1))</f>
        <v>48579</v>
      </c>
      <c r="AA9" s="103" t="n">
        <f aca="false">EOMONTH(INPUTS!$C$20,3*(AA$7-1))</f>
        <v>48669</v>
      </c>
      <c r="AB9" s="103" t="n">
        <f aca="false">EOMONTH(INPUTS!$C$20,3*(AB$7-1))</f>
        <v>48760</v>
      </c>
      <c r="AC9" s="103" t="n">
        <f aca="false">EOMONTH(INPUTS!$C$20,3*(AC$7-1))</f>
        <v>48852</v>
      </c>
      <c r="AD9" s="103" t="n">
        <f aca="false">EOMONTH(INPUTS!$C$20,3*(AD$7-1))</f>
        <v>48944</v>
      </c>
      <c r="AE9" s="103" t="n">
        <f aca="false">EOMONTH(INPUTS!$C$20,3*(AE$7-1))</f>
        <v>49034</v>
      </c>
      <c r="AF9" s="103" t="n">
        <f aca="false">EOMONTH(INPUTS!$C$20,3*(AF$7-1))</f>
        <v>49125</v>
      </c>
      <c r="AG9" s="103" t="n">
        <f aca="false">EOMONTH(INPUTS!$C$20,3*(AG$7-1))</f>
        <v>49217</v>
      </c>
      <c r="AH9" s="103" t="n">
        <f aca="false">EOMONTH(INPUTS!$C$20,3*(AH$7-1))</f>
        <v>49309</v>
      </c>
      <c r="AI9" s="103" t="n">
        <f aca="false">EOMONTH(INPUTS!$C$20,3*(AI$7-1))</f>
        <v>49399</v>
      </c>
      <c r="AJ9" s="103" t="n">
        <f aca="false">EOMONTH(INPUTS!$C$20,3*(AJ$7-1))</f>
        <v>49490</v>
      </c>
      <c r="AK9" s="103" t="n">
        <f aca="false">EOMONTH(INPUTS!$C$20,3*(AK$7-1))</f>
        <v>49582</v>
      </c>
      <c r="AL9" s="103" t="n">
        <f aca="false">EOMONTH(INPUTS!$C$20,3*(AL$7-1))</f>
        <v>49674</v>
      </c>
      <c r="AM9" s="103" t="n">
        <f aca="false">EOMONTH(INPUTS!$C$20,3*(AM$7-1))</f>
        <v>49765</v>
      </c>
      <c r="AN9" s="103" t="n">
        <f aca="false">EOMONTH(INPUTS!$C$20,3*(AN$7-1))</f>
        <v>49856</v>
      </c>
      <c r="AO9" s="103" t="n">
        <f aca="false">EOMONTH(INPUTS!$C$20,3*(AO$7-1))</f>
        <v>49948</v>
      </c>
      <c r="AP9" s="103" t="n">
        <f aca="false">EOMONTH(INPUTS!$C$20,3*(AP$7-1))</f>
        <v>50040</v>
      </c>
      <c r="AQ9" s="103" t="n">
        <f aca="false">EOMONTH(INPUTS!$C$20,3*(AQ$7-1))</f>
        <v>50130</v>
      </c>
    </row>
    <row r="10" customFormat="false" ht="15" hidden="false" customHeight="false" outlineLevel="0" collapsed="false">
      <c r="B10" s="3" t="s">
        <v>630</v>
      </c>
      <c r="D10" s="104" t="n">
        <f aca="false">EOMONTH(D$9,-3)+1</f>
        <v>46478</v>
      </c>
      <c r="E10" s="104" t="n">
        <f aca="false">EOMONTH(E$9,-3)+1</f>
        <v>46569</v>
      </c>
      <c r="F10" s="104" t="n">
        <f aca="false">EOMONTH(F$9,-3)+1</f>
        <v>46661</v>
      </c>
      <c r="G10" s="104" t="n">
        <f aca="false">EOMONTH(G$9,-3)+1</f>
        <v>46753</v>
      </c>
      <c r="H10" s="104" t="n">
        <f aca="false">EOMONTH(H$9,-3)+1</f>
        <v>46844</v>
      </c>
      <c r="I10" s="104" t="n">
        <f aca="false">EOMONTH(I$9,-3)+1</f>
        <v>46935</v>
      </c>
      <c r="J10" s="104" t="n">
        <f aca="false">EOMONTH(J$9,-3)+1</f>
        <v>47027</v>
      </c>
      <c r="K10" s="104" t="n">
        <f aca="false">EOMONTH(K$9,-3)+1</f>
        <v>47119</v>
      </c>
      <c r="L10" s="104" t="n">
        <f aca="false">EOMONTH(L$9,-3)+1</f>
        <v>47209</v>
      </c>
      <c r="M10" s="104" t="n">
        <f aca="false">EOMONTH(M$9,-3)+1</f>
        <v>47300</v>
      </c>
      <c r="N10" s="104" t="n">
        <f aca="false">EOMONTH(N$9,-3)+1</f>
        <v>47392</v>
      </c>
      <c r="O10" s="104" t="n">
        <f aca="false">EOMONTH(O$9,-3)+1</f>
        <v>47484</v>
      </c>
      <c r="P10" s="104" t="n">
        <f aca="false">EOMONTH(P$9,-3)+1</f>
        <v>47574</v>
      </c>
      <c r="Q10" s="104" t="n">
        <f aca="false">EOMONTH(Q$9,-3)+1</f>
        <v>47665</v>
      </c>
      <c r="R10" s="104" t="n">
        <f aca="false">EOMONTH(R$9,-3)+1</f>
        <v>47757</v>
      </c>
      <c r="S10" s="104" t="n">
        <f aca="false">EOMONTH(S$9,-3)+1</f>
        <v>47849</v>
      </c>
      <c r="T10" s="104" t="n">
        <f aca="false">EOMONTH(T$9,-3)+1</f>
        <v>47939</v>
      </c>
      <c r="U10" s="104" t="n">
        <f aca="false">EOMONTH(U$9,-3)+1</f>
        <v>48030</v>
      </c>
      <c r="V10" s="104" t="n">
        <f aca="false">EOMONTH(V$9,-3)+1</f>
        <v>48122</v>
      </c>
      <c r="W10" s="104" t="n">
        <f aca="false">EOMONTH(W$9,-3)+1</f>
        <v>48214</v>
      </c>
      <c r="X10" s="104" t="n">
        <f aca="false">EOMONTH(X$9,-3)+1</f>
        <v>48305</v>
      </c>
      <c r="Y10" s="104" t="n">
        <f aca="false">EOMONTH(Y$9,-3)+1</f>
        <v>48396</v>
      </c>
      <c r="Z10" s="104" t="n">
        <f aca="false">EOMONTH(Z$9,-3)+1</f>
        <v>48488</v>
      </c>
      <c r="AA10" s="104" t="n">
        <f aca="false">EOMONTH(AA$9,-3)+1</f>
        <v>48580</v>
      </c>
      <c r="AB10" s="104" t="n">
        <f aca="false">EOMONTH(AB$9,-3)+1</f>
        <v>48670</v>
      </c>
      <c r="AC10" s="104" t="n">
        <f aca="false">EOMONTH(AC$9,-3)+1</f>
        <v>48761</v>
      </c>
      <c r="AD10" s="104" t="n">
        <f aca="false">EOMONTH(AD$9,-3)+1</f>
        <v>48853</v>
      </c>
      <c r="AE10" s="104" t="n">
        <f aca="false">EOMONTH(AE$9,-3)+1</f>
        <v>48945</v>
      </c>
      <c r="AF10" s="104" t="n">
        <f aca="false">EOMONTH(AF$9,-3)+1</f>
        <v>49035</v>
      </c>
      <c r="AG10" s="104" t="n">
        <f aca="false">EOMONTH(AG$9,-3)+1</f>
        <v>49126</v>
      </c>
      <c r="AH10" s="104" t="n">
        <f aca="false">EOMONTH(AH$9,-3)+1</f>
        <v>49218</v>
      </c>
      <c r="AI10" s="104" t="n">
        <f aca="false">EOMONTH(AI$9,-3)+1</f>
        <v>49310</v>
      </c>
      <c r="AJ10" s="104" t="n">
        <f aca="false">EOMONTH(AJ$9,-3)+1</f>
        <v>49400</v>
      </c>
      <c r="AK10" s="104" t="n">
        <f aca="false">EOMONTH(AK$9,-3)+1</f>
        <v>49491</v>
      </c>
      <c r="AL10" s="104" t="n">
        <f aca="false">EOMONTH(AL$9,-3)+1</f>
        <v>49583</v>
      </c>
      <c r="AM10" s="104" t="n">
        <f aca="false">EOMONTH(AM$9,-3)+1</f>
        <v>49675</v>
      </c>
      <c r="AN10" s="104" t="n">
        <f aca="false">EOMONTH(AN$9,-3)+1</f>
        <v>49766</v>
      </c>
      <c r="AO10" s="104" t="n">
        <f aca="false">EOMONTH(AO$9,-3)+1</f>
        <v>49857</v>
      </c>
      <c r="AP10" s="104" t="n">
        <f aca="false">EOMONTH(AP$9,-3)+1</f>
        <v>49949</v>
      </c>
      <c r="AQ10" s="104" t="n">
        <f aca="false">EOMONTH(AQ$9,-3)+1</f>
        <v>50041</v>
      </c>
    </row>
    <row r="11" customFormat="false" ht="15" hidden="false" customHeight="false" outlineLevel="0" collapsed="false">
      <c r="B11" s="3" t="s">
        <v>631</v>
      </c>
      <c r="D11" s="105" t="str">
        <f aca="false">TEXT(D$10,"mmm")&amp;"–"&amp;TEXT(D$9,"mmm yy")</f>
        <v>Apr–Jun 27</v>
      </c>
      <c r="E11" s="105" t="str">
        <f aca="false">TEXT(E$10,"mmm")&amp;"–"&amp;TEXT(E$9,"mmm yy")</f>
        <v>Jul–Sep 27</v>
      </c>
      <c r="F11" s="105" t="str">
        <f aca="false">TEXT(F$10,"mmm")&amp;"–"&amp;TEXT(F$9,"mmm yy")</f>
        <v>Oct–Dec 27</v>
      </c>
      <c r="G11" s="105" t="str">
        <f aca="false">TEXT(G$10,"mmm")&amp;"–"&amp;TEXT(G$9,"mmm yy")</f>
        <v>Jan–Mar 28</v>
      </c>
      <c r="H11" s="105" t="str">
        <f aca="false">TEXT(H$10,"mmm")&amp;"–"&amp;TEXT(H$9,"mmm yy")</f>
        <v>Apr–Jun 28</v>
      </c>
      <c r="I11" s="105" t="str">
        <f aca="false">TEXT(I$10,"mmm")&amp;"–"&amp;TEXT(I$9,"mmm yy")</f>
        <v>Jul–Sep 28</v>
      </c>
      <c r="J11" s="105" t="str">
        <f aca="false">TEXT(J$10,"mmm")&amp;"–"&amp;TEXT(J$9,"mmm yy")</f>
        <v>Oct–Dec 28</v>
      </c>
      <c r="K11" s="105" t="str">
        <f aca="false">TEXT(K$10,"mmm")&amp;"–"&amp;TEXT(K$9,"mmm yy")</f>
        <v>Jan–Mar 29</v>
      </c>
      <c r="L11" s="105" t="str">
        <f aca="false">TEXT(L$10,"mmm")&amp;"–"&amp;TEXT(L$9,"mmm yy")</f>
        <v>Apr–Jun 29</v>
      </c>
      <c r="M11" s="105" t="str">
        <f aca="false">TEXT(M$10,"mmm")&amp;"–"&amp;TEXT(M$9,"mmm yy")</f>
        <v>Jul–Sep 29</v>
      </c>
      <c r="N11" s="105" t="str">
        <f aca="false">TEXT(N$10,"mmm")&amp;"–"&amp;TEXT(N$9,"mmm yy")</f>
        <v>Oct–Dec 29</v>
      </c>
      <c r="O11" s="105" t="str">
        <f aca="false">TEXT(O$10,"mmm")&amp;"–"&amp;TEXT(O$9,"mmm yy")</f>
        <v>Jan–Mar 30</v>
      </c>
      <c r="P11" s="105" t="str">
        <f aca="false">TEXT(P$10,"mmm")&amp;"–"&amp;TEXT(P$9,"mmm yy")</f>
        <v>Apr–Jun 30</v>
      </c>
      <c r="Q11" s="105" t="str">
        <f aca="false">TEXT(Q$10,"mmm")&amp;"–"&amp;TEXT(Q$9,"mmm yy")</f>
        <v>Jul–Sep 30</v>
      </c>
      <c r="R11" s="105" t="str">
        <f aca="false">TEXT(R$10,"mmm")&amp;"–"&amp;TEXT(R$9,"mmm yy")</f>
        <v>Oct–Dec 30</v>
      </c>
      <c r="S11" s="105" t="str">
        <f aca="false">TEXT(S$10,"mmm")&amp;"–"&amp;TEXT(S$9,"mmm yy")</f>
        <v>Jan–Mar 31</v>
      </c>
      <c r="T11" s="105" t="str">
        <f aca="false">TEXT(T$10,"mmm")&amp;"–"&amp;TEXT(T$9,"mmm yy")</f>
        <v>Apr–Jun 31</v>
      </c>
      <c r="U11" s="105" t="str">
        <f aca="false">TEXT(U$10,"mmm")&amp;"–"&amp;TEXT(U$9,"mmm yy")</f>
        <v>Jul–Sep 31</v>
      </c>
      <c r="V11" s="105" t="str">
        <f aca="false">TEXT(V$10,"mmm")&amp;"–"&amp;TEXT(V$9,"mmm yy")</f>
        <v>Oct–Dec 31</v>
      </c>
      <c r="W11" s="105" t="str">
        <f aca="false">TEXT(W$10,"mmm")&amp;"–"&amp;TEXT(W$9,"mmm yy")</f>
        <v>Jan–Mar 32</v>
      </c>
      <c r="X11" s="105" t="str">
        <f aca="false">TEXT(X$10,"mmm")&amp;"–"&amp;TEXT(X$9,"mmm yy")</f>
        <v>Apr–Jun 32</v>
      </c>
      <c r="Y11" s="105" t="str">
        <f aca="false">TEXT(Y$10,"mmm")&amp;"–"&amp;TEXT(Y$9,"mmm yy")</f>
        <v>Jul–Sep 32</v>
      </c>
      <c r="Z11" s="105" t="str">
        <f aca="false">TEXT(Z$10,"mmm")&amp;"–"&amp;TEXT(Z$9,"mmm yy")</f>
        <v>Oct–Dec 32</v>
      </c>
      <c r="AA11" s="105" t="str">
        <f aca="false">TEXT(AA$10,"mmm")&amp;"–"&amp;TEXT(AA$9,"mmm yy")</f>
        <v>Jan–Mar 33</v>
      </c>
      <c r="AB11" s="105" t="str">
        <f aca="false">TEXT(AB$10,"mmm")&amp;"–"&amp;TEXT(AB$9,"mmm yy")</f>
        <v>Apr–Jun 33</v>
      </c>
      <c r="AC11" s="105" t="str">
        <f aca="false">TEXT(AC$10,"mmm")&amp;"–"&amp;TEXT(AC$9,"mmm yy")</f>
        <v>Jul–Sep 33</v>
      </c>
      <c r="AD11" s="105" t="str">
        <f aca="false">TEXT(AD$10,"mmm")&amp;"–"&amp;TEXT(AD$9,"mmm yy")</f>
        <v>Oct–Dec 33</v>
      </c>
      <c r="AE11" s="105" t="str">
        <f aca="false">TEXT(AE$10,"mmm")&amp;"–"&amp;TEXT(AE$9,"mmm yy")</f>
        <v>Jan–Mar 34</v>
      </c>
      <c r="AF11" s="105" t="str">
        <f aca="false">TEXT(AF$10,"mmm")&amp;"–"&amp;TEXT(AF$9,"mmm yy")</f>
        <v>Apr–Jun 34</v>
      </c>
      <c r="AG11" s="105" t="str">
        <f aca="false">TEXT(AG$10,"mmm")&amp;"–"&amp;TEXT(AG$9,"mmm yy")</f>
        <v>Jul–Sep 34</v>
      </c>
      <c r="AH11" s="105" t="str">
        <f aca="false">TEXT(AH$10,"mmm")&amp;"–"&amp;TEXT(AH$9,"mmm yy")</f>
        <v>Oct–Dec 34</v>
      </c>
      <c r="AI11" s="105" t="str">
        <f aca="false">TEXT(AI$10,"mmm")&amp;"–"&amp;TEXT(AI$9,"mmm yy")</f>
        <v>Jan–Mar 35</v>
      </c>
      <c r="AJ11" s="105" t="str">
        <f aca="false">TEXT(AJ$10,"mmm")&amp;"–"&amp;TEXT(AJ$9,"mmm yy")</f>
        <v>Apr–Jun 35</v>
      </c>
      <c r="AK11" s="105" t="str">
        <f aca="false">TEXT(AK$10,"mmm")&amp;"–"&amp;TEXT(AK$9,"mmm yy")</f>
        <v>Jul–Sep 35</v>
      </c>
      <c r="AL11" s="105" t="str">
        <f aca="false">TEXT(AL$10,"mmm")&amp;"–"&amp;TEXT(AL$9,"mmm yy")</f>
        <v>Oct–Dec 35</v>
      </c>
      <c r="AM11" s="105" t="str">
        <f aca="false">TEXT(AM$10,"mmm")&amp;"–"&amp;TEXT(AM$9,"mmm yy")</f>
        <v>Jan–Mar 36</v>
      </c>
      <c r="AN11" s="105" t="str">
        <f aca="false">TEXT(AN$10,"mmm")&amp;"–"&amp;TEXT(AN$9,"mmm yy")</f>
        <v>Apr–Jun 36</v>
      </c>
      <c r="AO11" s="105" t="str">
        <f aca="false">TEXT(AO$10,"mmm")&amp;"–"&amp;TEXT(AO$9,"mmm yy")</f>
        <v>Jul–Sep 36</v>
      </c>
      <c r="AP11" s="105" t="str">
        <f aca="false">TEXT(AP$10,"mmm")&amp;"–"&amp;TEXT(AP$9,"mmm yy")</f>
        <v>Oct–Dec 36</v>
      </c>
      <c r="AQ11" s="105" t="str">
        <f aca="false">TEXT(AQ$10,"mmm")&amp;"–"&amp;TEXT(AQ$9,"mmm yy")</f>
        <v>Jan–Mar 37</v>
      </c>
    </row>
    <row r="12" customFormat="false" ht="15" hidden="false" customHeight="false" outlineLevel="0" collapsed="false">
      <c r="B12" s="3" t="s">
        <v>632</v>
      </c>
      <c r="D12" s="106" t="n">
        <f aca="false">YEAR(D$9)+IF(MONTH(D$9)&gt;3,1,0)</f>
        <v>2028</v>
      </c>
      <c r="E12" s="106" t="n">
        <f aca="false">YEAR(E$9)+IF(MONTH(E$9)&gt;3,1,0)</f>
        <v>2028</v>
      </c>
      <c r="F12" s="106" t="n">
        <f aca="false">YEAR(F$9)+IF(MONTH(F$9)&gt;3,1,0)</f>
        <v>2028</v>
      </c>
      <c r="G12" s="106" t="n">
        <f aca="false">YEAR(G$9)+IF(MONTH(G$9)&gt;3,1,0)</f>
        <v>2028</v>
      </c>
      <c r="H12" s="106" t="n">
        <f aca="false">YEAR(H$9)+IF(MONTH(H$9)&gt;3,1,0)</f>
        <v>2029</v>
      </c>
      <c r="I12" s="106" t="n">
        <f aca="false">YEAR(I$9)+IF(MONTH(I$9)&gt;3,1,0)</f>
        <v>2029</v>
      </c>
      <c r="J12" s="106" t="n">
        <f aca="false">YEAR(J$9)+IF(MONTH(J$9)&gt;3,1,0)</f>
        <v>2029</v>
      </c>
      <c r="K12" s="106" t="n">
        <f aca="false">YEAR(K$9)+IF(MONTH(K$9)&gt;3,1,0)</f>
        <v>2029</v>
      </c>
      <c r="L12" s="106" t="n">
        <f aca="false">YEAR(L$9)+IF(MONTH(L$9)&gt;3,1,0)</f>
        <v>2030</v>
      </c>
      <c r="M12" s="106" t="n">
        <f aca="false">YEAR(M$9)+IF(MONTH(M$9)&gt;3,1,0)</f>
        <v>2030</v>
      </c>
      <c r="N12" s="106" t="n">
        <f aca="false">YEAR(N$9)+IF(MONTH(N$9)&gt;3,1,0)</f>
        <v>2030</v>
      </c>
      <c r="O12" s="106" t="n">
        <f aca="false">YEAR(O$9)+IF(MONTH(O$9)&gt;3,1,0)</f>
        <v>2030</v>
      </c>
      <c r="P12" s="106" t="n">
        <f aca="false">YEAR(P$9)+IF(MONTH(P$9)&gt;3,1,0)</f>
        <v>2031</v>
      </c>
      <c r="Q12" s="106" t="n">
        <f aca="false">YEAR(Q$9)+IF(MONTH(Q$9)&gt;3,1,0)</f>
        <v>2031</v>
      </c>
      <c r="R12" s="106" t="n">
        <f aca="false">YEAR(R$9)+IF(MONTH(R$9)&gt;3,1,0)</f>
        <v>2031</v>
      </c>
      <c r="S12" s="106" t="n">
        <f aca="false">YEAR(S$9)+IF(MONTH(S$9)&gt;3,1,0)</f>
        <v>2031</v>
      </c>
      <c r="T12" s="106" t="n">
        <f aca="false">YEAR(T$9)+IF(MONTH(T$9)&gt;3,1,0)</f>
        <v>2032</v>
      </c>
      <c r="U12" s="106" t="n">
        <f aca="false">YEAR(U$9)+IF(MONTH(U$9)&gt;3,1,0)</f>
        <v>2032</v>
      </c>
      <c r="V12" s="106" t="n">
        <f aca="false">YEAR(V$9)+IF(MONTH(V$9)&gt;3,1,0)</f>
        <v>2032</v>
      </c>
      <c r="W12" s="106" t="n">
        <f aca="false">YEAR(W$9)+IF(MONTH(W$9)&gt;3,1,0)</f>
        <v>2032</v>
      </c>
      <c r="X12" s="106" t="n">
        <f aca="false">YEAR(X$9)+IF(MONTH(X$9)&gt;3,1,0)</f>
        <v>2033</v>
      </c>
      <c r="Y12" s="106" t="n">
        <f aca="false">YEAR(Y$9)+IF(MONTH(Y$9)&gt;3,1,0)</f>
        <v>2033</v>
      </c>
      <c r="Z12" s="106" t="n">
        <f aca="false">YEAR(Z$9)+IF(MONTH(Z$9)&gt;3,1,0)</f>
        <v>2033</v>
      </c>
      <c r="AA12" s="106" t="n">
        <f aca="false">YEAR(AA$9)+IF(MONTH(AA$9)&gt;3,1,0)</f>
        <v>2033</v>
      </c>
      <c r="AB12" s="106" t="n">
        <f aca="false">YEAR(AB$9)+IF(MONTH(AB$9)&gt;3,1,0)</f>
        <v>2034</v>
      </c>
      <c r="AC12" s="106" t="n">
        <f aca="false">YEAR(AC$9)+IF(MONTH(AC$9)&gt;3,1,0)</f>
        <v>2034</v>
      </c>
      <c r="AD12" s="106" t="n">
        <f aca="false">YEAR(AD$9)+IF(MONTH(AD$9)&gt;3,1,0)</f>
        <v>2034</v>
      </c>
      <c r="AE12" s="106" t="n">
        <f aca="false">YEAR(AE$9)+IF(MONTH(AE$9)&gt;3,1,0)</f>
        <v>2034</v>
      </c>
      <c r="AF12" s="106" t="n">
        <f aca="false">YEAR(AF$9)+IF(MONTH(AF$9)&gt;3,1,0)</f>
        <v>2035</v>
      </c>
      <c r="AG12" s="106" t="n">
        <f aca="false">YEAR(AG$9)+IF(MONTH(AG$9)&gt;3,1,0)</f>
        <v>2035</v>
      </c>
      <c r="AH12" s="106" t="n">
        <f aca="false">YEAR(AH$9)+IF(MONTH(AH$9)&gt;3,1,0)</f>
        <v>2035</v>
      </c>
      <c r="AI12" s="106" t="n">
        <f aca="false">YEAR(AI$9)+IF(MONTH(AI$9)&gt;3,1,0)</f>
        <v>2035</v>
      </c>
      <c r="AJ12" s="106" t="n">
        <f aca="false">YEAR(AJ$9)+IF(MONTH(AJ$9)&gt;3,1,0)</f>
        <v>2036</v>
      </c>
      <c r="AK12" s="106" t="n">
        <f aca="false">YEAR(AK$9)+IF(MONTH(AK$9)&gt;3,1,0)</f>
        <v>2036</v>
      </c>
      <c r="AL12" s="106" t="n">
        <f aca="false">YEAR(AL$9)+IF(MONTH(AL$9)&gt;3,1,0)</f>
        <v>2036</v>
      </c>
      <c r="AM12" s="106" t="n">
        <f aca="false">YEAR(AM$9)+IF(MONTH(AM$9)&gt;3,1,0)</f>
        <v>2036</v>
      </c>
      <c r="AN12" s="106" t="n">
        <f aca="false">YEAR(AN$9)+IF(MONTH(AN$9)&gt;3,1,0)</f>
        <v>2037</v>
      </c>
      <c r="AO12" s="106" t="n">
        <f aca="false">YEAR(AO$9)+IF(MONTH(AO$9)&gt;3,1,0)</f>
        <v>2037</v>
      </c>
      <c r="AP12" s="106" t="n">
        <f aca="false">YEAR(AP$9)+IF(MONTH(AP$9)&gt;3,1,0)</f>
        <v>2037</v>
      </c>
      <c r="AQ12" s="106" t="n">
        <f aca="false">YEAR(AQ$9)+IF(MONTH(AQ$9)&gt;3,1,0)</f>
        <v>2037</v>
      </c>
    </row>
    <row r="13" customFormat="false" ht="15" hidden="false" customHeight="false" outlineLevel="0" collapsed="false">
      <c r="B13" s="3" t="s">
        <v>633</v>
      </c>
      <c r="D13" s="105" t="str">
        <f aca="false">"FY "&amp;(D$12-1)&amp;"-"&amp;RIGHT(D$12,2)</f>
        <v>FY 2027-28</v>
      </c>
      <c r="E13" s="105" t="str">
        <f aca="false">"FY "&amp;(E$12-1)&amp;"-"&amp;RIGHT(E$12,2)</f>
        <v>FY 2027-28</v>
      </c>
      <c r="F13" s="105" t="str">
        <f aca="false">"FY "&amp;(F$12-1)&amp;"-"&amp;RIGHT(F$12,2)</f>
        <v>FY 2027-28</v>
      </c>
      <c r="G13" s="105" t="str">
        <f aca="false">"FY "&amp;(G$12-1)&amp;"-"&amp;RIGHT(G$12,2)</f>
        <v>FY 2027-28</v>
      </c>
      <c r="H13" s="105" t="str">
        <f aca="false">"FY "&amp;(H$12-1)&amp;"-"&amp;RIGHT(H$12,2)</f>
        <v>FY 2028-29</v>
      </c>
      <c r="I13" s="105" t="str">
        <f aca="false">"FY "&amp;(I$12-1)&amp;"-"&amp;RIGHT(I$12,2)</f>
        <v>FY 2028-29</v>
      </c>
      <c r="J13" s="105" t="str">
        <f aca="false">"FY "&amp;(J$12-1)&amp;"-"&amp;RIGHT(J$12,2)</f>
        <v>FY 2028-29</v>
      </c>
      <c r="K13" s="105" t="str">
        <f aca="false">"FY "&amp;(K$12-1)&amp;"-"&amp;RIGHT(K$12,2)</f>
        <v>FY 2028-29</v>
      </c>
      <c r="L13" s="105" t="str">
        <f aca="false">"FY "&amp;(L$12-1)&amp;"-"&amp;RIGHT(L$12,2)</f>
        <v>FY 2029-30</v>
      </c>
      <c r="M13" s="105" t="str">
        <f aca="false">"FY "&amp;(M$12-1)&amp;"-"&amp;RIGHT(M$12,2)</f>
        <v>FY 2029-30</v>
      </c>
      <c r="N13" s="105" t="str">
        <f aca="false">"FY "&amp;(N$12-1)&amp;"-"&amp;RIGHT(N$12,2)</f>
        <v>FY 2029-30</v>
      </c>
      <c r="O13" s="105" t="str">
        <f aca="false">"FY "&amp;(O$12-1)&amp;"-"&amp;RIGHT(O$12,2)</f>
        <v>FY 2029-30</v>
      </c>
      <c r="P13" s="105" t="str">
        <f aca="false">"FY "&amp;(P$12-1)&amp;"-"&amp;RIGHT(P$12,2)</f>
        <v>FY 2030-31</v>
      </c>
      <c r="Q13" s="105" t="str">
        <f aca="false">"FY "&amp;(Q$12-1)&amp;"-"&amp;RIGHT(Q$12,2)</f>
        <v>FY 2030-31</v>
      </c>
      <c r="R13" s="105" t="str">
        <f aca="false">"FY "&amp;(R$12-1)&amp;"-"&amp;RIGHT(R$12,2)</f>
        <v>FY 2030-31</v>
      </c>
      <c r="S13" s="105" t="str">
        <f aca="false">"FY "&amp;(S$12-1)&amp;"-"&amp;RIGHT(S$12,2)</f>
        <v>FY 2030-31</v>
      </c>
      <c r="T13" s="105" t="str">
        <f aca="false">"FY "&amp;(T$12-1)&amp;"-"&amp;RIGHT(T$12,2)</f>
        <v>FY 2031-32</v>
      </c>
      <c r="U13" s="105" t="str">
        <f aca="false">"FY "&amp;(U$12-1)&amp;"-"&amp;RIGHT(U$12,2)</f>
        <v>FY 2031-32</v>
      </c>
      <c r="V13" s="105" t="str">
        <f aca="false">"FY "&amp;(V$12-1)&amp;"-"&amp;RIGHT(V$12,2)</f>
        <v>FY 2031-32</v>
      </c>
      <c r="W13" s="105" t="str">
        <f aca="false">"FY "&amp;(W$12-1)&amp;"-"&amp;RIGHT(W$12,2)</f>
        <v>FY 2031-32</v>
      </c>
      <c r="X13" s="105" t="str">
        <f aca="false">"FY "&amp;(X$12-1)&amp;"-"&amp;RIGHT(X$12,2)</f>
        <v>FY 2032-33</v>
      </c>
      <c r="Y13" s="105" t="str">
        <f aca="false">"FY "&amp;(Y$12-1)&amp;"-"&amp;RIGHT(Y$12,2)</f>
        <v>FY 2032-33</v>
      </c>
      <c r="Z13" s="105" t="str">
        <f aca="false">"FY "&amp;(Z$12-1)&amp;"-"&amp;RIGHT(Z$12,2)</f>
        <v>FY 2032-33</v>
      </c>
      <c r="AA13" s="105" t="str">
        <f aca="false">"FY "&amp;(AA$12-1)&amp;"-"&amp;RIGHT(AA$12,2)</f>
        <v>FY 2032-33</v>
      </c>
      <c r="AB13" s="105" t="str">
        <f aca="false">"FY "&amp;(AB$12-1)&amp;"-"&amp;RIGHT(AB$12,2)</f>
        <v>FY 2033-34</v>
      </c>
      <c r="AC13" s="105" t="str">
        <f aca="false">"FY "&amp;(AC$12-1)&amp;"-"&amp;RIGHT(AC$12,2)</f>
        <v>FY 2033-34</v>
      </c>
      <c r="AD13" s="105" t="str">
        <f aca="false">"FY "&amp;(AD$12-1)&amp;"-"&amp;RIGHT(AD$12,2)</f>
        <v>FY 2033-34</v>
      </c>
      <c r="AE13" s="105" t="str">
        <f aca="false">"FY "&amp;(AE$12-1)&amp;"-"&amp;RIGHT(AE$12,2)</f>
        <v>FY 2033-34</v>
      </c>
      <c r="AF13" s="105" t="str">
        <f aca="false">"FY "&amp;(AF$12-1)&amp;"-"&amp;RIGHT(AF$12,2)</f>
        <v>FY 2034-35</v>
      </c>
      <c r="AG13" s="105" t="str">
        <f aca="false">"FY "&amp;(AG$12-1)&amp;"-"&amp;RIGHT(AG$12,2)</f>
        <v>FY 2034-35</v>
      </c>
      <c r="AH13" s="105" t="str">
        <f aca="false">"FY "&amp;(AH$12-1)&amp;"-"&amp;RIGHT(AH$12,2)</f>
        <v>FY 2034-35</v>
      </c>
      <c r="AI13" s="105" t="str">
        <f aca="false">"FY "&amp;(AI$12-1)&amp;"-"&amp;RIGHT(AI$12,2)</f>
        <v>FY 2034-35</v>
      </c>
      <c r="AJ13" s="105" t="str">
        <f aca="false">"FY "&amp;(AJ$12-1)&amp;"-"&amp;RIGHT(AJ$12,2)</f>
        <v>FY 2035-36</v>
      </c>
      <c r="AK13" s="105" t="str">
        <f aca="false">"FY "&amp;(AK$12-1)&amp;"-"&amp;RIGHT(AK$12,2)</f>
        <v>FY 2035-36</v>
      </c>
      <c r="AL13" s="105" t="str">
        <f aca="false">"FY "&amp;(AL$12-1)&amp;"-"&amp;RIGHT(AL$12,2)</f>
        <v>FY 2035-36</v>
      </c>
      <c r="AM13" s="105" t="str">
        <f aca="false">"FY "&amp;(AM$12-1)&amp;"-"&amp;RIGHT(AM$12,2)</f>
        <v>FY 2035-36</v>
      </c>
      <c r="AN13" s="105" t="str">
        <f aca="false">"FY "&amp;(AN$12-1)&amp;"-"&amp;RIGHT(AN$12,2)</f>
        <v>FY 2036-37</v>
      </c>
      <c r="AO13" s="105" t="str">
        <f aca="false">"FY "&amp;(AO$12-1)&amp;"-"&amp;RIGHT(AO$12,2)</f>
        <v>FY 2036-37</v>
      </c>
      <c r="AP13" s="105" t="str">
        <f aca="false">"FY "&amp;(AP$12-1)&amp;"-"&amp;RIGHT(AP$12,2)</f>
        <v>FY 2036-37</v>
      </c>
      <c r="AQ13" s="105" t="str">
        <f aca="false">"FY "&amp;(AQ$12-1)&amp;"-"&amp;RIGHT(AQ$12,2)</f>
        <v>FY 2036-37</v>
      </c>
    </row>
    <row r="14" customFormat="false" ht="15" hidden="false" customHeight="false" outlineLevel="0" collapsed="false">
      <c r="B14" s="3" t="s">
        <v>634</v>
      </c>
      <c r="D14" s="105" t="str">
        <f aca="false">"Q"&amp;(INT(MOD(MONTH(D$9)-4,12)/3)+1)</f>
        <v>Q1</v>
      </c>
      <c r="E14" s="105" t="str">
        <f aca="false">"Q"&amp;(INT(MOD(MONTH(E$9)-4,12)/3)+1)</f>
        <v>Q2</v>
      </c>
      <c r="F14" s="105" t="str">
        <f aca="false">"Q"&amp;(INT(MOD(MONTH(F$9)-4,12)/3)+1)</f>
        <v>Q3</v>
      </c>
      <c r="G14" s="105" t="str">
        <f aca="false">"Q"&amp;(INT(MOD(MONTH(G$9)-4,12)/3)+1)</f>
        <v>Q4</v>
      </c>
      <c r="H14" s="105" t="str">
        <f aca="false">"Q"&amp;(INT(MOD(MONTH(H$9)-4,12)/3)+1)</f>
        <v>Q1</v>
      </c>
      <c r="I14" s="105" t="str">
        <f aca="false">"Q"&amp;(INT(MOD(MONTH(I$9)-4,12)/3)+1)</f>
        <v>Q2</v>
      </c>
      <c r="J14" s="105" t="str">
        <f aca="false">"Q"&amp;(INT(MOD(MONTH(J$9)-4,12)/3)+1)</f>
        <v>Q3</v>
      </c>
      <c r="K14" s="105" t="str">
        <f aca="false">"Q"&amp;(INT(MOD(MONTH(K$9)-4,12)/3)+1)</f>
        <v>Q4</v>
      </c>
      <c r="L14" s="105" t="str">
        <f aca="false">"Q"&amp;(INT(MOD(MONTH(L$9)-4,12)/3)+1)</f>
        <v>Q1</v>
      </c>
      <c r="M14" s="105" t="str">
        <f aca="false">"Q"&amp;(INT(MOD(MONTH(M$9)-4,12)/3)+1)</f>
        <v>Q2</v>
      </c>
      <c r="N14" s="105" t="str">
        <f aca="false">"Q"&amp;(INT(MOD(MONTH(N$9)-4,12)/3)+1)</f>
        <v>Q3</v>
      </c>
      <c r="O14" s="105" t="str">
        <f aca="false">"Q"&amp;(INT(MOD(MONTH(O$9)-4,12)/3)+1)</f>
        <v>Q4</v>
      </c>
      <c r="P14" s="105" t="str">
        <f aca="false">"Q"&amp;(INT(MOD(MONTH(P$9)-4,12)/3)+1)</f>
        <v>Q1</v>
      </c>
      <c r="Q14" s="105" t="str">
        <f aca="false">"Q"&amp;(INT(MOD(MONTH(Q$9)-4,12)/3)+1)</f>
        <v>Q2</v>
      </c>
      <c r="R14" s="105" t="str">
        <f aca="false">"Q"&amp;(INT(MOD(MONTH(R$9)-4,12)/3)+1)</f>
        <v>Q3</v>
      </c>
      <c r="S14" s="105" t="str">
        <f aca="false">"Q"&amp;(INT(MOD(MONTH(S$9)-4,12)/3)+1)</f>
        <v>Q4</v>
      </c>
      <c r="T14" s="105" t="str">
        <f aca="false">"Q"&amp;(INT(MOD(MONTH(T$9)-4,12)/3)+1)</f>
        <v>Q1</v>
      </c>
      <c r="U14" s="105" t="str">
        <f aca="false">"Q"&amp;(INT(MOD(MONTH(U$9)-4,12)/3)+1)</f>
        <v>Q2</v>
      </c>
      <c r="V14" s="105" t="str">
        <f aca="false">"Q"&amp;(INT(MOD(MONTH(V$9)-4,12)/3)+1)</f>
        <v>Q3</v>
      </c>
      <c r="W14" s="105" t="str">
        <f aca="false">"Q"&amp;(INT(MOD(MONTH(W$9)-4,12)/3)+1)</f>
        <v>Q4</v>
      </c>
      <c r="X14" s="105" t="str">
        <f aca="false">"Q"&amp;(INT(MOD(MONTH(X$9)-4,12)/3)+1)</f>
        <v>Q1</v>
      </c>
      <c r="Y14" s="105" t="str">
        <f aca="false">"Q"&amp;(INT(MOD(MONTH(Y$9)-4,12)/3)+1)</f>
        <v>Q2</v>
      </c>
      <c r="Z14" s="105" t="str">
        <f aca="false">"Q"&amp;(INT(MOD(MONTH(Z$9)-4,12)/3)+1)</f>
        <v>Q3</v>
      </c>
      <c r="AA14" s="105" t="str">
        <f aca="false">"Q"&amp;(INT(MOD(MONTH(AA$9)-4,12)/3)+1)</f>
        <v>Q4</v>
      </c>
      <c r="AB14" s="105" t="str">
        <f aca="false">"Q"&amp;(INT(MOD(MONTH(AB$9)-4,12)/3)+1)</f>
        <v>Q1</v>
      </c>
      <c r="AC14" s="105" t="str">
        <f aca="false">"Q"&amp;(INT(MOD(MONTH(AC$9)-4,12)/3)+1)</f>
        <v>Q2</v>
      </c>
      <c r="AD14" s="105" t="str">
        <f aca="false">"Q"&amp;(INT(MOD(MONTH(AD$9)-4,12)/3)+1)</f>
        <v>Q3</v>
      </c>
      <c r="AE14" s="105" t="str">
        <f aca="false">"Q"&amp;(INT(MOD(MONTH(AE$9)-4,12)/3)+1)</f>
        <v>Q4</v>
      </c>
      <c r="AF14" s="105" t="str">
        <f aca="false">"Q"&amp;(INT(MOD(MONTH(AF$9)-4,12)/3)+1)</f>
        <v>Q1</v>
      </c>
      <c r="AG14" s="105" t="str">
        <f aca="false">"Q"&amp;(INT(MOD(MONTH(AG$9)-4,12)/3)+1)</f>
        <v>Q2</v>
      </c>
      <c r="AH14" s="105" t="str">
        <f aca="false">"Q"&amp;(INT(MOD(MONTH(AH$9)-4,12)/3)+1)</f>
        <v>Q3</v>
      </c>
      <c r="AI14" s="105" t="str">
        <f aca="false">"Q"&amp;(INT(MOD(MONTH(AI$9)-4,12)/3)+1)</f>
        <v>Q4</v>
      </c>
      <c r="AJ14" s="105" t="str">
        <f aca="false">"Q"&amp;(INT(MOD(MONTH(AJ$9)-4,12)/3)+1)</f>
        <v>Q1</v>
      </c>
      <c r="AK14" s="105" t="str">
        <f aca="false">"Q"&amp;(INT(MOD(MONTH(AK$9)-4,12)/3)+1)</f>
        <v>Q2</v>
      </c>
      <c r="AL14" s="105" t="str">
        <f aca="false">"Q"&amp;(INT(MOD(MONTH(AL$9)-4,12)/3)+1)</f>
        <v>Q3</v>
      </c>
      <c r="AM14" s="105" t="str">
        <f aca="false">"Q"&amp;(INT(MOD(MONTH(AM$9)-4,12)/3)+1)</f>
        <v>Q4</v>
      </c>
      <c r="AN14" s="105" t="str">
        <f aca="false">"Q"&amp;(INT(MOD(MONTH(AN$9)-4,12)/3)+1)</f>
        <v>Q1</v>
      </c>
      <c r="AO14" s="105" t="str">
        <f aca="false">"Q"&amp;(INT(MOD(MONTH(AO$9)-4,12)/3)+1)</f>
        <v>Q2</v>
      </c>
      <c r="AP14" s="105" t="str">
        <f aca="false">"Q"&amp;(INT(MOD(MONTH(AP$9)-4,12)/3)+1)</f>
        <v>Q3</v>
      </c>
      <c r="AQ14" s="105" t="str">
        <f aca="false">"Q"&amp;(INT(MOD(MONTH(AQ$9)-4,12)/3)+1)</f>
        <v>Q4</v>
      </c>
    </row>
    <row r="15" customFormat="false" ht="15" hidden="false" customHeight="false" outlineLevel="0" collapsed="false">
      <c r="B15" s="3" t="s">
        <v>635</v>
      </c>
      <c r="D15" s="105" t="str">
        <f aca="false">"Y"&amp;ROUNDUP(D$7/4,0)</f>
        <v>Y1</v>
      </c>
      <c r="E15" s="105" t="str">
        <f aca="false">"Y"&amp;ROUNDUP(E$7/4,0)</f>
        <v>Y1</v>
      </c>
      <c r="F15" s="105" t="str">
        <f aca="false">"Y"&amp;ROUNDUP(F$7/4,0)</f>
        <v>Y1</v>
      </c>
      <c r="G15" s="105" t="str">
        <f aca="false">"Y"&amp;ROUNDUP(G$7/4,0)</f>
        <v>Y1</v>
      </c>
      <c r="H15" s="105" t="str">
        <f aca="false">"Y"&amp;ROUNDUP(H$7/4,0)</f>
        <v>Y2</v>
      </c>
      <c r="I15" s="105" t="str">
        <f aca="false">"Y"&amp;ROUNDUP(I$7/4,0)</f>
        <v>Y2</v>
      </c>
      <c r="J15" s="105" t="str">
        <f aca="false">"Y"&amp;ROUNDUP(J$7/4,0)</f>
        <v>Y2</v>
      </c>
      <c r="K15" s="105" t="str">
        <f aca="false">"Y"&amp;ROUNDUP(K$7/4,0)</f>
        <v>Y2</v>
      </c>
      <c r="L15" s="105" t="str">
        <f aca="false">"Y"&amp;ROUNDUP(L$7/4,0)</f>
        <v>Y3</v>
      </c>
      <c r="M15" s="105" t="str">
        <f aca="false">"Y"&amp;ROUNDUP(M$7/4,0)</f>
        <v>Y3</v>
      </c>
      <c r="N15" s="105" t="str">
        <f aca="false">"Y"&amp;ROUNDUP(N$7/4,0)</f>
        <v>Y3</v>
      </c>
      <c r="O15" s="105" t="str">
        <f aca="false">"Y"&amp;ROUNDUP(O$7/4,0)</f>
        <v>Y3</v>
      </c>
      <c r="P15" s="105" t="str">
        <f aca="false">"Y"&amp;ROUNDUP(P$7/4,0)</f>
        <v>Y4</v>
      </c>
      <c r="Q15" s="105" t="str">
        <f aca="false">"Y"&amp;ROUNDUP(Q$7/4,0)</f>
        <v>Y4</v>
      </c>
      <c r="R15" s="105" t="str">
        <f aca="false">"Y"&amp;ROUNDUP(R$7/4,0)</f>
        <v>Y4</v>
      </c>
      <c r="S15" s="105" t="str">
        <f aca="false">"Y"&amp;ROUNDUP(S$7/4,0)</f>
        <v>Y4</v>
      </c>
      <c r="T15" s="105" t="str">
        <f aca="false">"Y"&amp;ROUNDUP(T$7/4,0)</f>
        <v>Y5</v>
      </c>
      <c r="U15" s="105" t="str">
        <f aca="false">"Y"&amp;ROUNDUP(U$7/4,0)</f>
        <v>Y5</v>
      </c>
      <c r="V15" s="105" t="str">
        <f aca="false">"Y"&amp;ROUNDUP(V$7/4,0)</f>
        <v>Y5</v>
      </c>
      <c r="W15" s="105" t="str">
        <f aca="false">"Y"&amp;ROUNDUP(W$7/4,0)</f>
        <v>Y5</v>
      </c>
      <c r="X15" s="105" t="str">
        <f aca="false">"Y"&amp;ROUNDUP(X$7/4,0)</f>
        <v>Y6</v>
      </c>
      <c r="Y15" s="105" t="str">
        <f aca="false">"Y"&amp;ROUNDUP(Y$7/4,0)</f>
        <v>Y6</v>
      </c>
      <c r="Z15" s="105" t="str">
        <f aca="false">"Y"&amp;ROUNDUP(Z$7/4,0)</f>
        <v>Y6</v>
      </c>
      <c r="AA15" s="105" t="str">
        <f aca="false">"Y"&amp;ROUNDUP(AA$7/4,0)</f>
        <v>Y6</v>
      </c>
      <c r="AB15" s="105" t="str">
        <f aca="false">"Y"&amp;ROUNDUP(AB$7/4,0)</f>
        <v>Y7</v>
      </c>
      <c r="AC15" s="105" t="str">
        <f aca="false">"Y"&amp;ROUNDUP(AC$7/4,0)</f>
        <v>Y7</v>
      </c>
      <c r="AD15" s="105" t="str">
        <f aca="false">"Y"&amp;ROUNDUP(AD$7/4,0)</f>
        <v>Y7</v>
      </c>
      <c r="AE15" s="105" t="str">
        <f aca="false">"Y"&amp;ROUNDUP(AE$7/4,0)</f>
        <v>Y7</v>
      </c>
      <c r="AF15" s="105" t="str">
        <f aca="false">"Y"&amp;ROUNDUP(AF$7/4,0)</f>
        <v>Y8</v>
      </c>
      <c r="AG15" s="105" t="str">
        <f aca="false">"Y"&amp;ROUNDUP(AG$7/4,0)</f>
        <v>Y8</v>
      </c>
      <c r="AH15" s="105" t="str">
        <f aca="false">"Y"&amp;ROUNDUP(AH$7/4,0)</f>
        <v>Y8</v>
      </c>
      <c r="AI15" s="105" t="str">
        <f aca="false">"Y"&amp;ROUNDUP(AI$7/4,0)</f>
        <v>Y8</v>
      </c>
      <c r="AJ15" s="105" t="str">
        <f aca="false">"Y"&amp;ROUNDUP(AJ$7/4,0)</f>
        <v>Y9</v>
      </c>
      <c r="AK15" s="105" t="str">
        <f aca="false">"Y"&amp;ROUNDUP(AK$7/4,0)</f>
        <v>Y9</v>
      </c>
      <c r="AL15" s="105" t="str">
        <f aca="false">"Y"&amp;ROUNDUP(AL$7/4,0)</f>
        <v>Y9</v>
      </c>
      <c r="AM15" s="105" t="str">
        <f aca="false">"Y"&amp;ROUNDUP(AM$7/4,0)</f>
        <v>Y9</v>
      </c>
      <c r="AN15" s="105" t="str">
        <f aca="false">"Y"&amp;ROUNDUP(AN$7/4,0)</f>
        <v>Y10</v>
      </c>
      <c r="AO15" s="105" t="str">
        <f aca="false">"Y"&amp;ROUNDUP(AO$7/4,0)</f>
        <v>Y10</v>
      </c>
      <c r="AP15" s="105" t="str">
        <f aca="false">"Y"&amp;ROUNDUP(AP$7/4,0)</f>
        <v>Y10</v>
      </c>
      <c r="AQ15" s="105" t="str">
        <f aca="false">"Y"&amp;ROUNDUP(AQ$7/4,0)</f>
        <v>Y10</v>
      </c>
    </row>
    <row r="16" customFormat="false" ht="15" hidden="false" customHeight="false" outlineLevel="0" collapsed="false">
      <c r="B16" s="3" t="s">
        <v>636</v>
      </c>
      <c r="C16" s="107" t="n">
        <f aca="false">SUM(D16:AQ16)</f>
        <v>40</v>
      </c>
      <c r="D16" s="108" t="n">
        <f aca="false">--(D$7&lt;=INPUTS!$C$24)</f>
        <v>1</v>
      </c>
      <c r="E16" s="108" t="n">
        <f aca="false">--(E$7&lt;=INPUTS!$C$24)</f>
        <v>1</v>
      </c>
      <c r="F16" s="108" t="n">
        <f aca="false">--(F$7&lt;=INPUTS!$C$24)</f>
        <v>1</v>
      </c>
      <c r="G16" s="108" t="n">
        <f aca="false">--(G$7&lt;=INPUTS!$C$24)</f>
        <v>1</v>
      </c>
      <c r="H16" s="108" t="n">
        <f aca="false">--(H$7&lt;=INPUTS!$C$24)</f>
        <v>1</v>
      </c>
      <c r="I16" s="108" t="n">
        <f aca="false">--(I$7&lt;=INPUTS!$C$24)</f>
        <v>1</v>
      </c>
      <c r="J16" s="108" t="n">
        <f aca="false">--(J$7&lt;=INPUTS!$C$24)</f>
        <v>1</v>
      </c>
      <c r="K16" s="108" t="n">
        <f aca="false">--(K$7&lt;=INPUTS!$C$24)</f>
        <v>1</v>
      </c>
      <c r="L16" s="108" t="n">
        <f aca="false">--(L$7&lt;=INPUTS!$C$24)</f>
        <v>1</v>
      </c>
      <c r="M16" s="108" t="n">
        <f aca="false">--(M$7&lt;=INPUTS!$C$24)</f>
        <v>1</v>
      </c>
      <c r="N16" s="108" t="n">
        <f aca="false">--(N$7&lt;=INPUTS!$C$24)</f>
        <v>1</v>
      </c>
      <c r="O16" s="108" t="n">
        <f aca="false">--(O$7&lt;=INPUTS!$C$24)</f>
        <v>1</v>
      </c>
      <c r="P16" s="108" t="n">
        <f aca="false">--(P$7&lt;=INPUTS!$C$24)</f>
        <v>1</v>
      </c>
      <c r="Q16" s="108" t="n">
        <f aca="false">--(Q$7&lt;=INPUTS!$C$24)</f>
        <v>1</v>
      </c>
      <c r="R16" s="108" t="n">
        <f aca="false">--(R$7&lt;=INPUTS!$C$24)</f>
        <v>1</v>
      </c>
      <c r="S16" s="108" t="n">
        <f aca="false">--(S$7&lt;=INPUTS!$C$24)</f>
        <v>1</v>
      </c>
      <c r="T16" s="108" t="n">
        <f aca="false">--(T$7&lt;=INPUTS!$C$24)</f>
        <v>1</v>
      </c>
      <c r="U16" s="108" t="n">
        <f aca="false">--(U$7&lt;=INPUTS!$C$24)</f>
        <v>1</v>
      </c>
      <c r="V16" s="108" t="n">
        <f aca="false">--(V$7&lt;=INPUTS!$C$24)</f>
        <v>1</v>
      </c>
      <c r="W16" s="108" t="n">
        <f aca="false">--(W$7&lt;=INPUTS!$C$24)</f>
        <v>1</v>
      </c>
      <c r="X16" s="108" t="n">
        <f aca="false">--(X$7&lt;=INPUTS!$C$24)</f>
        <v>1</v>
      </c>
      <c r="Y16" s="108" t="n">
        <f aca="false">--(Y$7&lt;=INPUTS!$C$24)</f>
        <v>1</v>
      </c>
      <c r="Z16" s="108" t="n">
        <f aca="false">--(Z$7&lt;=INPUTS!$C$24)</f>
        <v>1</v>
      </c>
      <c r="AA16" s="108" t="n">
        <f aca="false">--(AA$7&lt;=INPUTS!$C$24)</f>
        <v>1</v>
      </c>
      <c r="AB16" s="108" t="n">
        <f aca="false">--(AB$7&lt;=INPUTS!$C$24)</f>
        <v>1</v>
      </c>
      <c r="AC16" s="108" t="n">
        <f aca="false">--(AC$7&lt;=INPUTS!$C$24)</f>
        <v>1</v>
      </c>
      <c r="AD16" s="108" t="n">
        <f aca="false">--(AD$7&lt;=INPUTS!$C$24)</f>
        <v>1</v>
      </c>
      <c r="AE16" s="108" t="n">
        <f aca="false">--(AE$7&lt;=INPUTS!$C$24)</f>
        <v>1</v>
      </c>
      <c r="AF16" s="108" t="n">
        <f aca="false">--(AF$7&lt;=INPUTS!$C$24)</f>
        <v>1</v>
      </c>
      <c r="AG16" s="108" t="n">
        <f aca="false">--(AG$7&lt;=INPUTS!$C$24)</f>
        <v>1</v>
      </c>
      <c r="AH16" s="108" t="n">
        <f aca="false">--(AH$7&lt;=INPUTS!$C$24)</f>
        <v>1</v>
      </c>
      <c r="AI16" s="108" t="n">
        <f aca="false">--(AI$7&lt;=INPUTS!$C$24)</f>
        <v>1</v>
      </c>
      <c r="AJ16" s="108" t="n">
        <f aca="false">--(AJ$7&lt;=INPUTS!$C$24)</f>
        <v>1</v>
      </c>
      <c r="AK16" s="108" t="n">
        <f aca="false">--(AK$7&lt;=INPUTS!$C$24)</f>
        <v>1</v>
      </c>
      <c r="AL16" s="108" t="n">
        <f aca="false">--(AL$7&lt;=INPUTS!$C$24)</f>
        <v>1</v>
      </c>
      <c r="AM16" s="108" t="n">
        <f aca="false">--(AM$7&lt;=INPUTS!$C$24)</f>
        <v>1</v>
      </c>
      <c r="AN16" s="108" t="n">
        <f aca="false">--(AN$7&lt;=INPUTS!$C$24)</f>
        <v>1</v>
      </c>
      <c r="AO16" s="108" t="n">
        <f aca="false">--(AO$7&lt;=INPUTS!$C$24)</f>
        <v>1</v>
      </c>
      <c r="AP16" s="108" t="n">
        <f aca="false">--(AP$7&lt;=INPUTS!$C$24)</f>
        <v>1</v>
      </c>
      <c r="AQ16" s="108" t="n">
        <f aca="false">--(AQ$7&lt;=INPUTS!$C$24)</f>
        <v>1</v>
      </c>
    </row>
    <row r="17" customFormat="false" ht="15" hidden="false" customHeight="false" outlineLevel="0" collapsed="false">
      <c r="B17" s="3" t="s">
        <v>637</v>
      </c>
      <c r="C17" s="107" t="n">
        <f aca="false">SUM(D17:AQ17)</f>
        <v>20</v>
      </c>
      <c r="D17" s="108" t="n">
        <f aca="false">D$16*--(D$7&lt;=INPUTS!$C$29)</f>
        <v>1</v>
      </c>
      <c r="E17" s="108" t="n">
        <f aca="false">E$16*--(E$7&lt;=INPUTS!$C$29)</f>
        <v>1</v>
      </c>
      <c r="F17" s="108" t="n">
        <f aca="false">F$16*--(F$7&lt;=INPUTS!$C$29)</f>
        <v>1</v>
      </c>
      <c r="G17" s="108" t="n">
        <f aca="false">G$16*--(G$7&lt;=INPUTS!$C$29)</f>
        <v>1</v>
      </c>
      <c r="H17" s="108" t="n">
        <f aca="false">H$16*--(H$7&lt;=INPUTS!$C$29)</f>
        <v>1</v>
      </c>
      <c r="I17" s="108" t="n">
        <f aca="false">I$16*--(I$7&lt;=INPUTS!$C$29)</f>
        <v>1</v>
      </c>
      <c r="J17" s="108" t="n">
        <f aca="false">J$16*--(J$7&lt;=INPUTS!$C$29)</f>
        <v>1</v>
      </c>
      <c r="K17" s="108" t="n">
        <f aca="false">K$16*--(K$7&lt;=INPUTS!$C$29)</f>
        <v>1</v>
      </c>
      <c r="L17" s="108" t="n">
        <f aca="false">L$16*--(L$7&lt;=INPUTS!$C$29)</f>
        <v>1</v>
      </c>
      <c r="M17" s="108" t="n">
        <f aca="false">M$16*--(M$7&lt;=INPUTS!$C$29)</f>
        <v>1</v>
      </c>
      <c r="N17" s="108" t="n">
        <f aca="false">N$16*--(N$7&lt;=INPUTS!$C$29)</f>
        <v>1</v>
      </c>
      <c r="O17" s="108" t="n">
        <f aca="false">O$16*--(O$7&lt;=INPUTS!$C$29)</f>
        <v>1</v>
      </c>
      <c r="P17" s="108" t="n">
        <f aca="false">P$16*--(P$7&lt;=INPUTS!$C$29)</f>
        <v>1</v>
      </c>
      <c r="Q17" s="108" t="n">
        <f aca="false">Q$16*--(Q$7&lt;=INPUTS!$C$29)</f>
        <v>1</v>
      </c>
      <c r="R17" s="108" t="n">
        <f aca="false">R$16*--(R$7&lt;=INPUTS!$C$29)</f>
        <v>1</v>
      </c>
      <c r="S17" s="108" t="n">
        <f aca="false">S$16*--(S$7&lt;=INPUTS!$C$29)</f>
        <v>1</v>
      </c>
      <c r="T17" s="108" t="n">
        <f aca="false">T$16*--(T$7&lt;=INPUTS!$C$29)</f>
        <v>1</v>
      </c>
      <c r="U17" s="108" t="n">
        <f aca="false">U$16*--(U$7&lt;=INPUTS!$C$29)</f>
        <v>1</v>
      </c>
      <c r="V17" s="108" t="n">
        <f aca="false">V$16*--(V$7&lt;=INPUTS!$C$29)</f>
        <v>1</v>
      </c>
      <c r="W17" s="108" t="n">
        <f aca="false">W$16*--(W$7&lt;=INPUTS!$C$29)</f>
        <v>1</v>
      </c>
      <c r="X17" s="108" t="n">
        <f aca="false">X$16*--(X$7&lt;=INPUTS!$C$29)</f>
        <v>0</v>
      </c>
      <c r="Y17" s="108" t="n">
        <f aca="false">Y$16*--(Y$7&lt;=INPUTS!$C$29)</f>
        <v>0</v>
      </c>
      <c r="Z17" s="108" t="n">
        <f aca="false">Z$16*--(Z$7&lt;=INPUTS!$C$29)</f>
        <v>0</v>
      </c>
      <c r="AA17" s="108" t="n">
        <f aca="false">AA$16*--(AA$7&lt;=INPUTS!$C$29)</f>
        <v>0</v>
      </c>
      <c r="AB17" s="108" t="n">
        <f aca="false">AB$16*--(AB$7&lt;=INPUTS!$C$29)</f>
        <v>0</v>
      </c>
      <c r="AC17" s="108" t="n">
        <f aca="false">AC$16*--(AC$7&lt;=INPUTS!$C$29)</f>
        <v>0</v>
      </c>
      <c r="AD17" s="108" t="n">
        <f aca="false">AD$16*--(AD$7&lt;=INPUTS!$C$29)</f>
        <v>0</v>
      </c>
      <c r="AE17" s="108" t="n">
        <f aca="false">AE$16*--(AE$7&lt;=INPUTS!$C$29)</f>
        <v>0</v>
      </c>
      <c r="AF17" s="108" t="n">
        <f aca="false">AF$16*--(AF$7&lt;=INPUTS!$C$29)</f>
        <v>0</v>
      </c>
      <c r="AG17" s="108" t="n">
        <f aca="false">AG$16*--(AG$7&lt;=INPUTS!$C$29)</f>
        <v>0</v>
      </c>
      <c r="AH17" s="108" t="n">
        <f aca="false">AH$16*--(AH$7&lt;=INPUTS!$C$29)</f>
        <v>0</v>
      </c>
      <c r="AI17" s="108" t="n">
        <f aca="false">AI$16*--(AI$7&lt;=INPUTS!$C$29)</f>
        <v>0</v>
      </c>
      <c r="AJ17" s="108" t="n">
        <f aca="false">AJ$16*--(AJ$7&lt;=INPUTS!$C$29)</f>
        <v>0</v>
      </c>
      <c r="AK17" s="108" t="n">
        <f aca="false">AK$16*--(AK$7&lt;=INPUTS!$C$29)</f>
        <v>0</v>
      </c>
      <c r="AL17" s="108" t="n">
        <f aca="false">AL$16*--(AL$7&lt;=INPUTS!$C$29)</f>
        <v>0</v>
      </c>
      <c r="AM17" s="108" t="n">
        <f aca="false">AM$16*--(AM$7&lt;=INPUTS!$C$29)</f>
        <v>0</v>
      </c>
      <c r="AN17" s="108" t="n">
        <f aca="false">AN$16*--(AN$7&lt;=INPUTS!$C$29)</f>
        <v>0</v>
      </c>
      <c r="AO17" s="108" t="n">
        <f aca="false">AO$16*--(AO$7&lt;=INPUTS!$C$29)</f>
        <v>0</v>
      </c>
      <c r="AP17" s="108" t="n">
        <f aca="false">AP$16*--(AP$7&lt;=INPUTS!$C$29)</f>
        <v>0</v>
      </c>
      <c r="AQ17" s="108" t="n">
        <f aca="false">AQ$16*--(AQ$7&lt;=INPUTS!$C$29)</f>
        <v>0</v>
      </c>
    </row>
    <row r="18" customFormat="false" ht="30" hidden="false" customHeight="true" outlineLevel="0" collapsed="false">
      <c r="B18" s="3" t="s">
        <v>638</v>
      </c>
      <c r="D18" s="109" t="str">
        <f aca="false">IF(D$17=0,IF(D$16=0,"Beyond horizon","Post-project"),IF(AND(SUMPRODUCT((INPUTS!$E$88:$E$97="Yes")*(INPUTS!$P$88:$P$97&lt;=D$7)*(INPUTS!$Q$88:$Q$97&gt;=D$7))&gt;0,SUMPRODUCT((INPUTS!$E$88:$E$97="Yes")*(INPUTS!$R$88:$R$97&lt;=D$7)*(INPUTS!$S$88:$S$97&gt;=D$7))&gt;0),"Sales + Constr.",IF(SUMPRODUCT((INPUTS!$E$88:$E$97="Yes")*(INPUTS!$P$88:$P$97&lt;=D$7)*(INPUTS!$Q$88:$Q$97&gt;=D$7))&gt;0,"Sales",IF(SUMPRODUCT((INPUTS!$E$88:$E$97="Yes")*(INPUTS!$R$88:$R$97&lt;=D$7)*(INPUTS!$S$88:$S$97&gt;=D$7))&gt;0,"Construction",IF(D$7&lt;MIN(INPUTS!$P$88:$P$97),"Pre-launch","Completion / handover")))))</f>
        <v>Pre-launch</v>
      </c>
      <c r="E18" s="109" t="str">
        <f aca="false">IF(E$17=0,IF(E$16=0,"Beyond horizon","Post-project"),IF(AND(SUMPRODUCT((INPUTS!$E$88:$E$97="Yes")*(INPUTS!$P$88:$P$97&lt;=E$7)*(INPUTS!$Q$88:$Q$97&gt;=E$7))&gt;0,SUMPRODUCT((INPUTS!$E$88:$E$97="Yes")*(INPUTS!$R$88:$R$97&lt;=E$7)*(INPUTS!$S$88:$S$97&gt;=E$7))&gt;0),"Sales + Constr.",IF(SUMPRODUCT((INPUTS!$E$88:$E$97="Yes")*(INPUTS!$P$88:$P$97&lt;=E$7)*(INPUTS!$Q$88:$Q$97&gt;=E$7))&gt;0,"Sales",IF(SUMPRODUCT((INPUTS!$E$88:$E$97="Yes")*(INPUTS!$R$88:$R$97&lt;=E$7)*(INPUTS!$S$88:$S$97&gt;=E$7))&gt;0,"Construction",IF(E$7&lt;MIN(INPUTS!$P$88:$P$97),"Pre-launch","Completion / handover")))))</f>
        <v>Pre-launch</v>
      </c>
      <c r="F18" s="109" t="str">
        <f aca="false">IF(F$17=0,IF(F$16=0,"Beyond horizon","Post-project"),IF(AND(SUMPRODUCT((INPUTS!$E$88:$E$97="Yes")*(INPUTS!$P$88:$P$97&lt;=F$7)*(INPUTS!$Q$88:$Q$97&gt;=F$7))&gt;0,SUMPRODUCT((INPUTS!$E$88:$E$97="Yes")*(INPUTS!$R$88:$R$97&lt;=F$7)*(INPUTS!$S$88:$S$97&gt;=F$7))&gt;0),"Sales + Constr.",IF(SUMPRODUCT((INPUTS!$E$88:$E$97="Yes")*(INPUTS!$P$88:$P$97&lt;=F$7)*(INPUTS!$Q$88:$Q$97&gt;=F$7))&gt;0,"Sales",IF(SUMPRODUCT((INPUTS!$E$88:$E$97="Yes")*(INPUTS!$R$88:$R$97&lt;=F$7)*(INPUTS!$S$88:$S$97&gt;=F$7))&gt;0,"Construction",IF(F$7&lt;MIN(INPUTS!$P$88:$P$97),"Pre-launch","Completion / handover")))))</f>
        <v>Sales</v>
      </c>
      <c r="G18" s="109" t="str">
        <f aca="false">IF(G$17=0,IF(G$16=0,"Beyond horizon","Post-project"),IF(AND(SUMPRODUCT((INPUTS!$E$88:$E$97="Yes")*(INPUTS!$P$88:$P$97&lt;=G$7)*(INPUTS!$Q$88:$Q$97&gt;=G$7))&gt;0,SUMPRODUCT((INPUTS!$E$88:$E$97="Yes")*(INPUTS!$R$88:$R$97&lt;=G$7)*(INPUTS!$S$88:$S$97&gt;=G$7))&gt;0),"Sales + Constr.",IF(SUMPRODUCT((INPUTS!$E$88:$E$97="Yes")*(INPUTS!$P$88:$P$97&lt;=G$7)*(INPUTS!$Q$88:$Q$97&gt;=G$7))&gt;0,"Sales",IF(SUMPRODUCT((INPUTS!$E$88:$E$97="Yes")*(INPUTS!$R$88:$R$97&lt;=G$7)*(INPUTS!$S$88:$S$97&gt;=G$7))&gt;0,"Construction",IF(G$7&lt;MIN(INPUTS!$P$88:$P$97),"Pre-launch","Completion / handover")))))</f>
        <v>Sales + Constr.</v>
      </c>
      <c r="H18" s="109" t="str">
        <f aca="false">IF(H$17=0,IF(H$16=0,"Beyond horizon","Post-project"),IF(AND(SUMPRODUCT((INPUTS!$E$88:$E$97="Yes")*(INPUTS!$P$88:$P$97&lt;=H$7)*(INPUTS!$Q$88:$Q$97&gt;=H$7))&gt;0,SUMPRODUCT((INPUTS!$E$88:$E$97="Yes")*(INPUTS!$R$88:$R$97&lt;=H$7)*(INPUTS!$S$88:$S$97&gt;=H$7))&gt;0),"Sales + Constr.",IF(SUMPRODUCT((INPUTS!$E$88:$E$97="Yes")*(INPUTS!$P$88:$P$97&lt;=H$7)*(INPUTS!$Q$88:$Q$97&gt;=H$7))&gt;0,"Sales",IF(SUMPRODUCT((INPUTS!$E$88:$E$97="Yes")*(INPUTS!$R$88:$R$97&lt;=H$7)*(INPUTS!$S$88:$S$97&gt;=H$7))&gt;0,"Construction",IF(H$7&lt;MIN(INPUTS!$P$88:$P$97),"Pre-launch","Completion / handover")))))</f>
        <v>Sales + Constr.</v>
      </c>
      <c r="I18" s="109" t="str">
        <f aca="false">IF(I$17=0,IF(I$16=0,"Beyond horizon","Post-project"),IF(AND(SUMPRODUCT((INPUTS!$E$88:$E$97="Yes")*(INPUTS!$P$88:$P$97&lt;=I$7)*(INPUTS!$Q$88:$Q$97&gt;=I$7))&gt;0,SUMPRODUCT((INPUTS!$E$88:$E$97="Yes")*(INPUTS!$R$88:$R$97&lt;=I$7)*(INPUTS!$S$88:$S$97&gt;=I$7))&gt;0),"Sales + Constr.",IF(SUMPRODUCT((INPUTS!$E$88:$E$97="Yes")*(INPUTS!$P$88:$P$97&lt;=I$7)*(INPUTS!$Q$88:$Q$97&gt;=I$7))&gt;0,"Sales",IF(SUMPRODUCT((INPUTS!$E$88:$E$97="Yes")*(INPUTS!$R$88:$R$97&lt;=I$7)*(INPUTS!$S$88:$S$97&gt;=I$7))&gt;0,"Construction",IF(I$7&lt;MIN(INPUTS!$P$88:$P$97),"Pre-launch","Completion / handover")))))</f>
        <v>Sales + Constr.</v>
      </c>
      <c r="J18" s="109" t="str">
        <f aca="false">IF(J$17=0,IF(J$16=0,"Beyond horizon","Post-project"),IF(AND(SUMPRODUCT((INPUTS!$E$88:$E$97="Yes")*(INPUTS!$P$88:$P$97&lt;=J$7)*(INPUTS!$Q$88:$Q$97&gt;=J$7))&gt;0,SUMPRODUCT((INPUTS!$E$88:$E$97="Yes")*(INPUTS!$R$88:$R$97&lt;=J$7)*(INPUTS!$S$88:$S$97&gt;=J$7))&gt;0),"Sales + Constr.",IF(SUMPRODUCT((INPUTS!$E$88:$E$97="Yes")*(INPUTS!$P$88:$P$97&lt;=J$7)*(INPUTS!$Q$88:$Q$97&gt;=J$7))&gt;0,"Sales",IF(SUMPRODUCT((INPUTS!$E$88:$E$97="Yes")*(INPUTS!$R$88:$R$97&lt;=J$7)*(INPUTS!$S$88:$S$97&gt;=J$7))&gt;0,"Construction",IF(J$7&lt;MIN(INPUTS!$P$88:$P$97),"Pre-launch","Completion / handover")))))</f>
        <v>Sales + Constr.</v>
      </c>
      <c r="K18" s="109" t="str">
        <f aca="false">IF(K$17=0,IF(K$16=0,"Beyond horizon","Post-project"),IF(AND(SUMPRODUCT((INPUTS!$E$88:$E$97="Yes")*(INPUTS!$P$88:$P$97&lt;=K$7)*(INPUTS!$Q$88:$Q$97&gt;=K$7))&gt;0,SUMPRODUCT((INPUTS!$E$88:$E$97="Yes")*(INPUTS!$R$88:$R$97&lt;=K$7)*(INPUTS!$S$88:$S$97&gt;=K$7))&gt;0),"Sales + Constr.",IF(SUMPRODUCT((INPUTS!$E$88:$E$97="Yes")*(INPUTS!$P$88:$P$97&lt;=K$7)*(INPUTS!$Q$88:$Q$97&gt;=K$7))&gt;0,"Sales",IF(SUMPRODUCT((INPUTS!$E$88:$E$97="Yes")*(INPUTS!$R$88:$R$97&lt;=K$7)*(INPUTS!$S$88:$S$97&gt;=K$7))&gt;0,"Construction",IF(K$7&lt;MIN(INPUTS!$P$88:$P$97),"Pre-launch","Completion / handover")))))</f>
        <v>Sales + Constr.</v>
      </c>
      <c r="L18" s="109" t="str">
        <f aca="false">IF(L$17=0,IF(L$16=0,"Beyond horizon","Post-project"),IF(AND(SUMPRODUCT((INPUTS!$E$88:$E$97="Yes")*(INPUTS!$P$88:$P$97&lt;=L$7)*(INPUTS!$Q$88:$Q$97&gt;=L$7))&gt;0,SUMPRODUCT((INPUTS!$E$88:$E$97="Yes")*(INPUTS!$R$88:$R$97&lt;=L$7)*(INPUTS!$S$88:$S$97&gt;=L$7))&gt;0),"Sales + Constr.",IF(SUMPRODUCT((INPUTS!$E$88:$E$97="Yes")*(INPUTS!$P$88:$P$97&lt;=L$7)*(INPUTS!$Q$88:$Q$97&gt;=L$7))&gt;0,"Sales",IF(SUMPRODUCT((INPUTS!$E$88:$E$97="Yes")*(INPUTS!$R$88:$R$97&lt;=L$7)*(INPUTS!$S$88:$S$97&gt;=L$7))&gt;0,"Construction",IF(L$7&lt;MIN(INPUTS!$P$88:$P$97),"Pre-launch","Completion / handover")))))</f>
        <v>Sales + Constr.</v>
      </c>
      <c r="M18" s="109" t="str">
        <f aca="false">IF(M$17=0,IF(M$16=0,"Beyond horizon","Post-project"),IF(AND(SUMPRODUCT((INPUTS!$E$88:$E$97="Yes")*(INPUTS!$P$88:$P$97&lt;=M$7)*(INPUTS!$Q$88:$Q$97&gt;=M$7))&gt;0,SUMPRODUCT((INPUTS!$E$88:$E$97="Yes")*(INPUTS!$R$88:$R$97&lt;=M$7)*(INPUTS!$S$88:$S$97&gt;=M$7))&gt;0),"Sales + Constr.",IF(SUMPRODUCT((INPUTS!$E$88:$E$97="Yes")*(INPUTS!$P$88:$P$97&lt;=M$7)*(INPUTS!$Q$88:$Q$97&gt;=M$7))&gt;0,"Sales",IF(SUMPRODUCT((INPUTS!$E$88:$E$97="Yes")*(INPUTS!$R$88:$R$97&lt;=M$7)*(INPUTS!$S$88:$S$97&gt;=M$7))&gt;0,"Construction",IF(M$7&lt;MIN(INPUTS!$P$88:$P$97),"Pre-launch","Completion / handover")))))</f>
        <v>Sales + Constr.</v>
      </c>
      <c r="N18" s="109" t="str">
        <f aca="false">IF(N$17=0,IF(N$16=0,"Beyond horizon","Post-project"),IF(AND(SUMPRODUCT((INPUTS!$E$88:$E$97="Yes")*(INPUTS!$P$88:$P$97&lt;=N$7)*(INPUTS!$Q$88:$Q$97&gt;=N$7))&gt;0,SUMPRODUCT((INPUTS!$E$88:$E$97="Yes")*(INPUTS!$R$88:$R$97&lt;=N$7)*(INPUTS!$S$88:$S$97&gt;=N$7))&gt;0),"Sales + Constr.",IF(SUMPRODUCT((INPUTS!$E$88:$E$97="Yes")*(INPUTS!$P$88:$P$97&lt;=N$7)*(INPUTS!$Q$88:$Q$97&gt;=N$7))&gt;0,"Sales",IF(SUMPRODUCT((INPUTS!$E$88:$E$97="Yes")*(INPUTS!$R$88:$R$97&lt;=N$7)*(INPUTS!$S$88:$S$97&gt;=N$7))&gt;0,"Construction",IF(N$7&lt;MIN(INPUTS!$P$88:$P$97),"Pre-launch","Completion / handover")))))</f>
        <v>Sales + Constr.</v>
      </c>
      <c r="O18" s="109" t="str">
        <f aca="false">IF(O$17=0,IF(O$16=0,"Beyond horizon","Post-project"),IF(AND(SUMPRODUCT((INPUTS!$E$88:$E$97="Yes")*(INPUTS!$P$88:$P$97&lt;=O$7)*(INPUTS!$Q$88:$Q$97&gt;=O$7))&gt;0,SUMPRODUCT((INPUTS!$E$88:$E$97="Yes")*(INPUTS!$R$88:$R$97&lt;=O$7)*(INPUTS!$S$88:$S$97&gt;=O$7))&gt;0),"Sales + Constr.",IF(SUMPRODUCT((INPUTS!$E$88:$E$97="Yes")*(INPUTS!$P$88:$P$97&lt;=O$7)*(INPUTS!$Q$88:$Q$97&gt;=O$7))&gt;0,"Sales",IF(SUMPRODUCT((INPUTS!$E$88:$E$97="Yes")*(INPUTS!$R$88:$R$97&lt;=O$7)*(INPUTS!$S$88:$S$97&gt;=O$7))&gt;0,"Construction",IF(O$7&lt;MIN(INPUTS!$P$88:$P$97),"Pre-launch","Completion / handover")))))</f>
        <v>Sales + Constr.</v>
      </c>
      <c r="P18" s="109" t="str">
        <f aca="false">IF(P$17=0,IF(P$16=0,"Beyond horizon","Post-project"),IF(AND(SUMPRODUCT((INPUTS!$E$88:$E$97="Yes")*(INPUTS!$P$88:$P$97&lt;=P$7)*(INPUTS!$Q$88:$Q$97&gt;=P$7))&gt;0,SUMPRODUCT((INPUTS!$E$88:$E$97="Yes")*(INPUTS!$R$88:$R$97&lt;=P$7)*(INPUTS!$S$88:$S$97&gt;=P$7))&gt;0),"Sales + Constr.",IF(SUMPRODUCT((INPUTS!$E$88:$E$97="Yes")*(INPUTS!$P$88:$P$97&lt;=P$7)*(INPUTS!$Q$88:$Q$97&gt;=P$7))&gt;0,"Sales",IF(SUMPRODUCT((INPUTS!$E$88:$E$97="Yes")*(INPUTS!$R$88:$R$97&lt;=P$7)*(INPUTS!$S$88:$S$97&gt;=P$7))&gt;0,"Construction",IF(P$7&lt;MIN(INPUTS!$P$88:$P$97),"Pre-launch","Completion / handover")))))</f>
        <v>Sales + Constr.</v>
      </c>
      <c r="Q18" s="109" t="str">
        <f aca="false">IF(Q$17=0,IF(Q$16=0,"Beyond horizon","Post-project"),IF(AND(SUMPRODUCT((INPUTS!$E$88:$E$97="Yes")*(INPUTS!$P$88:$P$97&lt;=Q$7)*(INPUTS!$Q$88:$Q$97&gt;=Q$7))&gt;0,SUMPRODUCT((INPUTS!$E$88:$E$97="Yes")*(INPUTS!$R$88:$R$97&lt;=Q$7)*(INPUTS!$S$88:$S$97&gt;=Q$7))&gt;0),"Sales + Constr.",IF(SUMPRODUCT((INPUTS!$E$88:$E$97="Yes")*(INPUTS!$P$88:$P$97&lt;=Q$7)*(INPUTS!$Q$88:$Q$97&gt;=Q$7))&gt;0,"Sales",IF(SUMPRODUCT((INPUTS!$E$88:$E$97="Yes")*(INPUTS!$R$88:$R$97&lt;=Q$7)*(INPUTS!$S$88:$S$97&gt;=Q$7))&gt;0,"Construction",IF(Q$7&lt;MIN(INPUTS!$P$88:$P$97),"Pre-launch","Completion / handover")))))</f>
        <v>Sales + Constr.</v>
      </c>
      <c r="R18" s="109" t="str">
        <f aca="false">IF(R$17=0,IF(R$16=0,"Beyond horizon","Post-project"),IF(AND(SUMPRODUCT((INPUTS!$E$88:$E$97="Yes")*(INPUTS!$P$88:$P$97&lt;=R$7)*(INPUTS!$Q$88:$Q$97&gt;=R$7))&gt;0,SUMPRODUCT((INPUTS!$E$88:$E$97="Yes")*(INPUTS!$R$88:$R$97&lt;=R$7)*(INPUTS!$S$88:$S$97&gt;=R$7))&gt;0),"Sales + Constr.",IF(SUMPRODUCT((INPUTS!$E$88:$E$97="Yes")*(INPUTS!$P$88:$P$97&lt;=R$7)*(INPUTS!$Q$88:$Q$97&gt;=R$7))&gt;0,"Sales",IF(SUMPRODUCT((INPUTS!$E$88:$E$97="Yes")*(INPUTS!$R$88:$R$97&lt;=R$7)*(INPUTS!$S$88:$S$97&gt;=R$7))&gt;0,"Construction",IF(R$7&lt;MIN(INPUTS!$P$88:$P$97),"Pre-launch","Completion / handover")))))</f>
        <v>Sales + Constr.</v>
      </c>
      <c r="S18" s="109" t="str">
        <f aca="false">IF(S$17=0,IF(S$16=0,"Beyond horizon","Post-project"),IF(AND(SUMPRODUCT((INPUTS!$E$88:$E$97="Yes")*(INPUTS!$P$88:$P$97&lt;=S$7)*(INPUTS!$Q$88:$Q$97&gt;=S$7))&gt;0,SUMPRODUCT((INPUTS!$E$88:$E$97="Yes")*(INPUTS!$R$88:$R$97&lt;=S$7)*(INPUTS!$S$88:$S$97&gt;=S$7))&gt;0),"Sales + Constr.",IF(SUMPRODUCT((INPUTS!$E$88:$E$97="Yes")*(INPUTS!$P$88:$P$97&lt;=S$7)*(INPUTS!$Q$88:$Q$97&gt;=S$7))&gt;0,"Sales",IF(SUMPRODUCT((INPUTS!$E$88:$E$97="Yes")*(INPUTS!$R$88:$R$97&lt;=S$7)*(INPUTS!$S$88:$S$97&gt;=S$7))&gt;0,"Construction",IF(S$7&lt;MIN(INPUTS!$P$88:$P$97),"Pre-launch","Completion / handover")))))</f>
        <v>Construction</v>
      </c>
      <c r="T18" s="109" t="str">
        <f aca="false">IF(T$17=0,IF(T$16=0,"Beyond horizon","Post-project"),IF(AND(SUMPRODUCT((INPUTS!$E$88:$E$97="Yes")*(INPUTS!$P$88:$P$97&lt;=T$7)*(INPUTS!$Q$88:$Q$97&gt;=T$7))&gt;0,SUMPRODUCT((INPUTS!$E$88:$E$97="Yes")*(INPUTS!$R$88:$R$97&lt;=T$7)*(INPUTS!$S$88:$S$97&gt;=T$7))&gt;0),"Sales + Constr.",IF(SUMPRODUCT((INPUTS!$E$88:$E$97="Yes")*(INPUTS!$P$88:$P$97&lt;=T$7)*(INPUTS!$Q$88:$Q$97&gt;=T$7))&gt;0,"Sales",IF(SUMPRODUCT((INPUTS!$E$88:$E$97="Yes")*(INPUTS!$R$88:$R$97&lt;=T$7)*(INPUTS!$S$88:$S$97&gt;=T$7))&gt;0,"Construction",IF(T$7&lt;MIN(INPUTS!$P$88:$P$97),"Pre-launch","Completion / handover")))))</f>
        <v>Construction</v>
      </c>
      <c r="U18" s="109" t="str">
        <f aca="false">IF(U$17=0,IF(U$16=0,"Beyond horizon","Post-project"),IF(AND(SUMPRODUCT((INPUTS!$E$88:$E$97="Yes")*(INPUTS!$P$88:$P$97&lt;=U$7)*(INPUTS!$Q$88:$Q$97&gt;=U$7))&gt;0,SUMPRODUCT((INPUTS!$E$88:$E$97="Yes")*(INPUTS!$R$88:$R$97&lt;=U$7)*(INPUTS!$S$88:$S$97&gt;=U$7))&gt;0),"Sales + Constr.",IF(SUMPRODUCT((INPUTS!$E$88:$E$97="Yes")*(INPUTS!$P$88:$P$97&lt;=U$7)*(INPUTS!$Q$88:$Q$97&gt;=U$7))&gt;0,"Sales",IF(SUMPRODUCT((INPUTS!$E$88:$E$97="Yes")*(INPUTS!$R$88:$R$97&lt;=U$7)*(INPUTS!$S$88:$S$97&gt;=U$7))&gt;0,"Construction",IF(U$7&lt;MIN(INPUTS!$P$88:$P$97),"Pre-launch","Completion / handover")))))</f>
        <v>Construction</v>
      </c>
      <c r="V18" s="109" t="str">
        <f aca="false">IF(V$17=0,IF(V$16=0,"Beyond horizon","Post-project"),IF(AND(SUMPRODUCT((INPUTS!$E$88:$E$97="Yes")*(INPUTS!$P$88:$P$97&lt;=V$7)*(INPUTS!$Q$88:$Q$97&gt;=V$7))&gt;0,SUMPRODUCT((INPUTS!$E$88:$E$97="Yes")*(INPUTS!$R$88:$R$97&lt;=V$7)*(INPUTS!$S$88:$S$97&gt;=V$7))&gt;0),"Sales + Constr.",IF(SUMPRODUCT((INPUTS!$E$88:$E$97="Yes")*(INPUTS!$P$88:$P$97&lt;=V$7)*(INPUTS!$Q$88:$Q$97&gt;=V$7))&gt;0,"Sales",IF(SUMPRODUCT((INPUTS!$E$88:$E$97="Yes")*(INPUTS!$R$88:$R$97&lt;=V$7)*(INPUTS!$S$88:$S$97&gt;=V$7))&gt;0,"Construction",IF(V$7&lt;MIN(INPUTS!$P$88:$P$97),"Pre-launch","Completion / handover")))))</f>
        <v>Construction</v>
      </c>
      <c r="W18" s="109" t="str">
        <f aca="false">IF(W$17=0,IF(W$16=0,"Beyond horizon","Post-project"),IF(AND(SUMPRODUCT((INPUTS!$E$88:$E$97="Yes")*(INPUTS!$P$88:$P$97&lt;=W$7)*(INPUTS!$Q$88:$Q$97&gt;=W$7))&gt;0,SUMPRODUCT((INPUTS!$E$88:$E$97="Yes")*(INPUTS!$R$88:$R$97&lt;=W$7)*(INPUTS!$S$88:$S$97&gt;=W$7))&gt;0),"Sales + Constr.",IF(SUMPRODUCT((INPUTS!$E$88:$E$97="Yes")*(INPUTS!$P$88:$P$97&lt;=W$7)*(INPUTS!$Q$88:$Q$97&gt;=W$7))&gt;0,"Sales",IF(SUMPRODUCT((INPUTS!$E$88:$E$97="Yes")*(INPUTS!$R$88:$R$97&lt;=W$7)*(INPUTS!$S$88:$S$97&gt;=W$7))&gt;0,"Construction",IF(W$7&lt;MIN(INPUTS!$P$88:$P$97),"Pre-launch","Completion / handover")))))</f>
        <v>Construction</v>
      </c>
      <c r="X18" s="109" t="str">
        <f aca="false">IF(X$17=0,IF(X$16=0,"Beyond horizon","Post-project"),IF(AND(SUMPRODUCT((INPUTS!$E$88:$E$97="Yes")*(INPUTS!$P$88:$P$97&lt;=X$7)*(INPUTS!$Q$88:$Q$97&gt;=X$7))&gt;0,SUMPRODUCT((INPUTS!$E$88:$E$97="Yes")*(INPUTS!$R$88:$R$97&lt;=X$7)*(INPUTS!$S$88:$S$97&gt;=X$7))&gt;0),"Sales + Constr.",IF(SUMPRODUCT((INPUTS!$E$88:$E$97="Yes")*(INPUTS!$P$88:$P$97&lt;=X$7)*(INPUTS!$Q$88:$Q$97&gt;=X$7))&gt;0,"Sales",IF(SUMPRODUCT((INPUTS!$E$88:$E$97="Yes")*(INPUTS!$R$88:$R$97&lt;=X$7)*(INPUTS!$S$88:$S$97&gt;=X$7))&gt;0,"Construction",IF(X$7&lt;MIN(INPUTS!$P$88:$P$97),"Pre-launch","Completion / handover")))))</f>
        <v>Post-project</v>
      </c>
      <c r="Y18" s="109" t="str">
        <f aca="false">IF(Y$17=0,IF(Y$16=0,"Beyond horizon","Post-project"),IF(AND(SUMPRODUCT((INPUTS!$E$88:$E$97="Yes")*(INPUTS!$P$88:$P$97&lt;=Y$7)*(INPUTS!$Q$88:$Q$97&gt;=Y$7))&gt;0,SUMPRODUCT((INPUTS!$E$88:$E$97="Yes")*(INPUTS!$R$88:$R$97&lt;=Y$7)*(INPUTS!$S$88:$S$97&gt;=Y$7))&gt;0),"Sales + Constr.",IF(SUMPRODUCT((INPUTS!$E$88:$E$97="Yes")*(INPUTS!$P$88:$P$97&lt;=Y$7)*(INPUTS!$Q$88:$Q$97&gt;=Y$7))&gt;0,"Sales",IF(SUMPRODUCT((INPUTS!$E$88:$E$97="Yes")*(INPUTS!$R$88:$R$97&lt;=Y$7)*(INPUTS!$S$88:$S$97&gt;=Y$7))&gt;0,"Construction",IF(Y$7&lt;MIN(INPUTS!$P$88:$P$97),"Pre-launch","Completion / handover")))))</f>
        <v>Post-project</v>
      </c>
      <c r="Z18" s="109" t="str">
        <f aca="false">IF(Z$17=0,IF(Z$16=0,"Beyond horizon","Post-project"),IF(AND(SUMPRODUCT((INPUTS!$E$88:$E$97="Yes")*(INPUTS!$P$88:$P$97&lt;=Z$7)*(INPUTS!$Q$88:$Q$97&gt;=Z$7))&gt;0,SUMPRODUCT((INPUTS!$E$88:$E$97="Yes")*(INPUTS!$R$88:$R$97&lt;=Z$7)*(INPUTS!$S$88:$S$97&gt;=Z$7))&gt;0),"Sales + Constr.",IF(SUMPRODUCT((INPUTS!$E$88:$E$97="Yes")*(INPUTS!$P$88:$P$97&lt;=Z$7)*(INPUTS!$Q$88:$Q$97&gt;=Z$7))&gt;0,"Sales",IF(SUMPRODUCT((INPUTS!$E$88:$E$97="Yes")*(INPUTS!$R$88:$R$97&lt;=Z$7)*(INPUTS!$S$88:$S$97&gt;=Z$7))&gt;0,"Construction",IF(Z$7&lt;MIN(INPUTS!$P$88:$P$97),"Pre-launch","Completion / handover")))))</f>
        <v>Post-project</v>
      </c>
      <c r="AA18" s="109" t="str">
        <f aca="false">IF(AA$17=0,IF(AA$16=0,"Beyond horizon","Post-project"),IF(AND(SUMPRODUCT((INPUTS!$E$88:$E$97="Yes")*(INPUTS!$P$88:$P$97&lt;=AA$7)*(INPUTS!$Q$88:$Q$97&gt;=AA$7))&gt;0,SUMPRODUCT((INPUTS!$E$88:$E$97="Yes")*(INPUTS!$R$88:$R$97&lt;=AA$7)*(INPUTS!$S$88:$S$97&gt;=AA$7))&gt;0),"Sales + Constr.",IF(SUMPRODUCT((INPUTS!$E$88:$E$97="Yes")*(INPUTS!$P$88:$P$97&lt;=AA$7)*(INPUTS!$Q$88:$Q$97&gt;=AA$7))&gt;0,"Sales",IF(SUMPRODUCT((INPUTS!$E$88:$E$97="Yes")*(INPUTS!$R$88:$R$97&lt;=AA$7)*(INPUTS!$S$88:$S$97&gt;=AA$7))&gt;0,"Construction",IF(AA$7&lt;MIN(INPUTS!$P$88:$P$97),"Pre-launch","Completion / handover")))))</f>
        <v>Post-project</v>
      </c>
      <c r="AB18" s="109" t="str">
        <f aca="false">IF(AB$17=0,IF(AB$16=0,"Beyond horizon","Post-project"),IF(AND(SUMPRODUCT((INPUTS!$E$88:$E$97="Yes")*(INPUTS!$P$88:$P$97&lt;=AB$7)*(INPUTS!$Q$88:$Q$97&gt;=AB$7))&gt;0,SUMPRODUCT((INPUTS!$E$88:$E$97="Yes")*(INPUTS!$R$88:$R$97&lt;=AB$7)*(INPUTS!$S$88:$S$97&gt;=AB$7))&gt;0),"Sales + Constr.",IF(SUMPRODUCT((INPUTS!$E$88:$E$97="Yes")*(INPUTS!$P$88:$P$97&lt;=AB$7)*(INPUTS!$Q$88:$Q$97&gt;=AB$7))&gt;0,"Sales",IF(SUMPRODUCT((INPUTS!$E$88:$E$97="Yes")*(INPUTS!$R$88:$R$97&lt;=AB$7)*(INPUTS!$S$88:$S$97&gt;=AB$7))&gt;0,"Construction",IF(AB$7&lt;MIN(INPUTS!$P$88:$P$97),"Pre-launch","Completion / handover")))))</f>
        <v>Post-project</v>
      </c>
      <c r="AC18" s="109" t="str">
        <f aca="false">IF(AC$17=0,IF(AC$16=0,"Beyond horizon","Post-project"),IF(AND(SUMPRODUCT((INPUTS!$E$88:$E$97="Yes")*(INPUTS!$P$88:$P$97&lt;=AC$7)*(INPUTS!$Q$88:$Q$97&gt;=AC$7))&gt;0,SUMPRODUCT((INPUTS!$E$88:$E$97="Yes")*(INPUTS!$R$88:$R$97&lt;=AC$7)*(INPUTS!$S$88:$S$97&gt;=AC$7))&gt;0),"Sales + Constr.",IF(SUMPRODUCT((INPUTS!$E$88:$E$97="Yes")*(INPUTS!$P$88:$P$97&lt;=AC$7)*(INPUTS!$Q$88:$Q$97&gt;=AC$7))&gt;0,"Sales",IF(SUMPRODUCT((INPUTS!$E$88:$E$97="Yes")*(INPUTS!$R$88:$R$97&lt;=AC$7)*(INPUTS!$S$88:$S$97&gt;=AC$7))&gt;0,"Construction",IF(AC$7&lt;MIN(INPUTS!$P$88:$P$97),"Pre-launch","Completion / handover")))))</f>
        <v>Post-project</v>
      </c>
      <c r="AD18" s="109" t="str">
        <f aca="false">IF(AD$17=0,IF(AD$16=0,"Beyond horizon","Post-project"),IF(AND(SUMPRODUCT((INPUTS!$E$88:$E$97="Yes")*(INPUTS!$P$88:$P$97&lt;=AD$7)*(INPUTS!$Q$88:$Q$97&gt;=AD$7))&gt;0,SUMPRODUCT((INPUTS!$E$88:$E$97="Yes")*(INPUTS!$R$88:$R$97&lt;=AD$7)*(INPUTS!$S$88:$S$97&gt;=AD$7))&gt;0),"Sales + Constr.",IF(SUMPRODUCT((INPUTS!$E$88:$E$97="Yes")*(INPUTS!$P$88:$P$97&lt;=AD$7)*(INPUTS!$Q$88:$Q$97&gt;=AD$7))&gt;0,"Sales",IF(SUMPRODUCT((INPUTS!$E$88:$E$97="Yes")*(INPUTS!$R$88:$R$97&lt;=AD$7)*(INPUTS!$S$88:$S$97&gt;=AD$7))&gt;0,"Construction",IF(AD$7&lt;MIN(INPUTS!$P$88:$P$97),"Pre-launch","Completion / handover")))))</f>
        <v>Post-project</v>
      </c>
      <c r="AE18" s="109" t="str">
        <f aca="false">IF(AE$17=0,IF(AE$16=0,"Beyond horizon","Post-project"),IF(AND(SUMPRODUCT((INPUTS!$E$88:$E$97="Yes")*(INPUTS!$P$88:$P$97&lt;=AE$7)*(INPUTS!$Q$88:$Q$97&gt;=AE$7))&gt;0,SUMPRODUCT((INPUTS!$E$88:$E$97="Yes")*(INPUTS!$R$88:$R$97&lt;=AE$7)*(INPUTS!$S$88:$S$97&gt;=AE$7))&gt;0),"Sales + Constr.",IF(SUMPRODUCT((INPUTS!$E$88:$E$97="Yes")*(INPUTS!$P$88:$P$97&lt;=AE$7)*(INPUTS!$Q$88:$Q$97&gt;=AE$7))&gt;0,"Sales",IF(SUMPRODUCT((INPUTS!$E$88:$E$97="Yes")*(INPUTS!$R$88:$R$97&lt;=AE$7)*(INPUTS!$S$88:$S$97&gt;=AE$7))&gt;0,"Construction",IF(AE$7&lt;MIN(INPUTS!$P$88:$P$97),"Pre-launch","Completion / handover")))))</f>
        <v>Post-project</v>
      </c>
      <c r="AF18" s="109" t="str">
        <f aca="false">IF(AF$17=0,IF(AF$16=0,"Beyond horizon","Post-project"),IF(AND(SUMPRODUCT((INPUTS!$E$88:$E$97="Yes")*(INPUTS!$P$88:$P$97&lt;=AF$7)*(INPUTS!$Q$88:$Q$97&gt;=AF$7))&gt;0,SUMPRODUCT((INPUTS!$E$88:$E$97="Yes")*(INPUTS!$R$88:$R$97&lt;=AF$7)*(INPUTS!$S$88:$S$97&gt;=AF$7))&gt;0),"Sales + Constr.",IF(SUMPRODUCT((INPUTS!$E$88:$E$97="Yes")*(INPUTS!$P$88:$P$97&lt;=AF$7)*(INPUTS!$Q$88:$Q$97&gt;=AF$7))&gt;0,"Sales",IF(SUMPRODUCT((INPUTS!$E$88:$E$97="Yes")*(INPUTS!$R$88:$R$97&lt;=AF$7)*(INPUTS!$S$88:$S$97&gt;=AF$7))&gt;0,"Construction",IF(AF$7&lt;MIN(INPUTS!$P$88:$P$97),"Pre-launch","Completion / handover")))))</f>
        <v>Post-project</v>
      </c>
      <c r="AG18" s="109" t="str">
        <f aca="false">IF(AG$17=0,IF(AG$16=0,"Beyond horizon","Post-project"),IF(AND(SUMPRODUCT((INPUTS!$E$88:$E$97="Yes")*(INPUTS!$P$88:$P$97&lt;=AG$7)*(INPUTS!$Q$88:$Q$97&gt;=AG$7))&gt;0,SUMPRODUCT((INPUTS!$E$88:$E$97="Yes")*(INPUTS!$R$88:$R$97&lt;=AG$7)*(INPUTS!$S$88:$S$97&gt;=AG$7))&gt;0),"Sales + Constr.",IF(SUMPRODUCT((INPUTS!$E$88:$E$97="Yes")*(INPUTS!$P$88:$P$97&lt;=AG$7)*(INPUTS!$Q$88:$Q$97&gt;=AG$7))&gt;0,"Sales",IF(SUMPRODUCT((INPUTS!$E$88:$E$97="Yes")*(INPUTS!$R$88:$R$97&lt;=AG$7)*(INPUTS!$S$88:$S$97&gt;=AG$7))&gt;0,"Construction",IF(AG$7&lt;MIN(INPUTS!$P$88:$P$97),"Pre-launch","Completion / handover")))))</f>
        <v>Post-project</v>
      </c>
      <c r="AH18" s="109" t="str">
        <f aca="false">IF(AH$17=0,IF(AH$16=0,"Beyond horizon","Post-project"),IF(AND(SUMPRODUCT((INPUTS!$E$88:$E$97="Yes")*(INPUTS!$P$88:$P$97&lt;=AH$7)*(INPUTS!$Q$88:$Q$97&gt;=AH$7))&gt;0,SUMPRODUCT((INPUTS!$E$88:$E$97="Yes")*(INPUTS!$R$88:$R$97&lt;=AH$7)*(INPUTS!$S$88:$S$97&gt;=AH$7))&gt;0),"Sales + Constr.",IF(SUMPRODUCT((INPUTS!$E$88:$E$97="Yes")*(INPUTS!$P$88:$P$97&lt;=AH$7)*(INPUTS!$Q$88:$Q$97&gt;=AH$7))&gt;0,"Sales",IF(SUMPRODUCT((INPUTS!$E$88:$E$97="Yes")*(INPUTS!$R$88:$R$97&lt;=AH$7)*(INPUTS!$S$88:$S$97&gt;=AH$7))&gt;0,"Construction",IF(AH$7&lt;MIN(INPUTS!$P$88:$P$97),"Pre-launch","Completion / handover")))))</f>
        <v>Post-project</v>
      </c>
      <c r="AI18" s="109" t="str">
        <f aca="false">IF(AI$17=0,IF(AI$16=0,"Beyond horizon","Post-project"),IF(AND(SUMPRODUCT((INPUTS!$E$88:$E$97="Yes")*(INPUTS!$P$88:$P$97&lt;=AI$7)*(INPUTS!$Q$88:$Q$97&gt;=AI$7))&gt;0,SUMPRODUCT((INPUTS!$E$88:$E$97="Yes")*(INPUTS!$R$88:$R$97&lt;=AI$7)*(INPUTS!$S$88:$S$97&gt;=AI$7))&gt;0),"Sales + Constr.",IF(SUMPRODUCT((INPUTS!$E$88:$E$97="Yes")*(INPUTS!$P$88:$P$97&lt;=AI$7)*(INPUTS!$Q$88:$Q$97&gt;=AI$7))&gt;0,"Sales",IF(SUMPRODUCT((INPUTS!$E$88:$E$97="Yes")*(INPUTS!$R$88:$R$97&lt;=AI$7)*(INPUTS!$S$88:$S$97&gt;=AI$7))&gt;0,"Construction",IF(AI$7&lt;MIN(INPUTS!$P$88:$P$97),"Pre-launch","Completion / handover")))))</f>
        <v>Post-project</v>
      </c>
      <c r="AJ18" s="109" t="str">
        <f aca="false">IF(AJ$17=0,IF(AJ$16=0,"Beyond horizon","Post-project"),IF(AND(SUMPRODUCT((INPUTS!$E$88:$E$97="Yes")*(INPUTS!$P$88:$P$97&lt;=AJ$7)*(INPUTS!$Q$88:$Q$97&gt;=AJ$7))&gt;0,SUMPRODUCT((INPUTS!$E$88:$E$97="Yes")*(INPUTS!$R$88:$R$97&lt;=AJ$7)*(INPUTS!$S$88:$S$97&gt;=AJ$7))&gt;0),"Sales + Constr.",IF(SUMPRODUCT((INPUTS!$E$88:$E$97="Yes")*(INPUTS!$P$88:$P$97&lt;=AJ$7)*(INPUTS!$Q$88:$Q$97&gt;=AJ$7))&gt;0,"Sales",IF(SUMPRODUCT((INPUTS!$E$88:$E$97="Yes")*(INPUTS!$R$88:$R$97&lt;=AJ$7)*(INPUTS!$S$88:$S$97&gt;=AJ$7))&gt;0,"Construction",IF(AJ$7&lt;MIN(INPUTS!$P$88:$P$97),"Pre-launch","Completion / handover")))))</f>
        <v>Post-project</v>
      </c>
      <c r="AK18" s="109" t="str">
        <f aca="false">IF(AK$17=0,IF(AK$16=0,"Beyond horizon","Post-project"),IF(AND(SUMPRODUCT((INPUTS!$E$88:$E$97="Yes")*(INPUTS!$P$88:$P$97&lt;=AK$7)*(INPUTS!$Q$88:$Q$97&gt;=AK$7))&gt;0,SUMPRODUCT((INPUTS!$E$88:$E$97="Yes")*(INPUTS!$R$88:$R$97&lt;=AK$7)*(INPUTS!$S$88:$S$97&gt;=AK$7))&gt;0),"Sales + Constr.",IF(SUMPRODUCT((INPUTS!$E$88:$E$97="Yes")*(INPUTS!$P$88:$P$97&lt;=AK$7)*(INPUTS!$Q$88:$Q$97&gt;=AK$7))&gt;0,"Sales",IF(SUMPRODUCT((INPUTS!$E$88:$E$97="Yes")*(INPUTS!$R$88:$R$97&lt;=AK$7)*(INPUTS!$S$88:$S$97&gt;=AK$7))&gt;0,"Construction",IF(AK$7&lt;MIN(INPUTS!$P$88:$P$97),"Pre-launch","Completion / handover")))))</f>
        <v>Post-project</v>
      </c>
      <c r="AL18" s="109" t="str">
        <f aca="false">IF(AL$17=0,IF(AL$16=0,"Beyond horizon","Post-project"),IF(AND(SUMPRODUCT((INPUTS!$E$88:$E$97="Yes")*(INPUTS!$P$88:$P$97&lt;=AL$7)*(INPUTS!$Q$88:$Q$97&gt;=AL$7))&gt;0,SUMPRODUCT((INPUTS!$E$88:$E$97="Yes")*(INPUTS!$R$88:$R$97&lt;=AL$7)*(INPUTS!$S$88:$S$97&gt;=AL$7))&gt;0),"Sales + Constr.",IF(SUMPRODUCT((INPUTS!$E$88:$E$97="Yes")*(INPUTS!$P$88:$P$97&lt;=AL$7)*(INPUTS!$Q$88:$Q$97&gt;=AL$7))&gt;0,"Sales",IF(SUMPRODUCT((INPUTS!$E$88:$E$97="Yes")*(INPUTS!$R$88:$R$97&lt;=AL$7)*(INPUTS!$S$88:$S$97&gt;=AL$7))&gt;0,"Construction",IF(AL$7&lt;MIN(INPUTS!$P$88:$P$97),"Pre-launch","Completion / handover")))))</f>
        <v>Post-project</v>
      </c>
      <c r="AM18" s="109" t="str">
        <f aca="false">IF(AM$17=0,IF(AM$16=0,"Beyond horizon","Post-project"),IF(AND(SUMPRODUCT((INPUTS!$E$88:$E$97="Yes")*(INPUTS!$P$88:$P$97&lt;=AM$7)*(INPUTS!$Q$88:$Q$97&gt;=AM$7))&gt;0,SUMPRODUCT((INPUTS!$E$88:$E$97="Yes")*(INPUTS!$R$88:$R$97&lt;=AM$7)*(INPUTS!$S$88:$S$97&gt;=AM$7))&gt;0),"Sales + Constr.",IF(SUMPRODUCT((INPUTS!$E$88:$E$97="Yes")*(INPUTS!$P$88:$P$97&lt;=AM$7)*(INPUTS!$Q$88:$Q$97&gt;=AM$7))&gt;0,"Sales",IF(SUMPRODUCT((INPUTS!$E$88:$E$97="Yes")*(INPUTS!$R$88:$R$97&lt;=AM$7)*(INPUTS!$S$88:$S$97&gt;=AM$7))&gt;0,"Construction",IF(AM$7&lt;MIN(INPUTS!$P$88:$P$97),"Pre-launch","Completion / handover")))))</f>
        <v>Post-project</v>
      </c>
      <c r="AN18" s="109" t="str">
        <f aca="false">IF(AN$17=0,IF(AN$16=0,"Beyond horizon","Post-project"),IF(AND(SUMPRODUCT((INPUTS!$E$88:$E$97="Yes")*(INPUTS!$P$88:$P$97&lt;=AN$7)*(INPUTS!$Q$88:$Q$97&gt;=AN$7))&gt;0,SUMPRODUCT((INPUTS!$E$88:$E$97="Yes")*(INPUTS!$R$88:$R$97&lt;=AN$7)*(INPUTS!$S$88:$S$97&gt;=AN$7))&gt;0),"Sales + Constr.",IF(SUMPRODUCT((INPUTS!$E$88:$E$97="Yes")*(INPUTS!$P$88:$P$97&lt;=AN$7)*(INPUTS!$Q$88:$Q$97&gt;=AN$7))&gt;0,"Sales",IF(SUMPRODUCT((INPUTS!$E$88:$E$97="Yes")*(INPUTS!$R$88:$R$97&lt;=AN$7)*(INPUTS!$S$88:$S$97&gt;=AN$7))&gt;0,"Construction",IF(AN$7&lt;MIN(INPUTS!$P$88:$P$97),"Pre-launch","Completion / handover")))))</f>
        <v>Post-project</v>
      </c>
      <c r="AO18" s="109" t="str">
        <f aca="false">IF(AO$17=0,IF(AO$16=0,"Beyond horizon","Post-project"),IF(AND(SUMPRODUCT((INPUTS!$E$88:$E$97="Yes")*(INPUTS!$P$88:$P$97&lt;=AO$7)*(INPUTS!$Q$88:$Q$97&gt;=AO$7))&gt;0,SUMPRODUCT((INPUTS!$E$88:$E$97="Yes")*(INPUTS!$R$88:$R$97&lt;=AO$7)*(INPUTS!$S$88:$S$97&gt;=AO$7))&gt;0),"Sales + Constr.",IF(SUMPRODUCT((INPUTS!$E$88:$E$97="Yes")*(INPUTS!$P$88:$P$97&lt;=AO$7)*(INPUTS!$Q$88:$Q$97&gt;=AO$7))&gt;0,"Sales",IF(SUMPRODUCT((INPUTS!$E$88:$E$97="Yes")*(INPUTS!$R$88:$R$97&lt;=AO$7)*(INPUTS!$S$88:$S$97&gt;=AO$7))&gt;0,"Construction",IF(AO$7&lt;MIN(INPUTS!$P$88:$P$97),"Pre-launch","Completion / handover")))))</f>
        <v>Post-project</v>
      </c>
      <c r="AP18" s="109" t="str">
        <f aca="false">IF(AP$17=0,IF(AP$16=0,"Beyond horizon","Post-project"),IF(AND(SUMPRODUCT((INPUTS!$E$88:$E$97="Yes")*(INPUTS!$P$88:$P$97&lt;=AP$7)*(INPUTS!$Q$88:$Q$97&gt;=AP$7))&gt;0,SUMPRODUCT((INPUTS!$E$88:$E$97="Yes")*(INPUTS!$R$88:$R$97&lt;=AP$7)*(INPUTS!$S$88:$S$97&gt;=AP$7))&gt;0),"Sales + Constr.",IF(SUMPRODUCT((INPUTS!$E$88:$E$97="Yes")*(INPUTS!$P$88:$P$97&lt;=AP$7)*(INPUTS!$Q$88:$Q$97&gt;=AP$7))&gt;0,"Sales",IF(SUMPRODUCT((INPUTS!$E$88:$E$97="Yes")*(INPUTS!$R$88:$R$97&lt;=AP$7)*(INPUTS!$S$88:$S$97&gt;=AP$7))&gt;0,"Construction",IF(AP$7&lt;MIN(INPUTS!$P$88:$P$97),"Pre-launch","Completion / handover")))))</f>
        <v>Post-project</v>
      </c>
      <c r="AQ18" s="109" t="str">
        <f aca="false">IF(AQ$17=0,IF(AQ$16=0,"Beyond horizon","Post-project"),IF(AND(SUMPRODUCT((INPUTS!$E$88:$E$97="Yes")*(INPUTS!$P$88:$P$97&lt;=AQ$7)*(INPUTS!$Q$88:$Q$97&gt;=AQ$7))&gt;0,SUMPRODUCT((INPUTS!$E$88:$E$97="Yes")*(INPUTS!$R$88:$R$97&lt;=AQ$7)*(INPUTS!$S$88:$S$97&gt;=AQ$7))&gt;0),"Sales + Constr.",IF(SUMPRODUCT((INPUTS!$E$88:$E$97="Yes")*(INPUTS!$P$88:$P$97&lt;=AQ$7)*(INPUTS!$Q$88:$Q$97&gt;=AQ$7))&gt;0,"Sales",IF(SUMPRODUCT((INPUTS!$E$88:$E$97="Yes")*(INPUTS!$R$88:$R$97&lt;=AQ$7)*(INPUTS!$S$88:$S$97&gt;=AQ$7))&gt;0,"Construction",IF(AQ$7&lt;MIN(INPUTS!$P$88:$P$97),"Pre-launch","Completion / handover")))))</f>
        <v>Post-project</v>
      </c>
    </row>
    <row r="20" customFormat="false" ht="19.5" hidden="false" customHeight="true" outlineLevel="0" collapsed="false">
      <c r="B20" s="4" t="s">
        <v>639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customFormat="false" ht="15" hidden="false" customHeight="false" outlineLevel="0" collapsed="false">
      <c r="B21" s="7" t="str">
        <f aca="false">IF(INPUTS!$E$88="Yes",INPUTS!$B$88,"(product row 1 – off)")</f>
        <v>Villas</v>
      </c>
      <c r="D21" s="105" t="str">
        <f aca="false">IF(AND(AND(INPUTS!$E$88="Yes",D$16=1,D$7&gt;=INPUTS!$P$88,D$7&lt;=INPUTS!$Q$88),AND(INPUTS!$E$88="Yes",D$16=1,D$7&gt;=INPUTS!$R$88,D$7&lt;=INPUTS!$S$88)),"S+C",IF(AND(INPUTS!$E$88="Yes",D$16=1,D$7&gt;=INPUTS!$P$88,D$7&lt;=INPUTS!$Q$88),"S",IF(AND(INPUTS!$E$88="Yes",D$16=1,D$7&gt;=INPUTS!$R$88,D$7&lt;=INPUTS!$S$88),"C",IF(AND(INPUTS!$E$88="Yes",D$17=1,D$7&gt;INPUTS!$S$88),"✓",""))))</f>
        <v/>
      </c>
      <c r="E21" s="105" t="str">
        <f aca="false">IF(AND(AND(INPUTS!$E$88="Yes",E$16=1,E$7&gt;=INPUTS!$P$88,E$7&lt;=INPUTS!$Q$88),AND(INPUTS!$E$88="Yes",E$16=1,E$7&gt;=INPUTS!$R$88,E$7&lt;=INPUTS!$S$88)),"S+C",IF(AND(INPUTS!$E$88="Yes",E$16=1,E$7&gt;=INPUTS!$P$88,E$7&lt;=INPUTS!$Q$88),"S",IF(AND(INPUTS!$E$88="Yes",E$16=1,E$7&gt;=INPUTS!$R$88,E$7&lt;=INPUTS!$S$88),"C",IF(AND(INPUTS!$E$88="Yes",E$17=1,E$7&gt;INPUTS!$S$88),"✓",""))))</f>
        <v/>
      </c>
      <c r="F21" s="105" t="str">
        <f aca="false">IF(AND(AND(INPUTS!$E$88="Yes",F$16=1,F$7&gt;=INPUTS!$P$88,F$7&lt;=INPUTS!$Q$88),AND(INPUTS!$E$88="Yes",F$16=1,F$7&gt;=INPUTS!$R$88,F$7&lt;=INPUTS!$S$88)),"S+C",IF(AND(INPUTS!$E$88="Yes",F$16=1,F$7&gt;=INPUTS!$P$88,F$7&lt;=INPUTS!$Q$88),"S",IF(AND(INPUTS!$E$88="Yes",F$16=1,F$7&gt;=INPUTS!$R$88,F$7&lt;=INPUTS!$S$88),"C",IF(AND(INPUTS!$E$88="Yes",F$17=1,F$7&gt;INPUTS!$S$88),"✓",""))))</f>
        <v>S</v>
      </c>
      <c r="G21" s="105" t="str">
        <f aca="false">IF(AND(AND(INPUTS!$E$88="Yes",G$16=1,G$7&gt;=INPUTS!$P$88,G$7&lt;=INPUTS!$Q$88),AND(INPUTS!$E$88="Yes",G$16=1,G$7&gt;=INPUTS!$R$88,G$7&lt;=INPUTS!$S$88)),"S+C",IF(AND(INPUTS!$E$88="Yes",G$16=1,G$7&gt;=INPUTS!$P$88,G$7&lt;=INPUTS!$Q$88),"S",IF(AND(INPUTS!$E$88="Yes",G$16=1,G$7&gt;=INPUTS!$R$88,G$7&lt;=INPUTS!$S$88),"C",IF(AND(INPUTS!$E$88="Yes",G$17=1,G$7&gt;INPUTS!$S$88),"✓",""))))</f>
        <v>S+C</v>
      </c>
      <c r="H21" s="105" t="str">
        <f aca="false">IF(AND(AND(INPUTS!$E$88="Yes",H$16=1,H$7&gt;=INPUTS!$P$88,H$7&lt;=INPUTS!$Q$88),AND(INPUTS!$E$88="Yes",H$16=1,H$7&gt;=INPUTS!$R$88,H$7&lt;=INPUTS!$S$88)),"S+C",IF(AND(INPUTS!$E$88="Yes",H$16=1,H$7&gt;=INPUTS!$P$88,H$7&lt;=INPUTS!$Q$88),"S",IF(AND(INPUTS!$E$88="Yes",H$16=1,H$7&gt;=INPUTS!$R$88,H$7&lt;=INPUTS!$S$88),"C",IF(AND(INPUTS!$E$88="Yes",H$17=1,H$7&gt;INPUTS!$S$88),"✓",""))))</f>
        <v>S+C</v>
      </c>
      <c r="I21" s="105" t="str">
        <f aca="false">IF(AND(AND(INPUTS!$E$88="Yes",I$16=1,I$7&gt;=INPUTS!$P$88,I$7&lt;=INPUTS!$Q$88),AND(INPUTS!$E$88="Yes",I$16=1,I$7&gt;=INPUTS!$R$88,I$7&lt;=INPUTS!$S$88)),"S+C",IF(AND(INPUTS!$E$88="Yes",I$16=1,I$7&gt;=INPUTS!$P$88,I$7&lt;=INPUTS!$Q$88),"S",IF(AND(INPUTS!$E$88="Yes",I$16=1,I$7&gt;=INPUTS!$R$88,I$7&lt;=INPUTS!$S$88),"C",IF(AND(INPUTS!$E$88="Yes",I$17=1,I$7&gt;INPUTS!$S$88),"✓",""))))</f>
        <v>S+C</v>
      </c>
      <c r="J21" s="105" t="str">
        <f aca="false">IF(AND(AND(INPUTS!$E$88="Yes",J$16=1,J$7&gt;=INPUTS!$P$88,J$7&lt;=INPUTS!$Q$88),AND(INPUTS!$E$88="Yes",J$16=1,J$7&gt;=INPUTS!$R$88,J$7&lt;=INPUTS!$S$88)),"S+C",IF(AND(INPUTS!$E$88="Yes",J$16=1,J$7&gt;=INPUTS!$P$88,J$7&lt;=INPUTS!$Q$88),"S",IF(AND(INPUTS!$E$88="Yes",J$16=1,J$7&gt;=INPUTS!$R$88,J$7&lt;=INPUTS!$S$88),"C",IF(AND(INPUTS!$E$88="Yes",J$17=1,J$7&gt;INPUTS!$S$88),"✓",""))))</f>
        <v>S+C</v>
      </c>
      <c r="K21" s="105" t="str">
        <f aca="false">IF(AND(AND(INPUTS!$E$88="Yes",K$16=1,K$7&gt;=INPUTS!$P$88,K$7&lt;=INPUTS!$Q$88),AND(INPUTS!$E$88="Yes",K$16=1,K$7&gt;=INPUTS!$R$88,K$7&lt;=INPUTS!$S$88)),"S+C",IF(AND(INPUTS!$E$88="Yes",K$16=1,K$7&gt;=INPUTS!$P$88,K$7&lt;=INPUTS!$Q$88),"S",IF(AND(INPUTS!$E$88="Yes",K$16=1,K$7&gt;=INPUTS!$R$88,K$7&lt;=INPUTS!$S$88),"C",IF(AND(INPUTS!$E$88="Yes",K$17=1,K$7&gt;INPUTS!$S$88),"✓",""))))</f>
        <v>S+C</v>
      </c>
      <c r="L21" s="105" t="str">
        <f aca="false">IF(AND(AND(INPUTS!$E$88="Yes",L$16=1,L$7&gt;=INPUTS!$P$88,L$7&lt;=INPUTS!$Q$88),AND(INPUTS!$E$88="Yes",L$16=1,L$7&gt;=INPUTS!$R$88,L$7&lt;=INPUTS!$S$88)),"S+C",IF(AND(INPUTS!$E$88="Yes",L$16=1,L$7&gt;=INPUTS!$P$88,L$7&lt;=INPUTS!$Q$88),"S",IF(AND(INPUTS!$E$88="Yes",L$16=1,L$7&gt;=INPUTS!$R$88,L$7&lt;=INPUTS!$S$88),"C",IF(AND(INPUTS!$E$88="Yes",L$17=1,L$7&gt;INPUTS!$S$88),"✓",""))))</f>
        <v>S+C</v>
      </c>
      <c r="M21" s="105" t="str">
        <f aca="false">IF(AND(AND(INPUTS!$E$88="Yes",M$16=1,M$7&gt;=INPUTS!$P$88,M$7&lt;=INPUTS!$Q$88),AND(INPUTS!$E$88="Yes",M$16=1,M$7&gt;=INPUTS!$R$88,M$7&lt;=INPUTS!$S$88)),"S+C",IF(AND(INPUTS!$E$88="Yes",M$16=1,M$7&gt;=INPUTS!$P$88,M$7&lt;=INPUTS!$Q$88),"S",IF(AND(INPUTS!$E$88="Yes",M$16=1,M$7&gt;=INPUTS!$R$88,M$7&lt;=INPUTS!$S$88),"C",IF(AND(INPUTS!$E$88="Yes",M$17=1,M$7&gt;INPUTS!$S$88),"✓",""))))</f>
        <v>S+C</v>
      </c>
      <c r="N21" s="105" t="str">
        <f aca="false">IF(AND(AND(INPUTS!$E$88="Yes",N$16=1,N$7&gt;=INPUTS!$P$88,N$7&lt;=INPUTS!$Q$88),AND(INPUTS!$E$88="Yes",N$16=1,N$7&gt;=INPUTS!$R$88,N$7&lt;=INPUTS!$S$88)),"S+C",IF(AND(INPUTS!$E$88="Yes",N$16=1,N$7&gt;=INPUTS!$P$88,N$7&lt;=INPUTS!$Q$88),"S",IF(AND(INPUTS!$E$88="Yes",N$16=1,N$7&gt;=INPUTS!$R$88,N$7&lt;=INPUTS!$S$88),"C",IF(AND(INPUTS!$E$88="Yes",N$17=1,N$7&gt;INPUTS!$S$88),"✓",""))))</f>
        <v>C</v>
      </c>
      <c r="O21" s="105" t="str">
        <f aca="false">IF(AND(AND(INPUTS!$E$88="Yes",O$16=1,O$7&gt;=INPUTS!$P$88,O$7&lt;=INPUTS!$Q$88),AND(INPUTS!$E$88="Yes",O$16=1,O$7&gt;=INPUTS!$R$88,O$7&lt;=INPUTS!$S$88)),"S+C",IF(AND(INPUTS!$E$88="Yes",O$16=1,O$7&gt;=INPUTS!$P$88,O$7&lt;=INPUTS!$Q$88),"S",IF(AND(INPUTS!$E$88="Yes",O$16=1,O$7&gt;=INPUTS!$R$88,O$7&lt;=INPUTS!$S$88),"C",IF(AND(INPUTS!$E$88="Yes",O$17=1,O$7&gt;INPUTS!$S$88),"✓",""))))</f>
        <v>C</v>
      </c>
      <c r="P21" s="105" t="str">
        <f aca="false">IF(AND(AND(INPUTS!$E$88="Yes",P$16=1,P$7&gt;=INPUTS!$P$88,P$7&lt;=INPUTS!$Q$88),AND(INPUTS!$E$88="Yes",P$16=1,P$7&gt;=INPUTS!$R$88,P$7&lt;=INPUTS!$S$88)),"S+C",IF(AND(INPUTS!$E$88="Yes",P$16=1,P$7&gt;=INPUTS!$P$88,P$7&lt;=INPUTS!$Q$88),"S",IF(AND(INPUTS!$E$88="Yes",P$16=1,P$7&gt;=INPUTS!$R$88,P$7&lt;=INPUTS!$S$88),"C",IF(AND(INPUTS!$E$88="Yes",P$17=1,P$7&gt;INPUTS!$S$88),"✓",""))))</f>
        <v>C</v>
      </c>
      <c r="Q21" s="105" t="str">
        <f aca="false">IF(AND(AND(INPUTS!$E$88="Yes",Q$16=1,Q$7&gt;=INPUTS!$P$88,Q$7&lt;=INPUTS!$Q$88),AND(INPUTS!$E$88="Yes",Q$16=1,Q$7&gt;=INPUTS!$R$88,Q$7&lt;=INPUTS!$S$88)),"S+C",IF(AND(INPUTS!$E$88="Yes",Q$16=1,Q$7&gt;=INPUTS!$P$88,Q$7&lt;=INPUTS!$Q$88),"S",IF(AND(INPUTS!$E$88="Yes",Q$16=1,Q$7&gt;=INPUTS!$R$88,Q$7&lt;=INPUTS!$S$88),"C",IF(AND(INPUTS!$E$88="Yes",Q$17=1,Q$7&gt;INPUTS!$S$88),"✓",""))))</f>
        <v>C</v>
      </c>
      <c r="R21" s="105" t="str">
        <f aca="false">IF(AND(AND(INPUTS!$E$88="Yes",R$16=1,R$7&gt;=INPUTS!$P$88,R$7&lt;=INPUTS!$Q$88),AND(INPUTS!$E$88="Yes",R$16=1,R$7&gt;=INPUTS!$R$88,R$7&lt;=INPUTS!$S$88)),"S+C",IF(AND(INPUTS!$E$88="Yes",R$16=1,R$7&gt;=INPUTS!$P$88,R$7&lt;=INPUTS!$Q$88),"S",IF(AND(INPUTS!$E$88="Yes",R$16=1,R$7&gt;=INPUTS!$R$88,R$7&lt;=INPUTS!$S$88),"C",IF(AND(INPUTS!$E$88="Yes",R$17=1,R$7&gt;INPUTS!$S$88),"✓",""))))</f>
        <v>C</v>
      </c>
      <c r="S21" s="105" t="str">
        <f aca="false">IF(AND(AND(INPUTS!$E$88="Yes",S$16=1,S$7&gt;=INPUTS!$P$88,S$7&lt;=INPUTS!$Q$88),AND(INPUTS!$E$88="Yes",S$16=1,S$7&gt;=INPUTS!$R$88,S$7&lt;=INPUTS!$S$88)),"S+C",IF(AND(INPUTS!$E$88="Yes",S$16=1,S$7&gt;=INPUTS!$P$88,S$7&lt;=INPUTS!$Q$88),"S",IF(AND(INPUTS!$E$88="Yes",S$16=1,S$7&gt;=INPUTS!$R$88,S$7&lt;=INPUTS!$S$88),"C",IF(AND(INPUTS!$E$88="Yes",S$17=1,S$7&gt;INPUTS!$S$88),"✓",""))))</f>
        <v>✓</v>
      </c>
      <c r="T21" s="105" t="str">
        <f aca="false">IF(AND(AND(INPUTS!$E$88="Yes",T$16=1,T$7&gt;=INPUTS!$P$88,T$7&lt;=INPUTS!$Q$88),AND(INPUTS!$E$88="Yes",T$16=1,T$7&gt;=INPUTS!$R$88,T$7&lt;=INPUTS!$S$88)),"S+C",IF(AND(INPUTS!$E$88="Yes",T$16=1,T$7&gt;=INPUTS!$P$88,T$7&lt;=INPUTS!$Q$88),"S",IF(AND(INPUTS!$E$88="Yes",T$16=1,T$7&gt;=INPUTS!$R$88,T$7&lt;=INPUTS!$S$88),"C",IF(AND(INPUTS!$E$88="Yes",T$17=1,T$7&gt;INPUTS!$S$88),"✓",""))))</f>
        <v>✓</v>
      </c>
      <c r="U21" s="105" t="str">
        <f aca="false">IF(AND(AND(INPUTS!$E$88="Yes",U$16=1,U$7&gt;=INPUTS!$P$88,U$7&lt;=INPUTS!$Q$88),AND(INPUTS!$E$88="Yes",U$16=1,U$7&gt;=INPUTS!$R$88,U$7&lt;=INPUTS!$S$88)),"S+C",IF(AND(INPUTS!$E$88="Yes",U$16=1,U$7&gt;=INPUTS!$P$88,U$7&lt;=INPUTS!$Q$88),"S",IF(AND(INPUTS!$E$88="Yes",U$16=1,U$7&gt;=INPUTS!$R$88,U$7&lt;=INPUTS!$S$88),"C",IF(AND(INPUTS!$E$88="Yes",U$17=1,U$7&gt;INPUTS!$S$88),"✓",""))))</f>
        <v>✓</v>
      </c>
      <c r="V21" s="105" t="str">
        <f aca="false">IF(AND(AND(INPUTS!$E$88="Yes",V$16=1,V$7&gt;=INPUTS!$P$88,V$7&lt;=INPUTS!$Q$88),AND(INPUTS!$E$88="Yes",V$16=1,V$7&gt;=INPUTS!$R$88,V$7&lt;=INPUTS!$S$88)),"S+C",IF(AND(INPUTS!$E$88="Yes",V$16=1,V$7&gt;=INPUTS!$P$88,V$7&lt;=INPUTS!$Q$88),"S",IF(AND(INPUTS!$E$88="Yes",V$16=1,V$7&gt;=INPUTS!$R$88,V$7&lt;=INPUTS!$S$88),"C",IF(AND(INPUTS!$E$88="Yes",V$17=1,V$7&gt;INPUTS!$S$88),"✓",""))))</f>
        <v>✓</v>
      </c>
      <c r="W21" s="105" t="str">
        <f aca="false">IF(AND(AND(INPUTS!$E$88="Yes",W$16=1,W$7&gt;=INPUTS!$P$88,W$7&lt;=INPUTS!$Q$88),AND(INPUTS!$E$88="Yes",W$16=1,W$7&gt;=INPUTS!$R$88,W$7&lt;=INPUTS!$S$88)),"S+C",IF(AND(INPUTS!$E$88="Yes",W$16=1,W$7&gt;=INPUTS!$P$88,W$7&lt;=INPUTS!$Q$88),"S",IF(AND(INPUTS!$E$88="Yes",W$16=1,W$7&gt;=INPUTS!$R$88,W$7&lt;=INPUTS!$S$88),"C",IF(AND(INPUTS!$E$88="Yes",W$17=1,W$7&gt;INPUTS!$S$88),"✓",""))))</f>
        <v>✓</v>
      </c>
      <c r="X21" s="105" t="str">
        <f aca="false">IF(AND(AND(INPUTS!$E$88="Yes",X$16=1,X$7&gt;=INPUTS!$P$88,X$7&lt;=INPUTS!$Q$88),AND(INPUTS!$E$88="Yes",X$16=1,X$7&gt;=INPUTS!$R$88,X$7&lt;=INPUTS!$S$88)),"S+C",IF(AND(INPUTS!$E$88="Yes",X$16=1,X$7&gt;=INPUTS!$P$88,X$7&lt;=INPUTS!$Q$88),"S",IF(AND(INPUTS!$E$88="Yes",X$16=1,X$7&gt;=INPUTS!$R$88,X$7&lt;=INPUTS!$S$88),"C",IF(AND(INPUTS!$E$88="Yes",X$17=1,X$7&gt;INPUTS!$S$88),"✓",""))))</f>
        <v/>
      </c>
      <c r="Y21" s="105" t="str">
        <f aca="false">IF(AND(AND(INPUTS!$E$88="Yes",Y$16=1,Y$7&gt;=INPUTS!$P$88,Y$7&lt;=INPUTS!$Q$88),AND(INPUTS!$E$88="Yes",Y$16=1,Y$7&gt;=INPUTS!$R$88,Y$7&lt;=INPUTS!$S$88)),"S+C",IF(AND(INPUTS!$E$88="Yes",Y$16=1,Y$7&gt;=INPUTS!$P$88,Y$7&lt;=INPUTS!$Q$88),"S",IF(AND(INPUTS!$E$88="Yes",Y$16=1,Y$7&gt;=INPUTS!$R$88,Y$7&lt;=INPUTS!$S$88),"C",IF(AND(INPUTS!$E$88="Yes",Y$17=1,Y$7&gt;INPUTS!$S$88),"✓",""))))</f>
        <v/>
      </c>
      <c r="Z21" s="105" t="str">
        <f aca="false">IF(AND(AND(INPUTS!$E$88="Yes",Z$16=1,Z$7&gt;=INPUTS!$P$88,Z$7&lt;=INPUTS!$Q$88),AND(INPUTS!$E$88="Yes",Z$16=1,Z$7&gt;=INPUTS!$R$88,Z$7&lt;=INPUTS!$S$88)),"S+C",IF(AND(INPUTS!$E$88="Yes",Z$16=1,Z$7&gt;=INPUTS!$P$88,Z$7&lt;=INPUTS!$Q$88),"S",IF(AND(INPUTS!$E$88="Yes",Z$16=1,Z$7&gt;=INPUTS!$R$88,Z$7&lt;=INPUTS!$S$88),"C",IF(AND(INPUTS!$E$88="Yes",Z$17=1,Z$7&gt;INPUTS!$S$88),"✓",""))))</f>
        <v/>
      </c>
      <c r="AA21" s="105" t="str">
        <f aca="false">IF(AND(AND(INPUTS!$E$88="Yes",AA$16=1,AA$7&gt;=INPUTS!$P$88,AA$7&lt;=INPUTS!$Q$88),AND(INPUTS!$E$88="Yes",AA$16=1,AA$7&gt;=INPUTS!$R$88,AA$7&lt;=INPUTS!$S$88)),"S+C",IF(AND(INPUTS!$E$88="Yes",AA$16=1,AA$7&gt;=INPUTS!$P$88,AA$7&lt;=INPUTS!$Q$88),"S",IF(AND(INPUTS!$E$88="Yes",AA$16=1,AA$7&gt;=INPUTS!$R$88,AA$7&lt;=INPUTS!$S$88),"C",IF(AND(INPUTS!$E$88="Yes",AA$17=1,AA$7&gt;INPUTS!$S$88),"✓",""))))</f>
        <v/>
      </c>
      <c r="AB21" s="105" t="str">
        <f aca="false">IF(AND(AND(INPUTS!$E$88="Yes",AB$16=1,AB$7&gt;=INPUTS!$P$88,AB$7&lt;=INPUTS!$Q$88),AND(INPUTS!$E$88="Yes",AB$16=1,AB$7&gt;=INPUTS!$R$88,AB$7&lt;=INPUTS!$S$88)),"S+C",IF(AND(INPUTS!$E$88="Yes",AB$16=1,AB$7&gt;=INPUTS!$P$88,AB$7&lt;=INPUTS!$Q$88),"S",IF(AND(INPUTS!$E$88="Yes",AB$16=1,AB$7&gt;=INPUTS!$R$88,AB$7&lt;=INPUTS!$S$88),"C",IF(AND(INPUTS!$E$88="Yes",AB$17=1,AB$7&gt;INPUTS!$S$88),"✓",""))))</f>
        <v/>
      </c>
      <c r="AC21" s="105" t="str">
        <f aca="false">IF(AND(AND(INPUTS!$E$88="Yes",AC$16=1,AC$7&gt;=INPUTS!$P$88,AC$7&lt;=INPUTS!$Q$88),AND(INPUTS!$E$88="Yes",AC$16=1,AC$7&gt;=INPUTS!$R$88,AC$7&lt;=INPUTS!$S$88)),"S+C",IF(AND(INPUTS!$E$88="Yes",AC$16=1,AC$7&gt;=INPUTS!$P$88,AC$7&lt;=INPUTS!$Q$88),"S",IF(AND(INPUTS!$E$88="Yes",AC$16=1,AC$7&gt;=INPUTS!$R$88,AC$7&lt;=INPUTS!$S$88),"C",IF(AND(INPUTS!$E$88="Yes",AC$17=1,AC$7&gt;INPUTS!$S$88),"✓",""))))</f>
        <v/>
      </c>
      <c r="AD21" s="105" t="str">
        <f aca="false">IF(AND(AND(INPUTS!$E$88="Yes",AD$16=1,AD$7&gt;=INPUTS!$P$88,AD$7&lt;=INPUTS!$Q$88),AND(INPUTS!$E$88="Yes",AD$16=1,AD$7&gt;=INPUTS!$R$88,AD$7&lt;=INPUTS!$S$88)),"S+C",IF(AND(INPUTS!$E$88="Yes",AD$16=1,AD$7&gt;=INPUTS!$P$88,AD$7&lt;=INPUTS!$Q$88),"S",IF(AND(INPUTS!$E$88="Yes",AD$16=1,AD$7&gt;=INPUTS!$R$88,AD$7&lt;=INPUTS!$S$88),"C",IF(AND(INPUTS!$E$88="Yes",AD$17=1,AD$7&gt;INPUTS!$S$88),"✓",""))))</f>
        <v/>
      </c>
      <c r="AE21" s="105" t="str">
        <f aca="false">IF(AND(AND(INPUTS!$E$88="Yes",AE$16=1,AE$7&gt;=INPUTS!$P$88,AE$7&lt;=INPUTS!$Q$88),AND(INPUTS!$E$88="Yes",AE$16=1,AE$7&gt;=INPUTS!$R$88,AE$7&lt;=INPUTS!$S$88)),"S+C",IF(AND(INPUTS!$E$88="Yes",AE$16=1,AE$7&gt;=INPUTS!$P$88,AE$7&lt;=INPUTS!$Q$88),"S",IF(AND(INPUTS!$E$88="Yes",AE$16=1,AE$7&gt;=INPUTS!$R$88,AE$7&lt;=INPUTS!$S$88),"C",IF(AND(INPUTS!$E$88="Yes",AE$17=1,AE$7&gt;INPUTS!$S$88),"✓",""))))</f>
        <v/>
      </c>
      <c r="AF21" s="105" t="str">
        <f aca="false">IF(AND(AND(INPUTS!$E$88="Yes",AF$16=1,AF$7&gt;=INPUTS!$P$88,AF$7&lt;=INPUTS!$Q$88),AND(INPUTS!$E$88="Yes",AF$16=1,AF$7&gt;=INPUTS!$R$88,AF$7&lt;=INPUTS!$S$88)),"S+C",IF(AND(INPUTS!$E$88="Yes",AF$16=1,AF$7&gt;=INPUTS!$P$88,AF$7&lt;=INPUTS!$Q$88),"S",IF(AND(INPUTS!$E$88="Yes",AF$16=1,AF$7&gt;=INPUTS!$R$88,AF$7&lt;=INPUTS!$S$88),"C",IF(AND(INPUTS!$E$88="Yes",AF$17=1,AF$7&gt;INPUTS!$S$88),"✓",""))))</f>
        <v/>
      </c>
      <c r="AG21" s="105" t="str">
        <f aca="false">IF(AND(AND(INPUTS!$E$88="Yes",AG$16=1,AG$7&gt;=INPUTS!$P$88,AG$7&lt;=INPUTS!$Q$88),AND(INPUTS!$E$88="Yes",AG$16=1,AG$7&gt;=INPUTS!$R$88,AG$7&lt;=INPUTS!$S$88)),"S+C",IF(AND(INPUTS!$E$88="Yes",AG$16=1,AG$7&gt;=INPUTS!$P$88,AG$7&lt;=INPUTS!$Q$88),"S",IF(AND(INPUTS!$E$88="Yes",AG$16=1,AG$7&gt;=INPUTS!$R$88,AG$7&lt;=INPUTS!$S$88),"C",IF(AND(INPUTS!$E$88="Yes",AG$17=1,AG$7&gt;INPUTS!$S$88),"✓",""))))</f>
        <v/>
      </c>
      <c r="AH21" s="105" t="str">
        <f aca="false">IF(AND(AND(INPUTS!$E$88="Yes",AH$16=1,AH$7&gt;=INPUTS!$P$88,AH$7&lt;=INPUTS!$Q$88),AND(INPUTS!$E$88="Yes",AH$16=1,AH$7&gt;=INPUTS!$R$88,AH$7&lt;=INPUTS!$S$88)),"S+C",IF(AND(INPUTS!$E$88="Yes",AH$16=1,AH$7&gt;=INPUTS!$P$88,AH$7&lt;=INPUTS!$Q$88),"S",IF(AND(INPUTS!$E$88="Yes",AH$16=1,AH$7&gt;=INPUTS!$R$88,AH$7&lt;=INPUTS!$S$88),"C",IF(AND(INPUTS!$E$88="Yes",AH$17=1,AH$7&gt;INPUTS!$S$88),"✓",""))))</f>
        <v/>
      </c>
      <c r="AI21" s="105" t="str">
        <f aca="false">IF(AND(AND(INPUTS!$E$88="Yes",AI$16=1,AI$7&gt;=INPUTS!$P$88,AI$7&lt;=INPUTS!$Q$88),AND(INPUTS!$E$88="Yes",AI$16=1,AI$7&gt;=INPUTS!$R$88,AI$7&lt;=INPUTS!$S$88)),"S+C",IF(AND(INPUTS!$E$88="Yes",AI$16=1,AI$7&gt;=INPUTS!$P$88,AI$7&lt;=INPUTS!$Q$88),"S",IF(AND(INPUTS!$E$88="Yes",AI$16=1,AI$7&gt;=INPUTS!$R$88,AI$7&lt;=INPUTS!$S$88),"C",IF(AND(INPUTS!$E$88="Yes",AI$17=1,AI$7&gt;INPUTS!$S$88),"✓",""))))</f>
        <v/>
      </c>
      <c r="AJ21" s="105" t="str">
        <f aca="false">IF(AND(AND(INPUTS!$E$88="Yes",AJ$16=1,AJ$7&gt;=INPUTS!$P$88,AJ$7&lt;=INPUTS!$Q$88),AND(INPUTS!$E$88="Yes",AJ$16=1,AJ$7&gt;=INPUTS!$R$88,AJ$7&lt;=INPUTS!$S$88)),"S+C",IF(AND(INPUTS!$E$88="Yes",AJ$16=1,AJ$7&gt;=INPUTS!$P$88,AJ$7&lt;=INPUTS!$Q$88),"S",IF(AND(INPUTS!$E$88="Yes",AJ$16=1,AJ$7&gt;=INPUTS!$R$88,AJ$7&lt;=INPUTS!$S$88),"C",IF(AND(INPUTS!$E$88="Yes",AJ$17=1,AJ$7&gt;INPUTS!$S$88),"✓",""))))</f>
        <v/>
      </c>
      <c r="AK21" s="105" t="str">
        <f aca="false">IF(AND(AND(INPUTS!$E$88="Yes",AK$16=1,AK$7&gt;=INPUTS!$P$88,AK$7&lt;=INPUTS!$Q$88),AND(INPUTS!$E$88="Yes",AK$16=1,AK$7&gt;=INPUTS!$R$88,AK$7&lt;=INPUTS!$S$88)),"S+C",IF(AND(INPUTS!$E$88="Yes",AK$16=1,AK$7&gt;=INPUTS!$P$88,AK$7&lt;=INPUTS!$Q$88),"S",IF(AND(INPUTS!$E$88="Yes",AK$16=1,AK$7&gt;=INPUTS!$R$88,AK$7&lt;=INPUTS!$S$88),"C",IF(AND(INPUTS!$E$88="Yes",AK$17=1,AK$7&gt;INPUTS!$S$88),"✓",""))))</f>
        <v/>
      </c>
      <c r="AL21" s="105" t="str">
        <f aca="false">IF(AND(AND(INPUTS!$E$88="Yes",AL$16=1,AL$7&gt;=INPUTS!$P$88,AL$7&lt;=INPUTS!$Q$88),AND(INPUTS!$E$88="Yes",AL$16=1,AL$7&gt;=INPUTS!$R$88,AL$7&lt;=INPUTS!$S$88)),"S+C",IF(AND(INPUTS!$E$88="Yes",AL$16=1,AL$7&gt;=INPUTS!$P$88,AL$7&lt;=INPUTS!$Q$88),"S",IF(AND(INPUTS!$E$88="Yes",AL$16=1,AL$7&gt;=INPUTS!$R$88,AL$7&lt;=INPUTS!$S$88),"C",IF(AND(INPUTS!$E$88="Yes",AL$17=1,AL$7&gt;INPUTS!$S$88),"✓",""))))</f>
        <v/>
      </c>
      <c r="AM21" s="105" t="str">
        <f aca="false">IF(AND(AND(INPUTS!$E$88="Yes",AM$16=1,AM$7&gt;=INPUTS!$P$88,AM$7&lt;=INPUTS!$Q$88),AND(INPUTS!$E$88="Yes",AM$16=1,AM$7&gt;=INPUTS!$R$88,AM$7&lt;=INPUTS!$S$88)),"S+C",IF(AND(INPUTS!$E$88="Yes",AM$16=1,AM$7&gt;=INPUTS!$P$88,AM$7&lt;=INPUTS!$Q$88),"S",IF(AND(INPUTS!$E$88="Yes",AM$16=1,AM$7&gt;=INPUTS!$R$88,AM$7&lt;=INPUTS!$S$88),"C",IF(AND(INPUTS!$E$88="Yes",AM$17=1,AM$7&gt;INPUTS!$S$88),"✓",""))))</f>
        <v/>
      </c>
      <c r="AN21" s="105" t="str">
        <f aca="false">IF(AND(AND(INPUTS!$E$88="Yes",AN$16=1,AN$7&gt;=INPUTS!$P$88,AN$7&lt;=INPUTS!$Q$88),AND(INPUTS!$E$88="Yes",AN$16=1,AN$7&gt;=INPUTS!$R$88,AN$7&lt;=INPUTS!$S$88)),"S+C",IF(AND(INPUTS!$E$88="Yes",AN$16=1,AN$7&gt;=INPUTS!$P$88,AN$7&lt;=INPUTS!$Q$88),"S",IF(AND(INPUTS!$E$88="Yes",AN$16=1,AN$7&gt;=INPUTS!$R$88,AN$7&lt;=INPUTS!$S$88),"C",IF(AND(INPUTS!$E$88="Yes",AN$17=1,AN$7&gt;INPUTS!$S$88),"✓",""))))</f>
        <v/>
      </c>
      <c r="AO21" s="105" t="str">
        <f aca="false">IF(AND(AND(INPUTS!$E$88="Yes",AO$16=1,AO$7&gt;=INPUTS!$P$88,AO$7&lt;=INPUTS!$Q$88),AND(INPUTS!$E$88="Yes",AO$16=1,AO$7&gt;=INPUTS!$R$88,AO$7&lt;=INPUTS!$S$88)),"S+C",IF(AND(INPUTS!$E$88="Yes",AO$16=1,AO$7&gt;=INPUTS!$P$88,AO$7&lt;=INPUTS!$Q$88),"S",IF(AND(INPUTS!$E$88="Yes",AO$16=1,AO$7&gt;=INPUTS!$R$88,AO$7&lt;=INPUTS!$S$88),"C",IF(AND(INPUTS!$E$88="Yes",AO$17=1,AO$7&gt;INPUTS!$S$88),"✓",""))))</f>
        <v/>
      </c>
      <c r="AP21" s="105" t="str">
        <f aca="false">IF(AND(AND(INPUTS!$E$88="Yes",AP$16=1,AP$7&gt;=INPUTS!$P$88,AP$7&lt;=INPUTS!$Q$88),AND(INPUTS!$E$88="Yes",AP$16=1,AP$7&gt;=INPUTS!$R$88,AP$7&lt;=INPUTS!$S$88)),"S+C",IF(AND(INPUTS!$E$88="Yes",AP$16=1,AP$7&gt;=INPUTS!$P$88,AP$7&lt;=INPUTS!$Q$88),"S",IF(AND(INPUTS!$E$88="Yes",AP$16=1,AP$7&gt;=INPUTS!$R$88,AP$7&lt;=INPUTS!$S$88),"C",IF(AND(INPUTS!$E$88="Yes",AP$17=1,AP$7&gt;INPUTS!$S$88),"✓",""))))</f>
        <v/>
      </c>
      <c r="AQ21" s="105" t="str">
        <f aca="false">IF(AND(AND(INPUTS!$E$88="Yes",AQ$16=1,AQ$7&gt;=INPUTS!$P$88,AQ$7&lt;=INPUTS!$Q$88),AND(INPUTS!$E$88="Yes",AQ$16=1,AQ$7&gt;=INPUTS!$R$88,AQ$7&lt;=INPUTS!$S$88)),"S+C",IF(AND(INPUTS!$E$88="Yes",AQ$16=1,AQ$7&gt;=INPUTS!$P$88,AQ$7&lt;=INPUTS!$Q$88),"S",IF(AND(INPUTS!$E$88="Yes",AQ$16=1,AQ$7&gt;=INPUTS!$R$88,AQ$7&lt;=INPUTS!$S$88),"C",IF(AND(INPUTS!$E$88="Yes",AQ$17=1,AQ$7&gt;INPUTS!$S$88),"✓",""))))</f>
        <v/>
      </c>
    </row>
    <row r="22" customFormat="false" ht="15" hidden="false" customHeight="false" outlineLevel="0" collapsed="false">
      <c r="B22" s="7" t="str">
        <f aca="false">IF(INPUTS!$E$89="Yes",INPUTS!$B$89,"(product row 2 – off)")</f>
        <v>Apartments – Towers A &amp; B</v>
      </c>
      <c r="D22" s="105" t="str">
        <f aca="false">IF(AND(AND(INPUTS!$E$89="Yes",D$16=1,D$7&gt;=INPUTS!$P$89,D$7&lt;=INPUTS!$Q$89),AND(INPUTS!$E$89="Yes",D$16=1,D$7&gt;=INPUTS!$R$89,D$7&lt;=INPUTS!$S$89)),"S+C",IF(AND(INPUTS!$E$89="Yes",D$16=1,D$7&gt;=INPUTS!$P$89,D$7&lt;=INPUTS!$Q$89),"S",IF(AND(INPUTS!$E$89="Yes",D$16=1,D$7&gt;=INPUTS!$R$89,D$7&lt;=INPUTS!$S$89),"C",IF(AND(INPUTS!$E$89="Yes",D$17=1,D$7&gt;INPUTS!$S$89),"✓",""))))</f>
        <v/>
      </c>
      <c r="E22" s="105" t="str">
        <f aca="false">IF(AND(AND(INPUTS!$E$89="Yes",E$16=1,E$7&gt;=INPUTS!$P$89,E$7&lt;=INPUTS!$Q$89),AND(INPUTS!$E$89="Yes",E$16=1,E$7&gt;=INPUTS!$R$89,E$7&lt;=INPUTS!$S$89)),"S+C",IF(AND(INPUTS!$E$89="Yes",E$16=1,E$7&gt;=INPUTS!$P$89,E$7&lt;=INPUTS!$Q$89),"S",IF(AND(INPUTS!$E$89="Yes",E$16=1,E$7&gt;=INPUTS!$R$89,E$7&lt;=INPUTS!$S$89),"C",IF(AND(INPUTS!$E$89="Yes",E$17=1,E$7&gt;INPUTS!$S$89),"✓",""))))</f>
        <v/>
      </c>
      <c r="F22" s="105" t="str">
        <f aca="false">IF(AND(AND(INPUTS!$E$89="Yes",F$16=1,F$7&gt;=INPUTS!$P$89,F$7&lt;=INPUTS!$Q$89),AND(INPUTS!$E$89="Yes",F$16=1,F$7&gt;=INPUTS!$R$89,F$7&lt;=INPUTS!$S$89)),"S+C",IF(AND(INPUTS!$E$89="Yes",F$16=1,F$7&gt;=INPUTS!$P$89,F$7&lt;=INPUTS!$Q$89),"S",IF(AND(INPUTS!$E$89="Yes",F$16=1,F$7&gt;=INPUTS!$R$89,F$7&lt;=INPUTS!$S$89),"C",IF(AND(INPUTS!$E$89="Yes",F$17=1,F$7&gt;INPUTS!$S$89),"✓",""))))</f>
        <v/>
      </c>
      <c r="G22" s="105" t="str">
        <f aca="false">IF(AND(AND(INPUTS!$E$89="Yes",G$16=1,G$7&gt;=INPUTS!$P$89,G$7&lt;=INPUTS!$Q$89),AND(INPUTS!$E$89="Yes",G$16=1,G$7&gt;=INPUTS!$R$89,G$7&lt;=INPUTS!$S$89)),"S+C",IF(AND(INPUTS!$E$89="Yes",G$16=1,G$7&gt;=INPUTS!$P$89,G$7&lt;=INPUTS!$Q$89),"S",IF(AND(INPUTS!$E$89="Yes",G$16=1,G$7&gt;=INPUTS!$R$89,G$7&lt;=INPUTS!$S$89),"C",IF(AND(INPUTS!$E$89="Yes",G$17=1,G$7&gt;INPUTS!$S$89),"✓",""))))</f>
        <v>S</v>
      </c>
      <c r="H22" s="105" t="str">
        <f aca="false">IF(AND(AND(INPUTS!$E$89="Yes",H$16=1,H$7&gt;=INPUTS!$P$89,H$7&lt;=INPUTS!$Q$89),AND(INPUTS!$E$89="Yes",H$16=1,H$7&gt;=INPUTS!$R$89,H$7&lt;=INPUTS!$S$89)),"S+C",IF(AND(INPUTS!$E$89="Yes",H$16=1,H$7&gt;=INPUTS!$P$89,H$7&lt;=INPUTS!$Q$89),"S",IF(AND(INPUTS!$E$89="Yes",H$16=1,H$7&gt;=INPUTS!$R$89,H$7&lt;=INPUTS!$S$89),"C",IF(AND(INPUTS!$E$89="Yes",H$17=1,H$7&gt;INPUTS!$S$89),"✓",""))))</f>
        <v>S+C</v>
      </c>
      <c r="I22" s="105" t="str">
        <f aca="false">IF(AND(AND(INPUTS!$E$89="Yes",I$16=1,I$7&gt;=INPUTS!$P$89,I$7&lt;=INPUTS!$Q$89),AND(INPUTS!$E$89="Yes",I$16=1,I$7&gt;=INPUTS!$R$89,I$7&lt;=INPUTS!$S$89)),"S+C",IF(AND(INPUTS!$E$89="Yes",I$16=1,I$7&gt;=INPUTS!$P$89,I$7&lt;=INPUTS!$Q$89),"S",IF(AND(INPUTS!$E$89="Yes",I$16=1,I$7&gt;=INPUTS!$R$89,I$7&lt;=INPUTS!$S$89),"C",IF(AND(INPUTS!$E$89="Yes",I$17=1,I$7&gt;INPUTS!$S$89),"✓",""))))</f>
        <v>S+C</v>
      </c>
      <c r="J22" s="105" t="str">
        <f aca="false">IF(AND(AND(INPUTS!$E$89="Yes",J$16=1,J$7&gt;=INPUTS!$P$89,J$7&lt;=INPUTS!$Q$89),AND(INPUTS!$E$89="Yes",J$16=1,J$7&gt;=INPUTS!$R$89,J$7&lt;=INPUTS!$S$89)),"S+C",IF(AND(INPUTS!$E$89="Yes",J$16=1,J$7&gt;=INPUTS!$P$89,J$7&lt;=INPUTS!$Q$89),"S",IF(AND(INPUTS!$E$89="Yes",J$16=1,J$7&gt;=INPUTS!$R$89,J$7&lt;=INPUTS!$S$89),"C",IF(AND(INPUTS!$E$89="Yes",J$17=1,J$7&gt;INPUTS!$S$89),"✓",""))))</f>
        <v>S+C</v>
      </c>
      <c r="K22" s="105" t="str">
        <f aca="false">IF(AND(AND(INPUTS!$E$89="Yes",K$16=1,K$7&gt;=INPUTS!$P$89,K$7&lt;=INPUTS!$Q$89),AND(INPUTS!$E$89="Yes",K$16=1,K$7&gt;=INPUTS!$R$89,K$7&lt;=INPUTS!$S$89)),"S+C",IF(AND(INPUTS!$E$89="Yes",K$16=1,K$7&gt;=INPUTS!$P$89,K$7&lt;=INPUTS!$Q$89),"S",IF(AND(INPUTS!$E$89="Yes",K$16=1,K$7&gt;=INPUTS!$R$89,K$7&lt;=INPUTS!$S$89),"C",IF(AND(INPUTS!$E$89="Yes",K$17=1,K$7&gt;INPUTS!$S$89),"✓",""))))</f>
        <v>S+C</v>
      </c>
      <c r="L22" s="105" t="str">
        <f aca="false">IF(AND(AND(INPUTS!$E$89="Yes",L$16=1,L$7&gt;=INPUTS!$P$89,L$7&lt;=INPUTS!$Q$89),AND(INPUTS!$E$89="Yes",L$16=1,L$7&gt;=INPUTS!$R$89,L$7&lt;=INPUTS!$S$89)),"S+C",IF(AND(INPUTS!$E$89="Yes",L$16=1,L$7&gt;=INPUTS!$P$89,L$7&lt;=INPUTS!$Q$89),"S",IF(AND(INPUTS!$E$89="Yes",L$16=1,L$7&gt;=INPUTS!$R$89,L$7&lt;=INPUTS!$S$89),"C",IF(AND(INPUTS!$E$89="Yes",L$17=1,L$7&gt;INPUTS!$S$89),"✓",""))))</f>
        <v>S+C</v>
      </c>
      <c r="M22" s="105" t="str">
        <f aca="false">IF(AND(AND(INPUTS!$E$89="Yes",M$16=1,M$7&gt;=INPUTS!$P$89,M$7&lt;=INPUTS!$Q$89),AND(INPUTS!$E$89="Yes",M$16=1,M$7&gt;=INPUTS!$R$89,M$7&lt;=INPUTS!$S$89)),"S+C",IF(AND(INPUTS!$E$89="Yes",M$16=1,M$7&gt;=INPUTS!$P$89,M$7&lt;=INPUTS!$Q$89),"S",IF(AND(INPUTS!$E$89="Yes",M$16=1,M$7&gt;=INPUTS!$R$89,M$7&lt;=INPUTS!$S$89),"C",IF(AND(INPUTS!$E$89="Yes",M$17=1,M$7&gt;INPUTS!$S$89),"✓",""))))</f>
        <v>S+C</v>
      </c>
      <c r="N22" s="105" t="str">
        <f aca="false">IF(AND(AND(INPUTS!$E$89="Yes",N$16=1,N$7&gt;=INPUTS!$P$89,N$7&lt;=INPUTS!$Q$89),AND(INPUTS!$E$89="Yes",N$16=1,N$7&gt;=INPUTS!$R$89,N$7&lt;=INPUTS!$S$89)),"S+C",IF(AND(INPUTS!$E$89="Yes",N$16=1,N$7&gt;=INPUTS!$P$89,N$7&lt;=INPUTS!$Q$89),"S",IF(AND(INPUTS!$E$89="Yes",N$16=1,N$7&gt;=INPUTS!$R$89,N$7&lt;=INPUTS!$S$89),"C",IF(AND(INPUTS!$E$89="Yes",N$17=1,N$7&gt;INPUTS!$S$89),"✓",""))))</f>
        <v>S+C</v>
      </c>
      <c r="O22" s="105" t="str">
        <f aca="false">IF(AND(AND(INPUTS!$E$89="Yes",O$16=1,O$7&gt;=INPUTS!$P$89,O$7&lt;=INPUTS!$Q$89),AND(INPUTS!$E$89="Yes",O$16=1,O$7&gt;=INPUTS!$R$89,O$7&lt;=INPUTS!$S$89)),"S+C",IF(AND(INPUTS!$E$89="Yes",O$16=1,O$7&gt;=INPUTS!$P$89,O$7&lt;=INPUTS!$Q$89),"S",IF(AND(INPUTS!$E$89="Yes",O$16=1,O$7&gt;=INPUTS!$R$89,O$7&lt;=INPUTS!$S$89),"C",IF(AND(INPUTS!$E$89="Yes",O$17=1,O$7&gt;INPUTS!$S$89),"✓",""))))</f>
        <v>S+C</v>
      </c>
      <c r="P22" s="105" t="str">
        <f aca="false">IF(AND(AND(INPUTS!$E$89="Yes",P$16=1,P$7&gt;=INPUTS!$P$89,P$7&lt;=INPUTS!$Q$89),AND(INPUTS!$E$89="Yes",P$16=1,P$7&gt;=INPUTS!$R$89,P$7&lt;=INPUTS!$S$89)),"S+C",IF(AND(INPUTS!$E$89="Yes",P$16=1,P$7&gt;=INPUTS!$P$89,P$7&lt;=INPUTS!$Q$89),"S",IF(AND(INPUTS!$E$89="Yes",P$16=1,P$7&gt;=INPUTS!$R$89,P$7&lt;=INPUTS!$S$89),"C",IF(AND(INPUTS!$E$89="Yes",P$17=1,P$7&gt;INPUTS!$S$89),"✓",""))))</f>
        <v>S+C</v>
      </c>
      <c r="Q22" s="105" t="str">
        <f aca="false">IF(AND(AND(INPUTS!$E$89="Yes",Q$16=1,Q$7&gt;=INPUTS!$P$89,Q$7&lt;=INPUTS!$Q$89),AND(INPUTS!$E$89="Yes",Q$16=1,Q$7&gt;=INPUTS!$R$89,Q$7&lt;=INPUTS!$S$89)),"S+C",IF(AND(INPUTS!$E$89="Yes",Q$16=1,Q$7&gt;=INPUTS!$P$89,Q$7&lt;=INPUTS!$Q$89),"S",IF(AND(INPUTS!$E$89="Yes",Q$16=1,Q$7&gt;=INPUTS!$R$89,Q$7&lt;=INPUTS!$S$89),"C",IF(AND(INPUTS!$E$89="Yes",Q$17=1,Q$7&gt;INPUTS!$S$89),"✓",""))))</f>
        <v>S+C</v>
      </c>
      <c r="R22" s="105" t="str">
        <f aca="false">IF(AND(AND(INPUTS!$E$89="Yes",R$16=1,R$7&gt;=INPUTS!$P$89,R$7&lt;=INPUTS!$Q$89),AND(INPUTS!$E$89="Yes",R$16=1,R$7&gt;=INPUTS!$R$89,R$7&lt;=INPUTS!$S$89)),"S+C",IF(AND(INPUTS!$E$89="Yes",R$16=1,R$7&gt;=INPUTS!$P$89,R$7&lt;=INPUTS!$Q$89),"S",IF(AND(INPUTS!$E$89="Yes",R$16=1,R$7&gt;=INPUTS!$R$89,R$7&lt;=INPUTS!$S$89),"C",IF(AND(INPUTS!$E$89="Yes",R$17=1,R$7&gt;INPUTS!$S$89),"✓",""))))</f>
        <v>S+C</v>
      </c>
      <c r="S22" s="105" t="str">
        <f aca="false">IF(AND(AND(INPUTS!$E$89="Yes",S$16=1,S$7&gt;=INPUTS!$P$89,S$7&lt;=INPUTS!$Q$89),AND(INPUTS!$E$89="Yes",S$16=1,S$7&gt;=INPUTS!$R$89,S$7&lt;=INPUTS!$S$89)),"S+C",IF(AND(INPUTS!$E$89="Yes",S$16=1,S$7&gt;=INPUTS!$P$89,S$7&lt;=INPUTS!$Q$89),"S",IF(AND(INPUTS!$E$89="Yes",S$16=1,S$7&gt;=INPUTS!$R$89,S$7&lt;=INPUTS!$S$89),"C",IF(AND(INPUTS!$E$89="Yes",S$17=1,S$7&gt;INPUTS!$S$89),"✓",""))))</f>
        <v>C</v>
      </c>
      <c r="T22" s="105" t="str">
        <f aca="false">IF(AND(AND(INPUTS!$E$89="Yes",T$16=1,T$7&gt;=INPUTS!$P$89,T$7&lt;=INPUTS!$Q$89),AND(INPUTS!$E$89="Yes",T$16=1,T$7&gt;=INPUTS!$R$89,T$7&lt;=INPUTS!$S$89)),"S+C",IF(AND(INPUTS!$E$89="Yes",T$16=1,T$7&gt;=INPUTS!$P$89,T$7&lt;=INPUTS!$Q$89),"S",IF(AND(INPUTS!$E$89="Yes",T$16=1,T$7&gt;=INPUTS!$R$89,T$7&lt;=INPUTS!$S$89),"C",IF(AND(INPUTS!$E$89="Yes",T$17=1,T$7&gt;INPUTS!$S$89),"✓",""))))</f>
        <v>C</v>
      </c>
      <c r="U22" s="105" t="str">
        <f aca="false">IF(AND(AND(INPUTS!$E$89="Yes",U$16=1,U$7&gt;=INPUTS!$P$89,U$7&lt;=INPUTS!$Q$89),AND(INPUTS!$E$89="Yes",U$16=1,U$7&gt;=INPUTS!$R$89,U$7&lt;=INPUTS!$S$89)),"S+C",IF(AND(INPUTS!$E$89="Yes",U$16=1,U$7&gt;=INPUTS!$P$89,U$7&lt;=INPUTS!$Q$89),"S",IF(AND(INPUTS!$E$89="Yes",U$16=1,U$7&gt;=INPUTS!$R$89,U$7&lt;=INPUTS!$S$89),"C",IF(AND(INPUTS!$E$89="Yes",U$17=1,U$7&gt;INPUTS!$S$89),"✓",""))))</f>
        <v>C</v>
      </c>
      <c r="V22" s="105" t="str">
        <f aca="false">IF(AND(AND(INPUTS!$E$89="Yes",V$16=1,V$7&gt;=INPUTS!$P$89,V$7&lt;=INPUTS!$Q$89),AND(INPUTS!$E$89="Yes",V$16=1,V$7&gt;=INPUTS!$R$89,V$7&lt;=INPUTS!$S$89)),"S+C",IF(AND(INPUTS!$E$89="Yes",V$16=1,V$7&gt;=INPUTS!$P$89,V$7&lt;=INPUTS!$Q$89),"S",IF(AND(INPUTS!$E$89="Yes",V$16=1,V$7&gt;=INPUTS!$R$89,V$7&lt;=INPUTS!$S$89),"C",IF(AND(INPUTS!$E$89="Yes",V$17=1,V$7&gt;INPUTS!$S$89),"✓",""))))</f>
        <v>C</v>
      </c>
      <c r="W22" s="105" t="str">
        <f aca="false">IF(AND(AND(INPUTS!$E$89="Yes",W$16=1,W$7&gt;=INPUTS!$P$89,W$7&lt;=INPUTS!$Q$89),AND(INPUTS!$E$89="Yes",W$16=1,W$7&gt;=INPUTS!$R$89,W$7&lt;=INPUTS!$S$89)),"S+C",IF(AND(INPUTS!$E$89="Yes",W$16=1,W$7&gt;=INPUTS!$P$89,W$7&lt;=INPUTS!$Q$89),"S",IF(AND(INPUTS!$E$89="Yes",W$16=1,W$7&gt;=INPUTS!$R$89,W$7&lt;=INPUTS!$S$89),"C",IF(AND(INPUTS!$E$89="Yes",W$17=1,W$7&gt;INPUTS!$S$89),"✓",""))))</f>
        <v>C</v>
      </c>
      <c r="X22" s="105" t="str">
        <f aca="false">IF(AND(AND(INPUTS!$E$89="Yes",X$16=1,X$7&gt;=INPUTS!$P$89,X$7&lt;=INPUTS!$Q$89),AND(INPUTS!$E$89="Yes",X$16=1,X$7&gt;=INPUTS!$R$89,X$7&lt;=INPUTS!$S$89)),"S+C",IF(AND(INPUTS!$E$89="Yes",X$16=1,X$7&gt;=INPUTS!$P$89,X$7&lt;=INPUTS!$Q$89),"S",IF(AND(INPUTS!$E$89="Yes",X$16=1,X$7&gt;=INPUTS!$R$89,X$7&lt;=INPUTS!$S$89),"C",IF(AND(INPUTS!$E$89="Yes",X$17=1,X$7&gt;INPUTS!$S$89),"✓",""))))</f>
        <v/>
      </c>
      <c r="Y22" s="105" t="str">
        <f aca="false">IF(AND(AND(INPUTS!$E$89="Yes",Y$16=1,Y$7&gt;=INPUTS!$P$89,Y$7&lt;=INPUTS!$Q$89),AND(INPUTS!$E$89="Yes",Y$16=1,Y$7&gt;=INPUTS!$R$89,Y$7&lt;=INPUTS!$S$89)),"S+C",IF(AND(INPUTS!$E$89="Yes",Y$16=1,Y$7&gt;=INPUTS!$P$89,Y$7&lt;=INPUTS!$Q$89),"S",IF(AND(INPUTS!$E$89="Yes",Y$16=1,Y$7&gt;=INPUTS!$R$89,Y$7&lt;=INPUTS!$S$89),"C",IF(AND(INPUTS!$E$89="Yes",Y$17=1,Y$7&gt;INPUTS!$S$89),"✓",""))))</f>
        <v/>
      </c>
      <c r="Z22" s="105" t="str">
        <f aca="false">IF(AND(AND(INPUTS!$E$89="Yes",Z$16=1,Z$7&gt;=INPUTS!$P$89,Z$7&lt;=INPUTS!$Q$89),AND(INPUTS!$E$89="Yes",Z$16=1,Z$7&gt;=INPUTS!$R$89,Z$7&lt;=INPUTS!$S$89)),"S+C",IF(AND(INPUTS!$E$89="Yes",Z$16=1,Z$7&gt;=INPUTS!$P$89,Z$7&lt;=INPUTS!$Q$89),"S",IF(AND(INPUTS!$E$89="Yes",Z$16=1,Z$7&gt;=INPUTS!$R$89,Z$7&lt;=INPUTS!$S$89),"C",IF(AND(INPUTS!$E$89="Yes",Z$17=1,Z$7&gt;INPUTS!$S$89),"✓",""))))</f>
        <v/>
      </c>
      <c r="AA22" s="105" t="str">
        <f aca="false">IF(AND(AND(INPUTS!$E$89="Yes",AA$16=1,AA$7&gt;=INPUTS!$P$89,AA$7&lt;=INPUTS!$Q$89),AND(INPUTS!$E$89="Yes",AA$16=1,AA$7&gt;=INPUTS!$R$89,AA$7&lt;=INPUTS!$S$89)),"S+C",IF(AND(INPUTS!$E$89="Yes",AA$16=1,AA$7&gt;=INPUTS!$P$89,AA$7&lt;=INPUTS!$Q$89),"S",IF(AND(INPUTS!$E$89="Yes",AA$16=1,AA$7&gt;=INPUTS!$R$89,AA$7&lt;=INPUTS!$S$89),"C",IF(AND(INPUTS!$E$89="Yes",AA$17=1,AA$7&gt;INPUTS!$S$89),"✓",""))))</f>
        <v/>
      </c>
      <c r="AB22" s="105" t="str">
        <f aca="false">IF(AND(AND(INPUTS!$E$89="Yes",AB$16=1,AB$7&gt;=INPUTS!$P$89,AB$7&lt;=INPUTS!$Q$89),AND(INPUTS!$E$89="Yes",AB$16=1,AB$7&gt;=INPUTS!$R$89,AB$7&lt;=INPUTS!$S$89)),"S+C",IF(AND(INPUTS!$E$89="Yes",AB$16=1,AB$7&gt;=INPUTS!$P$89,AB$7&lt;=INPUTS!$Q$89),"S",IF(AND(INPUTS!$E$89="Yes",AB$16=1,AB$7&gt;=INPUTS!$R$89,AB$7&lt;=INPUTS!$S$89),"C",IF(AND(INPUTS!$E$89="Yes",AB$17=1,AB$7&gt;INPUTS!$S$89),"✓",""))))</f>
        <v/>
      </c>
      <c r="AC22" s="105" t="str">
        <f aca="false">IF(AND(AND(INPUTS!$E$89="Yes",AC$16=1,AC$7&gt;=INPUTS!$P$89,AC$7&lt;=INPUTS!$Q$89),AND(INPUTS!$E$89="Yes",AC$16=1,AC$7&gt;=INPUTS!$R$89,AC$7&lt;=INPUTS!$S$89)),"S+C",IF(AND(INPUTS!$E$89="Yes",AC$16=1,AC$7&gt;=INPUTS!$P$89,AC$7&lt;=INPUTS!$Q$89),"S",IF(AND(INPUTS!$E$89="Yes",AC$16=1,AC$7&gt;=INPUTS!$R$89,AC$7&lt;=INPUTS!$S$89),"C",IF(AND(INPUTS!$E$89="Yes",AC$17=1,AC$7&gt;INPUTS!$S$89),"✓",""))))</f>
        <v/>
      </c>
      <c r="AD22" s="105" t="str">
        <f aca="false">IF(AND(AND(INPUTS!$E$89="Yes",AD$16=1,AD$7&gt;=INPUTS!$P$89,AD$7&lt;=INPUTS!$Q$89),AND(INPUTS!$E$89="Yes",AD$16=1,AD$7&gt;=INPUTS!$R$89,AD$7&lt;=INPUTS!$S$89)),"S+C",IF(AND(INPUTS!$E$89="Yes",AD$16=1,AD$7&gt;=INPUTS!$P$89,AD$7&lt;=INPUTS!$Q$89),"S",IF(AND(INPUTS!$E$89="Yes",AD$16=1,AD$7&gt;=INPUTS!$R$89,AD$7&lt;=INPUTS!$S$89),"C",IF(AND(INPUTS!$E$89="Yes",AD$17=1,AD$7&gt;INPUTS!$S$89),"✓",""))))</f>
        <v/>
      </c>
      <c r="AE22" s="105" t="str">
        <f aca="false">IF(AND(AND(INPUTS!$E$89="Yes",AE$16=1,AE$7&gt;=INPUTS!$P$89,AE$7&lt;=INPUTS!$Q$89),AND(INPUTS!$E$89="Yes",AE$16=1,AE$7&gt;=INPUTS!$R$89,AE$7&lt;=INPUTS!$S$89)),"S+C",IF(AND(INPUTS!$E$89="Yes",AE$16=1,AE$7&gt;=INPUTS!$P$89,AE$7&lt;=INPUTS!$Q$89),"S",IF(AND(INPUTS!$E$89="Yes",AE$16=1,AE$7&gt;=INPUTS!$R$89,AE$7&lt;=INPUTS!$S$89),"C",IF(AND(INPUTS!$E$89="Yes",AE$17=1,AE$7&gt;INPUTS!$S$89),"✓",""))))</f>
        <v/>
      </c>
      <c r="AF22" s="105" t="str">
        <f aca="false">IF(AND(AND(INPUTS!$E$89="Yes",AF$16=1,AF$7&gt;=INPUTS!$P$89,AF$7&lt;=INPUTS!$Q$89),AND(INPUTS!$E$89="Yes",AF$16=1,AF$7&gt;=INPUTS!$R$89,AF$7&lt;=INPUTS!$S$89)),"S+C",IF(AND(INPUTS!$E$89="Yes",AF$16=1,AF$7&gt;=INPUTS!$P$89,AF$7&lt;=INPUTS!$Q$89),"S",IF(AND(INPUTS!$E$89="Yes",AF$16=1,AF$7&gt;=INPUTS!$R$89,AF$7&lt;=INPUTS!$S$89),"C",IF(AND(INPUTS!$E$89="Yes",AF$17=1,AF$7&gt;INPUTS!$S$89),"✓",""))))</f>
        <v/>
      </c>
      <c r="AG22" s="105" t="str">
        <f aca="false">IF(AND(AND(INPUTS!$E$89="Yes",AG$16=1,AG$7&gt;=INPUTS!$P$89,AG$7&lt;=INPUTS!$Q$89),AND(INPUTS!$E$89="Yes",AG$16=1,AG$7&gt;=INPUTS!$R$89,AG$7&lt;=INPUTS!$S$89)),"S+C",IF(AND(INPUTS!$E$89="Yes",AG$16=1,AG$7&gt;=INPUTS!$P$89,AG$7&lt;=INPUTS!$Q$89),"S",IF(AND(INPUTS!$E$89="Yes",AG$16=1,AG$7&gt;=INPUTS!$R$89,AG$7&lt;=INPUTS!$S$89),"C",IF(AND(INPUTS!$E$89="Yes",AG$17=1,AG$7&gt;INPUTS!$S$89),"✓",""))))</f>
        <v/>
      </c>
      <c r="AH22" s="105" t="str">
        <f aca="false">IF(AND(AND(INPUTS!$E$89="Yes",AH$16=1,AH$7&gt;=INPUTS!$P$89,AH$7&lt;=INPUTS!$Q$89),AND(INPUTS!$E$89="Yes",AH$16=1,AH$7&gt;=INPUTS!$R$89,AH$7&lt;=INPUTS!$S$89)),"S+C",IF(AND(INPUTS!$E$89="Yes",AH$16=1,AH$7&gt;=INPUTS!$P$89,AH$7&lt;=INPUTS!$Q$89),"S",IF(AND(INPUTS!$E$89="Yes",AH$16=1,AH$7&gt;=INPUTS!$R$89,AH$7&lt;=INPUTS!$S$89),"C",IF(AND(INPUTS!$E$89="Yes",AH$17=1,AH$7&gt;INPUTS!$S$89),"✓",""))))</f>
        <v/>
      </c>
      <c r="AI22" s="105" t="str">
        <f aca="false">IF(AND(AND(INPUTS!$E$89="Yes",AI$16=1,AI$7&gt;=INPUTS!$P$89,AI$7&lt;=INPUTS!$Q$89),AND(INPUTS!$E$89="Yes",AI$16=1,AI$7&gt;=INPUTS!$R$89,AI$7&lt;=INPUTS!$S$89)),"S+C",IF(AND(INPUTS!$E$89="Yes",AI$16=1,AI$7&gt;=INPUTS!$P$89,AI$7&lt;=INPUTS!$Q$89),"S",IF(AND(INPUTS!$E$89="Yes",AI$16=1,AI$7&gt;=INPUTS!$R$89,AI$7&lt;=INPUTS!$S$89),"C",IF(AND(INPUTS!$E$89="Yes",AI$17=1,AI$7&gt;INPUTS!$S$89),"✓",""))))</f>
        <v/>
      </c>
      <c r="AJ22" s="105" t="str">
        <f aca="false">IF(AND(AND(INPUTS!$E$89="Yes",AJ$16=1,AJ$7&gt;=INPUTS!$P$89,AJ$7&lt;=INPUTS!$Q$89),AND(INPUTS!$E$89="Yes",AJ$16=1,AJ$7&gt;=INPUTS!$R$89,AJ$7&lt;=INPUTS!$S$89)),"S+C",IF(AND(INPUTS!$E$89="Yes",AJ$16=1,AJ$7&gt;=INPUTS!$P$89,AJ$7&lt;=INPUTS!$Q$89),"S",IF(AND(INPUTS!$E$89="Yes",AJ$16=1,AJ$7&gt;=INPUTS!$R$89,AJ$7&lt;=INPUTS!$S$89),"C",IF(AND(INPUTS!$E$89="Yes",AJ$17=1,AJ$7&gt;INPUTS!$S$89),"✓",""))))</f>
        <v/>
      </c>
      <c r="AK22" s="105" t="str">
        <f aca="false">IF(AND(AND(INPUTS!$E$89="Yes",AK$16=1,AK$7&gt;=INPUTS!$P$89,AK$7&lt;=INPUTS!$Q$89),AND(INPUTS!$E$89="Yes",AK$16=1,AK$7&gt;=INPUTS!$R$89,AK$7&lt;=INPUTS!$S$89)),"S+C",IF(AND(INPUTS!$E$89="Yes",AK$16=1,AK$7&gt;=INPUTS!$P$89,AK$7&lt;=INPUTS!$Q$89),"S",IF(AND(INPUTS!$E$89="Yes",AK$16=1,AK$7&gt;=INPUTS!$R$89,AK$7&lt;=INPUTS!$S$89),"C",IF(AND(INPUTS!$E$89="Yes",AK$17=1,AK$7&gt;INPUTS!$S$89),"✓",""))))</f>
        <v/>
      </c>
      <c r="AL22" s="105" t="str">
        <f aca="false">IF(AND(AND(INPUTS!$E$89="Yes",AL$16=1,AL$7&gt;=INPUTS!$P$89,AL$7&lt;=INPUTS!$Q$89),AND(INPUTS!$E$89="Yes",AL$16=1,AL$7&gt;=INPUTS!$R$89,AL$7&lt;=INPUTS!$S$89)),"S+C",IF(AND(INPUTS!$E$89="Yes",AL$16=1,AL$7&gt;=INPUTS!$P$89,AL$7&lt;=INPUTS!$Q$89),"S",IF(AND(INPUTS!$E$89="Yes",AL$16=1,AL$7&gt;=INPUTS!$R$89,AL$7&lt;=INPUTS!$S$89),"C",IF(AND(INPUTS!$E$89="Yes",AL$17=1,AL$7&gt;INPUTS!$S$89),"✓",""))))</f>
        <v/>
      </c>
      <c r="AM22" s="105" t="str">
        <f aca="false">IF(AND(AND(INPUTS!$E$89="Yes",AM$16=1,AM$7&gt;=INPUTS!$P$89,AM$7&lt;=INPUTS!$Q$89),AND(INPUTS!$E$89="Yes",AM$16=1,AM$7&gt;=INPUTS!$R$89,AM$7&lt;=INPUTS!$S$89)),"S+C",IF(AND(INPUTS!$E$89="Yes",AM$16=1,AM$7&gt;=INPUTS!$P$89,AM$7&lt;=INPUTS!$Q$89),"S",IF(AND(INPUTS!$E$89="Yes",AM$16=1,AM$7&gt;=INPUTS!$R$89,AM$7&lt;=INPUTS!$S$89),"C",IF(AND(INPUTS!$E$89="Yes",AM$17=1,AM$7&gt;INPUTS!$S$89),"✓",""))))</f>
        <v/>
      </c>
      <c r="AN22" s="105" t="str">
        <f aca="false">IF(AND(AND(INPUTS!$E$89="Yes",AN$16=1,AN$7&gt;=INPUTS!$P$89,AN$7&lt;=INPUTS!$Q$89),AND(INPUTS!$E$89="Yes",AN$16=1,AN$7&gt;=INPUTS!$R$89,AN$7&lt;=INPUTS!$S$89)),"S+C",IF(AND(INPUTS!$E$89="Yes",AN$16=1,AN$7&gt;=INPUTS!$P$89,AN$7&lt;=INPUTS!$Q$89),"S",IF(AND(INPUTS!$E$89="Yes",AN$16=1,AN$7&gt;=INPUTS!$R$89,AN$7&lt;=INPUTS!$S$89),"C",IF(AND(INPUTS!$E$89="Yes",AN$17=1,AN$7&gt;INPUTS!$S$89),"✓",""))))</f>
        <v/>
      </c>
      <c r="AO22" s="105" t="str">
        <f aca="false">IF(AND(AND(INPUTS!$E$89="Yes",AO$16=1,AO$7&gt;=INPUTS!$P$89,AO$7&lt;=INPUTS!$Q$89),AND(INPUTS!$E$89="Yes",AO$16=1,AO$7&gt;=INPUTS!$R$89,AO$7&lt;=INPUTS!$S$89)),"S+C",IF(AND(INPUTS!$E$89="Yes",AO$16=1,AO$7&gt;=INPUTS!$P$89,AO$7&lt;=INPUTS!$Q$89),"S",IF(AND(INPUTS!$E$89="Yes",AO$16=1,AO$7&gt;=INPUTS!$R$89,AO$7&lt;=INPUTS!$S$89),"C",IF(AND(INPUTS!$E$89="Yes",AO$17=1,AO$7&gt;INPUTS!$S$89),"✓",""))))</f>
        <v/>
      </c>
      <c r="AP22" s="105" t="str">
        <f aca="false">IF(AND(AND(INPUTS!$E$89="Yes",AP$16=1,AP$7&gt;=INPUTS!$P$89,AP$7&lt;=INPUTS!$Q$89),AND(INPUTS!$E$89="Yes",AP$16=1,AP$7&gt;=INPUTS!$R$89,AP$7&lt;=INPUTS!$S$89)),"S+C",IF(AND(INPUTS!$E$89="Yes",AP$16=1,AP$7&gt;=INPUTS!$P$89,AP$7&lt;=INPUTS!$Q$89),"S",IF(AND(INPUTS!$E$89="Yes",AP$16=1,AP$7&gt;=INPUTS!$R$89,AP$7&lt;=INPUTS!$S$89),"C",IF(AND(INPUTS!$E$89="Yes",AP$17=1,AP$7&gt;INPUTS!$S$89),"✓",""))))</f>
        <v/>
      </c>
      <c r="AQ22" s="105" t="str">
        <f aca="false">IF(AND(AND(INPUTS!$E$89="Yes",AQ$16=1,AQ$7&gt;=INPUTS!$P$89,AQ$7&lt;=INPUTS!$Q$89),AND(INPUTS!$E$89="Yes",AQ$16=1,AQ$7&gt;=INPUTS!$R$89,AQ$7&lt;=INPUTS!$S$89)),"S+C",IF(AND(INPUTS!$E$89="Yes",AQ$16=1,AQ$7&gt;=INPUTS!$P$89,AQ$7&lt;=INPUTS!$Q$89),"S",IF(AND(INPUTS!$E$89="Yes",AQ$16=1,AQ$7&gt;=INPUTS!$R$89,AQ$7&lt;=INPUTS!$S$89),"C",IF(AND(INPUTS!$E$89="Yes",AQ$17=1,AQ$7&gt;INPUTS!$S$89),"✓",""))))</f>
        <v/>
      </c>
    </row>
    <row r="23" customFormat="false" ht="15" hidden="false" customHeight="false" outlineLevel="0" collapsed="false">
      <c r="B23" s="7" t="str">
        <f aca="false">IF(INPUTS!$E$90="Yes",INPUTS!$B$90,"(product row 3 – off)")</f>
        <v>Studios</v>
      </c>
      <c r="D23" s="105" t="str">
        <f aca="false">IF(AND(AND(INPUTS!$E$90="Yes",D$16=1,D$7&gt;=INPUTS!$P$90,D$7&lt;=INPUTS!$Q$90),AND(INPUTS!$E$90="Yes",D$16=1,D$7&gt;=INPUTS!$R$90,D$7&lt;=INPUTS!$S$90)),"S+C",IF(AND(INPUTS!$E$90="Yes",D$16=1,D$7&gt;=INPUTS!$P$90,D$7&lt;=INPUTS!$Q$90),"S",IF(AND(INPUTS!$E$90="Yes",D$16=1,D$7&gt;=INPUTS!$R$90,D$7&lt;=INPUTS!$S$90),"C",IF(AND(INPUTS!$E$90="Yes",D$17=1,D$7&gt;INPUTS!$S$90),"✓",""))))</f>
        <v/>
      </c>
      <c r="E23" s="105" t="str">
        <f aca="false">IF(AND(AND(INPUTS!$E$90="Yes",E$16=1,E$7&gt;=INPUTS!$P$90,E$7&lt;=INPUTS!$Q$90),AND(INPUTS!$E$90="Yes",E$16=1,E$7&gt;=INPUTS!$R$90,E$7&lt;=INPUTS!$S$90)),"S+C",IF(AND(INPUTS!$E$90="Yes",E$16=1,E$7&gt;=INPUTS!$P$90,E$7&lt;=INPUTS!$Q$90),"S",IF(AND(INPUTS!$E$90="Yes",E$16=1,E$7&gt;=INPUTS!$R$90,E$7&lt;=INPUTS!$S$90),"C",IF(AND(INPUTS!$E$90="Yes",E$17=1,E$7&gt;INPUTS!$S$90),"✓",""))))</f>
        <v/>
      </c>
      <c r="F23" s="105" t="str">
        <f aca="false">IF(AND(AND(INPUTS!$E$90="Yes",F$16=1,F$7&gt;=INPUTS!$P$90,F$7&lt;=INPUTS!$Q$90),AND(INPUTS!$E$90="Yes",F$16=1,F$7&gt;=INPUTS!$R$90,F$7&lt;=INPUTS!$S$90)),"S+C",IF(AND(INPUTS!$E$90="Yes",F$16=1,F$7&gt;=INPUTS!$P$90,F$7&lt;=INPUTS!$Q$90),"S",IF(AND(INPUTS!$E$90="Yes",F$16=1,F$7&gt;=INPUTS!$R$90,F$7&lt;=INPUTS!$S$90),"C",IF(AND(INPUTS!$E$90="Yes",F$17=1,F$7&gt;INPUTS!$S$90),"✓",""))))</f>
        <v/>
      </c>
      <c r="G23" s="105" t="str">
        <f aca="false">IF(AND(AND(INPUTS!$E$90="Yes",G$16=1,G$7&gt;=INPUTS!$P$90,G$7&lt;=INPUTS!$Q$90),AND(INPUTS!$E$90="Yes",G$16=1,G$7&gt;=INPUTS!$R$90,G$7&lt;=INPUTS!$S$90)),"S+C",IF(AND(INPUTS!$E$90="Yes",G$16=1,G$7&gt;=INPUTS!$P$90,G$7&lt;=INPUTS!$Q$90),"S",IF(AND(INPUTS!$E$90="Yes",G$16=1,G$7&gt;=INPUTS!$R$90,G$7&lt;=INPUTS!$S$90),"C",IF(AND(INPUTS!$E$90="Yes",G$17=1,G$7&gt;INPUTS!$S$90),"✓",""))))</f>
        <v/>
      </c>
      <c r="H23" s="105" t="str">
        <f aca="false">IF(AND(AND(INPUTS!$E$90="Yes",H$16=1,H$7&gt;=INPUTS!$P$90,H$7&lt;=INPUTS!$Q$90),AND(INPUTS!$E$90="Yes",H$16=1,H$7&gt;=INPUTS!$R$90,H$7&lt;=INPUTS!$S$90)),"S+C",IF(AND(INPUTS!$E$90="Yes",H$16=1,H$7&gt;=INPUTS!$P$90,H$7&lt;=INPUTS!$Q$90),"S",IF(AND(INPUTS!$E$90="Yes",H$16=1,H$7&gt;=INPUTS!$R$90,H$7&lt;=INPUTS!$S$90),"C",IF(AND(INPUTS!$E$90="Yes",H$17=1,H$7&gt;INPUTS!$S$90),"✓",""))))</f>
        <v/>
      </c>
      <c r="I23" s="105" t="str">
        <f aca="false">IF(AND(AND(INPUTS!$E$90="Yes",I$16=1,I$7&gt;=INPUTS!$P$90,I$7&lt;=INPUTS!$Q$90),AND(INPUTS!$E$90="Yes",I$16=1,I$7&gt;=INPUTS!$R$90,I$7&lt;=INPUTS!$S$90)),"S+C",IF(AND(INPUTS!$E$90="Yes",I$16=1,I$7&gt;=INPUTS!$P$90,I$7&lt;=INPUTS!$Q$90),"S",IF(AND(INPUTS!$E$90="Yes",I$16=1,I$7&gt;=INPUTS!$R$90,I$7&lt;=INPUTS!$S$90),"C",IF(AND(INPUTS!$E$90="Yes",I$17=1,I$7&gt;INPUTS!$S$90),"✓",""))))</f>
        <v>S+C</v>
      </c>
      <c r="J23" s="105" t="str">
        <f aca="false">IF(AND(AND(INPUTS!$E$90="Yes",J$16=1,J$7&gt;=INPUTS!$P$90,J$7&lt;=INPUTS!$Q$90),AND(INPUTS!$E$90="Yes",J$16=1,J$7&gt;=INPUTS!$R$90,J$7&lt;=INPUTS!$S$90)),"S+C",IF(AND(INPUTS!$E$90="Yes",J$16=1,J$7&gt;=INPUTS!$P$90,J$7&lt;=INPUTS!$Q$90),"S",IF(AND(INPUTS!$E$90="Yes",J$16=1,J$7&gt;=INPUTS!$R$90,J$7&lt;=INPUTS!$S$90),"C",IF(AND(INPUTS!$E$90="Yes",J$17=1,J$7&gt;INPUTS!$S$90),"✓",""))))</f>
        <v>S+C</v>
      </c>
      <c r="K23" s="105" t="str">
        <f aca="false">IF(AND(AND(INPUTS!$E$90="Yes",K$16=1,K$7&gt;=INPUTS!$P$90,K$7&lt;=INPUTS!$Q$90),AND(INPUTS!$E$90="Yes",K$16=1,K$7&gt;=INPUTS!$R$90,K$7&lt;=INPUTS!$S$90)),"S+C",IF(AND(INPUTS!$E$90="Yes",K$16=1,K$7&gt;=INPUTS!$P$90,K$7&lt;=INPUTS!$Q$90),"S",IF(AND(INPUTS!$E$90="Yes",K$16=1,K$7&gt;=INPUTS!$R$90,K$7&lt;=INPUTS!$S$90),"C",IF(AND(INPUTS!$E$90="Yes",K$17=1,K$7&gt;INPUTS!$S$90),"✓",""))))</f>
        <v>S+C</v>
      </c>
      <c r="L23" s="105" t="str">
        <f aca="false">IF(AND(AND(INPUTS!$E$90="Yes",L$16=1,L$7&gt;=INPUTS!$P$90,L$7&lt;=INPUTS!$Q$90),AND(INPUTS!$E$90="Yes",L$16=1,L$7&gt;=INPUTS!$R$90,L$7&lt;=INPUTS!$S$90)),"S+C",IF(AND(INPUTS!$E$90="Yes",L$16=1,L$7&gt;=INPUTS!$P$90,L$7&lt;=INPUTS!$Q$90),"S",IF(AND(INPUTS!$E$90="Yes",L$16=1,L$7&gt;=INPUTS!$R$90,L$7&lt;=INPUTS!$S$90),"C",IF(AND(INPUTS!$E$90="Yes",L$17=1,L$7&gt;INPUTS!$S$90),"✓",""))))</f>
        <v>S+C</v>
      </c>
      <c r="M23" s="105" t="str">
        <f aca="false">IF(AND(AND(INPUTS!$E$90="Yes",M$16=1,M$7&gt;=INPUTS!$P$90,M$7&lt;=INPUTS!$Q$90),AND(INPUTS!$E$90="Yes",M$16=1,M$7&gt;=INPUTS!$R$90,M$7&lt;=INPUTS!$S$90)),"S+C",IF(AND(INPUTS!$E$90="Yes",M$16=1,M$7&gt;=INPUTS!$P$90,M$7&lt;=INPUTS!$Q$90),"S",IF(AND(INPUTS!$E$90="Yes",M$16=1,M$7&gt;=INPUTS!$R$90,M$7&lt;=INPUTS!$S$90),"C",IF(AND(INPUTS!$E$90="Yes",M$17=1,M$7&gt;INPUTS!$S$90),"✓",""))))</f>
        <v>S+C</v>
      </c>
      <c r="N23" s="105" t="str">
        <f aca="false">IF(AND(AND(INPUTS!$E$90="Yes",N$16=1,N$7&gt;=INPUTS!$P$90,N$7&lt;=INPUTS!$Q$90),AND(INPUTS!$E$90="Yes",N$16=1,N$7&gt;=INPUTS!$R$90,N$7&lt;=INPUTS!$S$90)),"S+C",IF(AND(INPUTS!$E$90="Yes",N$16=1,N$7&gt;=INPUTS!$P$90,N$7&lt;=INPUTS!$Q$90),"S",IF(AND(INPUTS!$E$90="Yes",N$16=1,N$7&gt;=INPUTS!$R$90,N$7&lt;=INPUTS!$S$90),"C",IF(AND(INPUTS!$E$90="Yes",N$17=1,N$7&gt;INPUTS!$S$90),"✓",""))))</f>
        <v>S+C</v>
      </c>
      <c r="O23" s="105" t="str">
        <f aca="false">IF(AND(AND(INPUTS!$E$90="Yes",O$16=1,O$7&gt;=INPUTS!$P$90,O$7&lt;=INPUTS!$Q$90),AND(INPUTS!$E$90="Yes",O$16=1,O$7&gt;=INPUTS!$R$90,O$7&lt;=INPUTS!$S$90)),"S+C",IF(AND(INPUTS!$E$90="Yes",O$16=1,O$7&gt;=INPUTS!$P$90,O$7&lt;=INPUTS!$Q$90),"S",IF(AND(INPUTS!$E$90="Yes",O$16=1,O$7&gt;=INPUTS!$R$90,O$7&lt;=INPUTS!$S$90),"C",IF(AND(INPUTS!$E$90="Yes",O$17=1,O$7&gt;INPUTS!$S$90),"✓",""))))</f>
        <v>S+C</v>
      </c>
      <c r="P23" s="105" t="str">
        <f aca="false">IF(AND(AND(INPUTS!$E$90="Yes",P$16=1,P$7&gt;=INPUTS!$P$90,P$7&lt;=INPUTS!$Q$90),AND(INPUTS!$E$90="Yes",P$16=1,P$7&gt;=INPUTS!$R$90,P$7&lt;=INPUTS!$S$90)),"S+C",IF(AND(INPUTS!$E$90="Yes",P$16=1,P$7&gt;=INPUTS!$P$90,P$7&lt;=INPUTS!$Q$90),"S",IF(AND(INPUTS!$E$90="Yes",P$16=1,P$7&gt;=INPUTS!$R$90,P$7&lt;=INPUTS!$S$90),"C",IF(AND(INPUTS!$E$90="Yes",P$17=1,P$7&gt;INPUTS!$S$90),"✓",""))))</f>
        <v>S+C</v>
      </c>
      <c r="Q23" s="105" t="str">
        <f aca="false">IF(AND(AND(INPUTS!$E$90="Yes",Q$16=1,Q$7&gt;=INPUTS!$P$90,Q$7&lt;=INPUTS!$Q$90),AND(INPUTS!$E$90="Yes",Q$16=1,Q$7&gt;=INPUTS!$R$90,Q$7&lt;=INPUTS!$S$90)),"S+C",IF(AND(INPUTS!$E$90="Yes",Q$16=1,Q$7&gt;=INPUTS!$P$90,Q$7&lt;=INPUTS!$Q$90),"S",IF(AND(INPUTS!$E$90="Yes",Q$16=1,Q$7&gt;=INPUTS!$R$90,Q$7&lt;=INPUTS!$S$90),"C",IF(AND(INPUTS!$E$90="Yes",Q$17=1,Q$7&gt;INPUTS!$S$90),"✓",""))))</f>
        <v>C</v>
      </c>
      <c r="R23" s="105" t="str">
        <f aca="false">IF(AND(AND(INPUTS!$E$90="Yes",R$16=1,R$7&gt;=INPUTS!$P$90,R$7&lt;=INPUTS!$Q$90),AND(INPUTS!$E$90="Yes",R$16=1,R$7&gt;=INPUTS!$R$90,R$7&lt;=INPUTS!$S$90)),"S+C",IF(AND(INPUTS!$E$90="Yes",R$16=1,R$7&gt;=INPUTS!$P$90,R$7&lt;=INPUTS!$Q$90),"S",IF(AND(INPUTS!$E$90="Yes",R$16=1,R$7&gt;=INPUTS!$R$90,R$7&lt;=INPUTS!$S$90),"C",IF(AND(INPUTS!$E$90="Yes",R$17=1,R$7&gt;INPUTS!$S$90),"✓",""))))</f>
        <v>C</v>
      </c>
      <c r="S23" s="105" t="str">
        <f aca="false">IF(AND(AND(INPUTS!$E$90="Yes",S$16=1,S$7&gt;=INPUTS!$P$90,S$7&lt;=INPUTS!$Q$90),AND(INPUTS!$E$90="Yes",S$16=1,S$7&gt;=INPUTS!$R$90,S$7&lt;=INPUTS!$S$90)),"S+C",IF(AND(INPUTS!$E$90="Yes",S$16=1,S$7&gt;=INPUTS!$P$90,S$7&lt;=INPUTS!$Q$90),"S",IF(AND(INPUTS!$E$90="Yes",S$16=1,S$7&gt;=INPUTS!$R$90,S$7&lt;=INPUTS!$S$90),"C",IF(AND(INPUTS!$E$90="Yes",S$17=1,S$7&gt;INPUTS!$S$90),"✓",""))))</f>
        <v>C</v>
      </c>
      <c r="T23" s="105" t="str">
        <f aca="false">IF(AND(AND(INPUTS!$E$90="Yes",T$16=1,T$7&gt;=INPUTS!$P$90,T$7&lt;=INPUTS!$Q$90),AND(INPUTS!$E$90="Yes",T$16=1,T$7&gt;=INPUTS!$R$90,T$7&lt;=INPUTS!$S$90)),"S+C",IF(AND(INPUTS!$E$90="Yes",T$16=1,T$7&gt;=INPUTS!$P$90,T$7&lt;=INPUTS!$Q$90),"S",IF(AND(INPUTS!$E$90="Yes",T$16=1,T$7&gt;=INPUTS!$R$90,T$7&lt;=INPUTS!$S$90),"C",IF(AND(INPUTS!$E$90="Yes",T$17=1,T$7&gt;INPUTS!$S$90),"✓",""))))</f>
        <v>C</v>
      </c>
      <c r="U23" s="105" t="str">
        <f aca="false">IF(AND(AND(INPUTS!$E$90="Yes",U$16=1,U$7&gt;=INPUTS!$P$90,U$7&lt;=INPUTS!$Q$90),AND(INPUTS!$E$90="Yes",U$16=1,U$7&gt;=INPUTS!$R$90,U$7&lt;=INPUTS!$S$90)),"S+C",IF(AND(INPUTS!$E$90="Yes",U$16=1,U$7&gt;=INPUTS!$P$90,U$7&lt;=INPUTS!$Q$90),"S",IF(AND(INPUTS!$E$90="Yes",U$16=1,U$7&gt;=INPUTS!$R$90,U$7&lt;=INPUTS!$S$90),"C",IF(AND(INPUTS!$E$90="Yes",U$17=1,U$7&gt;INPUTS!$S$90),"✓",""))))</f>
        <v>✓</v>
      </c>
      <c r="V23" s="105" t="str">
        <f aca="false">IF(AND(AND(INPUTS!$E$90="Yes",V$16=1,V$7&gt;=INPUTS!$P$90,V$7&lt;=INPUTS!$Q$90),AND(INPUTS!$E$90="Yes",V$16=1,V$7&gt;=INPUTS!$R$90,V$7&lt;=INPUTS!$S$90)),"S+C",IF(AND(INPUTS!$E$90="Yes",V$16=1,V$7&gt;=INPUTS!$P$90,V$7&lt;=INPUTS!$Q$90),"S",IF(AND(INPUTS!$E$90="Yes",V$16=1,V$7&gt;=INPUTS!$R$90,V$7&lt;=INPUTS!$S$90),"C",IF(AND(INPUTS!$E$90="Yes",V$17=1,V$7&gt;INPUTS!$S$90),"✓",""))))</f>
        <v>✓</v>
      </c>
      <c r="W23" s="105" t="str">
        <f aca="false">IF(AND(AND(INPUTS!$E$90="Yes",W$16=1,W$7&gt;=INPUTS!$P$90,W$7&lt;=INPUTS!$Q$90),AND(INPUTS!$E$90="Yes",W$16=1,W$7&gt;=INPUTS!$R$90,W$7&lt;=INPUTS!$S$90)),"S+C",IF(AND(INPUTS!$E$90="Yes",W$16=1,W$7&gt;=INPUTS!$P$90,W$7&lt;=INPUTS!$Q$90),"S",IF(AND(INPUTS!$E$90="Yes",W$16=1,W$7&gt;=INPUTS!$R$90,W$7&lt;=INPUTS!$S$90),"C",IF(AND(INPUTS!$E$90="Yes",W$17=1,W$7&gt;INPUTS!$S$90),"✓",""))))</f>
        <v>✓</v>
      </c>
      <c r="X23" s="105" t="str">
        <f aca="false">IF(AND(AND(INPUTS!$E$90="Yes",X$16=1,X$7&gt;=INPUTS!$P$90,X$7&lt;=INPUTS!$Q$90),AND(INPUTS!$E$90="Yes",X$16=1,X$7&gt;=INPUTS!$R$90,X$7&lt;=INPUTS!$S$90)),"S+C",IF(AND(INPUTS!$E$90="Yes",X$16=1,X$7&gt;=INPUTS!$P$90,X$7&lt;=INPUTS!$Q$90),"S",IF(AND(INPUTS!$E$90="Yes",X$16=1,X$7&gt;=INPUTS!$R$90,X$7&lt;=INPUTS!$S$90),"C",IF(AND(INPUTS!$E$90="Yes",X$17=1,X$7&gt;INPUTS!$S$90),"✓",""))))</f>
        <v/>
      </c>
      <c r="Y23" s="105" t="str">
        <f aca="false">IF(AND(AND(INPUTS!$E$90="Yes",Y$16=1,Y$7&gt;=INPUTS!$P$90,Y$7&lt;=INPUTS!$Q$90),AND(INPUTS!$E$90="Yes",Y$16=1,Y$7&gt;=INPUTS!$R$90,Y$7&lt;=INPUTS!$S$90)),"S+C",IF(AND(INPUTS!$E$90="Yes",Y$16=1,Y$7&gt;=INPUTS!$P$90,Y$7&lt;=INPUTS!$Q$90),"S",IF(AND(INPUTS!$E$90="Yes",Y$16=1,Y$7&gt;=INPUTS!$R$90,Y$7&lt;=INPUTS!$S$90),"C",IF(AND(INPUTS!$E$90="Yes",Y$17=1,Y$7&gt;INPUTS!$S$90),"✓",""))))</f>
        <v/>
      </c>
      <c r="Z23" s="105" t="str">
        <f aca="false">IF(AND(AND(INPUTS!$E$90="Yes",Z$16=1,Z$7&gt;=INPUTS!$P$90,Z$7&lt;=INPUTS!$Q$90),AND(INPUTS!$E$90="Yes",Z$16=1,Z$7&gt;=INPUTS!$R$90,Z$7&lt;=INPUTS!$S$90)),"S+C",IF(AND(INPUTS!$E$90="Yes",Z$16=1,Z$7&gt;=INPUTS!$P$90,Z$7&lt;=INPUTS!$Q$90),"S",IF(AND(INPUTS!$E$90="Yes",Z$16=1,Z$7&gt;=INPUTS!$R$90,Z$7&lt;=INPUTS!$S$90),"C",IF(AND(INPUTS!$E$90="Yes",Z$17=1,Z$7&gt;INPUTS!$S$90),"✓",""))))</f>
        <v/>
      </c>
      <c r="AA23" s="105" t="str">
        <f aca="false">IF(AND(AND(INPUTS!$E$90="Yes",AA$16=1,AA$7&gt;=INPUTS!$P$90,AA$7&lt;=INPUTS!$Q$90),AND(INPUTS!$E$90="Yes",AA$16=1,AA$7&gt;=INPUTS!$R$90,AA$7&lt;=INPUTS!$S$90)),"S+C",IF(AND(INPUTS!$E$90="Yes",AA$16=1,AA$7&gt;=INPUTS!$P$90,AA$7&lt;=INPUTS!$Q$90),"S",IF(AND(INPUTS!$E$90="Yes",AA$16=1,AA$7&gt;=INPUTS!$R$90,AA$7&lt;=INPUTS!$S$90),"C",IF(AND(INPUTS!$E$90="Yes",AA$17=1,AA$7&gt;INPUTS!$S$90),"✓",""))))</f>
        <v/>
      </c>
      <c r="AB23" s="105" t="str">
        <f aca="false">IF(AND(AND(INPUTS!$E$90="Yes",AB$16=1,AB$7&gt;=INPUTS!$P$90,AB$7&lt;=INPUTS!$Q$90),AND(INPUTS!$E$90="Yes",AB$16=1,AB$7&gt;=INPUTS!$R$90,AB$7&lt;=INPUTS!$S$90)),"S+C",IF(AND(INPUTS!$E$90="Yes",AB$16=1,AB$7&gt;=INPUTS!$P$90,AB$7&lt;=INPUTS!$Q$90),"S",IF(AND(INPUTS!$E$90="Yes",AB$16=1,AB$7&gt;=INPUTS!$R$90,AB$7&lt;=INPUTS!$S$90),"C",IF(AND(INPUTS!$E$90="Yes",AB$17=1,AB$7&gt;INPUTS!$S$90),"✓",""))))</f>
        <v/>
      </c>
      <c r="AC23" s="105" t="str">
        <f aca="false">IF(AND(AND(INPUTS!$E$90="Yes",AC$16=1,AC$7&gt;=INPUTS!$P$90,AC$7&lt;=INPUTS!$Q$90),AND(INPUTS!$E$90="Yes",AC$16=1,AC$7&gt;=INPUTS!$R$90,AC$7&lt;=INPUTS!$S$90)),"S+C",IF(AND(INPUTS!$E$90="Yes",AC$16=1,AC$7&gt;=INPUTS!$P$90,AC$7&lt;=INPUTS!$Q$90),"S",IF(AND(INPUTS!$E$90="Yes",AC$16=1,AC$7&gt;=INPUTS!$R$90,AC$7&lt;=INPUTS!$S$90),"C",IF(AND(INPUTS!$E$90="Yes",AC$17=1,AC$7&gt;INPUTS!$S$90),"✓",""))))</f>
        <v/>
      </c>
      <c r="AD23" s="105" t="str">
        <f aca="false">IF(AND(AND(INPUTS!$E$90="Yes",AD$16=1,AD$7&gt;=INPUTS!$P$90,AD$7&lt;=INPUTS!$Q$90),AND(INPUTS!$E$90="Yes",AD$16=1,AD$7&gt;=INPUTS!$R$90,AD$7&lt;=INPUTS!$S$90)),"S+C",IF(AND(INPUTS!$E$90="Yes",AD$16=1,AD$7&gt;=INPUTS!$P$90,AD$7&lt;=INPUTS!$Q$90),"S",IF(AND(INPUTS!$E$90="Yes",AD$16=1,AD$7&gt;=INPUTS!$R$90,AD$7&lt;=INPUTS!$S$90),"C",IF(AND(INPUTS!$E$90="Yes",AD$17=1,AD$7&gt;INPUTS!$S$90),"✓",""))))</f>
        <v/>
      </c>
      <c r="AE23" s="105" t="str">
        <f aca="false">IF(AND(AND(INPUTS!$E$90="Yes",AE$16=1,AE$7&gt;=INPUTS!$P$90,AE$7&lt;=INPUTS!$Q$90),AND(INPUTS!$E$90="Yes",AE$16=1,AE$7&gt;=INPUTS!$R$90,AE$7&lt;=INPUTS!$S$90)),"S+C",IF(AND(INPUTS!$E$90="Yes",AE$16=1,AE$7&gt;=INPUTS!$P$90,AE$7&lt;=INPUTS!$Q$90),"S",IF(AND(INPUTS!$E$90="Yes",AE$16=1,AE$7&gt;=INPUTS!$R$90,AE$7&lt;=INPUTS!$S$90),"C",IF(AND(INPUTS!$E$90="Yes",AE$17=1,AE$7&gt;INPUTS!$S$90),"✓",""))))</f>
        <v/>
      </c>
      <c r="AF23" s="105" t="str">
        <f aca="false">IF(AND(AND(INPUTS!$E$90="Yes",AF$16=1,AF$7&gt;=INPUTS!$P$90,AF$7&lt;=INPUTS!$Q$90),AND(INPUTS!$E$90="Yes",AF$16=1,AF$7&gt;=INPUTS!$R$90,AF$7&lt;=INPUTS!$S$90)),"S+C",IF(AND(INPUTS!$E$90="Yes",AF$16=1,AF$7&gt;=INPUTS!$P$90,AF$7&lt;=INPUTS!$Q$90),"S",IF(AND(INPUTS!$E$90="Yes",AF$16=1,AF$7&gt;=INPUTS!$R$90,AF$7&lt;=INPUTS!$S$90),"C",IF(AND(INPUTS!$E$90="Yes",AF$17=1,AF$7&gt;INPUTS!$S$90),"✓",""))))</f>
        <v/>
      </c>
      <c r="AG23" s="105" t="str">
        <f aca="false">IF(AND(AND(INPUTS!$E$90="Yes",AG$16=1,AG$7&gt;=INPUTS!$P$90,AG$7&lt;=INPUTS!$Q$90),AND(INPUTS!$E$90="Yes",AG$16=1,AG$7&gt;=INPUTS!$R$90,AG$7&lt;=INPUTS!$S$90)),"S+C",IF(AND(INPUTS!$E$90="Yes",AG$16=1,AG$7&gt;=INPUTS!$P$90,AG$7&lt;=INPUTS!$Q$90),"S",IF(AND(INPUTS!$E$90="Yes",AG$16=1,AG$7&gt;=INPUTS!$R$90,AG$7&lt;=INPUTS!$S$90),"C",IF(AND(INPUTS!$E$90="Yes",AG$17=1,AG$7&gt;INPUTS!$S$90),"✓",""))))</f>
        <v/>
      </c>
      <c r="AH23" s="105" t="str">
        <f aca="false">IF(AND(AND(INPUTS!$E$90="Yes",AH$16=1,AH$7&gt;=INPUTS!$P$90,AH$7&lt;=INPUTS!$Q$90),AND(INPUTS!$E$90="Yes",AH$16=1,AH$7&gt;=INPUTS!$R$90,AH$7&lt;=INPUTS!$S$90)),"S+C",IF(AND(INPUTS!$E$90="Yes",AH$16=1,AH$7&gt;=INPUTS!$P$90,AH$7&lt;=INPUTS!$Q$90),"S",IF(AND(INPUTS!$E$90="Yes",AH$16=1,AH$7&gt;=INPUTS!$R$90,AH$7&lt;=INPUTS!$S$90),"C",IF(AND(INPUTS!$E$90="Yes",AH$17=1,AH$7&gt;INPUTS!$S$90),"✓",""))))</f>
        <v/>
      </c>
      <c r="AI23" s="105" t="str">
        <f aca="false">IF(AND(AND(INPUTS!$E$90="Yes",AI$16=1,AI$7&gt;=INPUTS!$P$90,AI$7&lt;=INPUTS!$Q$90),AND(INPUTS!$E$90="Yes",AI$16=1,AI$7&gt;=INPUTS!$R$90,AI$7&lt;=INPUTS!$S$90)),"S+C",IF(AND(INPUTS!$E$90="Yes",AI$16=1,AI$7&gt;=INPUTS!$P$90,AI$7&lt;=INPUTS!$Q$90),"S",IF(AND(INPUTS!$E$90="Yes",AI$16=1,AI$7&gt;=INPUTS!$R$90,AI$7&lt;=INPUTS!$S$90),"C",IF(AND(INPUTS!$E$90="Yes",AI$17=1,AI$7&gt;INPUTS!$S$90),"✓",""))))</f>
        <v/>
      </c>
      <c r="AJ23" s="105" t="str">
        <f aca="false">IF(AND(AND(INPUTS!$E$90="Yes",AJ$16=1,AJ$7&gt;=INPUTS!$P$90,AJ$7&lt;=INPUTS!$Q$90),AND(INPUTS!$E$90="Yes",AJ$16=1,AJ$7&gt;=INPUTS!$R$90,AJ$7&lt;=INPUTS!$S$90)),"S+C",IF(AND(INPUTS!$E$90="Yes",AJ$16=1,AJ$7&gt;=INPUTS!$P$90,AJ$7&lt;=INPUTS!$Q$90),"S",IF(AND(INPUTS!$E$90="Yes",AJ$16=1,AJ$7&gt;=INPUTS!$R$90,AJ$7&lt;=INPUTS!$S$90),"C",IF(AND(INPUTS!$E$90="Yes",AJ$17=1,AJ$7&gt;INPUTS!$S$90),"✓",""))))</f>
        <v/>
      </c>
      <c r="AK23" s="105" t="str">
        <f aca="false">IF(AND(AND(INPUTS!$E$90="Yes",AK$16=1,AK$7&gt;=INPUTS!$P$90,AK$7&lt;=INPUTS!$Q$90),AND(INPUTS!$E$90="Yes",AK$16=1,AK$7&gt;=INPUTS!$R$90,AK$7&lt;=INPUTS!$S$90)),"S+C",IF(AND(INPUTS!$E$90="Yes",AK$16=1,AK$7&gt;=INPUTS!$P$90,AK$7&lt;=INPUTS!$Q$90),"S",IF(AND(INPUTS!$E$90="Yes",AK$16=1,AK$7&gt;=INPUTS!$R$90,AK$7&lt;=INPUTS!$S$90),"C",IF(AND(INPUTS!$E$90="Yes",AK$17=1,AK$7&gt;INPUTS!$S$90),"✓",""))))</f>
        <v/>
      </c>
      <c r="AL23" s="105" t="str">
        <f aca="false">IF(AND(AND(INPUTS!$E$90="Yes",AL$16=1,AL$7&gt;=INPUTS!$P$90,AL$7&lt;=INPUTS!$Q$90),AND(INPUTS!$E$90="Yes",AL$16=1,AL$7&gt;=INPUTS!$R$90,AL$7&lt;=INPUTS!$S$90)),"S+C",IF(AND(INPUTS!$E$90="Yes",AL$16=1,AL$7&gt;=INPUTS!$P$90,AL$7&lt;=INPUTS!$Q$90),"S",IF(AND(INPUTS!$E$90="Yes",AL$16=1,AL$7&gt;=INPUTS!$R$90,AL$7&lt;=INPUTS!$S$90),"C",IF(AND(INPUTS!$E$90="Yes",AL$17=1,AL$7&gt;INPUTS!$S$90),"✓",""))))</f>
        <v/>
      </c>
      <c r="AM23" s="105" t="str">
        <f aca="false">IF(AND(AND(INPUTS!$E$90="Yes",AM$16=1,AM$7&gt;=INPUTS!$P$90,AM$7&lt;=INPUTS!$Q$90),AND(INPUTS!$E$90="Yes",AM$16=1,AM$7&gt;=INPUTS!$R$90,AM$7&lt;=INPUTS!$S$90)),"S+C",IF(AND(INPUTS!$E$90="Yes",AM$16=1,AM$7&gt;=INPUTS!$P$90,AM$7&lt;=INPUTS!$Q$90),"S",IF(AND(INPUTS!$E$90="Yes",AM$16=1,AM$7&gt;=INPUTS!$R$90,AM$7&lt;=INPUTS!$S$90),"C",IF(AND(INPUTS!$E$90="Yes",AM$17=1,AM$7&gt;INPUTS!$S$90),"✓",""))))</f>
        <v/>
      </c>
      <c r="AN23" s="105" t="str">
        <f aca="false">IF(AND(AND(INPUTS!$E$90="Yes",AN$16=1,AN$7&gt;=INPUTS!$P$90,AN$7&lt;=INPUTS!$Q$90),AND(INPUTS!$E$90="Yes",AN$16=1,AN$7&gt;=INPUTS!$R$90,AN$7&lt;=INPUTS!$S$90)),"S+C",IF(AND(INPUTS!$E$90="Yes",AN$16=1,AN$7&gt;=INPUTS!$P$90,AN$7&lt;=INPUTS!$Q$90),"S",IF(AND(INPUTS!$E$90="Yes",AN$16=1,AN$7&gt;=INPUTS!$R$90,AN$7&lt;=INPUTS!$S$90),"C",IF(AND(INPUTS!$E$90="Yes",AN$17=1,AN$7&gt;INPUTS!$S$90),"✓",""))))</f>
        <v/>
      </c>
      <c r="AO23" s="105" t="str">
        <f aca="false">IF(AND(AND(INPUTS!$E$90="Yes",AO$16=1,AO$7&gt;=INPUTS!$P$90,AO$7&lt;=INPUTS!$Q$90),AND(INPUTS!$E$90="Yes",AO$16=1,AO$7&gt;=INPUTS!$R$90,AO$7&lt;=INPUTS!$S$90)),"S+C",IF(AND(INPUTS!$E$90="Yes",AO$16=1,AO$7&gt;=INPUTS!$P$90,AO$7&lt;=INPUTS!$Q$90),"S",IF(AND(INPUTS!$E$90="Yes",AO$16=1,AO$7&gt;=INPUTS!$R$90,AO$7&lt;=INPUTS!$S$90),"C",IF(AND(INPUTS!$E$90="Yes",AO$17=1,AO$7&gt;INPUTS!$S$90),"✓",""))))</f>
        <v/>
      </c>
      <c r="AP23" s="105" t="str">
        <f aca="false">IF(AND(AND(INPUTS!$E$90="Yes",AP$16=1,AP$7&gt;=INPUTS!$P$90,AP$7&lt;=INPUTS!$Q$90),AND(INPUTS!$E$90="Yes",AP$16=1,AP$7&gt;=INPUTS!$R$90,AP$7&lt;=INPUTS!$S$90)),"S+C",IF(AND(INPUTS!$E$90="Yes",AP$16=1,AP$7&gt;=INPUTS!$P$90,AP$7&lt;=INPUTS!$Q$90),"S",IF(AND(INPUTS!$E$90="Yes",AP$16=1,AP$7&gt;=INPUTS!$R$90,AP$7&lt;=INPUTS!$S$90),"C",IF(AND(INPUTS!$E$90="Yes",AP$17=1,AP$7&gt;INPUTS!$S$90),"✓",""))))</f>
        <v/>
      </c>
      <c r="AQ23" s="105" t="str">
        <f aca="false">IF(AND(AND(INPUTS!$E$90="Yes",AQ$16=1,AQ$7&gt;=INPUTS!$P$90,AQ$7&lt;=INPUTS!$Q$90),AND(INPUTS!$E$90="Yes",AQ$16=1,AQ$7&gt;=INPUTS!$R$90,AQ$7&lt;=INPUTS!$S$90)),"S+C",IF(AND(INPUTS!$E$90="Yes",AQ$16=1,AQ$7&gt;=INPUTS!$P$90,AQ$7&lt;=INPUTS!$Q$90),"S",IF(AND(INPUTS!$E$90="Yes",AQ$16=1,AQ$7&gt;=INPUTS!$R$90,AQ$7&lt;=INPUTS!$S$90),"C",IF(AND(INPUTS!$E$90="Yes",AQ$17=1,AQ$7&gt;INPUTS!$S$90),"✓",""))))</f>
        <v/>
      </c>
    </row>
    <row r="24" customFormat="false" ht="15" hidden="false" customHeight="false" outlineLevel="0" collapsed="false">
      <c r="B24" s="7" t="str">
        <f aca="false">IF(INPUTS!$E$91="Yes",INPUTS!$B$91,"(product row 4 – off)")</f>
        <v>High-street retail</v>
      </c>
      <c r="D24" s="105" t="str">
        <f aca="false">IF(AND(AND(INPUTS!$E$91="Yes",D$16=1,D$7&gt;=INPUTS!$P$91,D$7&lt;=INPUTS!$Q$91),AND(INPUTS!$E$91="Yes",D$16=1,D$7&gt;=INPUTS!$R$91,D$7&lt;=INPUTS!$S$91)),"S+C",IF(AND(INPUTS!$E$91="Yes",D$16=1,D$7&gt;=INPUTS!$P$91,D$7&lt;=INPUTS!$Q$91),"S",IF(AND(INPUTS!$E$91="Yes",D$16=1,D$7&gt;=INPUTS!$R$91,D$7&lt;=INPUTS!$S$91),"C",IF(AND(INPUTS!$E$91="Yes",D$17=1,D$7&gt;INPUTS!$S$91),"✓",""))))</f>
        <v/>
      </c>
      <c r="E24" s="105" t="str">
        <f aca="false">IF(AND(AND(INPUTS!$E$91="Yes",E$16=1,E$7&gt;=INPUTS!$P$91,E$7&lt;=INPUTS!$Q$91),AND(INPUTS!$E$91="Yes",E$16=1,E$7&gt;=INPUTS!$R$91,E$7&lt;=INPUTS!$S$91)),"S+C",IF(AND(INPUTS!$E$91="Yes",E$16=1,E$7&gt;=INPUTS!$P$91,E$7&lt;=INPUTS!$Q$91),"S",IF(AND(INPUTS!$E$91="Yes",E$16=1,E$7&gt;=INPUTS!$R$91,E$7&lt;=INPUTS!$S$91),"C",IF(AND(INPUTS!$E$91="Yes",E$17=1,E$7&gt;INPUTS!$S$91),"✓",""))))</f>
        <v/>
      </c>
      <c r="F24" s="105" t="str">
        <f aca="false">IF(AND(AND(INPUTS!$E$91="Yes",F$16=1,F$7&gt;=INPUTS!$P$91,F$7&lt;=INPUTS!$Q$91),AND(INPUTS!$E$91="Yes",F$16=1,F$7&gt;=INPUTS!$R$91,F$7&lt;=INPUTS!$S$91)),"S+C",IF(AND(INPUTS!$E$91="Yes",F$16=1,F$7&gt;=INPUTS!$P$91,F$7&lt;=INPUTS!$Q$91),"S",IF(AND(INPUTS!$E$91="Yes",F$16=1,F$7&gt;=INPUTS!$R$91,F$7&lt;=INPUTS!$S$91),"C",IF(AND(INPUTS!$E$91="Yes",F$17=1,F$7&gt;INPUTS!$S$91),"✓",""))))</f>
        <v/>
      </c>
      <c r="G24" s="105" t="str">
        <f aca="false">IF(AND(AND(INPUTS!$E$91="Yes",G$16=1,G$7&gt;=INPUTS!$P$91,G$7&lt;=INPUTS!$Q$91),AND(INPUTS!$E$91="Yes",G$16=1,G$7&gt;=INPUTS!$R$91,G$7&lt;=INPUTS!$S$91)),"S+C",IF(AND(INPUTS!$E$91="Yes",G$16=1,G$7&gt;=INPUTS!$P$91,G$7&lt;=INPUTS!$Q$91),"S",IF(AND(INPUTS!$E$91="Yes",G$16=1,G$7&gt;=INPUTS!$R$91,G$7&lt;=INPUTS!$S$91),"C",IF(AND(INPUTS!$E$91="Yes",G$17=1,G$7&gt;INPUTS!$S$91),"✓",""))))</f>
        <v/>
      </c>
      <c r="H24" s="105" t="str">
        <f aca="false">IF(AND(AND(INPUTS!$E$91="Yes",H$16=1,H$7&gt;=INPUTS!$P$91,H$7&lt;=INPUTS!$Q$91),AND(INPUTS!$E$91="Yes",H$16=1,H$7&gt;=INPUTS!$R$91,H$7&lt;=INPUTS!$S$91)),"S+C",IF(AND(INPUTS!$E$91="Yes",H$16=1,H$7&gt;=INPUTS!$P$91,H$7&lt;=INPUTS!$Q$91),"S",IF(AND(INPUTS!$E$91="Yes",H$16=1,H$7&gt;=INPUTS!$R$91,H$7&lt;=INPUTS!$S$91),"C",IF(AND(INPUTS!$E$91="Yes",H$17=1,H$7&gt;INPUTS!$S$91),"✓",""))))</f>
        <v/>
      </c>
      <c r="I24" s="105" t="str">
        <f aca="false">IF(AND(AND(INPUTS!$E$91="Yes",I$16=1,I$7&gt;=INPUTS!$P$91,I$7&lt;=INPUTS!$Q$91),AND(INPUTS!$E$91="Yes",I$16=1,I$7&gt;=INPUTS!$R$91,I$7&lt;=INPUTS!$S$91)),"S+C",IF(AND(INPUTS!$E$91="Yes",I$16=1,I$7&gt;=INPUTS!$P$91,I$7&lt;=INPUTS!$Q$91),"S",IF(AND(INPUTS!$E$91="Yes",I$16=1,I$7&gt;=INPUTS!$R$91,I$7&lt;=INPUTS!$S$91),"C",IF(AND(INPUTS!$E$91="Yes",I$17=1,I$7&gt;INPUTS!$S$91),"✓",""))))</f>
        <v>C</v>
      </c>
      <c r="J24" s="105" t="str">
        <f aca="false">IF(AND(AND(INPUTS!$E$91="Yes",J$16=1,J$7&gt;=INPUTS!$P$91,J$7&lt;=INPUTS!$Q$91),AND(INPUTS!$E$91="Yes",J$16=1,J$7&gt;=INPUTS!$R$91,J$7&lt;=INPUTS!$S$91)),"S+C",IF(AND(INPUTS!$E$91="Yes",J$16=1,J$7&gt;=INPUTS!$P$91,J$7&lt;=INPUTS!$Q$91),"S",IF(AND(INPUTS!$E$91="Yes",J$16=1,J$7&gt;=INPUTS!$R$91,J$7&lt;=INPUTS!$S$91),"C",IF(AND(INPUTS!$E$91="Yes",J$17=1,J$7&gt;INPUTS!$S$91),"✓",""))))</f>
        <v>C</v>
      </c>
      <c r="K24" s="105" t="str">
        <f aca="false">IF(AND(AND(INPUTS!$E$91="Yes",K$16=1,K$7&gt;=INPUTS!$P$91,K$7&lt;=INPUTS!$Q$91),AND(INPUTS!$E$91="Yes",K$16=1,K$7&gt;=INPUTS!$R$91,K$7&lt;=INPUTS!$S$91)),"S+C",IF(AND(INPUTS!$E$91="Yes",K$16=1,K$7&gt;=INPUTS!$P$91,K$7&lt;=INPUTS!$Q$91),"S",IF(AND(INPUTS!$E$91="Yes",K$16=1,K$7&gt;=INPUTS!$R$91,K$7&lt;=INPUTS!$S$91),"C",IF(AND(INPUTS!$E$91="Yes",K$17=1,K$7&gt;INPUTS!$S$91),"✓",""))))</f>
        <v>S+C</v>
      </c>
      <c r="L24" s="105" t="str">
        <f aca="false">IF(AND(AND(INPUTS!$E$91="Yes",L$16=1,L$7&gt;=INPUTS!$P$91,L$7&lt;=INPUTS!$Q$91),AND(INPUTS!$E$91="Yes",L$16=1,L$7&gt;=INPUTS!$R$91,L$7&lt;=INPUTS!$S$91)),"S+C",IF(AND(INPUTS!$E$91="Yes",L$16=1,L$7&gt;=INPUTS!$P$91,L$7&lt;=INPUTS!$Q$91),"S",IF(AND(INPUTS!$E$91="Yes",L$16=1,L$7&gt;=INPUTS!$R$91,L$7&lt;=INPUTS!$S$91),"C",IF(AND(INPUTS!$E$91="Yes",L$17=1,L$7&gt;INPUTS!$S$91),"✓",""))))</f>
        <v>S+C</v>
      </c>
      <c r="M24" s="105" t="str">
        <f aca="false">IF(AND(AND(INPUTS!$E$91="Yes",M$16=1,M$7&gt;=INPUTS!$P$91,M$7&lt;=INPUTS!$Q$91),AND(INPUTS!$E$91="Yes",M$16=1,M$7&gt;=INPUTS!$R$91,M$7&lt;=INPUTS!$S$91)),"S+C",IF(AND(INPUTS!$E$91="Yes",M$16=1,M$7&gt;=INPUTS!$P$91,M$7&lt;=INPUTS!$Q$91),"S",IF(AND(INPUTS!$E$91="Yes",M$16=1,M$7&gt;=INPUTS!$R$91,M$7&lt;=INPUTS!$S$91),"C",IF(AND(INPUTS!$E$91="Yes",M$17=1,M$7&gt;INPUTS!$S$91),"✓",""))))</f>
        <v>S+C</v>
      </c>
      <c r="N24" s="105" t="str">
        <f aca="false">IF(AND(AND(INPUTS!$E$91="Yes",N$16=1,N$7&gt;=INPUTS!$P$91,N$7&lt;=INPUTS!$Q$91),AND(INPUTS!$E$91="Yes",N$16=1,N$7&gt;=INPUTS!$R$91,N$7&lt;=INPUTS!$S$91)),"S+C",IF(AND(INPUTS!$E$91="Yes",N$16=1,N$7&gt;=INPUTS!$P$91,N$7&lt;=INPUTS!$Q$91),"S",IF(AND(INPUTS!$E$91="Yes",N$16=1,N$7&gt;=INPUTS!$R$91,N$7&lt;=INPUTS!$S$91),"C",IF(AND(INPUTS!$E$91="Yes",N$17=1,N$7&gt;INPUTS!$S$91),"✓",""))))</f>
        <v>S+C</v>
      </c>
      <c r="O24" s="105" t="str">
        <f aca="false">IF(AND(AND(INPUTS!$E$91="Yes",O$16=1,O$7&gt;=INPUTS!$P$91,O$7&lt;=INPUTS!$Q$91),AND(INPUTS!$E$91="Yes",O$16=1,O$7&gt;=INPUTS!$R$91,O$7&lt;=INPUTS!$S$91)),"S+C",IF(AND(INPUTS!$E$91="Yes",O$16=1,O$7&gt;=INPUTS!$P$91,O$7&lt;=INPUTS!$Q$91),"S",IF(AND(INPUTS!$E$91="Yes",O$16=1,O$7&gt;=INPUTS!$R$91,O$7&lt;=INPUTS!$S$91),"C",IF(AND(INPUTS!$E$91="Yes",O$17=1,O$7&gt;INPUTS!$S$91),"✓",""))))</f>
        <v>S+C</v>
      </c>
      <c r="P24" s="105" t="str">
        <f aca="false">IF(AND(AND(INPUTS!$E$91="Yes",P$16=1,P$7&gt;=INPUTS!$P$91,P$7&lt;=INPUTS!$Q$91),AND(INPUTS!$E$91="Yes",P$16=1,P$7&gt;=INPUTS!$R$91,P$7&lt;=INPUTS!$S$91)),"S+C",IF(AND(INPUTS!$E$91="Yes",P$16=1,P$7&gt;=INPUTS!$P$91,P$7&lt;=INPUTS!$Q$91),"S",IF(AND(INPUTS!$E$91="Yes",P$16=1,P$7&gt;=INPUTS!$R$91,P$7&lt;=INPUTS!$S$91),"C",IF(AND(INPUTS!$E$91="Yes",P$17=1,P$7&gt;INPUTS!$S$91),"✓",""))))</f>
        <v>S+C</v>
      </c>
      <c r="Q24" s="105" t="str">
        <f aca="false">IF(AND(AND(INPUTS!$E$91="Yes",Q$16=1,Q$7&gt;=INPUTS!$P$91,Q$7&lt;=INPUTS!$Q$91),AND(INPUTS!$E$91="Yes",Q$16=1,Q$7&gt;=INPUTS!$R$91,Q$7&lt;=INPUTS!$S$91)),"S+C",IF(AND(INPUTS!$E$91="Yes",Q$16=1,Q$7&gt;=INPUTS!$P$91,Q$7&lt;=INPUTS!$Q$91),"S",IF(AND(INPUTS!$E$91="Yes",Q$16=1,Q$7&gt;=INPUTS!$R$91,Q$7&lt;=INPUTS!$S$91),"C",IF(AND(INPUTS!$E$91="Yes",Q$17=1,Q$7&gt;INPUTS!$S$91),"✓",""))))</f>
        <v>S+C</v>
      </c>
      <c r="R24" s="105" t="str">
        <f aca="false">IF(AND(AND(INPUTS!$E$91="Yes",R$16=1,R$7&gt;=INPUTS!$P$91,R$7&lt;=INPUTS!$Q$91),AND(INPUTS!$E$91="Yes",R$16=1,R$7&gt;=INPUTS!$R$91,R$7&lt;=INPUTS!$S$91)),"S+C",IF(AND(INPUTS!$E$91="Yes",R$16=1,R$7&gt;=INPUTS!$P$91,R$7&lt;=INPUTS!$Q$91),"S",IF(AND(INPUTS!$E$91="Yes",R$16=1,R$7&gt;=INPUTS!$R$91,R$7&lt;=INPUTS!$S$91),"C",IF(AND(INPUTS!$E$91="Yes",R$17=1,R$7&gt;INPUTS!$S$91),"✓",""))))</f>
        <v>S+C</v>
      </c>
      <c r="S24" s="105" t="str">
        <f aca="false">IF(AND(AND(INPUTS!$E$91="Yes",S$16=1,S$7&gt;=INPUTS!$P$91,S$7&lt;=INPUTS!$Q$91),AND(INPUTS!$E$91="Yes",S$16=1,S$7&gt;=INPUTS!$R$91,S$7&lt;=INPUTS!$S$91)),"S+C",IF(AND(INPUTS!$E$91="Yes",S$16=1,S$7&gt;=INPUTS!$P$91,S$7&lt;=INPUTS!$Q$91),"S",IF(AND(INPUTS!$E$91="Yes",S$16=1,S$7&gt;=INPUTS!$R$91,S$7&lt;=INPUTS!$S$91),"C",IF(AND(INPUTS!$E$91="Yes",S$17=1,S$7&gt;INPUTS!$S$91),"✓",""))))</f>
        <v>C</v>
      </c>
      <c r="T24" s="105" t="str">
        <f aca="false">IF(AND(AND(INPUTS!$E$91="Yes",T$16=1,T$7&gt;=INPUTS!$P$91,T$7&lt;=INPUTS!$Q$91),AND(INPUTS!$E$91="Yes",T$16=1,T$7&gt;=INPUTS!$R$91,T$7&lt;=INPUTS!$S$91)),"S+C",IF(AND(INPUTS!$E$91="Yes",T$16=1,T$7&gt;=INPUTS!$P$91,T$7&lt;=INPUTS!$Q$91),"S",IF(AND(INPUTS!$E$91="Yes",T$16=1,T$7&gt;=INPUTS!$R$91,T$7&lt;=INPUTS!$S$91),"C",IF(AND(INPUTS!$E$91="Yes",T$17=1,T$7&gt;INPUTS!$S$91),"✓",""))))</f>
        <v>C</v>
      </c>
      <c r="U24" s="105" t="str">
        <f aca="false">IF(AND(AND(INPUTS!$E$91="Yes",U$16=1,U$7&gt;=INPUTS!$P$91,U$7&lt;=INPUTS!$Q$91),AND(INPUTS!$E$91="Yes",U$16=1,U$7&gt;=INPUTS!$R$91,U$7&lt;=INPUTS!$S$91)),"S+C",IF(AND(INPUTS!$E$91="Yes",U$16=1,U$7&gt;=INPUTS!$P$91,U$7&lt;=INPUTS!$Q$91),"S",IF(AND(INPUTS!$E$91="Yes",U$16=1,U$7&gt;=INPUTS!$R$91,U$7&lt;=INPUTS!$S$91),"C",IF(AND(INPUTS!$E$91="Yes",U$17=1,U$7&gt;INPUTS!$S$91),"✓",""))))</f>
        <v>✓</v>
      </c>
      <c r="V24" s="105" t="str">
        <f aca="false">IF(AND(AND(INPUTS!$E$91="Yes",V$16=1,V$7&gt;=INPUTS!$P$91,V$7&lt;=INPUTS!$Q$91),AND(INPUTS!$E$91="Yes",V$16=1,V$7&gt;=INPUTS!$R$91,V$7&lt;=INPUTS!$S$91)),"S+C",IF(AND(INPUTS!$E$91="Yes",V$16=1,V$7&gt;=INPUTS!$P$91,V$7&lt;=INPUTS!$Q$91),"S",IF(AND(INPUTS!$E$91="Yes",V$16=1,V$7&gt;=INPUTS!$R$91,V$7&lt;=INPUTS!$S$91),"C",IF(AND(INPUTS!$E$91="Yes",V$17=1,V$7&gt;INPUTS!$S$91),"✓",""))))</f>
        <v>✓</v>
      </c>
      <c r="W24" s="105" t="str">
        <f aca="false">IF(AND(AND(INPUTS!$E$91="Yes",W$16=1,W$7&gt;=INPUTS!$P$91,W$7&lt;=INPUTS!$Q$91),AND(INPUTS!$E$91="Yes",W$16=1,W$7&gt;=INPUTS!$R$91,W$7&lt;=INPUTS!$S$91)),"S+C",IF(AND(INPUTS!$E$91="Yes",W$16=1,W$7&gt;=INPUTS!$P$91,W$7&lt;=INPUTS!$Q$91),"S",IF(AND(INPUTS!$E$91="Yes",W$16=1,W$7&gt;=INPUTS!$R$91,W$7&lt;=INPUTS!$S$91),"C",IF(AND(INPUTS!$E$91="Yes",W$17=1,W$7&gt;INPUTS!$S$91),"✓",""))))</f>
        <v>✓</v>
      </c>
      <c r="X24" s="105" t="str">
        <f aca="false">IF(AND(AND(INPUTS!$E$91="Yes",X$16=1,X$7&gt;=INPUTS!$P$91,X$7&lt;=INPUTS!$Q$91),AND(INPUTS!$E$91="Yes",X$16=1,X$7&gt;=INPUTS!$R$91,X$7&lt;=INPUTS!$S$91)),"S+C",IF(AND(INPUTS!$E$91="Yes",X$16=1,X$7&gt;=INPUTS!$P$91,X$7&lt;=INPUTS!$Q$91),"S",IF(AND(INPUTS!$E$91="Yes",X$16=1,X$7&gt;=INPUTS!$R$91,X$7&lt;=INPUTS!$S$91),"C",IF(AND(INPUTS!$E$91="Yes",X$17=1,X$7&gt;INPUTS!$S$91),"✓",""))))</f>
        <v/>
      </c>
      <c r="Y24" s="105" t="str">
        <f aca="false">IF(AND(AND(INPUTS!$E$91="Yes",Y$16=1,Y$7&gt;=INPUTS!$P$91,Y$7&lt;=INPUTS!$Q$91),AND(INPUTS!$E$91="Yes",Y$16=1,Y$7&gt;=INPUTS!$R$91,Y$7&lt;=INPUTS!$S$91)),"S+C",IF(AND(INPUTS!$E$91="Yes",Y$16=1,Y$7&gt;=INPUTS!$P$91,Y$7&lt;=INPUTS!$Q$91),"S",IF(AND(INPUTS!$E$91="Yes",Y$16=1,Y$7&gt;=INPUTS!$R$91,Y$7&lt;=INPUTS!$S$91),"C",IF(AND(INPUTS!$E$91="Yes",Y$17=1,Y$7&gt;INPUTS!$S$91),"✓",""))))</f>
        <v/>
      </c>
      <c r="Z24" s="105" t="str">
        <f aca="false">IF(AND(AND(INPUTS!$E$91="Yes",Z$16=1,Z$7&gt;=INPUTS!$P$91,Z$7&lt;=INPUTS!$Q$91),AND(INPUTS!$E$91="Yes",Z$16=1,Z$7&gt;=INPUTS!$R$91,Z$7&lt;=INPUTS!$S$91)),"S+C",IF(AND(INPUTS!$E$91="Yes",Z$16=1,Z$7&gt;=INPUTS!$P$91,Z$7&lt;=INPUTS!$Q$91),"S",IF(AND(INPUTS!$E$91="Yes",Z$16=1,Z$7&gt;=INPUTS!$R$91,Z$7&lt;=INPUTS!$S$91),"C",IF(AND(INPUTS!$E$91="Yes",Z$17=1,Z$7&gt;INPUTS!$S$91),"✓",""))))</f>
        <v/>
      </c>
      <c r="AA24" s="105" t="str">
        <f aca="false">IF(AND(AND(INPUTS!$E$91="Yes",AA$16=1,AA$7&gt;=INPUTS!$P$91,AA$7&lt;=INPUTS!$Q$91),AND(INPUTS!$E$91="Yes",AA$16=1,AA$7&gt;=INPUTS!$R$91,AA$7&lt;=INPUTS!$S$91)),"S+C",IF(AND(INPUTS!$E$91="Yes",AA$16=1,AA$7&gt;=INPUTS!$P$91,AA$7&lt;=INPUTS!$Q$91),"S",IF(AND(INPUTS!$E$91="Yes",AA$16=1,AA$7&gt;=INPUTS!$R$91,AA$7&lt;=INPUTS!$S$91),"C",IF(AND(INPUTS!$E$91="Yes",AA$17=1,AA$7&gt;INPUTS!$S$91),"✓",""))))</f>
        <v/>
      </c>
      <c r="AB24" s="105" t="str">
        <f aca="false">IF(AND(AND(INPUTS!$E$91="Yes",AB$16=1,AB$7&gt;=INPUTS!$P$91,AB$7&lt;=INPUTS!$Q$91),AND(INPUTS!$E$91="Yes",AB$16=1,AB$7&gt;=INPUTS!$R$91,AB$7&lt;=INPUTS!$S$91)),"S+C",IF(AND(INPUTS!$E$91="Yes",AB$16=1,AB$7&gt;=INPUTS!$P$91,AB$7&lt;=INPUTS!$Q$91),"S",IF(AND(INPUTS!$E$91="Yes",AB$16=1,AB$7&gt;=INPUTS!$R$91,AB$7&lt;=INPUTS!$S$91),"C",IF(AND(INPUTS!$E$91="Yes",AB$17=1,AB$7&gt;INPUTS!$S$91),"✓",""))))</f>
        <v/>
      </c>
      <c r="AC24" s="105" t="str">
        <f aca="false">IF(AND(AND(INPUTS!$E$91="Yes",AC$16=1,AC$7&gt;=INPUTS!$P$91,AC$7&lt;=INPUTS!$Q$91),AND(INPUTS!$E$91="Yes",AC$16=1,AC$7&gt;=INPUTS!$R$91,AC$7&lt;=INPUTS!$S$91)),"S+C",IF(AND(INPUTS!$E$91="Yes",AC$16=1,AC$7&gt;=INPUTS!$P$91,AC$7&lt;=INPUTS!$Q$91),"S",IF(AND(INPUTS!$E$91="Yes",AC$16=1,AC$7&gt;=INPUTS!$R$91,AC$7&lt;=INPUTS!$S$91),"C",IF(AND(INPUTS!$E$91="Yes",AC$17=1,AC$7&gt;INPUTS!$S$91),"✓",""))))</f>
        <v/>
      </c>
      <c r="AD24" s="105" t="str">
        <f aca="false">IF(AND(AND(INPUTS!$E$91="Yes",AD$16=1,AD$7&gt;=INPUTS!$P$91,AD$7&lt;=INPUTS!$Q$91),AND(INPUTS!$E$91="Yes",AD$16=1,AD$7&gt;=INPUTS!$R$91,AD$7&lt;=INPUTS!$S$91)),"S+C",IF(AND(INPUTS!$E$91="Yes",AD$16=1,AD$7&gt;=INPUTS!$P$91,AD$7&lt;=INPUTS!$Q$91),"S",IF(AND(INPUTS!$E$91="Yes",AD$16=1,AD$7&gt;=INPUTS!$R$91,AD$7&lt;=INPUTS!$S$91),"C",IF(AND(INPUTS!$E$91="Yes",AD$17=1,AD$7&gt;INPUTS!$S$91),"✓",""))))</f>
        <v/>
      </c>
      <c r="AE24" s="105" t="str">
        <f aca="false">IF(AND(AND(INPUTS!$E$91="Yes",AE$16=1,AE$7&gt;=INPUTS!$P$91,AE$7&lt;=INPUTS!$Q$91),AND(INPUTS!$E$91="Yes",AE$16=1,AE$7&gt;=INPUTS!$R$91,AE$7&lt;=INPUTS!$S$91)),"S+C",IF(AND(INPUTS!$E$91="Yes",AE$16=1,AE$7&gt;=INPUTS!$P$91,AE$7&lt;=INPUTS!$Q$91),"S",IF(AND(INPUTS!$E$91="Yes",AE$16=1,AE$7&gt;=INPUTS!$R$91,AE$7&lt;=INPUTS!$S$91),"C",IF(AND(INPUTS!$E$91="Yes",AE$17=1,AE$7&gt;INPUTS!$S$91),"✓",""))))</f>
        <v/>
      </c>
      <c r="AF24" s="105" t="str">
        <f aca="false">IF(AND(AND(INPUTS!$E$91="Yes",AF$16=1,AF$7&gt;=INPUTS!$P$91,AF$7&lt;=INPUTS!$Q$91),AND(INPUTS!$E$91="Yes",AF$16=1,AF$7&gt;=INPUTS!$R$91,AF$7&lt;=INPUTS!$S$91)),"S+C",IF(AND(INPUTS!$E$91="Yes",AF$16=1,AF$7&gt;=INPUTS!$P$91,AF$7&lt;=INPUTS!$Q$91),"S",IF(AND(INPUTS!$E$91="Yes",AF$16=1,AF$7&gt;=INPUTS!$R$91,AF$7&lt;=INPUTS!$S$91),"C",IF(AND(INPUTS!$E$91="Yes",AF$17=1,AF$7&gt;INPUTS!$S$91),"✓",""))))</f>
        <v/>
      </c>
      <c r="AG24" s="105" t="str">
        <f aca="false">IF(AND(AND(INPUTS!$E$91="Yes",AG$16=1,AG$7&gt;=INPUTS!$P$91,AG$7&lt;=INPUTS!$Q$91),AND(INPUTS!$E$91="Yes",AG$16=1,AG$7&gt;=INPUTS!$R$91,AG$7&lt;=INPUTS!$S$91)),"S+C",IF(AND(INPUTS!$E$91="Yes",AG$16=1,AG$7&gt;=INPUTS!$P$91,AG$7&lt;=INPUTS!$Q$91),"S",IF(AND(INPUTS!$E$91="Yes",AG$16=1,AG$7&gt;=INPUTS!$R$91,AG$7&lt;=INPUTS!$S$91),"C",IF(AND(INPUTS!$E$91="Yes",AG$17=1,AG$7&gt;INPUTS!$S$91),"✓",""))))</f>
        <v/>
      </c>
      <c r="AH24" s="105" t="str">
        <f aca="false">IF(AND(AND(INPUTS!$E$91="Yes",AH$16=1,AH$7&gt;=INPUTS!$P$91,AH$7&lt;=INPUTS!$Q$91),AND(INPUTS!$E$91="Yes",AH$16=1,AH$7&gt;=INPUTS!$R$91,AH$7&lt;=INPUTS!$S$91)),"S+C",IF(AND(INPUTS!$E$91="Yes",AH$16=1,AH$7&gt;=INPUTS!$P$91,AH$7&lt;=INPUTS!$Q$91),"S",IF(AND(INPUTS!$E$91="Yes",AH$16=1,AH$7&gt;=INPUTS!$R$91,AH$7&lt;=INPUTS!$S$91),"C",IF(AND(INPUTS!$E$91="Yes",AH$17=1,AH$7&gt;INPUTS!$S$91),"✓",""))))</f>
        <v/>
      </c>
      <c r="AI24" s="105" t="str">
        <f aca="false">IF(AND(AND(INPUTS!$E$91="Yes",AI$16=1,AI$7&gt;=INPUTS!$P$91,AI$7&lt;=INPUTS!$Q$91),AND(INPUTS!$E$91="Yes",AI$16=1,AI$7&gt;=INPUTS!$R$91,AI$7&lt;=INPUTS!$S$91)),"S+C",IF(AND(INPUTS!$E$91="Yes",AI$16=1,AI$7&gt;=INPUTS!$P$91,AI$7&lt;=INPUTS!$Q$91),"S",IF(AND(INPUTS!$E$91="Yes",AI$16=1,AI$7&gt;=INPUTS!$R$91,AI$7&lt;=INPUTS!$S$91),"C",IF(AND(INPUTS!$E$91="Yes",AI$17=1,AI$7&gt;INPUTS!$S$91),"✓",""))))</f>
        <v/>
      </c>
      <c r="AJ24" s="105" t="str">
        <f aca="false">IF(AND(AND(INPUTS!$E$91="Yes",AJ$16=1,AJ$7&gt;=INPUTS!$P$91,AJ$7&lt;=INPUTS!$Q$91),AND(INPUTS!$E$91="Yes",AJ$16=1,AJ$7&gt;=INPUTS!$R$91,AJ$7&lt;=INPUTS!$S$91)),"S+C",IF(AND(INPUTS!$E$91="Yes",AJ$16=1,AJ$7&gt;=INPUTS!$P$91,AJ$7&lt;=INPUTS!$Q$91),"S",IF(AND(INPUTS!$E$91="Yes",AJ$16=1,AJ$7&gt;=INPUTS!$R$91,AJ$7&lt;=INPUTS!$S$91),"C",IF(AND(INPUTS!$E$91="Yes",AJ$17=1,AJ$7&gt;INPUTS!$S$91),"✓",""))))</f>
        <v/>
      </c>
      <c r="AK24" s="105" t="str">
        <f aca="false">IF(AND(AND(INPUTS!$E$91="Yes",AK$16=1,AK$7&gt;=INPUTS!$P$91,AK$7&lt;=INPUTS!$Q$91),AND(INPUTS!$E$91="Yes",AK$16=1,AK$7&gt;=INPUTS!$R$91,AK$7&lt;=INPUTS!$S$91)),"S+C",IF(AND(INPUTS!$E$91="Yes",AK$16=1,AK$7&gt;=INPUTS!$P$91,AK$7&lt;=INPUTS!$Q$91),"S",IF(AND(INPUTS!$E$91="Yes",AK$16=1,AK$7&gt;=INPUTS!$R$91,AK$7&lt;=INPUTS!$S$91),"C",IF(AND(INPUTS!$E$91="Yes",AK$17=1,AK$7&gt;INPUTS!$S$91),"✓",""))))</f>
        <v/>
      </c>
      <c r="AL24" s="105" t="str">
        <f aca="false">IF(AND(AND(INPUTS!$E$91="Yes",AL$16=1,AL$7&gt;=INPUTS!$P$91,AL$7&lt;=INPUTS!$Q$91),AND(INPUTS!$E$91="Yes",AL$16=1,AL$7&gt;=INPUTS!$R$91,AL$7&lt;=INPUTS!$S$91)),"S+C",IF(AND(INPUTS!$E$91="Yes",AL$16=1,AL$7&gt;=INPUTS!$P$91,AL$7&lt;=INPUTS!$Q$91),"S",IF(AND(INPUTS!$E$91="Yes",AL$16=1,AL$7&gt;=INPUTS!$R$91,AL$7&lt;=INPUTS!$S$91),"C",IF(AND(INPUTS!$E$91="Yes",AL$17=1,AL$7&gt;INPUTS!$S$91),"✓",""))))</f>
        <v/>
      </c>
      <c r="AM24" s="105" t="str">
        <f aca="false">IF(AND(AND(INPUTS!$E$91="Yes",AM$16=1,AM$7&gt;=INPUTS!$P$91,AM$7&lt;=INPUTS!$Q$91),AND(INPUTS!$E$91="Yes",AM$16=1,AM$7&gt;=INPUTS!$R$91,AM$7&lt;=INPUTS!$S$91)),"S+C",IF(AND(INPUTS!$E$91="Yes",AM$16=1,AM$7&gt;=INPUTS!$P$91,AM$7&lt;=INPUTS!$Q$91),"S",IF(AND(INPUTS!$E$91="Yes",AM$16=1,AM$7&gt;=INPUTS!$R$91,AM$7&lt;=INPUTS!$S$91),"C",IF(AND(INPUTS!$E$91="Yes",AM$17=1,AM$7&gt;INPUTS!$S$91),"✓",""))))</f>
        <v/>
      </c>
      <c r="AN24" s="105" t="str">
        <f aca="false">IF(AND(AND(INPUTS!$E$91="Yes",AN$16=1,AN$7&gt;=INPUTS!$P$91,AN$7&lt;=INPUTS!$Q$91),AND(INPUTS!$E$91="Yes",AN$16=1,AN$7&gt;=INPUTS!$R$91,AN$7&lt;=INPUTS!$S$91)),"S+C",IF(AND(INPUTS!$E$91="Yes",AN$16=1,AN$7&gt;=INPUTS!$P$91,AN$7&lt;=INPUTS!$Q$91),"S",IF(AND(INPUTS!$E$91="Yes",AN$16=1,AN$7&gt;=INPUTS!$R$91,AN$7&lt;=INPUTS!$S$91),"C",IF(AND(INPUTS!$E$91="Yes",AN$17=1,AN$7&gt;INPUTS!$S$91),"✓",""))))</f>
        <v/>
      </c>
      <c r="AO24" s="105" t="str">
        <f aca="false">IF(AND(AND(INPUTS!$E$91="Yes",AO$16=1,AO$7&gt;=INPUTS!$P$91,AO$7&lt;=INPUTS!$Q$91),AND(INPUTS!$E$91="Yes",AO$16=1,AO$7&gt;=INPUTS!$R$91,AO$7&lt;=INPUTS!$S$91)),"S+C",IF(AND(INPUTS!$E$91="Yes",AO$16=1,AO$7&gt;=INPUTS!$P$91,AO$7&lt;=INPUTS!$Q$91),"S",IF(AND(INPUTS!$E$91="Yes",AO$16=1,AO$7&gt;=INPUTS!$R$91,AO$7&lt;=INPUTS!$S$91),"C",IF(AND(INPUTS!$E$91="Yes",AO$17=1,AO$7&gt;INPUTS!$S$91),"✓",""))))</f>
        <v/>
      </c>
      <c r="AP24" s="105" t="str">
        <f aca="false">IF(AND(AND(INPUTS!$E$91="Yes",AP$16=1,AP$7&gt;=INPUTS!$P$91,AP$7&lt;=INPUTS!$Q$91),AND(INPUTS!$E$91="Yes",AP$16=1,AP$7&gt;=INPUTS!$R$91,AP$7&lt;=INPUTS!$S$91)),"S+C",IF(AND(INPUTS!$E$91="Yes",AP$16=1,AP$7&gt;=INPUTS!$P$91,AP$7&lt;=INPUTS!$Q$91),"S",IF(AND(INPUTS!$E$91="Yes",AP$16=1,AP$7&gt;=INPUTS!$R$91,AP$7&lt;=INPUTS!$S$91),"C",IF(AND(INPUTS!$E$91="Yes",AP$17=1,AP$7&gt;INPUTS!$S$91),"✓",""))))</f>
        <v/>
      </c>
      <c r="AQ24" s="105" t="str">
        <f aca="false">IF(AND(AND(INPUTS!$E$91="Yes",AQ$16=1,AQ$7&gt;=INPUTS!$P$91,AQ$7&lt;=INPUTS!$Q$91),AND(INPUTS!$E$91="Yes",AQ$16=1,AQ$7&gt;=INPUTS!$R$91,AQ$7&lt;=INPUTS!$S$91)),"S+C",IF(AND(INPUTS!$E$91="Yes",AQ$16=1,AQ$7&gt;=INPUTS!$P$91,AQ$7&lt;=INPUTS!$Q$91),"S",IF(AND(INPUTS!$E$91="Yes",AQ$16=1,AQ$7&gt;=INPUTS!$R$91,AQ$7&lt;=INPUTS!$S$91),"C",IF(AND(INPUTS!$E$91="Yes",AQ$17=1,AQ$7&gt;INPUTS!$S$91),"✓",""))))</f>
        <v/>
      </c>
    </row>
    <row r="25" customFormat="false" ht="15" hidden="false" customHeight="false" outlineLevel="0" collapsed="false">
      <c r="B25" s="7" t="str">
        <f aca="false">IF(INPUTS!$E$92="Yes",INPUTS!$B$92,"(product row 5 – off)")</f>
        <v>(product row 5 – off)</v>
      </c>
      <c r="D25" s="105" t="str">
        <f aca="false">IF(AND(AND(INPUTS!$E$92="Yes",D$16=1,D$7&gt;=INPUTS!$P$92,D$7&lt;=INPUTS!$Q$92),AND(INPUTS!$E$92="Yes",D$16=1,D$7&gt;=INPUTS!$R$92,D$7&lt;=INPUTS!$S$92)),"S+C",IF(AND(INPUTS!$E$92="Yes",D$16=1,D$7&gt;=INPUTS!$P$92,D$7&lt;=INPUTS!$Q$92),"S",IF(AND(INPUTS!$E$92="Yes",D$16=1,D$7&gt;=INPUTS!$R$92,D$7&lt;=INPUTS!$S$92),"C",IF(AND(INPUTS!$E$92="Yes",D$17=1,D$7&gt;INPUTS!$S$92),"✓",""))))</f>
        <v/>
      </c>
      <c r="E25" s="105" t="str">
        <f aca="false">IF(AND(AND(INPUTS!$E$92="Yes",E$16=1,E$7&gt;=INPUTS!$P$92,E$7&lt;=INPUTS!$Q$92),AND(INPUTS!$E$92="Yes",E$16=1,E$7&gt;=INPUTS!$R$92,E$7&lt;=INPUTS!$S$92)),"S+C",IF(AND(INPUTS!$E$92="Yes",E$16=1,E$7&gt;=INPUTS!$P$92,E$7&lt;=INPUTS!$Q$92),"S",IF(AND(INPUTS!$E$92="Yes",E$16=1,E$7&gt;=INPUTS!$R$92,E$7&lt;=INPUTS!$S$92),"C",IF(AND(INPUTS!$E$92="Yes",E$17=1,E$7&gt;INPUTS!$S$92),"✓",""))))</f>
        <v/>
      </c>
      <c r="F25" s="105" t="str">
        <f aca="false">IF(AND(AND(INPUTS!$E$92="Yes",F$16=1,F$7&gt;=INPUTS!$P$92,F$7&lt;=INPUTS!$Q$92),AND(INPUTS!$E$92="Yes",F$16=1,F$7&gt;=INPUTS!$R$92,F$7&lt;=INPUTS!$S$92)),"S+C",IF(AND(INPUTS!$E$92="Yes",F$16=1,F$7&gt;=INPUTS!$P$92,F$7&lt;=INPUTS!$Q$92),"S",IF(AND(INPUTS!$E$92="Yes",F$16=1,F$7&gt;=INPUTS!$R$92,F$7&lt;=INPUTS!$S$92),"C",IF(AND(INPUTS!$E$92="Yes",F$17=1,F$7&gt;INPUTS!$S$92),"✓",""))))</f>
        <v/>
      </c>
      <c r="G25" s="105" t="str">
        <f aca="false">IF(AND(AND(INPUTS!$E$92="Yes",G$16=1,G$7&gt;=INPUTS!$P$92,G$7&lt;=INPUTS!$Q$92),AND(INPUTS!$E$92="Yes",G$16=1,G$7&gt;=INPUTS!$R$92,G$7&lt;=INPUTS!$S$92)),"S+C",IF(AND(INPUTS!$E$92="Yes",G$16=1,G$7&gt;=INPUTS!$P$92,G$7&lt;=INPUTS!$Q$92),"S",IF(AND(INPUTS!$E$92="Yes",G$16=1,G$7&gt;=INPUTS!$R$92,G$7&lt;=INPUTS!$S$92),"C",IF(AND(INPUTS!$E$92="Yes",G$17=1,G$7&gt;INPUTS!$S$92),"✓",""))))</f>
        <v/>
      </c>
      <c r="H25" s="105" t="str">
        <f aca="false">IF(AND(AND(INPUTS!$E$92="Yes",H$16=1,H$7&gt;=INPUTS!$P$92,H$7&lt;=INPUTS!$Q$92),AND(INPUTS!$E$92="Yes",H$16=1,H$7&gt;=INPUTS!$R$92,H$7&lt;=INPUTS!$S$92)),"S+C",IF(AND(INPUTS!$E$92="Yes",H$16=1,H$7&gt;=INPUTS!$P$92,H$7&lt;=INPUTS!$Q$92),"S",IF(AND(INPUTS!$E$92="Yes",H$16=1,H$7&gt;=INPUTS!$R$92,H$7&lt;=INPUTS!$S$92),"C",IF(AND(INPUTS!$E$92="Yes",H$17=1,H$7&gt;INPUTS!$S$92),"✓",""))))</f>
        <v/>
      </c>
      <c r="I25" s="105" t="str">
        <f aca="false">IF(AND(AND(INPUTS!$E$92="Yes",I$16=1,I$7&gt;=INPUTS!$P$92,I$7&lt;=INPUTS!$Q$92),AND(INPUTS!$E$92="Yes",I$16=1,I$7&gt;=INPUTS!$R$92,I$7&lt;=INPUTS!$S$92)),"S+C",IF(AND(INPUTS!$E$92="Yes",I$16=1,I$7&gt;=INPUTS!$P$92,I$7&lt;=INPUTS!$Q$92),"S",IF(AND(INPUTS!$E$92="Yes",I$16=1,I$7&gt;=INPUTS!$R$92,I$7&lt;=INPUTS!$S$92),"C",IF(AND(INPUTS!$E$92="Yes",I$17=1,I$7&gt;INPUTS!$S$92),"✓",""))))</f>
        <v/>
      </c>
      <c r="J25" s="105" t="str">
        <f aca="false">IF(AND(AND(INPUTS!$E$92="Yes",J$16=1,J$7&gt;=INPUTS!$P$92,J$7&lt;=INPUTS!$Q$92),AND(INPUTS!$E$92="Yes",J$16=1,J$7&gt;=INPUTS!$R$92,J$7&lt;=INPUTS!$S$92)),"S+C",IF(AND(INPUTS!$E$92="Yes",J$16=1,J$7&gt;=INPUTS!$P$92,J$7&lt;=INPUTS!$Q$92),"S",IF(AND(INPUTS!$E$92="Yes",J$16=1,J$7&gt;=INPUTS!$R$92,J$7&lt;=INPUTS!$S$92),"C",IF(AND(INPUTS!$E$92="Yes",J$17=1,J$7&gt;INPUTS!$S$92),"✓",""))))</f>
        <v/>
      </c>
      <c r="K25" s="105" t="str">
        <f aca="false">IF(AND(AND(INPUTS!$E$92="Yes",K$16=1,K$7&gt;=INPUTS!$P$92,K$7&lt;=INPUTS!$Q$92),AND(INPUTS!$E$92="Yes",K$16=1,K$7&gt;=INPUTS!$R$92,K$7&lt;=INPUTS!$S$92)),"S+C",IF(AND(INPUTS!$E$92="Yes",K$16=1,K$7&gt;=INPUTS!$P$92,K$7&lt;=INPUTS!$Q$92),"S",IF(AND(INPUTS!$E$92="Yes",K$16=1,K$7&gt;=INPUTS!$R$92,K$7&lt;=INPUTS!$S$92),"C",IF(AND(INPUTS!$E$92="Yes",K$17=1,K$7&gt;INPUTS!$S$92),"✓",""))))</f>
        <v/>
      </c>
      <c r="L25" s="105" t="str">
        <f aca="false">IF(AND(AND(INPUTS!$E$92="Yes",L$16=1,L$7&gt;=INPUTS!$P$92,L$7&lt;=INPUTS!$Q$92),AND(INPUTS!$E$92="Yes",L$16=1,L$7&gt;=INPUTS!$R$92,L$7&lt;=INPUTS!$S$92)),"S+C",IF(AND(INPUTS!$E$92="Yes",L$16=1,L$7&gt;=INPUTS!$P$92,L$7&lt;=INPUTS!$Q$92),"S",IF(AND(INPUTS!$E$92="Yes",L$16=1,L$7&gt;=INPUTS!$R$92,L$7&lt;=INPUTS!$S$92),"C",IF(AND(INPUTS!$E$92="Yes",L$17=1,L$7&gt;INPUTS!$S$92),"✓",""))))</f>
        <v/>
      </c>
      <c r="M25" s="105" t="str">
        <f aca="false">IF(AND(AND(INPUTS!$E$92="Yes",M$16=1,M$7&gt;=INPUTS!$P$92,M$7&lt;=INPUTS!$Q$92),AND(INPUTS!$E$92="Yes",M$16=1,M$7&gt;=INPUTS!$R$92,M$7&lt;=INPUTS!$S$92)),"S+C",IF(AND(INPUTS!$E$92="Yes",M$16=1,M$7&gt;=INPUTS!$P$92,M$7&lt;=INPUTS!$Q$92),"S",IF(AND(INPUTS!$E$92="Yes",M$16=1,M$7&gt;=INPUTS!$R$92,M$7&lt;=INPUTS!$S$92),"C",IF(AND(INPUTS!$E$92="Yes",M$17=1,M$7&gt;INPUTS!$S$92),"✓",""))))</f>
        <v/>
      </c>
      <c r="N25" s="105" t="str">
        <f aca="false">IF(AND(AND(INPUTS!$E$92="Yes",N$16=1,N$7&gt;=INPUTS!$P$92,N$7&lt;=INPUTS!$Q$92),AND(INPUTS!$E$92="Yes",N$16=1,N$7&gt;=INPUTS!$R$92,N$7&lt;=INPUTS!$S$92)),"S+C",IF(AND(INPUTS!$E$92="Yes",N$16=1,N$7&gt;=INPUTS!$P$92,N$7&lt;=INPUTS!$Q$92),"S",IF(AND(INPUTS!$E$92="Yes",N$16=1,N$7&gt;=INPUTS!$R$92,N$7&lt;=INPUTS!$S$92),"C",IF(AND(INPUTS!$E$92="Yes",N$17=1,N$7&gt;INPUTS!$S$92),"✓",""))))</f>
        <v/>
      </c>
      <c r="O25" s="105" t="str">
        <f aca="false">IF(AND(AND(INPUTS!$E$92="Yes",O$16=1,O$7&gt;=INPUTS!$P$92,O$7&lt;=INPUTS!$Q$92),AND(INPUTS!$E$92="Yes",O$16=1,O$7&gt;=INPUTS!$R$92,O$7&lt;=INPUTS!$S$92)),"S+C",IF(AND(INPUTS!$E$92="Yes",O$16=1,O$7&gt;=INPUTS!$P$92,O$7&lt;=INPUTS!$Q$92),"S",IF(AND(INPUTS!$E$92="Yes",O$16=1,O$7&gt;=INPUTS!$R$92,O$7&lt;=INPUTS!$S$92),"C",IF(AND(INPUTS!$E$92="Yes",O$17=1,O$7&gt;INPUTS!$S$92),"✓",""))))</f>
        <v/>
      </c>
      <c r="P25" s="105" t="str">
        <f aca="false">IF(AND(AND(INPUTS!$E$92="Yes",P$16=1,P$7&gt;=INPUTS!$P$92,P$7&lt;=INPUTS!$Q$92),AND(INPUTS!$E$92="Yes",P$16=1,P$7&gt;=INPUTS!$R$92,P$7&lt;=INPUTS!$S$92)),"S+C",IF(AND(INPUTS!$E$92="Yes",P$16=1,P$7&gt;=INPUTS!$P$92,P$7&lt;=INPUTS!$Q$92),"S",IF(AND(INPUTS!$E$92="Yes",P$16=1,P$7&gt;=INPUTS!$R$92,P$7&lt;=INPUTS!$S$92),"C",IF(AND(INPUTS!$E$92="Yes",P$17=1,P$7&gt;INPUTS!$S$92),"✓",""))))</f>
        <v/>
      </c>
      <c r="Q25" s="105" t="str">
        <f aca="false">IF(AND(AND(INPUTS!$E$92="Yes",Q$16=1,Q$7&gt;=INPUTS!$P$92,Q$7&lt;=INPUTS!$Q$92),AND(INPUTS!$E$92="Yes",Q$16=1,Q$7&gt;=INPUTS!$R$92,Q$7&lt;=INPUTS!$S$92)),"S+C",IF(AND(INPUTS!$E$92="Yes",Q$16=1,Q$7&gt;=INPUTS!$P$92,Q$7&lt;=INPUTS!$Q$92),"S",IF(AND(INPUTS!$E$92="Yes",Q$16=1,Q$7&gt;=INPUTS!$R$92,Q$7&lt;=INPUTS!$S$92),"C",IF(AND(INPUTS!$E$92="Yes",Q$17=1,Q$7&gt;INPUTS!$S$92),"✓",""))))</f>
        <v/>
      </c>
      <c r="R25" s="105" t="str">
        <f aca="false">IF(AND(AND(INPUTS!$E$92="Yes",R$16=1,R$7&gt;=INPUTS!$P$92,R$7&lt;=INPUTS!$Q$92),AND(INPUTS!$E$92="Yes",R$16=1,R$7&gt;=INPUTS!$R$92,R$7&lt;=INPUTS!$S$92)),"S+C",IF(AND(INPUTS!$E$92="Yes",R$16=1,R$7&gt;=INPUTS!$P$92,R$7&lt;=INPUTS!$Q$92),"S",IF(AND(INPUTS!$E$92="Yes",R$16=1,R$7&gt;=INPUTS!$R$92,R$7&lt;=INPUTS!$S$92),"C",IF(AND(INPUTS!$E$92="Yes",R$17=1,R$7&gt;INPUTS!$S$92),"✓",""))))</f>
        <v/>
      </c>
      <c r="S25" s="105" t="str">
        <f aca="false">IF(AND(AND(INPUTS!$E$92="Yes",S$16=1,S$7&gt;=INPUTS!$P$92,S$7&lt;=INPUTS!$Q$92),AND(INPUTS!$E$92="Yes",S$16=1,S$7&gt;=INPUTS!$R$92,S$7&lt;=INPUTS!$S$92)),"S+C",IF(AND(INPUTS!$E$92="Yes",S$16=1,S$7&gt;=INPUTS!$P$92,S$7&lt;=INPUTS!$Q$92),"S",IF(AND(INPUTS!$E$92="Yes",S$16=1,S$7&gt;=INPUTS!$R$92,S$7&lt;=INPUTS!$S$92),"C",IF(AND(INPUTS!$E$92="Yes",S$17=1,S$7&gt;INPUTS!$S$92),"✓",""))))</f>
        <v/>
      </c>
      <c r="T25" s="105" t="str">
        <f aca="false">IF(AND(AND(INPUTS!$E$92="Yes",T$16=1,T$7&gt;=INPUTS!$P$92,T$7&lt;=INPUTS!$Q$92),AND(INPUTS!$E$92="Yes",T$16=1,T$7&gt;=INPUTS!$R$92,T$7&lt;=INPUTS!$S$92)),"S+C",IF(AND(INPUTS!$E$92="Yes",T$16=1,T$7&gt;=INPUTS!$P$92,T$7&lt;=INPUTS!$Q$92),"S",IF(AND(INPUTS!$E$92="Yes",T$16=1,T$7&gt;=INPUTS!$R$92,T$7&lt;=INPUTS!$S$92),"C",IF(AND(INPUTS!$E$92="Yes",T$17=1,T$7&gt;INPUTS!$S$92),"✓",""))))</f>
        <v/>
      </c>
      <c r="U25" s="105" t="str">
        <f aca="false">IF(AND(AND(INPUTS!$E$92="Yes",U$16=1,U$7&gt;=INPUTS!$P$92,U$7&lt;=INPUTS!$Q$92),AND(INPUTS!$E$92="Yes",U$16=1,U$7&gt;=INPUTS!$R$92,U$7&lt;=INPUTS!$S$92)),"S+C",IF(AND(INPUTS!$E$92="Yes",U$16=1,U$7&gt;=INPUTS!$P$92,U$7&lt;=INPUTS!$Q$92),"S",IF(AND(INPUTS!$E$92="Yes",U$16=1,U$7&gt;=INPUTS!$R$92,U$7&lt;=INPUTS!$S$92),"C",IF(AND(INPUTS!$E$92="Yes",U$17=1,U$7&gt;INPUTS!$S$92),"✓",""))))</f>
        <v/>
      </c>
      <c r="V25" s="105" t="str">
        <f aca="false">IF(AND(AND(INPUTS!$E$92="Yes",V$16=1,V$7&gt;=INPUTS!$P$92,V$7&lt;=INPUTS!$Q$92),AND(INPUTS!$E$92="Yes",V$16=1,V$7&gt;=INPUTS!$R$92,V$7&lt;=INPUTS!$S$92)),"S+C",IF(AND(INPUTS!$E$92="Yes",V$16=1,V$7&gt;=INPUTS!$P$92,V$7&lt;=INPUTS!$Q$92),"S",IF(AND(INPUTS!$E$92="Yes",V$16=1,V$7&gt;=INPUTS!$R$92,V$7&lt;=INPUTS!$S$92),"C",IF(AND(INPUTS!$E$92="Yes",V$17=1,V$7&gt;INPUTS!$S$92),"✓",""))))</f>
        <v/>
      </c>
      <c r="W25" s="105" t="str">
        <f aca="false">IF(AND(AND(INPUTS!$E$92="Yes",W$16=1,W$7&gt;=INPUTS!$P$92,W$7&lt;=INPUTS!$Q$92),AND(INPUTS!$E$92="Yes",W$16=1,W$7&gt;=INPUTS!$R$92,W$7&lt;=INPUTS!$S$92)),"S+C",IF(AND(INPUTS!$E$92="Yes",W$16=1,W$7&gt;=INPUTS!$P$92,W$7&lt;=INPUTS!$Q$92),"S",IF(AND(INPUTS!$E$92="Yes",W$16=1,W$7&gt;=INPUTS!$R$92,W$7&lt;=INPUTS!$S$92),"C",IF(AND(INPUTS!$E$92="Yes",W$17=1,W$7&gt;INPUTS!$S$92),"✓",""))))</f>
        <v/>
      </c>
      <c r="X25" s="105" t="str">
        <f aca="false">IF(AND(AND(INPUTS!$E$92="Yes",X$16=1,X$7&gt;=INPUTS!$P$92,X$7&lt;=INPUTS!$Q$92),AND(INPUTS!$E$92="Yes",X$16=1,X$7&gt;=INPUTS!$R$92,X$7&lt;=INPUTS!$S$92)),"S+C",IF(AND(INPUTS!$E$92="Yes",X$16=1,X$7&gt;=INPUTS!$P$92,X$7&lt;=INPUTS!$Q$92),"S",IF(AND(INPUTS!$E$92="Yes",X$16=1,X$7&gt;=INPUTS!$R$92,X$7&lt;=INPUTS!$S$92),"C",IF(AND(INPUTS!$E$92="Yes",X$17=1,X$7&gt;INPUTS!$S$92),"✓",""))))</f>
        <v/>
      </c>
      <c r="Y25" s="105" t="str">
        <f aca="false">IF(AND(AND(INPUTS!$E$92="Yes",Y$16=1,Y$7&gt;=INPUTS!$P$92,Y$7&lt;=INPUTS!$Q$92),AND(INPUTS!$E$92="Yes",Y$16=1,Y$7&gt;=INPUTS!$R$92,Y$7&lt;=INPUTS!$S$92)),"S+C",IF(AND(INPUTS!$E$92="Yes",Y$16=1,Y$7&gt;=INPUTS!$P$92,Y$7&lt;=INPUTS!$Q$92),"S",IF(AND(INPUTS!$E$92="Yes",Y$16=1,Y$7&gt;=INPUTS!$R$92,Y$7&lt;=INPUTS!$S$92),"C",IF(AND(INPUTS!$E$92="Yes",Y$17=1,Y$7&gt;INPUTS!$S$92),"✓",""))))</f>
        <v/>
      </c>
      <c r="Z25" s="105" t="str">
        <f aca="false">IF(AND(AND(INPUTS!$E$92="Yes",Z$16=1,Z$7&gt;=INPUTS!$P$92,Z$7&lt;=INPUTS!$Q$92),AND(INPUTS!$E$92="Yes",Z$16=1,Z$7&gt;=INPUTS!$R$92,Z$7&lt;=INPUTS!$S$92)),"S+C",IF(AND(INPUTS!$E$92="Yes",Z$16=1,Z$7&gt;=INPUTS!$P$92,Z$7&lt;=INPUTS!$Q$92),"S",IF(AND(INPUTS!$E$92="Yes",Z$16=1,Z$7&gt;=INPUTS!$R$92,Z$7&lt;=INPUTS!$S$92),"C",IF(AND(INPUTS!$E$92="Yes",Z$17=1,Z$7&gt;INPUTS!$S$92),"✓",""))))</f>
        <v/>
      </c>
      <c r="AA25" s="105" t="str">
        <f aca="false">IF(AND(AND(INPUTS!$E$92="Yes",AA$16=1,AA$7&gt;=INPUTS!$P$92,AA$7&lt;=INPUTS!$Q$92),AND(INPUTS!$E$92="Yes",AA$16=1,AA$7&gt;=INPUTS!$R$92,AA$7&lt;=INPUTS!$S$92)),"S+C",IF(AND(INPUTS!$E$92="Yes",AA$16=1,AA$7&gt;=INPUTS!$P$92,AA$7&lt;=INPUTS!$Q$92),"S",IF(AND(INPUTS!$E$92="Yes",AA$16=1,AA$7&gt;=INPUTS!$R$92,AA$7&lt;=INPUTS!$S$92),"C",IF(AND(INPUTS!$E$92="Yes",AA$17=1,AA$7&gt;INPUTS!$S$92),"✓",""))))</f>
        <v/>
      </c>
      <c r="AB25" s="105" t="str">
        <f aca="false">IF(AND(AND(INPUTS!$E$92="Yes",AB$16=1,AB$7&gt;=INPUTS!$P$92,AB$7&lt;=INPUTS!$Q$92),AND(INPUTS!$E$92="Yes",AB$16=1,AB$7&gt;=INPUTS!$R$92,AB$7&lt;=INPUTS!$S$92)),"S+C",IF(AND(INPUTS!$E$92="Yes",AB$16=1,AB$7&gt;=INPUTS!$P$92,AB$7&lt;=INPUTS!$Q$92),"S",IF(AND(INPUTS!$E$92="Yes",AB$16=1,AB$7&gt;=INPUTS!$R$92,AB$7&lt;=INPUTS!$S$92),"C",IF(AND(INPUTS!$E$92="Yes",AB$17=1,AB$7&gt;INPUTS!$S$92),"✓",""))))</f>
        <v/>
      </c>
      <c r="AC25" s="105" t="str">
        <f aca="false">IF(AND(AND(INPUTS!$E$92="Yes",AC$16=1,AC$7&gt;=INPUTS!$P$92,AC$7&lt;=INPUTS!$Q$92),AND(INPUTS!$E$92="Yes",AC$16=1,AC$7&gt;=INPUTS!$R$92,AC$7&lt;=INPUTS!$S$92)),"S+C",IF(AND(INPUTS!$E$92="Yes",AC$16=1,AC$7&gt;=INPUTS!$P$92,AC$7&lt;=INPUTS!$Q$92),"S",IF(AND(INPUTS!$E$92="Yes",AC$16=1,AC$7&gt;=INPUTS!$R$92,AC$7&lt;=INPUTS!$S$92),"C",IF(AND(INPUTS!$E$92="Yes",AC$17=1,AC$7&gt;INPUTS!$S$92),"✓",""))))</f>
        <v/>
      </c>
      <c r="AD25" s="105" t="str">
        <f aca="false">IF(AND(AND(INPUTS!$E$92="Yes",AD$16=1,AD$7&gt;=INPUTS!$P$92,AD$7&lt;=INPUTS!$Q$92),AND(INPUTS!$E$92="Yes",AD$16=1,AD$7&gt;=INPUTS!$R$92,AD$7&lt;=INPUTS!$S$92)),"S+C",IF(AND(INPUTS!$E$92="Yes",AD$16=1,AD$7&gt;=INPUTS!$P$92,AD$7&lt;=INPUTS!$Q$92),"S",IF(AND(INPUTS!$E$92="Yes",AD$16=1,AD$7&gt;=INPUTS!$R$92,AD$7&lt;=INPUTS!$S$92),"C",IF(AND(INPUTS!$E$92="Yes",AD$17=1,AD$7&gt;INPUTS!$S$92),"✓",""))))</f>
        <v/>
      </c>
      <c r="AE25" s="105" t="str">
        <f aca="false">IF(AND(AND(INPUTS!$E$92="Yes",AE$16=1,AE$7&gt;=INPUTS!$P$92,AE$7&lt;=INPUTS!$Q$92),AND(INPUTS!$E$92="Yes",AE$16=1,AE$7&gt;=INPUTS!$R$92,AE$7&lt;=INPUTS!$S$92)),"S+C",IF(AND(INPUTS!$E$92="Yes",AE$16=1,AE$7&gt;=INPUTS!$P$92,AE$7&lt;=INPUTS!$Q$92),"S",IF(AND(INPUTS!$E$92="Yes",AE$16=1,AE$7&gt;=INPUTS!$R$92,AE$7&lt;=INPUTS!$S$92),"C",IF(AND(INPUTS!$E$92="Yes",AE$17=1,AE$7&gt;INPUTS!$S$92),"✓",""))))</f>
        <v/>
      </c>
      <c r="AF25" s="105" t="str">
        <f aca="false">IF(AND(AND(INPUTS!$E$92="Yes",AF$16=1,AF$7&gt;=INPUTS!$P$92,AF$7&lt;=INPUTS!$Q$92),AND(INPUTS!$E$92="Yes",AF$16=1,AF$7&gt;=INPUTS!$R$92,AF$7&lt;=INPUTS!$S$92)),"S+C",IF(AND(INPUTS!$E$92="Yes",AF$16=1,AF$7&gt;=INPUTS!$P$92,AF$7&lt;=INPUTS!$Q$92),"S",IF(AND(INPUTS!$E$92="Yes",AF$16=1,AF$7&gt;=INPUTS!$R$92,AF$7&lt;=INPUTS!$S$92),"C",IF(AND(INPUTS!$E$92="Yes",AF$17=1,AF$7&gt;INPUTS!$S$92),"✓",""))))</f>
        <v/>
      </c>
      <c r="AG25" s="105" t="str">
        <f aca="false">IF(AND(AND(INPUTS!$E$92="Yes",AG$16=1,AG$7&gt;=INPUTS!$P$92,AG$7&lt;=INPUTS!$Q$92),AND(INPUTS!$E$92="Yes",AG$16=1,AG$7&gt;=INPUTS!$R$92,AG$7&lt;=INPUTS!$S$92)),"S+C",IF(AND(INPUTS!$E$92="Yes",AG$16=1,AG$7&gt;=INPUTS!$P$92,AG$7&lt;=INPUTS!$Q$92),"S",IF(AND(INPUTS!$E$92="Yes",AG$16=1,AG$7&gt;=INPUTS!$R$92,AG$7&lt;=INPUTS!$S$92),"C",IF(AND(INPUTS!$E$92="Yes",AG$17=1,AG$7&gt;INPUTS!$S$92),"✓",""))))</f>
        <v/>
      </c>
      <c r="AH25" s="105" t="str">
        <f aca="false">IF(AND(AND(INPUTS!$E$92="Yes",AH$16=1,AH$7&gt;=INPUTS!$P$92,AH$7&lt;=INPUTS!$Q$92),AND(INPUTS!$E$92="Yes",AH$16=1,AH$7&gt;=INPUTS!$R$92,AH$7&lt;=INPUTS!$S$92)),"S+C",IF(AND(INPUTS!$E$92="Yes",AH$16=1,AH$7&gt;=INPUTS!$P$92,AH$7&lt;=INPUTS!$Q$92),"S",IF(AND(INPUTS!$E$92="Yes",AH$16=1,AH$7&gt;=INPUTS!$R$92,AH$7&lt;=INPUTS!$S$92),"C",IF(AND(INPUTS!$E$92="Yes",AH$17=1,AH$7&gt;INPUTS!$S$92),"✓",""))))</f>
        <v/>
      </c>
      <c r="AI25" s="105" t="str">
        <f aca="false">IF(AND(AND(INPUTS!$E$92="Yes",AI$16=1,AI$7&gt;=INPUTS!$P$92,AI$7&lt;=INPUTS!$Q$92),AND(INPUTS!$E$92="Yes",AI$16=1,AI$7&gt;=INPUTS!$R$92,AI$7&lt;=INPUTS!$S$92)),"S+C",IF(AND(INPUTS!$E$92="Yes",AI$16=1,AI$7&gt;=INPUTS!$P$92,AI$7&lt;=INPUTS!$Q$92),"S",IF(AND(INPUTS!$E$92="Yes",AI$16=1,AI$7&gt;=INPUTS!$R$92,AI$7&lt;=INPUTS!$S$92),"C",IF(AND(INPUTS!$E$92="Yes",AI$17=1,AI$7&gt;INPUTS!$S$92),"✓",""))))</f>
        <v/>
      </c>
      <c r="AJ25" s="105" t="str">
        <f aca="false">IF(AND(AND(INPUTS!$E$92="Yes",AJ$16=1,AJ$7&gt;=INPUTS!$P$92,AJ$7&lt;=INPUTS!$Q$92),AND(INPUTS!$E$92="Yes",AJ$16=1,AJ$7&gt;=INPUTS!$R$92,AJ$7&lt;=INPUTS!$S$92)),"S+C",IF(AND(INPUTS!$E$92="Yes",AJ$16=1,AJ$7&gt;=INPUTS!$P$92,AJ$7&lt;=INPUTS!$Q$92),"S",IF(AND(INPUTS!$E$92="Yes",AJ$16=1,AJ$7&gt;=INPUTS!$R$92,AJ$7&lt;=INPUTS!$S$92),"C",IF(AND(INPUTS!$E$92="Yes",AJ$17=1,AJ$7&gt;INPUTS!$S$92),"✓",""))))</f>
        <v/>
      </c>
      <c r="AK25" s="105" t="str">
        <f aca="false">IF(AND(AND(INPUTS!$E$92="Yes",AK$16=1,AK$7&gt;=INPUTS!$P$92,AK$7&lt;=INPUTS!$Q$92),AND(INPUTS!$E$92="Yes",AK$16=1,AK$7&gt;=INPUTS!$R$92,AK$7&lt;=INPUTS!$S$92)),"S+C",IF(AND(INPUTS!$E$92="Yes",AK$16=1,AK$7&gt;=INPUTS!$P$92,AK$7&lt;=INPUTS!$Q$92),"S",IF(AND(INPUTS!$E$92="Yes",AK$16=1,AK$7&gt;=INPUTS!$R$92,AK$7&lt;=INPUTS!$S$92),"C",IF(AND(INPUTS!$E$92="Yes",AK$17=1,AK$7&gt;INPUTS!$S$92),"✓",""))))</f>
        <v/>
      </c>
      <c r="AL25" s="105" t="str">
        <f aca="false">IF(AND(AND(INPUTS!$E$92="Yes",AL$16=1,AL$7&gt;=INPUTS!$P$92,AL$7&lt;=INPUTS!$Q$92),AND(INPUTS!$E$92="Yes",AL$16=1,AL$7&gt;=INPUTS!$R$92,AL$7&lt;=INPUTS!$S$92)),"S+C",IF(AND(INPUTS!$E$92="Yes",AL$16=1,AL$7&gt;=INPUTS!$P$92,AL$7&lt;=INPUTS!$Q$92),"S",IF(AND(INPUTS!$E$92="Yes",AL$16=1,AL$7&gt;=INPUTS!$R$92,AL$7&lt;=INPUTS!$S$92),"C",IF(AND(INPUTS!$E$92="Yes",AL$17=1,AL$7&gt;INPUTS!$S$92),"✓",""))))</f>
        <v/>
      </c>
      <c r="AM25" s="105" t="str">
        <f aca="false">IF(AND(AND(INPUTS!$E$92="Yes",AM$16=1,AM$7&gt;=INPUTS!$P$92,AM$7&lt;=INPUTS!$Q$92),AND(INPUTS!$E$92="Yes",AM$16=1,AM$7&gt;=INPUTS!$R$92,AM$7&lt;=INPUTS!$S$92)),"S+C",IF(AND(INPUTS!$E$92="Yes",AM$16=1,AM$7&gt;=INPUTS!$P$92,AM$7&lt;=INPUTS!$Q$92),"S",IF(AND(INPUTS!$E$92="Yes",AM$16=1,AM$7&gt;=INPUTS!$R$92,AM$7&lt;=INPUTS!$S$92),"C",IF(AND(INPUTS!$E$92="Yes",AM$17=1,AM$7&gt;INPUTS!$S$92),"✓",""))))</f>
        <v/>
      </c>
      <c r="AN25" s="105" t="str">
        <f aca="false">IF(AND(AND(INPUTS!$E$92="Yes",AN$16=1,AN$7&gt;=INPUTS!$P$92,AN$7&lt;=INPUTS!$Q$92),AND(INPUTS!$E$92="Yes",AN$16=1,AN$7&gt;=INPUTS!$R$92,AN$7&lt;=INPUTS!$S$92)),"S+C",IF(AND(INPUTS!$E$92="Yes",AN$16=1,AN$7&gt;=INPUTS!$P$92,AN$7&lt;=INPUTS!$Q$92),"S",IF(AND(INPUTS!$E$92="Yes",AN$16=1,AN$7&gt;=INPUTS!$R$92,AN$7&lt;=INPUTS!$S$92),"C",IF(AND(INPUTS!$E$92="Yes",AN$17=1,AN$7&gt;INPUTS!$S$92),"✓",""))))</f>
        <v/>
      </c>
      <c r="AO25" s="105" t="str">
        <f aca="false">IF(AND(AND(INPUTS!$E$92="Yes",AO$16=1,AO$7&gt;=INPUTS!$P$92,AO$7&lt;=INPUTS!$Q$92),AND(INPUTS!$E$92="Yes",AO$16=1,AO$7&gt;=INPUTS!$R$92,AO$7&lt;=INPUTS!$S$92)),"S+C",IF(AND(INPUTS!$E$92="Yes",AO$16=1,AO$7&gt;=INPUTS!$P$92,AO$7&lt;=INPUTS!$Q$92),"S",IF(AND(INPUTS!$E$92="Yes",AO$16=1,AO$7&gt;=INPUTS!$R$92,AO$7&lt;=INPUTS!$S$92),"C",IF(AND(INPUTS!$E$92="Yes",AO$17=1,AO$7&gt;INPUTS!$S$92),"✓",""))))</f>
        <v/>
      </c>
      <c r="AP25" s="105" t="str">
        <f aca="false">IF(AND(AND(INPUTS!$E$92="Yes",AP$16=1,AP$7&gt;=INPUTS!$P$92,AP$7&lt;=INPUTS!$Q$92),AND(INPUTS!$E$92="Yes",AP$16=1,AP$7&gt;=INPUTS!$R$92,AP$7&lt;=INPUTS!$S$92)),"S+C",IF(AND(INPUTS!$E$92="Yes",AP$16=1,AP$7&gt;=INPUTS!$P$92,AP$7&lt;=INPUTS!$Q$92),"S",IF(AND(INPUTS!$E$92="Yes",AP$16=1,AP$7&gt;=INPUTS!$R$92,AP$7&lt;=INPUTS!$S$92),"C",IF(AND(INPUTS!$E$92="Yes",AP$17=1,AP$7&gt;INPUTS!$S$92),"✓",""))))</f>
        <v/>
      </c>
      <c r="AQ25" s="105" t="str">
        <f aca="false">IF(AND(AND(INPUTS!$E$92="Yes",AQ$16=1,AQ$7&gt;=INPUTS!$P$92,AQ$7&lt;=INPUTS!$Q$92),AND(INPUTS!$E$92="Yes",AQ$16=1,AQ$7&gt;=INPUTS!$R$92,AQ$7&lt;=INPUTS!$S$92)),"S+C",IF(AND(INPUTS!$E$92="Yes",AQ$16=1,AQ$7&gt;=INPUTS!$P$92,AQ$7&lt;=INPUTS!$Q$92),"S",IF(AND(INPUTS!$E$92="Yes",AQ$16=1,AQ$7&gt;=INPUTS!$R$92,AQ$7&lt;=INPUTS!$S$92),"C",IF(AND(INPUTS!$E$92="Yes",AQ$17=1,AQ$7&gt;INPUTS!$S$92),"✓",""))))</f>
        <v/>
      </c>
    </row>
    <row r="26" customFormat="false" ht="15" hidden="false" customHeight="false" outlineLevel="0" collapsed="false">
      <c r="B26" s="7" t="str">
        <f aca="false">IF(INPUTS!$E$93="Yes",INPUTS!$B$93,"(product row 6 – off)")</f>
        <v>(product row 6 – off)</v>
      </c>
      <c r="D26" s="105" t="str">
        <f aca="false">IF(AND(AND(INPUTS!$E$93="Yes",D$16=1,D$7&gt;=INPUTS!$P$93,D$7&lt;=INPUTS!$Q$93),AND(INPUTS!$E$93="Yes",D$16=1,D$7&gt;=INPUTS!$R$93,D$7&lt;=INPUTS!$S$93)),"S+C",IF(AND(INPUTS!$E$93="Yes",D$16=1,D$7&gt;=INPUTS!$P$93,D$7&lt;=INPUTS!$Q$93),"S",IF(AND(INPUTS!$E$93="Yes",D$16=1,D$7&gt;=INPUTS!$R$93,D$7&lt;=INPUTS!$S$93),"C",IF(AND(INPUTS!$E$93="Yes",D$17=1,D$7&gt;INPUTS!$S$93),"✓",""))))</f>
        <v/>
      </c>
      <c r="E26" s="105" t="str">
        <f aca="false">IF(AND(AND(INPUTS!$E$93="Yes",E$16=1,E$7&gt;=INPUTS!$P$93,E$7&lt;=INPUTS!$Q$93),AND(INPUTS!$E$93="Yes",E$16=1,E$7&gt;=INPUTS!$R$93,E$7&lt;=INPUTS!$S$93)),"S+C",IF(AND(INPUTS!$E$93="Yes",E$16=1,E$7&gt;=INPUTS!$P$93,E$7&lt;=INPUTS!$Q$93),"S",IF(AND(INPUTS!$E$93="Yes",E$16=1,E$7&gt;=INPUTS!$R$93,E$7&lt;=INPUTS!$S$93),"C",IF(AND(INPUTS!$E$93="Yes",E$17=1,E$7&gt;INPUTS!$S$93),"✓",""))))</f>
        <v/>
      </c>
      <c r="F26" s="105" t="str">
        <f aca="false">IF(AND(AND(INPUTS!$E$93="Yes",F$16=1,F$7&gt;=INPUTS!$P$93,F$7&lt;=INPUTS!$Q$93),AND(INPUTS!$E$93="Yes",F$16=1,F$7&gt;=INPUTS!$R$93,F$7&lt;=INPUTS!$S$93)),"S+C",IF(AND(INPUTS!$E$93="Yes",F$16=1,F$7&gt;=INPUTS!$P$93,F$7&lt;=INPUTS!$Q$93),"S",IF(AND(INPUTS!$E$93="Yes",F$16=1,F$7&gt;=INPUTS!$R$93,F$7&lt;=INPUTS!$S$93),"C",IF(AND(INPUTS!$E$93="Yes",F$17=1,F$7&gt;INPUTS!$S$93),"✓",""))))</f>
        <v/>
      </c>
      <c r="G26" s="105" t="str">
        <f aca="false">IF(AND(AND(INPUTS!$E$93="Yes",G$16=1,G$7&gt;=INPUTS!$P$93,G$7&lt;=INPUTS!$Q$93),AND(INPUTS!$E$93="Yes",G$16=1,G$7&gt;=INPUTS!$R$93,G$7&lt;=INPUTS!$S$93)),"S+C",IF(AND(INPUTS!$E$93="Yes",G$16=1,G$7&gt;=INPUTS!$P$93,G$7&lt;=INPUTS!$Q$93),"S",IF(AND(INPUTS!$E$93="Yes",G$16=1,G$7&gt;=INPUTS!$R$93,G$7&lt;=INPUTS!$S$93),"C",IF(AND(INPUTS!$E$93="Yes",G$17=1,G$7&gt;INPUTS!$S$93),"✓",""))))</f>
        <v/>
      </c>
      <c r="H26" s="105" t="str">
        <f aca="false">IF(AND(AND(INPUTS!$E$93="Yes",H$16=1,H$7&gt;=INPUTS!$P$93,H$7&lt;=INPUTS!$Q$93),AND(INPUTS!$E$93="Yes",H$16=1,H$7&gt;=INPUTS!$R$93,H$7&lt;=INPUTS!$S$93)),"S+C",IF(AND(INPUTS!$E$93="Yes",H$16=1,H$7&gt;=INPUTS!$P$93,H$7&lt;=INPUTS!$Q$93),"S",IF(AND(INPUTS!$E$93="Yes",H$16=1,H$7&gt;=INPUTS!$R$93,H$7&lt;=INPUTS!$S$93),"C",IF(AND(INPUTS!$E$93="Yes",H$17=1,H$7&gt;INPUTS!$S$93),"✓",""))))</f>
        <v/>
      </c>
      <c r="I26" s="105" t="str">
        <f aca="false">IF(AND(AND(INPUTS!$E$93="Yes",I$16=1,I$7&gt;=INPUTS!$P$93,I$7&lt;=INPUTS!$Q$93),AND(INPUTS!$E$93="Yes",I$16=1,I$7&gt;=INPUTS!$R$93,I$7&lt;=INPUTS!$S$93)),"S+C",IF(AND(INPUTS!$E$93="Yes",I$16=1,I$7&gt;=INPUTS!$P$93,I$7&lt;=INPUTS!$Q$93),"S",IF(AND(INPUTS!$E$93="Yes",I$16=1,I$7&gt;=INPUTS!$R$93,I$7&lt;=INPUTS!$S$93),"C",IF(AND(INPUTS!$E$93="Yes",I$17=1,I$7&gt;INPUTS!$S$93),"✓",""))))</f>
        <v/>
      </c>
      <c r="J26" s="105" t="str">
        <f aca="false">IF(AND(AND(INPUTS!$E$93="Yes",J$16=1,J$7&gt;=INPUTS!$P$93,J$7&lt;=INPUTS!$Q$93),AND(INPUTS!$E$93="Yes",J$16=1,J$7&gt;=INPUTS!$R$93,J$7&lt;=INPUTS!$S$93)),"S+C",IF(AND(INPUTS!$E$93="Yes",J$16=1,J$7&gt;=INPUTS!$P$93,J$7&lt;=INPUTS!$Q$93),"S",IF(AND(INPUTS!$E$93="Yes",J$16=1,J$7&gt;=INPUTS!$R$93,J$7&lt;=INPUTS!$S$93),"C",IF(AND(INPUTS!$E$93="Yes",J$17=1,J$7&gt;INPUTS!$S$93),"✓",""))))</f>
        <v/>
      </c>
      <c r="K26" s="105" t="str">
        <f aca="false">IF(AND(AND(INPUTS!$E$93="Yes",K$16=1,K$7&gt;=INPUTS!$P$93,K$7&lt;=INPUTS!$Q$93),AND(INPUTS!$E$93="Yes",K$16=1,K$7&gt;=INPUTS!$R$93,K$7&lt;=INPUTS!$S$93)),"S+C",IF(AND(INPUTS!$E$93="Yes",K$16=1,K$7&gt;=INPUTS!$P$93,K$7&lt;=INPUTS!$Q$93),"S",IF(AND(INPUTS!$E$93="Yes",K$16=1,K$7&gt;=INPUTS!$R$93,K$7&lt;=INPUTS!$S$93),"C",IF(AND(INPUTS!$E$93="Yes",K$17=1,K$7&gt;INPUTS!$S$93),"✓",""))))</f>
        <v/>
      </c>
      <c r="L26" s="105" t="str">
        <f aca="false">IF(AND(AND(INPUTS!$E$93="Yes",L$16=1,L$7&gt;=INPUTS!$P$93,L$7&lt;=INPUTS!$Q$93),AND(INPUTS!$E$93="Yes",L$16=1,L$7&gt;=INPUTS!$R$93,L$7&lt;=INPUTS!$S$93)),"S+C",IF(AND(INPUTS!$E$93="Yes",L$16=1,L$7&gt;=INPUTS!$P$93,L$7&lt;=INPUTS!$Q$93),"S",IF(AND(INPUTS!$E$93="Yes",L$16=1,L$7&gt;=INPUTS!$R$93,L$7&lt;=INPUTS!$S$93),"C",IF(AND(INPUTS!$E$93="Yes",L$17=1,L$7&gt;INPUTS!$S$93),"✓",""))))</f>
        <v/>
      </c>
      <c r="M26" s="105" t="str">
        <f aca="false">IF(AND(AND(INPUTS!$E$93="Yes",M$16=1,M$7&gt;=INPUTS!$P$93,M$7&lt;=INPUTS!$Q$93),AND(INPUTS!$E$93="Yes",M$16=1,M$7&gt;=INPUTS!$R$93,M$7&lt;=INPUTS!$S$93)),"S+C",IF(AND(INPUTS!$E$93="Yes",M$16=1,M$7&gt;=INPUTS!$P$93,M$7&lt;=INPUTS!$Q$93),"S",IF(AND(INPUTS!$E$93="Yes",M$16=1,M$7&gt;=INPUTS!$R$93,M$7&lt;=INPUTS!$S$93),"C",IF(AND(INPUTS!$E$93="Yes",M$17=1,M$7&gt;INPUTS!$S$93),"✓",""))))</f>
        <v/>
      </c>
      <c r="N26" s="105" t="str">
        <f aca="false">IF(AND(AND(INPUTS!$E$93="Yes",N$16=1,N$7&gt;=INPUTS!$P$93,N$7&lt;=INPUTS!$Q$93),AND(INPUTS!$E$93="Yes",N$16=1,N$7&gt;=INPUTS!$R$93,N$7&lt;=INPUTS!$S$93)),"S+C",IF(AND(INPUTS!$E$93="Yes",N$16=1,N$7&gt;=INPUTS!$P$93,N$7&lt;=INPUTS!$Q$93),"S",IF(AND(INPUTS!$E$93="Yes",N$16=1,N$7&gt;=INPUTS!$R$93,N$7&lt;=INPUTS!$S$93),"C",IF(AND(INPUTS!$E$93="Yes",N$17=1,N$7&gt;INPUTS!$S$93),"✓",""))))</f>
        <v/>
      </c>
      <c r="O26" s="105" t="str">
        <f aca="false">IF(AND(AND(INPUTS!$E$93="Yes",O$16=1,O$7&gt;=INPUTS!$P$93,O$7&lt;=INPUTS!$Q$93),AND(INPUTS!$E$93="Yes",O$16=1,O$7&gt;=INPUTS!$R$93,O$7&lt;=INPUTS!$S$93)),"S+C",IF(AND(INPUTS!$E$93="Yes",O$16=1,O$7&gt;=INPUTS!$P$93,O$7&lt;=INPUTS!$Q$93),"S",IF(AND(INPUTS!$E$93="Yes",O$16=1,O$7&gt;=INPUTS!$R$93,O$7&lt;=INPUTS!$S$93),"C",IF(AND(INPUTS!$E$93="Yes",O$17=1,O$7&gt;INPUTS!$S$93),"✓",""))))</f>
        <v/>
      </c>
      <c r="P26" s="105" t="str">
        <f aca="false">IF(AND(AND(INPUTS!$E$93="Yes",P$16=1,P$7&gt;=INPUTS!$P$93,P$7&lt;=INPUTS!$Q$93),AND(INPUTS!$E$93="Yes",P$16=1,P$7&gt;=INPUTS!$R$93,P$7&lt;=INPUTS!$S$93)),"S+C",IF(AND(INPUTS!$E$93="Yes",P$16=1,P$7&gt;=INPUTS!$P$93,P$7&lt;=INPUTS!$Q$93),"S",IF(AND(INPUTS!$E$93="Yes",P$16=1,P$7&gt;=INPUTS!$R$93,P$7&lt;=INPUTS!$S$93),"C",IF(AND(INPUTS!$E$93="Yes",P$17=1,P$7&gt;INPUTS!$S$93),"✓",""))))</f>
        <v/>
      </c>
      <c r="Q26" s="105" t="str">
        <f aca="false">IF(AND(AND(INPUTS!$E$93="Yes",Q$16=1,Q$7&gt;=INPUTS!$P$93,Q$7&lt;=INPUTS!$Q$93),AND(INPUTS!$E$93="Yes",Q$16=1,Q$7&gt;=INPUTS!$R$93,Q$7&lt;=INPUTS!$S$93)),"S+C",IF(AND(INPUTS!$E$93="Yes",Q$16=1,Q$7&gt;=INPUTS!$P$93,Q$7&lt;=INPUTS!$Q$93),"S",IF(AND(INPUTS!$E$93="Yes",Q$16=1,Q$7&gt;=INPUTS!$R$93,Q$7&lt;=INPUTS!$S$93),"C",IF(AND(INPUTS!$E$93="Yes",Q$17=1,Q$7&gt;INPUTS!$S$93),"✓",""))))</f>
        <v/>
      </c>
      <c r="R26" s="105" t="str">
        <f aca="false">IF(AND(AND(INPUTS!$E$93="Yes",R$16=1,R$7&gt;=INPUTS!$P$93,R$7&lt;=INPUTS!$Q$93),AND(INPUTS!$E$93="Yes",R$16=1,R$7&gt;=INPUTS!$R$93,R$7&lt;=INPUTS!$S$93)),"S+C",IF(AND(INPUTS!$E$93="Yes",R$16=1,R$7&gt;=INPUTS!$P$93,R$7&lt;=INPUTS!$Q$93),"S",IF(AND(INPUTS!$E$93="Yes",R$16=1,R$7&gt;=INPUTS!$R$93,R$7&lt;=INPUTS!$S$93),"C",IF(AND(INPUTS!$E$93="Yes",R$17=1,R$7&gt;INPUTS!$S$93),"✓",""))))</f>
        <v/>
      </c>
      <c r="S26" s="105" t="str">
        <f aca="false">IF(AND(AND(INPUTS!$E$93="Yes",S$16=1,S$7&gt;=INPUTS!$P$93,S$7&lt;=INPUTS!$Q$93),AND(INPUTS!$E$93="Yes",S$16=1,S$7&gt;=INPUTS!$R$93,S$7&lt;=INPUTS!$S$93)),"S+C",IF(AND(INPUTS!$E$93="Yes",S$16=1,S$7&gt;=INPUTS!$P$93,S$7&lt;=INPUTS!$Q$93),"S",IF(AND(INPUTS!$E$93="Yes",S$16=1,S$7&gt;=INPUTS!$R$93,S$7&lt;=INPUTS!$S$93),"C",IF(AND(INPUTS!$E$93="Yes",S$17=1,S$7&gt;INPUTS!$S$93),"✓",""))))</f>
        <v/>
      </c>
      <c r="T26" s="105" t="str">
        <f aca="false">IF(AND(AND(INPUTS!$E$93="Yes",T$16=1,T$7&gt;=INPUTS!$P$93,T$7&lt;=INPUTS!$Q$93),AND(INPUTS!$E$93="Yes",T$16=1,T$7&gt;=INPUTS!$R$93,T$7&lt;=INPUTS!$S$93)),"S+C",IF(AND(INPUTS!$E$93="Yes",T$16=1,T$7&gt;=INPUTS!$P$93,T$7&lt;=INPUTS!$Q$93),"S",IF(AND(INPUTS!$E$93="Yes",T$16=1,T$7&gt;=INPUTS!$R$93,T$7&lt;=INPUTS!$S$93),"C",IF(AND(INPUTS!$E$93="Yes",T$17=1,T$7&gt;INPUTS!$S$93),"✓",""))))</f>
        <v/>
      </c>
      <c r="U26" s="105" t="str">
        <f aca="false">IF(AND(AND(INPUTS!$E$93="Yes",U$16=1,U$7&gt;=INPUTS!$P$93,U$7&lt;=INPUTS!$Q$93),AND(INPUTS!$E$93="Yes",U$16=1,U$7&gt;=INPUTS!$R$93,U$7&lt;=INPUTS!$S$93)),"S+C",IF(AND(INPUTS!$E$93="Yes",U$16=1,U$7&gt;=INPUTS!$P$93,U$7&lt;=INPUTS!$Q$93),"S",IF(AND(INPUTS!$E$93="Yes",U$16=1,U$7&gt;=INPUTS!$R$93,U$7&lt;=INPUTS!$S$93),"C",IF(AND(INPUTS!$E$93="Yes",U$17=1,U$7&gt;INPUTS!$S$93),"✓",""))))</f>
        <v/>
      </c>
      <c r="V26" s="105" t="str">
        <f aca="false">IF(AND(AND(INPUTS!$E$93="Yes",V$16=1,V$7&gt;=INPUTS!$P$93,V$7&lt;=INPUTS!$Q$93),AND(INPUTS!$E$93="Yes",V$16=1,V$7&gt;=INPUTS!$R$93,V$7&lt;=INPUTS!$S$93)),"S+C",IF(AND(INPUTS!$E$93="Yes",V$16=1,V$7&gt;=INPUTS!$P$93,V$7&lt;=INPUTS!$Q$93),"S",IF(AND(INPUTS!$E$93="Yes",V$16=1,V$7&gt;=INPUTS!$R$93,V$7&lt;=INPUTS!$S$93),"C",IF(AND(INPUTS!$E$93="Yes",V$17=1,V$7&gt;INPUTS!$S$93),"✓",""))))</f>
        <v/>
      </c>
      <c r="W26" s="105" t="str">
        <f aca="false">IF(AND(AND(INPUTS!$E$93="Yes",W$16=1,W$7&gt;=INPUTS!$P$93,W$7&lt;=INPUTS!$Q$93),AND(INPUTS!$E$93="Yes",W$16=1,W$7&gt;=INPUTS!$R$93,W$7&lt;=INPUTS!$S$93)),"S+C",IF(AND(INPUTS!$E$93="Yes",W$16=1,W$7&gt;=INPUTS!$P$93,W$7&lt;=INPUTS!$Q$93),"S",IF(AND(INPUTS!$E$93="Yes",W$16=1,W$7&gt;=INPUTS!$R$93,W$7&lt;=INPUTS!$S$93),"C",IF(AND(INPUTS!$E$93="Yes",W$17=1,W$7&gt;INPUTS!$S$93),"✓",""))))</f>
        <v/>
      </c>
      <c r="X26" s="105" t="str">
        <f aca="false">IF(AND(AND(INPUTS!$E$93="Yes",X$16=1,X$7&gt;=INPUTS!$P$93,X$7&lt;=INPUTS!$Q$93),AND(INPUTS!$E$93="Yes",X$16=1,X$7&gt;=INPUTS!$R$93,X$7&lt;=INPUTS!$S$93)),"S+C",IF(AND(INPUTS!$E$93="Yes",X$16=1,X$7&gt;=INPUTS!$P$93,X$7&lt;=INPUTS!$Q$93),"S",IF(AND(INPUTS!$E$93="Yes",X$16=1,X$7&gt;=INPUTS!$R$93,X$7&lt;=INPUTS!$S$93),"C",IF(AND(INPUTS!$E$93="Yes",X$17=1,X$7&gt;INPUTS!$S$93),"✓",""))))</f>
        <v/>
      </c>
      <c r="Y26" s="105" t="str">
        <f aca="false">IF(AND(AND(INPUTS!$E$93="Yes",Y$16=1,Y$7&gt;=INPUTS!$P$93,Y$7&lt;=INPUTS!$Q$93),AND(INPUTS!$E$93="Yes",Y$16=1,Y$7&gt;=INPUTS!$R$93,Y$7&lt;=INPUTS!$S$93)),"S+C",IF(AND(INPUTS!$E$93="Yes",Y$16=1,Y$7&gt;=INPUTS!$P$93,Y$7&lt;=INPUTS!$Q$93),"S",IF(AND(INPUTS!$E$93="Yes",Y$16=1,Y$7&gt;=INPUTS!$R$93,Y$7&lt;=INPUTS!$S$93),"C",IF(AND(INPUTS!$E$93="Yes",Y$17=1,Y$7&gt;INPUTS!$S$93),"✓",""))))</f>
        <v/>
      </c>
      <c r="Z26" s="105" t="str">
        <f aca="false">IF(AND(AND(INPUTS!$E$93="Yes",Z$16=1,Z$7&gt;=INPUTS!$P$93,Z$7&lt;=INPUTS!$Q$93),AND(INPUTS!$E$93="Yes",Z$16=1,Z$7&gt;=INPUTS!$R$93,Z$7&lt;=INPUTS!$S$93)),"S+C",IF(AND(INPUTS!$E$93="Yes",Z$16=1,Z$7&gt;=INPUTS!$P$93,Z$7&lt;=INPUTS!$Q$93),"S",IF(AND(INPUTS!$E$93="Yes",Z$16=1,Z$7&gt;=INPUTS!$R$93,Z$7&lt;=INPUTS!$S$93),"C",IF(AND(INPUTS!$E$93="Yes",Z$17=1,Z$7&gt;INPUTS!$S$93),"✓",""))))</f>
        <v/>
      </c>
      <c r="AA26" s="105" t="str">
        <f aca="false">IF(AND(AND(INPUTS!$E$93="Yes",AA$16=1,AA$7&gt;=INPUTS!$P$93,AA$7&lt;=INPUTS!$Q$93),AND(INPUTS!$E$93="Yes",AA$16=1,AA$7&gt;=INPUTS!$R$93,AA$7&lt;=INPUTS!$S$93)),"S+C",IF(AND(INPUTS!$E$93="Yes",AA$16=1,AA$7&gt;=INPUTS!$P$93,AA$7&lt;=INPUTS!$Q$93),"S",IF(AND(INPUTS!$E$93="Yes",AA$16=1,AA$7&gt;=INPUTS!$R$93,AA$7&lt;=INPUTS!$S$93),"C",IF(AND(INPUTS!$E$93="Yes",AA$17=1,AA$7&gt;INPUTS!$S$93),"✓",""))))</f>
        <v/>
      </c>
      <c r="AB26" s="105" t="str">
        <f aca="false">IF(AND(AND(INPUTS!$E$93="Yes",AB$16=1,AB$7&gt;=INPUTS!$P$93,AB$7&lt;=INPUTS!$Q$93),AND(INPUTS!$E$93="Yes",AB$16=1,AB$7&gt;=INPUTS!$R$93,AB$7&lt;=INPUTS!$S$93)),"S+C",IF(AND(INPUTS!$E$93="Yes",AB$16=1,AB$7&gt;=INPUTS!$P$93,AB$7&lt;=INPUTS!$Q$93),"S",IF(AND(INPUTS!$E$93="Yes",AB$16=1,AB$7&gt;=INPUTS!$R$93,AB$7&lt;=INPUTS!$S$93),"C",IF(AND(INPUTS!$E$93="Yes",AB$17=1,AB$7&gt;INPUTS!$S$93),"✓",""))))</f>
        <v/>
      </c>
      <c r="AC26" s="105" t="str">
        <f aca="false">IF(AND(AND(INPUTS!$E$93="Yes",AC$16=1,AC$7&gt;=INPUTS!$P$93,AC$7&lt;=INPUTS!$Q$93),AND(INPUTS!$E$93="Yes",AC$16=1,AC$7&gt;=INPUTS!$R$93,AC$7&lt;=INPUTS!$S$93)),"S+C",IF(AND(INPUTS!$E$93="Yes",AC$16=1,AC$7&gt;=INPUTS!$P$93,AC$7&lt;=INPUTS!$Q$93),"S",IF(AND(INPUTS!$E$93="Yes",AC$16=1,AC$7&gt;=INPUTS!$R$93,AC$7&lt;=INPUTS!$S$93),"C",IF(AND(INPUTS!$E$93="Yes",AC$17=1,AC$7&gt;INPUTS!$S$93),"✓",""))))</f>
        <v/>
      </c>
      <c r="AD26" s="105" t="str">
        <f aca="false">IF(AND(AND(INPUTS!$E$93="Yes",AD$16=1,AD$7&gt;=INPUTS!$P$93,AD$7&lt;=INPUTS!$Q$93),AND(INPUTS!$E$93="Yes",AD$16=1,AD$7&gt;=INPUTS!$R$93,AD$7&lt;=INPUTS!$S$93)),"S+C",IF(AND(INPUTS!$E$93="Yes",AD$16=1,AD$7&gt;=INPUTS!$P$93,AD$7&lt;=INPUTS!$Q$93),"S",IF(AND(INPUTS!$E$93="Yes",AD$16=1,AD$7&gt;=INPUTS!$R$93,AD$7&lt;=INPUTS!$S$93),"C",IF(AND(INPUTS!$E$93="Yes",AD$17=1,AD$7&gt;INPUTS!$S$93),"✓",""))))</f>
        <v/>
      </c>
      <c r="AE26" s="105" t="str">
        <f aca="false">IF(AND(AND(INPUTS!$E$93="Yes",AE$16=1,AE$7&gt;=INPUTS!$P$93,AE$7&lt;=INPUTS!$Q$93),AND(INPUTS!$E$93="Yes",AE$16=1,AE$7&gt;=INPUTS!$R$93,AE$7&lt;=INPUTS!$S$93)),"S+C",IF(AND(INPUTS!$E$93="Yes",AE$16=1,AE$7&gt;=INPUTS!$P$93,AE$7&lt;=INPUTS!$Q$93),"S",IF(AND(INPUTS!$E$93="Yes",AE$16=1,AE$7&gt;=INPUTS!$R$93,AE$7&lt;=INPUTS!$S$93),"C",IF(AND(INPUTS!$E$93="Yes",AE$17=1,AE$7&gt;INPUTS!$S$93),"✓",""))))</f>
        <v/>
      </c>
      <c r="AF26" s="105" t="str">
        <f aca="false">IF(AND(AND(INPUTS!$E$93="Yes",AF$16=1,AF$7&gt;=INPUTS!$P$93,AF$7&lt;=INPUTS!$Q$93),AND(INPUTS!$E$93="Yes",AF$16=1,AF$7&gt;=INPUTS!$R$93,AF$7&lt;=INPUTS!$S$93)),"S+C",IF(AND(INPUTS!$E$93="Yes",AF$16=1,AF$7&gt;=INPUTS!$P$93,AF$7&lt;=INPUTS!$Q$93),"S",IF(AND(INPUTS!$E$93="Yes",AF$16=1,AF$7&gt;=INPUTS!$R$93,AF$7&lt;=INPUTS!$S$93),"C",IF(AND(INPUTS!$E$93="Yes",AF$17=1,AF$7&gt;INPUTS!$S$93),"✓",""))))</f>
        <v/>
      </c>
      <c r="AG26" s="105" t="str">
        <f aca="false">IF(AND(AND(INPUTS!$E$93="Yes",AG$16=1,AG$7&gt;=INPUTS!$P$93,AG$7&lt;=INPUTS!$Q$93),AND(INPUTS!$E$93="Yes",AG$16=1,AG$7&gt;=INPUTS!$R$93,AG$7&lt;=INPUTS!$S$93)),"S+C",IF(AND(INPUTS!$E$93="Yes",AG$16=1,AG$7&gt;=INPUTS!$P$93,AG$7&lt;=INPUTS!$Q$93),"S",IF(AND(INPUTS!$E$93="Yes",AG$16=1,AG$7&gt;=INPUTS!$R$93,AG$7&lt;=INPUTS!$S$93),"C",IF(AND(INPUTS!$E$93="Yes",AG$17=1,AG$7&gt;INPUTS!$S$93),"✓",""))))</f>
        <v/>
      </c>
      <c r="AH26" s="105" t="str">
        <f aca="false">IF(AND(AND(INPUTS!$E$93="Yes",AH$16=1,AH$7&gt;=INPUTS!$P$93,AH$7&lt;=INPUTS!$Q$93),AND(INPUTS!$E$93="Yes",AH$16=1,AH$7&gt;=INPUTS!$R$93,AH$7&lt;=INPUTS!$S$93)),"S+C",IF(AND(INPUTS!$E$93="Yes",AH$16=1,AH$7&gt;=INPUTS!$P$93,AH$7&lt;=INPUTS!$Q$93),"S",IF(AND(INPUTS!$E$93="Yes",AH$16=1,AH$7&gt;=INPUTS!$R$93,AH$7&lt;=INPUTS!$S$93),"C",IF(AND(INPUTS!$E$93="Yes",AH$17=1,AH$7&gt;INPUTS!$S$93),"✓",""))))</f>
        <v/>
      </c>
      <c r="AI26" s="105" t="str">
        <f aca="false">IF(AND(AND(INPUTS!$E$93="Yes",AI$16=1,AI$7&gt;=INPUTS!$P$93,AI$7&lt;=INPUTS!$Q$93),AND(INPUTS!$E$93="Yes",AI$16=1,AI$7&gt;=INPUTS!$R$93,AI$7&lt;=INPUTS!$S$93)),"S+C",IF(AND(INPUTS!$E$93="Yes",AI$16=1,AI$7&gt;=INPUTS!$P$93,AI$7&lt;=INPUTS!$Q$93),"S",IF(AND(INPUTS!$E$93="Yes",AI$16=1,AI$7&gt;=INPUTS!$R$93,AI$7&lt;=INPUTS!$S$93),"C",IF(AND(INPUTS!$E$93="Yes",AI$17=1,AI$7&gt;INPUTS!$S$93),"✓",""))))</f>
        <v/>
      </c>
      <c r="AJ26" s="105" t="str">
        <f aca="false">IF(AND(AND(INPUTS!$E$93="Yes",AJ$16=1,AJ$7&gt;=INPUTS!$P$93,AJ$7&lt;=INPUTS!$Q$93),AND(INPUTS!$E$93="Yes",AJ$16=1,AJ$7&gt;=INPUTS!$R$93,AJ$7&lt;=INPUTS!$S$93)),"S+C",IF(AND(INPUTS!$E$93="Yes",AJ$16=1,AJ$7&gt;=INPUTS!$P$93,AJ$7&lt;=INPUTS!$Q$93),"S",IF(AND(INPUTS!$E$93="Yes",AJ$16=1,AJ$7&gt;=INPUTS!$R$93,AJ$7&lt;=INPUTS!$S$93),"C",IF(AND(INPUTS!$E$93="Yes",AJ$17=1,AJ$7&gt;INPUTS!$S$93),"✓",""))))</f>
        <v/>
      </c>
      <c r="AK26" s="105" t="str">
        <f aca="false">IF(AND(AND(INPUTS!$E$93="Yes",AK$16=1,AK$7&gt;=INPUTS!$P$93,AK$7&lt;=INPUTS!$Q$93),AND(INPUTS!$E$93="Yes",AK$16=1,AK$7&gt;=INPUTS!$R$93,AK$7&lt;=INPUTS!$S$93)),"S+C",IF(AND(INPUTS!$E$93="Yes",AK$16=1,AK$7&gt;=INPUTS!$P$93,AK$7&lt;=INPUTS!$Q$93),"S",IF(AND(INPUTS!$E$93="Yes",AK$16=1,AK$7&gt;=INPUTS!$R$93,AK$7&lt;=INPUTS!$S$93),"C",IF(AND(INPUTS!$E$93="Yes",AK$17=1,AK$7&gt;INPUTS!$S$93),"✓",""))))</f>
        <v/>
      </c>
      <c r="AL26" s="105" t="str">
        <f aca="false">IF(AND(AND(INPUTS!$E$93="Yes",AL$16=1,AL$7&gt;=INPUTS!$P$93,AL$7&lt;=INPUTS!$Q$93),AND(INPUTS!$E$93="Yes",AL$16=1,AL$7&gt;=INPUTS!$R$93,AL$7&lt;=INPUTS!$S$93)),"S+C",IF(AND(INPUTS!$E$93="Yes",AL$16=1,AL$7&gt;=INPUTS!$P$93,AL$7&lt;=INPUTS!$Q$93),"S",IF(AND(INPUTS!$E$93="Yes",AL$16=1,AL$7&gt;=INPUTS!$R$93,AL$7&lt;=INPUTS!$S$93),"C",IF(AND(INPUTS!$E$93="Yes",AL$17=1,AL$7&gt;INPUTS!$S$93),"✓",""))))</f>
        <v/>
      </c>
      <c r="AM26" s="105" t="str">
        <f aca="false">IF(AND(AND(INPUTS!$E$93="Yes",AM$16=1,AM$7&gt;=INPUTS!$P$93,AM$7&lt;=INPUTS!$Q$93),AND(INPUTS!$E$93="Yes",AM$16=1,AM$7&gt;=INPUTS!$R$93,AM$7&lt;=INPUTS!$S$93)),"S+C",IF(AND(INPUTS!$E$93="Yes",AM$16=1,AM$7&gt;=INPUTS!$P$93,AM$7&lt;=INPUTS!$Q$93),"S",IF(AND(INPUTS!$E$93="Yes",AM$16=1,AM$7&gt;=INPUTS!$R$93,AM$7&lt;=INPUTS!$S$93),"C",IF(AND(INPUTS!$E$93="Yes",AM$17=1,AM$7&gt;INPUTS!$S$93),"✓",""))))</f>
        <v/>
      </c>
      <c r="AN26" s="105" t="str">
        <f aca="false">IF(AND(AND(INPUTS!$E$93="Yes",AN$16=1,AN$7&gt;=INPUTS!$P$93,AN$7&lt;=INPUTS!$Q$93),AND(INPUTS!$E$93="Yes",AN$16=1,AN$7&gt;=INPUTS!$R$93,AN$7&lt;=INPUTS!$S$93)),"S+C",IF(AND(INPUTS!$E$93="Yes",AN$16=1,AN$7&gt;=INPUTS!$P$93,AN$7&lt;=INPUTS!$Q$93),"S",IF(AND(INPUTS!$E$93="Yes",AN$16=1,AN$7&gt;=INPUTS!$R$93,AN$7&lt;=INPUTS!$S$93),"C",IF(AND(INPUTS!$E$93="Yes",AN$17=1,AN$7&gt;INPUTS!$S$93),"✓",""))))</f>
        <v/>
      </c>
      <c r="AO26" s="105" t="str">
        <f aca="false">IF(AND(AND(INPUTS!$E$93="Yes",AO$16=1,AO$7&gt;=INPUTS!$P$93,AO$7&lt;=INPUTS!$Q$93),AND(INPUTS!$E$93="Yes",AO$16=1,AO$7&gt;=INPUTS!$R$93,AO$7&lt;=INPUTS!$S$93)),"S+C",IF(AND(INPUTS!$E$93="Yes",AO$16=1,AO$7&gt;=INPUTS!$P$93,AO$7&lt;=INPUTS!$Q$93),"S",IF(AND(INPUTS!$E$93="Yes",AO$16=1,AO$7&gt;=INPUTS!$R$93,AO$7&lt;=INPUTS!$S$93),"C",IF(AND(INPUTS!$E$93="Yes",AO$17=1,AO$7&gt;INPUTS!$S$93),"✓",""))))</f>
        <v/>
      </c>
      <c r="AP26" s="105" t="str">
        <f aca="false">IF(AND(AND(INPUTS!$E$93="Yes",AP$16=1,AP$7&gt;=INPUTS!$P$93,AP$7&lt;=INPUTS!$Q$93),AND(INPUTS!$E$93="Yes",AP$16=1,AP$7&gt;=INPUTS!$R$93,AP$7&lt;=INPUTS!$S$93)),"S+C",IF(AND(INPUTS!$E$93="Yes",AP$16=1,AP$7&gt;=INPUTS!$P$93,AP$7&lt;=INPUTS!$Q$93),"S",IF(AND(INPUTS!$E$93="Yes",AP$16=1,AP$7&gt;=INPUTS!$R$93,AP$7&lt;=INPUTS!$S$93),"C",IF(AND(INPUTS!$E$93="Yes",AP$17=1,AP$7&gt;INPUTS!$S$93),"✓",""))))</f>
        <v/>
      </c>
      <c r="AQ26" s="105" t="str">
        <f aca="false">IF(AND(AND(INPUTS!$E$93="Yes",AQ$16=1,AQ$7&gt;=INPUTS!$P$93,AQ$7&lt;=INPUTS!$Q$93),AND(INPUTS!$E$93="Yes",AQ$16=1,AQ$7&gt;=INPUTS!$R$93,AQ$7&lt;=INPUTS!$S$93)),"S+C",IF(AND(INPUTS!$E$93="Yes",AQ$16=1,AQ$7&gt;=INPUTS!$P$93,AQ$7&lt;=INPUTS!$Q$93),"S",IF(AND(INPUTS!$E$93="Yes",AQ$16=1,AQ$7&gt;=INPUTS!$R$93,AQ$7&lt;=INPUTS!$S$93),"C",IF(AND(INPUTS!$E$93="Yes",AQ$17=1,AQ$7&gt;INPUTS!$S$93),"✓",""))))</f>
        <v/>
      </c>
    </row>
    <row r="27" customFormat="false" ht="15" hidden="false" customHeight="false" outlineLevel="0" collapsed="false">
      <c r="B27" s="7" t="str">
        <f aca="false">IF(INPUTS!$E$94="Yes",INPUTS!$B$94,"(product row 7 – off)")</f>
        <v>(product row 7 – off)</v>
      </c>
      <c r="D27" s="105" t="str">
        <f aca="false">IF(AND(AND(INPUTS!$E$94="Yes",D$16=1,D$7&gt;=INPUTS!$P$94,D$7&lt;=INPUTS!$Q$94),AND(INPUTS!$E$94="Yes",D$16=1,D$7&gt;=INPUTS!$R$94,D$7&lt;=INPUTS!$S$94)),"S+C",IF(AND(INPUTS!$E$94="Yes",D$16=1,D$7&gt;=INPUTS!$P$94,D$7&lt;=INPUTS!$Q$94),"S",IF(AND(INPUTS!$E$94="Yes",D$16=1,D$7&gt;=INPUTS!$R$94,D$7&lt;=INPUTS!$S$94),"C",IF(AND(INPUTS!$E$94="Yes",D$17=1,D$7&gt;INPUTS!$S$94),"✓",""))))</f>
        <v/>
      </c>
      <c r="E27" s="105" t="str">
        <f aca="false">IF(AND(AND(INPUTS!$E$94="Yes",E$16=1,E$7&gt;=INPUTS!$P$94,E$7&lt;=INPUTS!$Q$94),AND(INPUTS!$E$94="Yes",E$16=1,E$7&gt;=INPUTS!$R$94,E$7&lt;=INPUTS!$S$94)),"S+C",IF(AND(INPUTS!$E$94="Yes",E$16=1,E$7&gt;=INPUTS!$P$94,E$7&lt;=INPUTS!$Q$94),"S",IF(AND(INPUTS!$E$94="Yes",E$16=1,E$7&gt;=INPUTS!$R$94,E$7&lt;=INPUTS!$S$94),"C",IF(AND(INPUTS!$E$94="Yes",E$17=1,E$7&gt;INPUTS!$S$94),"✓",""))))</f>
        <v/>
      </c>
      <c r="F27" s="105" t="str">
        <f aca="false">IF(AND(AND(INPUTS!$E$94="Yes",F$16=1,F$7&gt;=INPUTS!$P$94,F$7&lt;=INPUTS!$Q$94),AND(INPUTS!$E$94="Yes",F$16=1,F$7&gt;=INPUTS!$R$94,F$7&lt;=INPUTS!$S$94)),"S+C",IF(AND(INPUTS!$E$94="Yes",F$16=1,F$7&gt;=INPUTS!$P$94,F$7&lt;=INPUTS!$Q$94),"S",IF(AND(INPUTS!$E$94="Yes",F$16=1,F$7&gt;=INPUTS!$R$94,F$7&lt;=INPUTS!$S$94),"C",IF(AND(INPUTS!$E$94="Yes",F$17=1,F$7&gt;INPUTS!$S$94),"✓",""))))</f>
        <v/>
      </c>
      <c r="G27" s="105" t="str">
        <f aca="false">IF(AND(AND(INPUTS!$E$94="Yes",G$16=1,G$7&gt;=INPUTS!$P$94,G$7&lt;=INPUTS!$Q$94),AND(INPUTS!$E$94="Yes",G$16=1,G$7&gt;=INPUTS!$R$94,G$7&lt;=INPUTS!$S$94)),"S+C",IF(AND(INPUTS!$E$94="Yes",G$16=1,G$7&gt;=INPUTS!$P$94,G$7&lt;=INPUTS!$Q$94),"S",IF(AND(INPUTS!$E$94="Yes",G$16=1,G$7&gt;=INPUTS!$R$94,G$7&lt;=INPUTS!$S$94),"C",IF(AND(INPUTS!$E$94="Yes",G$17=1,G$7&gt;INPUTS!$S$94),"✓",""))))</f>
        <v/>
      </c>
      <c r="H27" s="105" t="str">
        <f aca="false">IF(AND(AND(INPUTS!$E$94="Yes",H$16=1,H$7&gt;=INPUTS!$P$94,H$7&lt;=INPUTS!$Q$94),AND(INPUTS!$E$94="Yes",H$16=1,H$7&gt;=INPUTS!$R$94,H$7&lt;=INPUTS!$S$94)),"S+C",IF(AND(INPUTS!$E$94="Yes",H$16=1,H$7&gt;=INPUTS!$P$94,H$7&lt;=INPUTS!$Q$94),"S",IF(AND(INPUTS!$E$94="Yes",H$16=1,H$7&gt;=INPUTS!$R$94,H$7&lt;=INPUTS!$S$94),"C",IF(AND(INPUTS!$E$94="Yes",H$17=1,H$7&gt;INPUTS!$S$94),"✓",""))))</f>
        <v/>
      </c>
      <c r="I27" s="105" t="str">
        <f aca="false">IF(AND(AND(INPUTS!$E$94="Yes",I$16=1,I$7&gt;=INPUTS!$P$94,I$7&lt;=INPUTS!$Q$94),AND(INPUTS!$E$94="Yes",I$16=1,I$7&gt;=INPUTS!$R$94,I$7&lt;=INPUTS!$S$94)),"S+C",IF(AND(INPUTS!$E$94="Yes",I$16=1,I$7&gt;=INPUTS!$P$94,I$7&lt;=INPUTS!$Q$94),"S",IF(AND(INPUTS!$E$94="Yes",I$16=1,I$7&gt;=INPUTS!$R$94,I$7&lt;=INPUTS!$S$94),"C",IF(AND(INPUTS!$E$94="Yes",I$17=1,I$7&gt;INPUTS!$S$94),"✓",""))))</f>
        <v/>
      </c>
      <c r="J27" s="105" t="str">
        <f aca="false">IF(AND(AND(INPUTS!$E$94="Yes",J$16=1,J$7&gt;=INPUTS!$P$94,J$7&lt;=INPUTS!$Q$94),AND(INPUTS!$E$94="Yes",J$16=1,J$7&gt;=INPUTS!$R$94,J$7&lt;=INPUTS!$S$94)),"S+C",IF(AND(INPUTS!$E$94="Yes",J$16=1,J$7&gt;=INPUTS!$P$94,J$7&lt;=INPUTS!$Q$94),"S",IF(AND(INPUTS!$E$94="Yes",J$16=1,J$7&gt;=INPUTS!$R$94,J$7&lt;=INPUTS!$S$94),"C",IF(AND(INPUTS!$E$94="Yes",J$17=1,J$7&gt;INPUTS!$S$94),"✓",""))))</f>
        <v/>
      </c>
      <c r="K27" s="105" t="str">
        <f aca="false">IF(AND(AND(INPUTS!$E$94="Yes",K$16=1,K$7&gt;=INPUTS!$P$94,K$7&lt;=INPUTS!$Q$94),AND(INPUTS!$E$94="Yes",K$16=1,K$7&gt;=INPUTS!$R$94,K$7&lt;=INPUTS!$S$94)),"S+C",IF(AND(INPUTS!$E$94="Yes",K$16=1,K$7&gt;=INPUTS!$P$94,K$7&lt;=INPUTS!$Q$94),"S",IF(AND(INPUTS!$E$94="Yes",K$16=1,K$7&gt;=INPUTS!$R$94,K$7&lt;=INPUTS!$S$94),"C",IF(AND(INPUTS!$E$94="Yes",K$17=1,K$7&gt;INPUTS!$S$94),"✓",""))))</f>
        <v/>
      </c>
      <c r="L27" s="105" t="str">
        <f aca="false">IF(AND(AND(INPUTS!$E$94="Yes",L$16=1,L$7&gt;=INPUTS!$P$94,L$7&lt;=INPUTS!$Q$94),AND(INPUTS!$E$94="Yes",L$16=1,L$7&gt;=INPUTS!$R$94,L$7&lt;=INPUTS!$S$94)),"S+C",IF(AND(INPUTS!$E$94="Yes",L$16=1,L$7&gt;=INPUTS!$P$94,L$7&lt;=INPUTS!$Q$94),"S",IF(AND(INPUTS!$E$94="Yes",L$16=1,L$7&gt;=INPUTS!$R$94,L$7&lt;=INPUTS!$S$94),"C",IF(AND(INPUTS!$E$94="Yes",L$17=1,L$7&gt;INPUTS!$S$94),"✓",""))))</f>
        <v/>
      </c>
      <c r="M27" s="105" t="str">
        <f aca="false">IF(AND(AND(INPUTS!$E$94="Yes",M$16=1,M$7&gt;=INPUTS!$P$94,M$7&lt;=INPUTS!$Q$94),AND(INPUTS!$E$94="Yes",M$16=1,M$7&gt;=INPUTS!$R$94,M$7&lt;=INPUTS!$S$94)),"S+C",IF(AND(INPUTS!$E$94="Yes",M$16=1,M$7&gt;=INPUTS!$P$94,M$7&lt;=INPUTS!$Q$94),"S",IF(AND(INPUTS!$E$94="Yes",M$16=1,M$7&gt;=INPUTS!$R$94,M$7&lt;=INPUTS!$S$94),"C",IF(AND(INPUTS!$E$94="Yes",M$17=1,M$7&gt;INPUTS!$S$94),"✓",""))))</f>
        <v/>
      </c>
      <c r="N27" s="105" t="str">
        <f aca="false">IF(AND(AND(INPUTS!$E$94="Yes",N$16=1,N$7&gt;=INPUTS!$P$94,N$7&lt;=INPUTS!$Q$94),AND(INPUTS!$E$94="Yes",N$16=1,N$7&gt;=INPUTS!$R$94,N$7&lt;=INPUTS!$S$94)),"S+C",IF(AND(INPUTS!$E$94="Yes",N$16=1,N$7&gt;=INPUTS!$P$94,N$7&lt;=INPUTS!$Q$94),"S",IF(AND(INPUTS!$E$94="Yes",N$16=1,N$7&gt;=INPUTS!$R$94,N$7&lt;=INPUTS!$S$94),"C",IF(AND(INPUTS!$E$94="Yes",N$17=1,N$7&gt;INPUTS!$S$94),"✓",""))))</f>
        <v/>
      </c>
      <c r="O27" s="105" t="str">
        <f aca="false">IF(AND(AND(INPUTS!$E$94="Yes",O$16=1,O$7&gt;=INPUTS!$P$94,O$7&lt;=INPUTS!$Q$94),AND(INPUTS!$E$94="Yes",O$16=1,O$7&gt;=INPUTS!$R$94,O$7&lt;=INPUTS!$S$94)),"S+C",IF(AND(INPUTS!$E$94="Yes",O$16=1,O$7&gt;=INPUTS!$P$94,O$7&lt;=INPUTS!$Q$94),"S",IF(AND(INPUTS!$E$94="Yes",O$16=1,O$7&gt;=INPUTS!$R$94,O$7&lt;=INPUTS!$S$94),"C",IF(AND(INPUTS!$E$94="Yes",O$17=1,O$7&gt;INPUTS!$S$94),"✓",""))))</f>
        <v/>
      </c>
      <c r="P27" s="105" t="str">
        <f aca="false">IF(AND(AND(INPUTS!$E$94="Yes",P$16=1,P$7&gt;=INPUTS!$P$94,P$7&lt;=INPUTS!$Q$94),AND(INPUTS!$E$94="Yes",P$16=1,P$7&gt;=INPUTS!$R$94,P$7&lt;=INPUTS!$S$94)),"S+C",IF(AND(INPUTS!$E$94="Yes",P$16=1,P$7&gt;=INPUTS!$P$94,P$7&lt;=INPUTS!$Q$94),"S",IF(AND(INPUTS!$E$94="Yes",P$16=1,P$7&gt;=INPUTS!$R$94,P$7&lt;=INPUTS!$S$94),"C",IF(AND(INPUTS!$E$94="Yes",P$17=1,P$7&gt;INPUTS!$S$94),"✓",""))))</f>
        <v/>
      </c>
      <c r="Q27" s="105" t="str">
        <f aca="false">IF(AND(AND(INPUTS!$E$94="Yes",Q$16=1,Q$7&gt;=INPUTS!$P$94,Q$7&lt;=INPUTS!$Q$94),AND(INPUTS!$E$94="Yes",Q$16=1,Q$7&gt;=INPUTS!$R$94,Q$7&lt;=INPUTS!$S$94)),"S+C",IF(AND(INPUTS!$E$94="Yes",Q$16=1,Q$7&gt;=INPUTS!$P$94,Q$7&lt;=INPUTS!$Q$94),"S",IF(AND(INPUTS!$E$94="Yes",Q$16=1,Q$7&gt;=INPUTS!$R$94,Q$7&lt;=INPUTS!$S$94),"C",IF(AND(INPUTS!$E$94="Yes",Q$17=1,Q$7&gt;INPUTS!$S$94),"✓",""))))</f>
        <v/>
      </c>
      <c r="R27" s="105" t="str">
        <f aca="false">IF(AND(AND(INPUTS!$E$94="Yes",R$16=1,R$7&gt;=INPUTS!$P$94,R$7&lt;=INPUTS!$Q$94),AND(INPUTS!$E$94="Yes",R$16=1,R$7&gt;=INPUTS!$R$94,R$7&lt;=INPUTS!$S$94)),"S+C",IF(AND(INPUTS!$E$94="Yes",R$16=1,R$7&gt;=INPUTS!$P$94,R$7&lt;=INPUTS!$Q$94),"S",IF(AND(INPUTS!$E$94="Yes",R$16=1,R$7&gt;=INPUTS!$R$94,R$7&lt;=INPUTS!$S$94),"C",IF(AND(INPUTS!$E$94="Yes",R$17=1,R$7&gt;INPUTS!$S$94),"✓",""))))</f>
        <v/>
      </c>
      <c r="S27" s="105" t="str">
        <f aca="false">IF(AND(AND(INPUTS!$E$94="Yes",S$16=1,S$7&gt;=INPUTS!$P$94,S$7&lt;=INPUTS!$Q$94),AND(INPUTS!$E$94="Yes",S$16=1,S$7&gt;=INPUTS!$R$94,S$7&lt;=INPUTS!$S$94)),"S+C",IF(AND(INPUTS!$E$94="Yes",S$16=1,S$7&gt;=INPUTS!$P$94,S$7&lt;=INPUTS!$Q$94),"S",IF(AND(INPUTS!$E$94="Yes",S$16=1,S$7&gt;=INPUTS!$R$94,S$7&lt;=INPUTS!$S$94),"C",IF(AND(INPUTS!$E$94="Yes",S$17=1,S$7&gt;INPUTS!$S$94),"✓",""))))</f>
        <v/>
      </c>
      <c r="T27" s="105" t="str">
        <f aca="false">IF(AND(AND(INPUTS!$E$94="Yes",T$16=1,T$7&gt;=INPUTS!$P$94,T$7&lt;=INPUTS!$Q$94),AND(INPUTS!$E$94="Yes",T$16=1,T$7&gt;=INPUTS!$R$94,T$7&lt;=INPUTS!$S$94)),"S+C",IF(AND(INPUTS!$E$94="Yes",T$16=1,T$7&gt;=INPUTS!$P$94,T$7&lt;=INPUTS!$Q$94),"S",IF(AND(INPUTS!$E$94="Yes",T$16=1,T$7&gt;=INPUTS!$R$94,T$7&lt;=INPUTS!$S$94),"C",IF(AND(INPUTS!$E$94="Yes",T$17=1,T$7&gt;INPUTS!$S$94),"✓",""))))</f>
        <v/>
      </c>
      <c r="U27" s="105" t="str">
        <f aca="false">IF(AND(AND(INPUTS!$E$94="Yes",U$16=1,U$7&gt;=INPUTS!$P$94,U$7&lt;=INPUTS!$Q$94),AND(INPUTS!$E$94="Yes",U$16=1,U$7&gt;=INPUTS!$R$94,U$7&lt;=INPUTS!$S$94)),"S+C",IF(AND(INPUTS!$E$94="Yes",U$16=1,U$7&gt;=INPUTS!$P$94,U$7&lt;=INPUTS!$Q$94),"S",IF(AND(INPUTS!$E$94="Yes",U$16=1,U$7&gt;=INPUTS!$R$94,U$7&lt;=INPUTS!$S$94),"C",IF(AND(INPUTS!$E$94="Yes",U$17=1,U$7&gt;INPUTS!$S$94),"✓",""))))</f>
        <v/>
      </c>
      <c r="V27" s="105" t="str">
        <f aca="false">IF(AND(AND(INPUTS!$E$94="Yes",V$16=1,V$7&gt;=INPUTS!$P$94,V$7&lt;=INPUTS!$Q$94),AND(INPUTS!$E$94="Yes",V$16=1,V$7&gt;=INPUTS!$R$94,V$7&lt;=INPUTS!$S$94)),"S+C",IF(AND(INPUTS!$E$94="Yes",V$16=1,V$7&gt;=INPUTS!$P$94,V$7&lt;=INPUTS!$Q$94),"S",IF(AND(INPUTS!$E$94="Yes",V$16=1,V$7&gt;=INPUTS!$R$94,V$7&lt;=INPUTS!$S$94),"C",IF(AND(INPUTS!$E$94="Yes",V$17=1,V$7&gt;INPUTS!$S$94),"✓",""))))</f>
        <v/>
      </c>
      <c r="W27" s="105" t="str">
        <f aca="false">IF(AND(AND(INPUTS!$E$94="Yes",W$16=1,W$7&gt;=INPUTS!$P$94,W$7&lt;=INPUTS!$Q$94),AND(INPUTS!$E$94="Yes",W$16=1,W$7&gt;=INPUTS!$R$94,W$7&lt;=INPUTS!$S$94)),"S+C",IF(AND(INPUTS!$E$94="Yes",W$16=1,W$7&gt;=INPUTS!$P$94,W$7&lt;=INPUTS!$Q$94),"S",IF(AND(INPUTS!$E$94="Yes",W$16=1,W$7&gt;=INPUTS!$R$94,W$7&lt;=INPUTS!$S$94),"C",IF(AND(INPUTS!$E$94="Yes",W$17=1,W$7&gt;INPUTS!$S$94),"✓",""))))</f>
        <v/>
      </c>
      <c r="X27" s="105" t="str">
        <f aca="false">IF(AND(AND(INPUTS!$E$94="Yes",X$16=1,X$7&gt;=INPUTS!$P$94,X$7&lt;=INPUTS!$Q$94),AND(INPUTS!$E$94="Yes",X$16=1,X$7&gt;=INPUTS!$R$94,X$7&lt;=INPUTS!$S$94)),"S+C",IF(AND(INPUTS!$E$94="Yes",X$16=1,X$7&gt;=INPUTS!$P$94,X$7&lt;=INPUTS!$Q$94),"S",IF(AND(INPUTS!$E$94="Yes",X$16=1,X$7&gt;=INPUTS!$R$94,X$7&lt;=INPUTS!$S$94),"C",IF(AND(INPUTS!$E$94="Yes",X$17=1,X$7&gt;INPUTS!$S$94),"✓",""))))</f>
        <v/>
      </c>
      <c r="Y27" s="105" t="str">
        <f aca="false">IF(AND(AND(INPUTS!$E$94="Yes",Y$16=1,Y$7&gt;=INPUTS!$P$94,Y$7&lt;=INPUTS!$Q$94),AND(INPUTS!$E$94="Yes",Y$16=1,Y$7&gt;=INPUTS!$R$94,Y$7&lt;=INPUTS!$S$94)),"S+C",IF(AND(INPUTS!$E$94="Yes",Y$16=1,Y$7&gt;=INPUTS!$P$94,Y$7&lt;=INPUTS!$Q$94),"S",IF(AND(INPUTS!$E$94="Yes",Y$16=1,Y$7&gt;=INPUTS!$R$94,Y$7&lt;=INPUTS!$S$94),"C",IF(AND(INPUTS!$E$94="Yes",Y$17=1,Y$7&gt;INPUTS!$S$94),"✓",""))))</f>
        <v/>
      </c>
      <c r="Z27" s="105" t="str">
        <f aca="false">IF(AND(AND(INPUTS!$E$94="Yes",Z$16=1,Z$7&gt;=INPUTS!$P$94,Z$7&lt;=INPUTS!$Q$94),AND(INPUTS!$E$94="Yes",Z$16=1,Z$7&gt;=INPUTS!$R$94,Z$7&lt;=INPUTS!$S$94)),"S+C",IF(AND(INPUTS!$E$94="Yes",Z$16=1,Z$7&gt;=INPUTS!$P$94,Z$7&lt;=INPUTS!$Q$94),"S",IF(AND(INPUTS!$E$94="Yes",Z$16=1,Z$7&gt;=INPUTS!$R$94,Z$7&lt;=INPUTS!$S$94),"C",IF(AND(INPUTS!$E$94="Yes",Z$17=1,Z$7&gt;INPUTS!$S$94),"✓",""))))</f>
        <v/>
      </c>
      <c r="AA27" s="105" t="str">
        <f aca="false">IF(AND(AND(INPUTS!$E$94="Yes",AA$16=1,AA$7&gt;=INPUTS!$P$94,AA$7&lt;=INPUTS!$Q$94),AND(INPUTS!$E$94="Yes",AA$16=1,AA$7&gt;=INPUTS!$R$94,AA$7&lt;=INPUTS!$S$94)),"S+C",IF(AND(INPUTS!$E$94="Yes",AA$16=1,AA$7&gt;=INPUTS!$P$94,AA$7&lt;=INPUTS!$Q$94),"S",IF(AND(INPUTS!$E$94="Yes",AA$16=1,AA$7&gt;=INPUTS!$R$94,AA$7&lt;=INPUTS!$S$94),"C",IF(AND(INPUTS!$E$94="Yes",AA$17=1,AA$7&gt;INPUTS!$S$94),"✓",""))))</f>
        <v/>
      </c>
      <c r="AB27" s="105" t="str">
        <f aca="false">IF(AND(AND(INPUTS!$E$94="Yes",AB$16=1,AB$7&gt;=INPUTS!$P$94,AB$7&lt;=INPUTS!$Q$94),AND(INPUTS!$E$94="Yes",AB$16=1,AB$7&gt;=INPUTS!$R$94,AB$7&lt;=INPUTS!$S$94)),"S+C",IF(AND(INPUTS!$E$94="Yes",AB$16=1,AB$7&gt;=INPUTS!$P$94,AB$7&lt;=INPUTS!$Q$94),"S",IF(AND(INPUTS!$E$94="Yes",AB$16=1,AB$7&gt;=INPUTS!$R$94,AB$7&lt;=INPUTS!$S$94),"C",IF(AND(INPUTS!$E$94="Yes",AB$17=1,AB$7&gt;INPUTS!$S$94),"✓",""))))</f>
        <v/>
      </c>
      <c r="AC27" s="105" t="str">
        <f aca="false">IF(AND(AND(INPUTS!$E$94="Yes",AC$16=1,AC$7&gt;=INPUTS!$P$94,AC$7&lt;=INPUTS!$Q$94),AND(INPUTS!$E$94="Yes",AC$16=1,AC$7&gt;=INPUTS!$R$94,AC$7&lt;=INPUTS!$S$94)),"S+C",IF(AND(INPUTS!$E$94="Yes",AC$16=1,AC$7&gt;=INPUTS!$P$94,AC$7&lt;=INPUTS!$Q$94),"S",IF(AND(INPUTS!$E$94="Yes",AC$16=1,AC$7&gt;=INPUTS!$R$94,AC$7&lt;=INPUTS!$S$94),"C",IF(AND(INPUTS!$E$94="Yes",AC$17=1,AC$7&gt;INPUTS!$S$94),"✓",""))))</f>
        <v/>
      </c>
      <c r="AD27" s="105" t="str">
        <f aca="false">IF(AND(AND(INPUTS!$E$94="Yes",AD$16=1,AD$7&gt;=INPUTS!$P$94,AD$7&lt;=INPUTS!$Q$94),AND(INPUTS!$E$94="Yes",AD$16=1,AD$7&gt;=INPUTS!$R$94,AD$7&lt;=INPUTS!$S$94)),"S+C",IF(AND(INPUTS!$E$94="Yes",AD$16=1,AD$7&gt;=INPUTS!$P$94,AD$7&lt;=INPUTS!$Q$94),"S",IF(AND(INPUTS!$E$94="Yes",AD$16=1,AD$7&gt;=INPUTS!$R$94,AD$7&lt;=INPUTS!$S$94),"C",IF(AND(INPUTS!$E$94="Yes",AD$17=1,AD$7&gt;INPUTS!$S$94),"✓",""))))</f>
        <v/>
      </c>
      <c r="AE27" s="105" t="str">
        <f aca="false">IF(AND(AND(INPUTS!$E$94="Yes",AE$16=1,AE$7&gt;=INPUTS!$P$94,AE$7&lt;=INPUTS!$Q$94),AND(INPUTS!$E$94="Yes",AE$16=1,AE$7&gt;=INPUTS!$R$94,AE$7&lt;=INPUTS!$S$94)),"S+C",IF(AND(INPUTS!$E$94="Yes",AE$16=1,AE$7&gt;=INPUTS!$P$94,AE$7&lt;=INPUTS!$Q$94),"S",IF(AND(INPUTS!$E$94="Yes",AE$16=1,AE$7&gt;=INPUTS!$R$94,AE$7&lt;=INPUTS!$S$94),"C",IF(AND(INPUTS!$E$94="Yes",AE$17=1,AE$7&gt;INPUTS!$S$94),"✓",""))))</f>
        <v/>
      </c>
      <c r="AF27" s="105" t="str">
        <f aca="false">IF(AND(AND(INPUTS!$E$94="Yes",AF$16=1,AF$7&gt;=INPUTS!$P$94,AF$7&lt;=INPUTS!$Q$94),AND(INPUTS!$E$94="Yes",AF$16=1,AF$7&gt;=INPUTS!$R$94,AF$7&lt;=INPUTS!$S$94)),"S+C",IF(AND(INPUTS!$E$94="Yes",AF$16=1,AF$7&gt;=INPUTS!$P$94,AF$7&lt;=INPUTS!$Q$94),"S",IF(AND(INPUTS!$E$94="Yes",AF$16=1,AF$7&gt;=INPUTS!$R$94,AF$7&lt;=INPUTS!$S$94),"C",IF(AND(INPUTS!$E$94="Yes",AF$17=1,AF$7&gt;INPUTS!$S$94),"✓",""))))</f>
        <v/>
      </c>
      <c r="AG27" s="105" t="str">
        <f aca="false">IF(AND(AND(INPUTS!$E$94="Yes",AG$16=1,AG$7&gt;=INPUTS!$P$94,AG$7&lt;=INPUTS!$Q$94),AND(INPUTS!$E$94="Yes",AG$16=1,AG$7&gt;=INPUTS!$R$94,AG$7&lt;=INPUTS!$S$94)),"S+C",IF(AND(INPUTS!$E$94="Yes",AG$16=1,AG$7&gt;=INPUTS!$P$94,AG$7&lt;=INPUTS!$Q$94),"S",IF(AND(INPUTS!$E$94="Yes",AG$16=1,AG$7&gt;=INPUTS!$R$94,AG$7&lt;=INPUTS!$S$94),"C",IF(AND(INPUTS!$E$94="Yes",AG$17=1,AG$7&gt;INPUTS!$S$94),"✓",""))))</f>
        <v/>
      </c>
      <c r="AH27" s="105" t="str">
        <f aca="false">IF(AND(AND(INPUTS!$E$94="Yes",AH$16=1,AH$7&gt;=INPUTS!$P$94,AH$7&lt;=INPUTS!$Q$94),AND(INPUTS!$E$94="Yes",AH$16=1,AH$7&gt;=INPUTS!$R$94,AH$7&lt;=INPUTS!$S$94)),"S+C",IF(AND(INPUTS!$E$94="Yes",AH$16=1,AH$7&gt;=INPUTS!$P$94,AH$7&lt;=INPUTS!$Q$94),"S",IF(AND(INPUTS!$E$94="Yes",AH$16=1,AH$7&gt;=INPUTS!$R$94,AH$7&lt;=INPUTS!$S$94),"C",IF(AND(INPUTS!$E$94="Yes",AH$17=1,AH$7&gt;INPUTS!$S$94),"✓",""))))</f>
        <v/>
      </c>
      <c r="AI27" s="105" t="str">
        <f aca="false">IF(AND(AND(INPUTS!$E$94="Yes",AI$16=1,AI$7&gt;=INPUTS!$P$94,AI$7&lt;=INPUTS!$Q$94),AND(INPUTS!$E$94="Yes",AI$16=1,AI$7&gt;=INPUTS!$R$94,AI$7&lt;=INPUTS!$S$94)),"S+C",IF(AND(INPUTS!$E$94="Yes",AI$16=1,AI$7&gt;=INPUTS!$P$94,AI$7&lt;=INPUTS!$Q$94),"S",IF(AND(INPUTS!$E$94="Yes",AI$16=1,AI$7&gt;=INPUTS!$R$94,AI$7&lt;=INPUTS!$S$94),"C",IF(AND(INPUTS!$E$94="Yes",AI$17=1,AI$7&gt;INPUTS!$S$94),"✓",""))))</f>
        <v/>
      </c>
      <c r="AJ27" s="105" t="str">
        <f aca="false">IF(AND(AND(INPUTS!$E$94="Yes",AJ$16=1,AJ$7&gt;=INPUTS!$P$94,AJ$7&lt;=INPUTS!$Q$94),AND(INPUTS!$E$94="Yes",AJ$16=1,AJ$7&gt;=INPUTS!$R$94,AJ$7&lt;=INPUTS!$S$94)),"S+C",IF(AND(INPUTS!$E$94="Yes",AJ$16=1,AJ$7&gt;=INPUTS!$P$94,AJ$7&lt;=INPUTS!$Q$94),"S",IF(AND(INPUTS!$E$94="Yes",AJ$16=1,AJ$7&gt;=INPUTS!$R$94,AJ$7&lt;=INPUTS!$S$94),"C",IF(AND(INPUTS!$E$94="Yes",AJ$17=1,AJ$7&gt;INPUTS!$S$94),"✓",""))))</f>
        <v/>
      </c>
      <c r="AK27" s="105" t="str">
        <f aca="false">IF(AND(AND(INPUTS!$E$94="Yes",AK$16=1,AK$7&gt;=INPUTS!$P$94,AK$7&lt;=INPUTS!$Q$94),AND(INPUTS!$E$94="Yes",AK$16=1,AK$7&gt;=INPUTS!$R$94,AK$7&lt;=INPUTS!$S$94)),"S+C",IF(AND(INPUTS!$E$94="Yes",AK$16=1,AK$7&gt;=INPUTS!$P$94,AK$7&lt;=INPUTS!$Q$94),"S",IF(AND(INPUTS!$E$94="Yes",AK$16=1,AK$7&gt;=INPUTS!$R$94,AK$7&lt;=INPUTS!$S$94),"C",IF(AND(INPUTS!$E$94="Yes",AK$17=1,AK$7&gt;INPUTS!$S$94),"✓",""))))</f>
        <v/>
      </c>
      <c r="AL27" s="105" t="str">
        <f aca="false">IF(AND(AND(INPUTS!$E$94="Yes",AL$16=1,AL$7&gt;=INPUTS!$P$94,AL$7&lt;=INPUTS!$Q$94),AND(INPUTS!$E$94="Yes",AL$16=1,AL$7&gt;=INPUTS!$R$94,AL$7&lt;=INPUTS!$S$94)),"S+C",IF(AND(INPUTS!$E$94="Yes",AL$16=1,AL$7&gt;=INPUTS!$P$94,AL$7&lt;=INPUTS!$Q$94),"S",IF(AND(INPUTS!$E$94="Yes",AL$16=1,AL$7&gt;=INPUTS!$R$94,AL$7&lt;=INPUTS!$S$94),"C",IF(AND(INPUTS!$E$94="Yes",AL$17=1,AL$7&gt;INPUTS!$S$94),"✓",""))))</f>
        <v/>
      </c>
      <c r="AM27" s="105" t="str">
        <f aca="false">IF(AND(AND(INPUTS!$E$94="Yes",AM$16=1,AM$7&gt;=INPUTS!$P$94,AM$7&lt;=INPUTS!$Q$94),AND(INPUTS!$E$94="Yes",AM$16=1,AM$7&gt;=INPUTS!$R$94,AM$7&lt;=INPUTS!$S$94)),"S+C",IF(AND(INPUTS!$E$94="Yes",AM$16=1,AM$7&gt;=INPUTS!$P$94,AM$7&lt;=INPUTS!$Q$94),"S",IF(AND(INPUTS!$E$94="Yes",AM$16=1,AM$7&gt;=INPUTS!$R$94,AM$7&lt;=INPUTS!$S$94),"C",IF(AND(INPUTS!$E$94="Yes",AM$17=1,AM$7&gt;INPUTS!$S$94),"✓",""))))</f>
        <v/>
      </c>
      <c r="AN27" s="105" t="str">
        <f aca="false">IF(AND(AND(INPUTS!$E$94="Yes",AN$16=1,AN$7&gt;=INPUTS!$P$94,AN$7&lt;=INPUTS!$Q$94),AND(INPUTS!$E$94="Yes",AN$16=1,AN$7&gt;=INPUTS!$R$94,AN$7&lt;=INPUTS!$S$94)),"S+C",IF(AND(INPUTS!$E$94="Yes",AN$16=1,AN$7&gt;=INPUTS!$P$94,AN$7&lt;=INPUTS!$Q$94),"S",IF(AND(INPUTS!$E$94="Yes",AN$16=1,AN$7&gt;=INPUTS!$R$94,AN$7&lt;=INPUTS!$S$94),"C",IF(AND(INPUTS!$E$94="Yes",AN$17=1,AN$7&gt;INPUTS!$S$94),"✓",""))))</f>
        <v/>
      </c>
      <c r="AO27" s="105" t="str">
        <f aca="false">IF(AND(AND(INPUTS!$E$94="Yes",AO$16=1,AO$7&gt;=INPUTS!$P$94,AO$7&lt;=INPUTS!$Q$94),AND(INPUTS!$E$94="Yes",AO$16=1,AO$7&gt;=INPUTS!$R$94,AO$7&lt;=INPUTS!$S$94)),"S+C",IF(AND(INPUTS!$E$94="Yes",AO$16=1,AO$7&gt;=INPUTS!$P$94,AO$7&lt;=INPUTS!$Q$94),"S",IF(AND(INPUTS!$E$94="Yes",AO$16=1,AO$7&gt;=INPUTS!$R$94,AO$7&lt;=INPUTS!$S$94),"C",IF(AND(INPUTS!$E$94="Yes",AO$17=1,AO$7&gt;INPUTS!$S$94),"✓",""))))</f>
        <v/>
      </c>
      <c r="AP27" s="105" t="str">
        <f aca="false">IF(AND(AND(INPUTS!$E$94="Yes",AP$16=1,AP$7&gt;=INPUTS!$P$94,AP$7&lt;=INPUTS!$Q$94),AND(INPUTS!$E$94="Yes",AP$16=1,AP$7&gt;=INPUTS!$R$94,AP$7&lt;=INPUTS!$S$94)),"S+C",IF(AND(INPUTS!$E$94="Yes",AP$16=1,AP$7&gt;=INPUTS!$P$94,AP$7&lt;=INPUTS!$Q$94),"S",IF(AND(INPUTS!$E$94="Yes",AP$16=1,AP$7&gt;=INPUTS!$R$94,AP$7&lt;=INPUTS!$S$94),"C",IF(AND(INPUTS!$E$94="Yes",AP$17=1,AP$7&gt;INPUTS!$S$94),"✓",""))))</f>
        <v/>
      </c>
      <c r="AQ27" s="105" t="str">
        <f aca="false">IF(AND(AND(INPUTS!$E$94="Yes",AQ$16=1,AQ$7&gt;=INPUTS!$P$94,AQ$7&lt;=INPUTS!$Q$94),AND(INPUTS!$E$94="Yes",AQ$16=1,AQ$7&gt;=INPUTS!$R$94,AQ$7&lt;=INPUTS!$S$94)),"S+C",IF(AND(INPUTS!$E$94="Yes",AQ$16=1,AQ$7&gt;=INPUTS!$P$94,AQ$7&lt;=INPUTS!$Q$94),"S",IF(AND(INPUTS!$E$94="Yes",AQ$16=1,AQ$7&gt;=INPUTS!$R$94,AQ$7&lt;=INPUTS!$S$94),"C",IF(AND(INPUTS!$E$94="Yes",AQ$17=1,AQ$7&gt;INPUTS!$S$94),"✓",""))))</f>
        <v/>
      </c>
    </row>
    <row r="28" customFormat="false" ht="15" hidden="false" customHeight="false" outlineLevel="0" collapsed="false">
      <c r="B28" s="7" t="str">
        <f aca="false">IF(INPUTS!$E$95="Yes",INPUTS!$B$95,"(product row 8 – off)")</f>
        <v>(product row 8 – off)</v>
      </c>
      <c r="D28" s="105" t="str">
        <f aca="false">IF(AND(AND(INPUTS!$E$95="Yes",D$16=1,D$7&gt;=INPUTS!$P$95,D$7&lt;=INPUTS!$Q$95),AND(INPUTS!$E$95="Yes",D$16=1,D$7&gt;=INPUTS!$R$95,D$7&lt;=INPUTS!$S$95)),"S+C",IF(AND(INPUTS!$E$95="Yes",D$16=1,D$7&gt;=INPUTS!$P$95,D$7&lt;=INPUTS!$Q$95),"S",IF(AND(INPUTS!$E$95="Yes",D$16=1,D$7&gt;=INPUTS!$R$95,D$7&lt;=INPUTS!$S$95),"C",IF(AND(INPUTS!$E$95="Yes",D$17=1,D$7&gt;INPUTS!$S$95),"✓",""))))</f>
        <v/>
      </c>
      <c r="E28" s="105" t="str">
        <f aca="false">IF(AND(AND(INPUTS!$E$95="Yes",E$16=1,E$7&gt;=INPUTS!$P$95,E$7&lt;=INPUTS!$Q$95),AND(INPUTS!$E$95="Yes",E$16=1,E$7&gt;=INPUTS!$R$95,E$7&lt;=INPUTS!$S$95)),"S+C",IF(AND(INPUTS!$E$95="Yes",E$16=1,E$7&gt;=INPUTS!$P$95,E$7&lt;=INPUTS!$Q$95),"S",IF(AND(INPUTS!$E$95="Yes",E$16=1,E$7&gt;=INPUTS!$R$95,E$7&lt;=INPUTS!$S$95),"C",IF(AND(INPUTS!$E$95="Yes",E$17=1,E$7&gt;INPUTS!$S$95),"✓",""))))</f>
        <v/>
      </c>
      <c r="F28" s="105" t="str">
        <f aca="false">IF(AND(AND(INPUTS!$E$95="Yes",F$16=1,F$7&gt;=INPUTS!$P$95,F$7&lt;=INPUTS!$Q$95),AND(INPUTS!$E$95="Yes",F$16=1,F$7&gt;=INPUTS!$R$95,F$7&lt;=INPUTS!$S$95)),"S+C",IF(AND(INPUTS!$E$95="Yes",F$16=1,F$7&gt;=INPUTS!$P$95,F$7&lt;=INPUTS!$Q$95),"S",IF(AND(INPUTS!$E$95="Yes",F$16=1,F$7&gt;=INPUTS!$R$95,F$7&lt;=INPUTS!$S$95),"C",IF(AND(INPUTS!$E$95="Yes",F$17=1,F$7&gt;INPUTS!$S$95),"✓",""))))</f>
        <v/>
      </c>
      <c r="G28" s="105" t="str">
        <f aca="false">IF(AND(AND(INPUTS!$E$95="Yes",G$16=1,G$7&gt;=INPUTS!$P$95,G$7&lt;=INPUTS!$Q$95),AND(INPUTS!$E$95="Yes",G$16=1,G$7&gt;=INPUTS!$R$95,G$7&lt;=INPUTS!$S$95)),"S+C",IF(AND(INPUTS!$E$95="Yes",G$16=1,G$7&gt;=INPUTS!$P$95,G$7&lt;=INPUTS!$Q$95),"S",IF(AND(INPUTS!$E$95="Yes",G$16=1,G$7&gt;=INPUTS!$R$95,G$7&lt;=INPUTS!$S$95),"C",IF(AND(INPUTS!$E$95="Yes",G$17=1,G$7&gt;INPUTS!$S$95),"✓",""))))</f>
        <v/>
      </c>
      <c r="H28" s="105" t="str">
        <f aca="false">IF(AND(AND(INPUTS!$E$95="Yes",H$16=1,H$7&gt;=INPUTS!$P$95,H$7&lt;=INPUTS!$Q$95),AND(INPUTS!$E$95="Yes",H$16=1,H$7&gt;=INPUTS!$R$95,H$7&lt;=INPUTS!$S$95)),"S+C",IF(AND(INPUTS!$E$95="Yes",H$16=1,H$7&gt;=INPUTS!$P$95,H$7&lt;=INPUTS!$Q$95),"S",IF(AND(INPUTS!$E$95="Yes",H$16=1,H$7&gt;=INPUTS!$R$95,H$7&lt;=INPUTS!$S$95),"C",IF(AND(INPUTS!$E$95="Yes",H$17=1,H$7&gt;INPUTS!$S$95),"✓",""))))</f>
        <v/>
      </c>
      <c r="I28" s="105" t="str">
        <f aca="false">IF(AND(AND(INPUTS!$E$95="Yes",I$16=1,I$7&gt;=INPUTS!$P$95,I$7&lt;=INPUTS!$Q$95),AND(INPUTS!$E$95="Yes",I$16=1,I$7&gt;=INPUTS!$R$95,I$7&lt;=INPUTS!$S$95)),"S+C",IF(AND(INPUTS!$E$95="Yes",I$16=1,I$7&gt;=INPUTS!$P$95,I$7&lt;=INPUTS!$Q$95),"S",IF(AND(INPUTS!$E$95="Yes",I$16=1,I$7&gt;=INPUTS!$R$95,I$7&lt;=INPUTS!$S$95),"C",IF(AND(INPUTS!$E$95="Yes",I$17=1,I$7&gt;INPUTS!$S$95),"✓",""))))</f>
        <v/>
      </c>
      <c r="J28" s="105" t="str">
        <f aca="false">IF(AND(AND(INPUTS!$E$95="Yes",J$16=1,J$7&gt;=INPUTS!$P$95,J$7&lt;=INPUTS!$Q$95),AND(INPUTS!$E$95="Yes",J$16=1,J$7&gt;=INPUTS!$R$95,J$7&lt;=INPUTS!$S$95)),"S+C",IF(AND(INPUTS!$E$95="Yes",J$16=1,J$7&gt;=INPUTS!$P$95,J$7&lt;=INPUTS!$Q$95),"S",IF(AND(INPUTS!$E$95="Yes",J$16=1,J$7&gt;=INPUTS!$R$95,J$7&lt;=INPUTS!$S$95),"C",IF(AND(INPUTS!$E$95="Yes",J$17=1,J$7&gt;INPUTS!$S$95),"✓",""))))</f>
        <v/>
      </c>
      <c r="K28" s="105" t="str">
        <f aca="false">IF(AND(AND(INPUTS!$E$95="Yes",K$16=1,K$7&gt;=INPUTS!$P$95,K$7&lt;=INPUTS!$Q$95),AND(INPUTS!$E$95="Yes",K$16=1,K$7&gt;=INPUTS!$R$95,K$7&lt;=INPUTS!$S$95)),"S+C",IF(AND(INPUTS!$E$95="Yes",K$16=1,K$7&gt;=INPUTS!$P$95,K$7&lt;=INPUTS!$Q$95),"S",IF(AND(INPUTS!$E$95="Yes",K$16=1,K$7&gt;=INPUTS!$R$95,K$7&lt;=INPUTS!$S$95),"C",IF(AND(INPUTS!$E$95="Yes",K$17=1,K$7&gt;INPUTS!$S$95),"✓",""))))</f>
        <v/>
      </c>
      <c r="L28" s="105" t="str">
        <f aca="false">IF(AND(AND(INPUTS!$E$95="Yes",L$16=1,L$7&gt;=INPUTS!$P$95,L$7&lt;=INPUTS!$Q$95),AND(INPUTS!$E$95="Yes",L$16=1,L$7&gt;=INPUTS!$R$95,L$7&lt;=INPUTS!$S$95)),"S+C",IF(AND(INPUTS!$E$95="Yes",L$16=1,L$7&gt;=INPUTS!$P$95,L$7&lt;=INPUTS!$Q$95),"S",IF(AND(INPUTS!$E$95="Yes",L$16=1,L$7&gt;=INPUTS!$R$95,L$7&lt;=INPUTS!$S$95),"C",IF(AND(INPUTS!$E$95="Yes",L$17=1,L$7&gt;INPUTS!$S$95),"✓",""))))</f>
        <v/>
      </c>
      <c r="M28" s="105" t="str">
        <f aca="false">IF(AND(AND(INPUTS!$E$95="Yes",M$16=1,M$7&gt;=INPUTS!$P$95,M$7&lt;=INPUTS!$Q$95),AND(INPUTS!$E$95="Yes",M$16=1,M$7&gt;=INPUTS!$R$95,M$7&lt;=INPUTS!$S$95)),"S+C",IF(AND(INPUTS!$E$95="Yes",M$16=1,M$7&gt;=INPUTS!$P$95,M$7&lt;=INPUTS!$Q$95),"S",IF(AND(INPUTS!$E$95="Yes",M$16=1,M$7&gt;=INPUTS!$R$95,M$7&lt;=INPUTS!$S$95),"C",IF(AND(INPUTS!$E$95="Yes",M$17=1,M$7&gt;INPUTS!$S$95),"✓",""))))</f>
        <v/>
      </c>
      <c r="N28" s="105" t="str">
        <f aca="false">IF(AND(AND(INPUTS!$E$95="Yes",N$16=1,N$7&gt;=INPUTS!$P$95,N$7&lt;=INPUTS!$Q$95),AND(INPUTS!$E$95="Yes",N$16=1,N$7&gt;=INPUTS!$R$95,N$7&lt;=INPUTS!$S$95)),"S+C",IF(AND(INPUTS!$E$95="Yes",N$16=1,N$7&gt;=INPUTS!$P$95,N$7&lt;=INPUTS!$Q$95),"S",IF(AND(INPUTS!$E$95="Yes",N$16=1,N$7&gt;=INPUTS!$R$95,N$7&lt;=INPUTS!$S$95),"C",IF(AND(INPUTS!$E$95="Yes",N$17=1,N$7&gt;INPUTS!$S$95),"✓",""))))</f>
        <v/>
      </c>
      <c r="O28" s="105" t="str">
        <f aca="false">IF(AND(AND(INPUTS!$E$95="Yes",O$16=1,O$7&gt;=INPUTS!$P$95,O$7&lt;=INPUTS!$Q$95),AND(INPUTS!$E$95="Yes",O$16=1,O$7&gt;=INPUTS!$R$95,O$7&lt;=INPUTS!$S$95)),"S+C",IF(AND(INPUTS!$E$95="Yes",O$16=1,O$7&gt;=INPUTS!$P$95,O$7&lt;=INPUTS!$Q$95),"S",IF(AND(INPUTS!$E$95="Yes",O$16=1,O$7&gt;=INPUTS!$R$95,O$7&lt;=INPUTS!$S$95),"C",IF(AND(INPUTS!$E$95="Yes",O$17=1,O$7&gt;INPUTS!$S$95),"✓",""))))</f>
        <v/>
      </c>
      <c r="P28" s="105" t="str">
        <f aca="false">IF(AND(AND(INPUTS!$E$95="Yes",P$16=1,P$7&gt;=INPUTS!$P$95,P$7&lt;=INPUTS!$Q$95),AND(INPUTS!$E$95="Yes",P$16=1,P$7&gt;=INPUTS!$R$95,P$7&lt;=INPUTS!$S$95)),"S+C",IF(AND(INPUTS!$E$95="Yes",P$16=1,P$7&gt;=INPUTS!$P$95,P$7&lt;=INPUTS!$Q$95),"S",IF(AND(INPUTS!$E$95="Yes",P$16=1,P$7&gt;=INPUTS!$R$95,P$7&lt;=INPUTS!$S$95),"C",IF(AND(INPUTS!$E$95="Yes",P$17=1,P$7&gt;INPUTS!$S$95),"✓",""))))</f>
        <v/>
      </c>
      <c r="Q28" s="105" t="str">
        <f aca="false">IF(AND(AND(INPUTS!$E$95="Yes",Q$16=1,Q$7&gt;=INPUTS!$P$95,Q$7&lt;=INPUTS!$Q$95),AND(INPUTS!$E$95="Yes",Q$16=1,Q$7&gt;=INPUTS!$R$95,Q$7&lt;=INPUTS!$S$95)),"S+C",IF(AND(INPUTS!$E$95="Yes",Q$16=1,Q$7&gt;=INPUTS!$P$95,Q$7&lt;=INPUTS!$Q$95),"S",IF(AND(INPUTS!$E$95="Yes",Q$16=1,Q$7&gt;=INPUTS!$R$95,Q$7&lt;=INPUTS!$S$95),"C",IF(AND(INPUTS!$E$95="Yes",Q$17=1,Q$7&gt;INPUTS!$S$95),"✓",""))))</f>
        <v/>
      </c>
      <c r="R28" s="105" t="str">
        <f aca="false">IF(AND(AND(INPUTS!$E$95="Yes",R$16=1,R$7&gt;=INPUTS!$P$95,R$7&lt;=INPUTS!$Q$95),AND(INPUTS!$E$95="Yes",R$16=1,R$7&gt;=INPUTS!$R$95,R$7&lt;=INPUTS!$S$95)),"S+C",IF(AND(INPUTS!$E$95="Yes",R$16=1,R$7&gt;=INPUTS!$P$95,R$7&lt;=INPUTS!$Q$95),"S",IF(AND(INPUTS!$E$95="Yes",R$16=1,R$7&gt;=INPUTS!$R$95,R$7&lt;=INPUTS!$S$95),"C",IF(AND(INPUTS!$E$95="Yes",R$17=1,R$7&gt;INPUTS!$S$95),"✓",""))))</f>
        <v/>
      </c>
      <c r="S28" s="105" t="str">
        <f aca="false">IF(AND(AND(INPUTS!$E$95="Yes",S$16=1,S$7&gt;=INPUTS!$P$95,S$7&lt;=INPUTS!$Q$95),AND(INPUTS!$E$95="Yes",S$16=1,S$7&gt;=INPUTS!$R$95,S$7&lt;=INPUTS!$S$95)),"S+C",IF(AND(INPUTS!$E$95="Yes",S$16=1,S$7&gt;=INPUTS!$P$95,S$7&lt;=INPUTS!$Q$95),"S",IF(AND(INPUTS!$E$95="Yes",S$16=1,S$7&gt;=INPUTS!$R$95,S$7&lt;=INPUTS!$S$95),"C",IF(AND(INPUTS!$E$95="Yes",S$17=1,S$7&gt;INPUTS!$S$95),"✓",""))))</f>
        <v/>
      </c>
      <c r="T28" s="105" t="str">
        <f aca="false">IF(AND(AND(INPUTS!$E$95="Yes",T$16=1,T$7&gt;=INPUTS!$P$95,T$7&lt;=INPUTS!$Q$95),AND(INPUTS!$E$95="Yes",T$16=1,T$7&gt;=INPUTS!$R$95,T$7&lt;=INPUTS!$S$95)),"S+C",IF(AND(INPUTS!$E$95="Yes",T$16=1,T$7&gt;=INPUTS!$P$95,T$7&lt;=INPUTS!$Q$95),"S",IF(AND(INPUTS!$E$95="Yes",T$16=1,T$7&gt;=INPUTS!$R$95,T$7&lt;=INPUTS!$S$95),"C",IF(AND(INPUTS!$E$95="Yes",T$17=1,T$7&gt;INPUTS!$S$95),"✓",""))))</f>
        <v/>
      </c>
      <c r="U28" s="105" t="str">
        <f aca="false">IF(AND(AND(INPUTS!$E$95="Yes",U$16=1,U$7&gt;=INPUTS!$P$95,U$7&lt;=INPUTS!$Q$95),AND(INPUTS!$E$95="Yes",U$16=1,U$7&gt;=INPUTS!$R$95,U$7&lt;=INPUTS!$S$95)),"S+C",IF(AND(INPUTS!$E$95="Yes",U$16=1,U$7&gt;=INPUTS!$P$95,U$7&lt;=INPUTS!$Q$95),"S",IF(AND(INPUTS!$E$95="Yes",U$16=1,U$7&gt;=INPUTS!$R$95,U$7&lt;=INPUTS!$S$95),"C",IF(AND(INPUTS!$E$95="Yes",U$17=1,U$7&gt;INPUTS!$S$95),"✓",""))))</f>
        <v/>
      </c>
      <c r="V28" s="105" t="str">
        <f aca="false">IF(AND(AND(INPUTS!$E$95="Yes",V$16=1,V$7&gt;=INPUTS!$P$95,V$7&lt;=INPUTS!$Q$95),AND(INPUTS!$E$95="Yes",V$16=1,V$7&gt;=INPUTS!$R$95,V$7&lt;=INPUTS!$S$95)),"S+C",IF(AND(INPUTS!$E$95="Yes",V$16=1,V$7&gt;=INPUTS!$P$95,V$7&lt;=INPUTS!$Q$95),"S",IF(AND(INPUTS!$E$95="Yes",V$16=1,V$7&gt;=INPUTS!$R$95,V$7&lt;=INPUTS!$S$95),"C",IF(AND(INPUTS!$E$95="Yes",V$17=1,V$7&gt;INPUTS!$S$95),"✓",""))))</f>
        <v/>
      </c>
      <c r="W28" s="105" t="str">
        <f aca="false">IF(AND(AND(INPUTS!$E$95="Yes",W$16=1,W$7&gt;=INPUTS!$P$95,W$7&lt;=INPUTS!$Q$95),AND(INPUTS!$E$95="Yes",W$16=1,W$7&gt;=INPUTS!$R$95,W$7&lt;=INPUTS!$S$95)),"S+C",IF(AND(INPUTS!$E$95="Yes",W$16=1,W$7&gt;=INPUTS!$P$95,W$7&lt;=INPUTS!$Q$95),"S",IF(AND(INPUTS!$E$95="Yes",W$16=1,W$7&gt;=INPUTS!$R$95,W$7&lt;=INPUTS!$S$95),"C",IF(AND(INPUTS!$E$95="Yes",W$17=1,W$7&gt;INPUTS!$S$95),"✓",""))))</f>
        <v/>
      </c>
      <c r="X28" s="105" t="str">
        <f aca="false">IF(AND(AND(INPUTS!$E$95="Yes",X$16=1,X$7&gt;=INPUTS!$P$95,X$7&lt;=INPUTS!$Q$95),AND(INPUTS!$E$95="Yes",X$16=1,X$7&gt;=INPUTS!$R$95,X$7&lt;=INPUTS!$S$95)),"S+C",IF(AND(INPUTS!$E$95="Yes",X$16=1,X$7&gt;=INPUTS!$P$95,X$7&lt;=INPUTS!$Q$95),"S",IF(AND(INPUTS!$E$95="Yes",X$16=1,X$7&gt;=INPUTS!$R$95,X$7&lt;=INPUTS!$S$95),"C",IF(AND(INPUTS!$E$95="Yes",X$17=1,X$7&gt;INPUTS!$S$95),"✓",""))))</f>
        <v/>
      </c>
      <c r="Y28" s="105" t="str">
        <f aca="false">IF(AND(AND(INPUTS!$E$95="Yes",Y$16=1,Y$7&gt;=INPUTS!$P$95,Y$7&lt;=INPUTS!$Q$95),AND(INPUTS!$E$95="Yes",Y$16=1,Y$7&gt;=INPUTS!$R$95,Y$7&lt;=INPUTS!$S$95)),"S+C",IF(AND(INPUTS!$E$95="Yes",Y$16=1,Y$7&gt;=INPUTS!$P$95,Y$7&lt;=INPUTS!$Q$95),"S",IF(AND(INPUTS!$E$95="Yes",Y$16=1,Y$7&gt;=INPUTS!$R$95,Y$7&lt;=INPUTS!$S$95),"C",IF(AND(INPUTS!$E$95="Yes",Y$17=1,Y$7&gt;INPUTS!$S$95),"✓",""))))</f>
        <v/>
      </c>
      <c r="Z28" s="105" t="str">
        <f aca="false">IF(AND(AND(INPUTS!$E$95="Yes",Z$16=1,Z$7&gt;=INPUTS!$P$95,Z$7&lt;=INPUTS!$Q$95),AND(INPUTS!$E$95="Yes",Z$16=1,Z$7&gt;=INPUTS!$R$95,Z$7&lt;=INPUTS!$S$95)),"S+C",IF(AND(INPUTS!$E$95="Yes",Z$16=1,Z$7&gt;=INPUTS!$P$95,Z$7&lt;=INPUTS!$Q$95),"S",IF(AND(INPUTS!$E$95="Yes",Z$16=1,Z$7&gt;=INPUTS!$R$95,Z$7&lt;=INPUTS!$S$95),"C",IF(AND(INPUTS!$E$95="Yes",Z$17=1,Z$7&gt;INPUTS!$S$95),"✓",""))))</f>
        <v/>
      </c>
      <c r="AA28" s="105" t="str">
        <f aca="false">IF(AND(AND(INPUTS!$E$95="Yes",AA$16=1,AA$7&gt;=INPUTS!$P$95,AA$7&lt;=INPUTS!$Q$95),AND(INPUTS!$E$95="Yes",AA$16=1,AA$7&gt;=INPUTS!$R$95,AA$7&lt;=INPUTS!$S$95)),"S+C",IF(AND(INPUTS!$E$95="Yes",AA$16=1,AA$7&gt;=INPUTS!$P$95,AA$7&lt;=INPUTS!$Q$95),"S",IF(AND(INPUTS!$E$95="Yes",AA$16=1,AA$7&gt;=INPUTS!$R$95,AA$7&lt;=INPUTS!$S$95),"C",IF(AND(INPUTS!$E$95="Yes",AA$17=1,AA$7&gt;INPUTS!$S$95),"✓",""))))</f>
        <v/>
      </c>
      <c r="AB28" s="105" t="str">
        <f aca="false">IF(AND(AND(INPUTS!$E$95="Yes",AB$16=1,AB$7&gt;=INPUTS!$P$95,AB$7&lt;=INPUTS!$Q$95),AND(INPUTS!$E$95="Yes",AB$16=1,AB$7&gt;=INPUTS!$R$95,AB$7&lt;=INPUTS!$S$95)),"S+C",IF(AND(INPUTS!$E$95="Yes",AB$16=1,AB$7&gt;=INPUTS!$P$95,AB$7&lt;=INPUTS!$Q$95),"S",IF(AND(INPUTS!$E$95="Yes",AB$16=1,AB$7&gt;=INPUTS!$R$95,AB$7&lt;=INPUTS!$S$95),"C",IF(AND(INPUTS!$E$95="Yes",AB$17=1,AB$7&gt;INPUTS!$S$95),"✓",""))))</f>
        <v/>
      </c>
      <c r="AC28" s="105" t="str">
        <f aca="false">IF(AND(AND(INPUTS!$E$95="Yes",AC$16=1,AC$7&gt;=INPUTS!$P$95,AC$7&lt;=INPUTS!$Q$95),AND(INPUTS!$E$95="Yes",AC$16=1,AC$7&gt;=INPUTS!$R$95,AC$7&lt;=INPUTS!$S$95)),"S+C",IF(AND(INPUTS!$E$95="Yes",AC$16=1,AC$7&gt;=INPUTS!$P$95,AC$7&lt;=INPUTS!$Q$95),"S",IF(AND(INPUTS!$E$95="Yes",AC$16=1,AC$7&gt;=INPUTS!$R$95,AC$7&lt;=INPUTS!$S$95),"C",IF(AND(INPUTS!$E$95="Yes",AC$17=1,AC$7&gt;INPUTS!$S$95),"✓",""))))</f>
        <v/>
      </c>
      <c r="AD28" s="105" t="str">
        <f aca="false">IF(AND(AND(INPUTS!$E$95="Yes",AD$16=1,AD$7&gt;=INPUTS!$P$95,AD$7&lt;=INPUTS!$Q$95),AND(INPUTS!$E$95="Yes",AD$16=1,AD$7&gt;=INPUTS!$R$95,AD$7&lt;=INPUTS!$S$95)),"S+C",IF(AND(INPUTS!$E$95="Yes",AD$16=1,AD$7&gt;=INPUTS!$P$95,AD$7&lt;=INPUTS!$Q$95),"S",IF(AND(INPUTS!$E$95="Yes",AD$16=1,AD$7&gt;=INPUTS!$R$95,AD$7&lt;=INPUTS!$S$95),"C",IF(AND(INPUTS!$E$95="Yes",AD$17=1,AD$7&gt;INPUTS!$S$95),"✓",""))))</f>
        <v/>
      </c>
      <c r="AE28" s="105" t="str">
        <f aca="false">IF(AND(AND(INPUTS!$E$95="Yes",AE$16=1,AE$7&gt;=INPUTS!$P$95,AE$7&lt;=INPUTS!$Q$95),AND(INPUTS!$E$95="Yes",AE$16=1,AE$7&gt;=INPUTS!$R$95,AE$7&lt;=INPUTS!$S$95)),"S+C",IF(AND(INPUTS!$E$95="Yes",AE$16=1,AE$7&gt;=INPUTS!$P$95,AE$7&lt;=INPUTS!$Q$95),"S",IF(AND(INPUTS!$E$95="Yes",AE$16=1,AE$7&gt;=INPUTS!$R$95,AE$7&lt;=INPUTS!$S$95),"C",IF(AND(INPUTS!$E$95="Yes",AE$17=1,AE$7&gt;INPUTS!$S$95),"✓",""))))</f>
        <v/>
      </c>
      <c r="AF28" s="105" t="str">
        <f aca="false">IF(AND(AND(INPUTS!$E$95="Yes",AF$16=1,AF$7&gt;=INPUTS!$P$95,AF$7&lt;=INPUTS!$Q$95),AND(INPUTS!$E$95="Yes",AF$16=1,AF$7&gt;=INPUTS!$R$95,AF$7&lt;=INPUTS!$S$95)),"S+C",IF(AND(INPUTS!$E$95="Yes",AF$16=1,AF$7&gt;=INPUTS!$P$95,AF$7&lt;=INPUTS!$Q$95),"S",IF(AND(INPUTS!$E$95="Yes",AF$16=1,AF$7&gt;=INPUTS!$R$95,AF$7&lt;=INPUTS!$S$95),"C",IF(AND(INPUTS!$E$95="Yes",AF$17=1,AF$7&gt;INPUTS!$S$95),"✓",""))))</f>
        <v/>
      </c>
      <c r="AG28" s="105" t="str">
        <f aca="false">IF(AND(AND(INPUTS!$E$95="Yes",AG$16=1,AG$7&gt;=INPUTS!$P$95,AG$7&lt;=INPUTS!$Q$95),AND(INPUTS!$E$95="Yes",AG$16=1,AG$7&gt;=INPUTS!$R$95,AG$7&lt;=INPUTS!$S$95)),"S+C",IF(AND(INPUTS!$E$95="Yes",AG$16=1,AG$7&gt;=INPUTS!$P$95,AG$7&lt;=INPUTS!$Q$95),"S",IF(AND(INPUTS!$E$95="Yes",AG$16=1,AG$7&gt;=INPUTS!$R$95,AG$7&lt;=INPUTS!$S$95),"C",IF(AND(INPUTS!$E$95="Yes",AG$17=1,AG$7&gt;INPUTS!$S$95),"✓",""))))</f>
        <v/>
      </c>
      <c r="AH28" s="105" t="str">
        <f aca="false">IF(AND(AND(INPUTS!$E$95="Yes",AH$16=1,AH$7&gt;=INPUTS!$P$95,AH$7&lt;=INPUTS!$Q$95),AND(INPUTS!$E$95="Yes",AH$16=1,AH$7&gt;=INPUTS!$R$95,AH$7&lt;=INPUTS!$S$95)),"S+C",IF(AND(INPUTS!$E$95="Yes",AH$16=1,AH$7&gt;=INPUTS!$P$95,AH$7&lt;=INPUTS!$Q$95),"S",IF(AND(INPUTS!$E$95="Yes",AH$16=1,AH$7&gt;=INPUTS!$R$95,AH$7&lt;=INPUTS!$S$95),"C",IF(AND(INPUTS!$E$95="Yes",AH$17=1,AH$7&gt;INPUTS!$S$95),"✓",""))))</f>
        <v/>
      </c>
      <c r="AI28" s="105" t="str">
        <f aca="false">IF(AND(AND(INPUTS!$E$95="Yes",AI$16=1,AI$7&gt;=INPUTS!$P$95,AI$7&lt;=INPUTS!$Q$95),AND(INPUTS!$E$95="Yes",AI$16=1,AI$7&gt;=INPUTS!$R$95,AI$7&lt;=INPUTS!$S$95)),"S+C",IF(AND(INPUTS!$E$95="Yes",AI$16=1,AI$7&gt;=INPUTS!$P$95,AI$7&lt;=INPUTS!$Q$95),"S",IF(AND(INPUTS!$E$95="Yes",AI$16=1,AI$7&gt;=INPUTS!$R$95,AI$7&lt;=INPUTS!$S$95),"C",IF(AND(INPUTS!$E$95="Yes",AI$17=1,AI$7&gt;INPUTS!$S$95),"✓",""))))</f>
        <v/>
      </c>
      <c r="AJ28" s="105" t="str">
        <f aca="false">IF(AND(AND(INPUTS!$E$95="Yes",AJ$16=1,AJ$7&gt;=INPUTS!$P$95,AJ$7&lt;=INPUTS!$Q$95),AND(INPUTS!$E$95="Yes",AJ$16=1,AJ$7&gt;=INPUTS!$R$95,AJ$7&lt;=INPUTS!$S$95)),"S+C",IF(AND(INPUTS!$E$95="Yes",AJ$16=1,AJ$7&gt;=INPUTS!$P$95,AJ$7&lt;=INPUTS!$Q$95),"S",IF(AND(INPUTS!$E$95="Yes",AJ$16=1,AJ$7&gt;=INPUTS!$R$95,AJ$7&lt;=INPUTS!$S$95),"C",IF(AND(INPUTS!$E$95="Yes",AJ$17=1,AJ$7&gt;INPUTS!$S$95),"✓",""))))</f>
        <v/>
      </c>
      <c r="AK28" s="105" t="str">
        <f aca="false">IF(AND(AND(INPUTS!$E$95="Yes",AK$16=1,AK$7&gt;=INPUTS!$P$95,AK$7&lt;=INPUTS!$Q$95),AND(INPUTS!$E$95="Yes",AK$16=1,AK$7&gt;=INPUTS!$R$95,AK$7&lt;=INPUTS!$S$95)),"S+C",IF(AND(INPUTS!$E$95="Yes",AK$16=1,AK$7&gt;=INPUTS!$P$95,AK$7&lt;=INPUTS!$Q$95),"S",IF(AND(INPUTS!$E$95="Yes",AK$16=1,AK$7&gt;=INPUTS!$R$95,AK$7&lt;=INPUTS!$S$95),"C",IF(AND(INPUTS!$E$95="Yes",AK$17=1,AK$7&gt;INPUTS!$S$95),"✓",""))))</f>
        <v/>
      </c>
      <c r="AL28" s="105" t="str">
        <f aca="false">IF(AND(AND(INPUTS!$E$95="Yes",AL$16=1,AL$7&gt;=INPUTS!$P$95,AL$7&lt;=INPUTS!$Q$95),AND(INPUTS!$E$95="Yes",AL$16=1,AL$7&gt;=INPUTS!$R$95,AL$7&lt;=INPUTS!$S$95)),"S+C",IF(AND(INPUTS!$E$95="Yes",AL$16=1,AL$7&gt;=INPUTS!$P$95,AL$7&lt;=INPUTS!$Q$95),"S",IF(AND(INPUTS!$E$95="Yes",AL$16=1,AL$7&gt;=INPUTS!$R$95,AL$7&lt;=INPUTS!$S$95),"C",IF(AND(INPUTS!$E$95="Yes",AL$17=1,AL$7&gt;INPUTS!$S$95),"✓",""))))</f>
        <v/>
      </c>
      <c r="AM28" s="105" t="str">
        <f aca="false">IF(AND(AND(INPUTS!$E$95="Yes",AM$16=1,AM$7&gt;=INPUTS!$P$95,AM$7&lt;=INPUTS!$Q$95),AND(INPUTS!$E$95="Yes",AM$16=1,AM$7&gt;=INPUTS!$R$95,AM$7&lt;=INPUTS!$S$95)),"S+C",IF(AND(INPUTS!$E$95="Yes",AM$16=1,AM$7&gt;=INPUTS!$P$95,AM$7&lt;=INPUTS!$Q$95),"S",IF(AND(INPUTS!$E$95="Yes",AM$16=1,AM$7&gt;=INPUTS!$R$95,AM$7&lt;=INPUTS!$S$95),"C",IF(AND(INPUTS!$E$95="Yes",AM$17=1,AM$7&gt;INPUTS!$S$95),"✓",""))))</f>
        <v/>
      </c>
      <c r="AN28" s="105" t="str">
        <f aca="false">IF(AND(AND(INPUTS!$E$95="Yes",AN$16=1,AN$7&gt;=INPUTS!$P$95,AN$7&lt;=INPUTS!$Q$95),AND(INPUTS!$E$95="Yes",AN$16=1,AN$7&gt;=INPUTS!$R$95,AN$7&lt;=INPUTS!$S$95)),"S+C",IF(AND(INPUTS!$E$95="Yes",AN$16=1,AN$7&gt;=INPUTS!$P$95,AN$7&lt;=INPUTS!$Q$95),"S",IF(AND(INPUTS!$E$95="Yes",AN$16=1,AN$7&gt;=INPUTS!$R$95,AN$7&lt;=INPUTS!$S$95),"C",IF(AND(INPUTS!$E$95="Yes",AN$17=1,AN$7&gt;INPUTS!$S$95),"✓",""))))</f>
        <v/>
      </c>
      <c r="AO28" s="105" t="str">
        <f aca="false">IF(AND(AND(INPUTS!$E$95="Yes",AO$16=1,AO$7&gt;=INPUTS!$P$95,AO$7&lt;=INPUTS!$Q$95),AND(INPUTS!$E$95="Yes",AO$16=1,AO$7&gt;=INPUTS!$R$95,AO$7&lt;=INPUTS!$S$95)),"S+C",IF(AND(INPUTS!$E$95="Yes",AO$16=1,AO$7&gt;=INPUTS!$P$95,AO$7&lt;=INPUTS!$Q$95),"S",IF(AND(INPUTS!$E$95="Yes",AO$16=1,AO$7&gt;=INPUTS!$R$95,AO$7&lt;=INPUTS!$S$95),"C",IF(AND(INPUTS!$E$95="Yes",AO$17=1,AO$7&gt;INPUTS!$S$95),"✓",""))))</f>
        <v/>
      </c>
      <c r="AP28" s="105" t="str">
        <f aca="false">IF(AND(AND(INPUTS!$E$95="Yes",AP$16=1,AP$7&gt;=INPUTS!$P$95,AP$7&lt;=INPUTS!$Q$95),AND(INPUTS!$E$95="Yes",AP$16=1,AP$7&gt;=INPUTS!$R$95,AP$7&lt;=INPUTS!$S$95)),"S+C",IF(AND(INPUTS!$E$95="Yes",AP$16=1,AP$7&gt;=INPUTS!$P$95,AP$7&lt;=INPUTS!$Q$95),"S",IF(AND(INPUTS!$E$95="Yes",AP$16=1,AP$7&gt;=INPUTS!$R$95,AP$7&lt;=INPUTS!$S$95),"C",IF(AND(INPUTS!$E$95="Yes",AP$17=1,AP$7&gt;INPUTS!$S$95),"✓",""))))</f>
        <v/>
      </c>
      <c r="AQ28" s="105" t="str">
        <f aca="false">IF(AND(AND(INPUTS!$E$95="Yes",AQ$16=1,AQ$7&gt;=INPUTS!$P$95,AQ$7&lt;=INPUTS!$Q$95),AND(INPUTS!$E$95="Yes",AQ$16=1,AQ$7&gt;=INPUTS!$R$95,AQ$7&lt;=INPUTS!$S$95)),"S+C",IF(AND(INPUTS!$E$95="Yes",AQ$16=1,AQ$7&gt;=INPUTS!$P$95,AQ$7&lt;=INPUTS!$Q$95),"S",IF(AND(INPUTS!$E$95="Yes",AQ$16=1,AQ$7&gt;=INPUTS!$R$95,AQ$7&lt;=INPUTS!$S$95),"C",IF(AND(INPUTS!$E$95="Yes",AQ$17=1,AQ$7&gt;INPUTS!$S$95),"✓",""))))</f>
        <v/>
      </c>
    </row>
    <row r="29" customFormat="false" ht="15" hidden="false" customHeight="false" outlineLevel="0" collapsed="false">
      <c r="B29" s="7" t="str">
        <f aca="false">IF(INPUTS!$E$96="Yes",INPUTS!$B$96,"(product row 9 – off)")</f>
        <v>(product row 9 – off)</v>
      </c>
      <c r="D29" s="105" t="str">
        <f aca="false">IF(AND(AND(INPUTS!$E$96="Yes",D$16=1,D$7&gt;=INPUTS!$P$96,D$7&lt;=INPUTS!$Q$96),AND(INPUTS!$E$96="Yes",D$16=1,D$7&gt;=INPUTS!$R$96,D$7&lt;=INPUTS!$S$96)),"S+C",IF(AND(INPUTS!$E$96="Yes",D$16=1,D$7&gt;=INPUTS!$P$96,D$7&lt;=INPUTS!$Q$96),"S",IF(AND(INPUTS!$E$96="Yes",D$16=1,D$7&gt;=INPUTS!$R$96,D$7&lt;=INPUTS!$S$96),"C",IF(AND(INPUTS!$E$96="Yes",D$17=1,D$7&gt;INPUTS!$S$96),"✓",""))))</f>
        <v/>
      </c>
      <c r="E29" s="105" t="str">
        <f aca="false">IF(AND(AND(INPUTS!$E$96="Yes",E$16=1,E$7&gt;=INPUTS!$P$96,E$7&lt;=INPUTS!$Q$96),AND(INPUTS!$E$96="Yes",E$16=1,E$7&gt;=INPUTS!$R$96,E$7&lt;=INPUTS!$S$96)),"S+C",IF(AND(INPUTS!$E$96="Yes",E$16=1,E$7&gt;=INPUTS!$P$96,E$7&lt;=INPUTS!$Q$96),"S",IF(AND(INPUTS!$E$96="Yes",E$16=1,E$7&gt;=INPUTS!$R$96,E$7&lt;=INPUTS!$S$96),"C",IF(AND(INPUTS!$E$96="Yes",E$17=1,E$7&gt;INPUTS!$S$96),"✓",""))))</f>
        <v/>
      </c>
      <c r="F29" s="105" t="str">
        <f aca="false">IF(AND(AND(INPUTS!$E$96="Yes",F$16=1,F$7&gt;=INPUTS!$P$96,F$7&lt;=INPUTS!$Q$96),AND(INPUTS!$E$96="Yes",F$16=1,F$7&gt;=INPUTS!$R$96,F$7&lt;=INPUTS!$S$96)),"S+C",IF(AND(INPUTS!$E$96="Yes",F$16=1,F$7&gt;=INPUTS!$P$96,F$7&lt;=INPUTS!$Q$96),"S",IF(AND(INPUTS!$E$96="Yes",F$16=1,F$7&gt;=INPUTS!$R$96,F$7&lt;=INPUTS!$S$96),"C",IF(AND(INPUTS!$E$96="Yes",F$17=1,F$7&gt;INPUTS!$S$96),"✓",""))))</f>
        <v/>
      </c>
      <c r="G29" s="105" t="str">
        <f aca="false">IF(AND(AND(INPUTS!$E$96="Yes",G$16=1,G$7&gt;=INPUTS!$P$96,G$7&lt;=INPUTS!$Q$96),AND(INPUTS!$E$96="Yes",G$16=1,G$7&gt;=INPUTS!$R$96,G$7&lt;=INPUTS!$S$96)),"S+C",IF(AND(INPUTS!$E$96="Yes",G$16=1,G$7&gt;=INPUTS!$P$96,G$7&lt;=INPUTS!$Q$96),"S",IF(AND(INPUTS!$E$96="Yes",G$16=1,G$7&gt;=INPUTS!$R$96,G$7&lt;=INPUTS!$S$96),"C",IF(AND(INPUTS!$E$96="Yes",G$17=1,G$7&gt;INPUTS!$S$96),"✓",""))))</f>
        <v/>
      </c>
      <c r="H29" s="105" t="str">
        <f aca="false">IF(AND(AND(INPUTS!$E$96="Yes",H$16=1,H$7&gt;=INPUTS!$P$96,H$7&lt;=INPUTS!$Q$96),AND(INPUTS!$E$96="Yes",H$16=1,H$7&gt;=INPUTS!$R$96,H$7&lt;=INPUTS!$S$96)),"S+C",IF(AND(INPUTS!$E$96="Yes",H$16=1,H$7&gt;=INPUTS!$P$96,H$7&lt;=INPUTS!$Q$96),"S",IF(AND(INPUTS!$E$96="Yes",H$16=1,H$7&gt;=INPUTS!$R$96,H$7&lt;=INPUTS!$S$96),"C",IF(AND(INPUTS!$E$96="Yes",H$17=1,H$7&gt;INPUTS!$S$96),"✓",""))))</f>
        <v/>
      </c>
      <c r="I29" s="105" t="str">
        <f aca="false">IF(AND(AND(INPUTS!$E$96="Yes",I$16=1,I$7&gt;=INPUTS!$P$96,I$7&lt;=INPUTS!$Q$96),AND(INPUTS!$E$96="Yes",I$16=1,I$7&gt;=INPUTS!$R$96,I$7&lt;=INPUTS!$S$96)),"S+C",IF(AND(INPUTS!$E$96="Yes",I$16=1,I$7&gt;=INPUTS!$P$96,I$7&lt;=INPUTS!$Q$96),"S",IF(AND(INPUTS!$E$96="Yes",I$16=1,I$7&gt;=INPUTS!$R$96,I$7&lt;=INPUTS!$S$96),"C",IF(AND(INPUTS!$E$96="Yes",I$17=1,I$7&gt;INPUTS!$S$96),"✓",""))))</f>
        <v/>
      </c>
      <c r="J29" s="105" t="str">
        <f aca="false">IF(AND(AND(INPUTS!$E$96="Yes",J$16=1,J$7&gt;=INPUTS!$P$96,J$7&lt;=INPUTS!$Q$96),AND(INPUTS!$E$96="Yes",J$16=1,J$7&gt;=INPUTS!$R$96,J$7&lt;=INPUTS!$S$96)),"S+C",IF(AND(INPUTS!$E$96="Yes",J$16=1,J$7&gt;=INPUTS!$P$96,J$7&lt;=INPUTS!$Q$96),"S",IF(AND(INPUTS!$E$96="Yes",J$16=1,J$7&gt;=INPUTS!$R$96,J$7&lt;=INPUTS!$S$96),"C",IF(AND(INPUTS!$E$96="Yes",J$17=1,J$7&gt;INPUTS!$S$96),"✓",""))))</f>
        <v/>
      </c>
      <c r="K29" s="105" t="str">
        <f aca="false">IF(AND(AND(INPUTS!$E$96="Yes",K$16=1,K$7&gt;=INPUTS!$P$96,K$7&lt;=INPUTS!$Q$96),AND(INPUTS!$E$96="Yes",K$16=1,K$7&gt;=INPUTS!$R$96,K$7&lt;=INPUTS!$S$96)),"S+C",IF(AND(INPUTS!$E$96="Yes",K$16=1,K$7&gt;=INPUTS!$P$96,K$7&lt;=INPUTS!$Q$96),"S",IF(AND(INPUTS!$E$96="Yes",K$16=1,K$7&gt;=INPUTS!$R$96,K$7&lt;=INPUTS!$S$96),"C",IF(AND(INPUTS!$E$96="Yes",K$17=1,K$7&gt;INPUTS!$S$96),"✓",""))))</f>
        <v/>
      </c>
      <c r="L29" s="105" t="str">
        <f aca="false">IF(AND(AND(INPUTS!$E$96="Yes",L$16=1,L$7&gt;=INPUTS!$P$96,L$7&lt;=INPUTS!$Q$96),AND(INPUTS!$E$96="Yes",L$16=1,L$7&gt;=INPUTS!$R$96,L$7&lt;=INPUTS!$S$96)),"S+C",IF(AND(INPUTS!$E$96="Yes",L$16=1,L$7&gt;=INPUTS!$P$96,L$7&lt;=INPUTS!$Q$96),"S",IF(AND(INPUTS!$E$96="Yes",L$16=1,L$7&gt;=INPUTS!$R$96,L$7&lt;=INPUTS!$S$96),"C",IF(AND(INPUTS!$E$96="Yes",L$17=1,L$7&gt;INPUTS!$S$96),"✓",""))))</f>
        <v/>
      </c>
      <c r="M29" s="105" t="str">
        <f aca="false">IF(AND(AND(INPUTS!$E$96="Yes",M$16=1,M$7&gt;=INPUTS!$P$96,M$7&lt;=INPUTS!$Q$96),AND(INPUTS!$E$96="Yes",M$16=1,M$7&gt;=INPUTS!$R$96,M$7&lt;=INPUTS!$S$96)),"S+C",IF(AND(INPUTS!$E$96="Yes",M$16=1,M$7&gt;=INPUTS!$P$96,M$7&lt;=INPUTS!$Q$96),"S",IF(AND(INPUTS!$E$96="Yes",M$16=1,M$7&gt;=INPUTS!$R$96,M$7&lt;=INPUTS!$S$96),"C",IF(AND(INPUTS!$E$96="Yes",M$17=1,M$7&gt;INPUTS!$S$96),"✓",""))))</f>
        <v/>
      </c>
      <c r="N29" s="105" t="str">
        <f aca="false">IF(AND(AND(INPUTS!$E$96="Yes",N$16=1,N$7&gt;=INPUTS!$P$96,N$7&lt;=INPUTS!$Q$96),AND(INPUTS!$E$96="Yes",N$16=1,N$7&gt;=INPUTS!$R$96,N$7&lt;=INPUTS!$S$96)),"S+C",IF(AND(INPUTS!$E$96="Yes",N$16=1,N$7&gt;=INPUTS!$P$96,N$7&lt;=INPUTS!$Q$96),"S",IF(AND(INPUTS!$E$96="Yes",N$16=1,N$7&gt;=INPUTS!$R$96,N$7&lt;=INPUTS!$S$96),"C",IF(AND(INPUTS!$E$96="Yes",N$17=1,N$7&gt;INPUTS!$S$96),"✓",""))))</f>
        <v/>
      </c>
      <c r="O29" s="105" t="str">
        <f aca="false">IF(AND(AND(INPUTS!$E$96="Yes",O$16=1,O$7&gt;=INPUTS!$P$96,O$7&lt;=INPUTS!$Q$96),AND(INPUTS!$E$96="Yes",O$16=1,O$7&gt;=INPUTS!$R$96,O$7&lt;=INPUTS!$S$96)),"S+C",IF(AND(INPUTS!$E$96="Yes",O$16=1,O$7&gt;=INPUTS!$P$96,O$7&lt;=INPUTS!$Q$96),"S",IF(AND(INPUTS!$E$96="Yes",O$16=1,O$7&gt;=INPUTS!$R$96,O$7&lt;=INPUTS!$S$96),"C",IF(AND(INPUTS!$E$96="Yes",O$17=1,O$7&gt;INPUTS!$S$96),"✓",""))))</f>
        <v/>
      </c>
      <c r="P29" s="105" t="str">
        <f aca="false">IF(AND(AND(INPUTS!$E$96="Yes",P$16=1,P$7&gt;=INPUTS!$P$96,P$7&lt;=INPUTS!$Q$96),AND(INPUTS!$E$96="Yes",P$16=1,P$7&gt;=INPUTS!$R$96,P$7&lt;=INPUTS!$S$96)),"S+C",IF(AND(INPUTS!$E$96="Yes",P$16=1,P$7&gt;=INPUTS!$P$96,P$7&lt;=INPUTS!$Q$96),"S",IF(AND(INPUTS!$E$96="Yes",P$16=1,P$7&gt;=INPUTS!$R$96,P$7&lt;=INPUTS!$S$96),"C",IF(AND(INPUTS!$E$96="Yes",P$17=1,P$7&gt;INPUTS!$S$96),"✓",""))))</f>
        <v/>
      </c>
      <c r="Q29" s="105" t="str">
        <f aca="false">IF(AND(AND(INPUTS!$E$96="Yes",Q$16=1,Q$7&gt;=INPUTS!$P$96,Q$7&lt;=INPUTS!$Q$96),AND(INPUTS!$E$96="Yes",Q$16=1,Q$7&gt;=INPUTS!$R$96,Q$7&lt;=INPUTS!$S$96)),"S+C",IF(AND(INPUTS!$E$96="Yes",Q$16=1,Q$7&gt;=INPUTS!$P$96,Q$7&lt;=INPUTS!$Q$96),"S",IF(AND(INPUTS!$E$96="Yes",Q$16=1,Q$7&gt;=INPUTS!$R$96,Q$7&lt;=INPUTS!$S$96),"C",IF(AND(INPUTS!$E$96="Yes",Q$17=1,Q$7&gt;INPUTS!$S$96),"✓",""))))</f>
        <v/>
      </c>
      <c r="R29" s="105" t="str">
        <f aca="false">IF(AND(AND(INPUTS!$E$96="Yes",R$16=1,R$7&gt;=INPUTS!$P$96,R$7&lt;=INPUTS!$Q$96),AND(INPUTS!$E$96="Yes",R$16=1,R$7&gt;=INPUTS!$R$96,R$7&lt;=INPUTS!$S$96)),"S+C",IF(AND(INPUTS!$E$96="Yes",R$16=1,R$7&gt;=INPUTS!$P$96,R$7&lt;=INPUTS!$Q$96),"S",IF(AND(INPUTS!$E$96="Yes",R$16=1,R$7&gt;=INPUTS!$R$96,R$7&lt;=INPUTS!$S$96),"C",IF(AND(INPUTS!$E$96="Yes",R$17=1,R$7&gt;INPUTS!$S$96),"✓",""))))</f>
        <v/>
      </c>
      <c r="S29" s="105" t="str">
        <f aca="false">IF(AND(AND(INPUTS!$E$96="Yes",S$16=1,S$7&gt;=INPUTS!$P$96,S$7&lt;=INPUTS!$Q$96),AND(INPUTS!$E$96="Yes",S$16=1,S$7&gt;=INPUTS!$R$96,S$7&lt;=INPUTS!$S$96)),"S+C",IF(AND(INPUTS!$E$96="Yes",S$16=1,S$7&gt;=INPUTS!$P$96,S$7&lt;=INPUTS!$Q$96),"S",IF(AND(INPUTS!$E$96="Yes",S$16=1,S$7&gt;=INPUTS!$R$96,S$7&lt;=INPUTS!$S$96),"C",IF(AND(INPUTS!$E$96="Yes",S$17=1,S$7&gt;INPUTS!$S$96),"✓",""))))</f>
        <v/>
      </c>
      <c r="T29" s="105" t="str">
        <f aca="false">IF(AND(AND(INPUTS!$E$96="Yes",T$16=1,T$7&gt;=INPUTS!$P$96,T$7&lt;=INPUTS!$Q$96),AND(INPUTS!$E$96="Yes",T$16=1,T$7&gt;=INPUTS!$R$96,T$7&lt;=INPUTS!$S$96)),"S+C",IF(AND(INPUTS!$E$96="Yes",T$16=1,T$7&gt;=INPUTS!$P$96,T$7&lt;=INPUTS!$Q$96),"S",IF(AND(INPUTS!$E$96="Yes",T$16=1,T$7&gt;=INPUTS!$R$96,T$7&lt;=INPUTS!$S$96),"C",IF(AND(INPUTS!$E$96="Yes",T$17=1,T$7&gt;INPUTS!$S$96),"✓",""))))</f>
        <v/>
      </c>
      <c r="U29" s="105" t="str">
        <f aca="false">IF(AND(AND(INPUTS!$E$96="Yes",U$16=1,U$7&gt;=INPUTS!$P$96,U$7&lt;=INPUTS!$Q$96),AND(INPUTS!$E$96="Yes",U$16=1,U$7&gt;=INPUTS!$R$96,U$7&lt;=INPUTS!$S$96)),"S+C",IF(AND(INPUTS!$E$96="Yes",U$16=1,U$7&gt;=INPUTS!$P$96,U$7&lt;=INPUTS!$Q$96),"S",IF(AND(INPUTS!$E$96="Yes",U$16=1,U$7&gt;=INPUTS!$R$96,U$7&lt;=INPUTS!$S$96),"C",IF(AND(INPUTS!$E$96="Yes",U$17=1,U$7&gt;INPUTS!$S$96),"✓",""))))</f>
        <v/>
      </c>
      <c r="V29" s="105" t="str">
        <f aca="false">IF(AND(AND(INPUTS!$E$96="Yes",V$16=1,V$7&gt;=INPUTS!$P$96,V$7&lt;=INPUTS!$Q$96),AND(INPUTS!$E$96="Yes",V$16=1,V$7&gt;=INPUTS!$R$96,V$7&lt;=INPUTS!$S$96)),"S+C",IF(AND(INPUTS!$E$96="Yes",V$16=1,V$7&gt;=INPUTS!$P$96,V$7&lt;=INPUTS!$Q$96),"S",IF(AND(INPUTS!$E$96="Yes",V$16=1,V$7&gt;=INPUTS!$R$96,V$7&lt;=INPUTS!$S$96),"C",IF(AND(INPUTS!$E$96="Yes",V$17=1,V$7&gt;INPUTS!$S$96),"✓",""))))</f>
        <v/>
      </c>
      <c r="W29" s="105" t="str">
        <f aca="false">IF(AND(AND(INPUTS!$E$96="Yes",W$16=1,W$7&gt;=INPUTS!$P$96,W$7&lt;=INPUTS!$Q$96),AND(INPUTS!$E$96="Yes",W$16=1,W$7&gt;=INPUTS!$R$96,W$7&lt;=INPUTS!$S$96)),"S+C",IF(AND(INPUTS!$E$96="Yes",W$16=1,W$7&gt;=INPUTS!$P$96,W$7&lt;=INPUTS!$Q$96),"S",IF(AND(INPUTS!$E$96="Yes",W$16=1,W$7&gt;=INPUTS!$R$96,W$7&lt;=INPUTS!$S$96),"C",IF(AND(INPUTS!$E$96="Yes",W$17=1,W$7&gt;INPUTS!$S$96),"✓",""))))</f>
        <v/>
      </c>
      <c r="X29" s="105" t="str">
        <f aca="false">IF(AND(AND(INPUTS!$E$96="Yes",X$16=1,X$7&gt;=INPUTS!$P$96,X$7&lt;=INPUTS!$Q$96),AND(INPUTS!$E$96="Yes",X$16=1,X$7&gt;=INPUTS!$R$96,X$7&lt;=INPUTS!$S$96)),"S+C",IF(AND(INPUTS!$E$96="Yes",X$16=1,X$7&gt;=INPUTS!$P$96,X$7&lt;=INPUTS!$Q$96),"S",IF(AND(INPUTS!$E$96="Yes",X$16=1,X$7&gt;=INPUTS!$R$96,X$7&lt;=INPUTS!$S$96),"C",IF(AND(INPUTS!$E$96="Yes",X$17=1,X$7&gt;INPUTS!$S$96),"✓",""))))</f>
        <v/>
      </c>
      <c r="Y29" s="105" t="str">
        <f aca="false">IF(AND(AND(INPUTS!$E$96="Yes",Y$16=1,Y$7&gt;=INPUTS!$P$96,Y$7&lt;=INPUTS!$Q$96),AND(INPUTS!$E$96="Yes",Y$16=1,Y$7&gt;=INPUTS!$R$96,Y$7&lt;=INPUTS!$S$96)),"S+C",IF(AND(INPUTS!$E$96="Yes",Y$16=1,Y$7&gt;=INPUTS!$P$96,Y$7&lt;=INPUTS!$Q$96),"S",IF(AND(INPUTS!$E$96="Yes",Y$16=1,Y$7&gt;=INPUTS!$R$96,Y$7&lt;=INPUTS!$S$96),"C",IF(AND(INPUTS!$E$96="Yes",Y$17=1,Y$7&gt;INPUTS!$S$96),"✓",""))))</f>
        <v/>
      </c>
      <c r="Z29" s="105" t="str">
        <f aca="false">IF(AND(AND(INPUTS!$E$96="Yes",Z$16=1,Z$7&gt;=INPUTS!$P$96,Z$7&lt;=INPUTS!$Q$96),AND(INPUTS!$E$96="Yes",Z$16=1,Z$7&gt;=INPUTS!$R$96,Z$7&lt;=INPUTS!$S$96)),"S+C",IF(AND(INPUTS!$E$96="Yes",Z$16=1,Z$7&gt;=INPUTS!$P$96,Z$7&lt;=INPUTS!$Q$96),"S",IF(AND(INPUTS!$E$96="Yes",Z$16=1,Z$7&gt;=INPUTS!$R$96,Z$7&lt;=INPUTS!$S$96),"C",IF(AND(INPUTS!$E$96="Yes",Z$17=1,Z$7&gt;INPUTS!$S$96),"✓",""))))</f>
        <v/>
      </c>
      <c r="AA29" s="105" t="str">
        <f aca="false">IF(AND(AND(INPUTS!$E$96="Yes",AA$16=1,AA$7&gt;=INPUTS!$P$96,AA$7&lt;=INPUTS!$Q$96),AND(INPUTS!$E$96="Yes",AA$16=1,AA$7&gt;=INPUTS!$R$96,AA$7&lt;=INPUTS!$S$96)),"S+C",IF(AND(INPUTS!$E$96="Yes",AA$16=1,AA$7&gt;=INPUTS!$P$96,AA$7&lt;=INPUTS!$Q$96),"S",IF(AND(INPUTS!$E$96="Yes",AA$16=1,AA$7&gt;=INPUTS!$R$96,AA$7&lt;=INPUTS!$S$96),"C",IF(AND(INPUTS!$E$96="Yes",AA$17=1,AA$7&gt;INPUTS!$S$96),"✓",""))))</f>
        <v/>
      </c>
      <c r="AB29" s="105" t="str">
        <f aca="false">IF(AND(AND(INPUTS!$E$96="Yes",AB$16=1,AB$7&gt;=INPUTS!$P$96,AB$7&lt;=INPUTS!$Q$96),AND(INPUTS!$E$96="Yes",AB$16=1,AB$7&gt;=INPUTS!$R$96,AB$7&lt;=INPUTS!$S$96)),"S+C",IF(AND(INPUTS!$E$96="Yes",AB$16=1,AB$7&gt;=INPUTS!$P$96,AB$7&lt;=INPUTS!$Q$96),"S",IF(AND(INPUTS!$E$96="Yes",AB$16=1,AB$7&gt;=INPUTS!$R$96,AB$7&lt;=INPUTS!$S$96),"C",IF(AND(INPUTS!$E$96="Yes",AB$17=1,AB$7&gt;INPUTS!$S$96),"✓",""))))</f>
        <v/>
      </c>
      <c r="AC29" s="105" t="str">
        <f aca="false">IF(AND(AND(INPUTS!$E$96="Yes",AC$16=1,AC$7&gt;=INPUTS!$P$96,AC$7&lt;=INPUTS!$Q$96),AND(INPUTS!$E$96="Yes",AC$16=1,AC$7&gt;=INPUTS!$R$96,AC$7&lt;=INPUTS!$S$96)),"S+C",IF(AND(INPUTS!$E$96="Yes",AC$16=1,AC$7&gt;=INPUTS!$P$96,AC$7&lt;=INPUTS!$Q$96),"S",IF(AND(INPUTS!$E$96="Yes",AC$16=1,AC$7&gt;=INPUTS!$R$96,AC$7&lt;=INPUTS!$S$96),"C",IF(AND(INPUTS!$E$96="Yes",AC$17=1,AC$7&gt;INPUTS!$S$96),"✓",""))))</f>
        <v/>
      </c>
      <c r="AD29" s="105" t="str">
        <f aca="false">IF(AND(AND(INPUTS!$E$96="Yes",AD$16=1,AD$7&gt;=INPUTS!$P$96,AD$7&lt;=INPUTS!$Q$96),AND(INPUTS!$E$96="Yes",AD$16=1,AD$7&gt;=INPUTS!$R$96,AD$7&lt;=INPUTS!$S$96)),"S+C",IF(AND(INPUTS!$E$96="Yes",AD$16=1,AD$7&gt;=INPUTS!$P$96,AD$7&lt;=INPUTS!$Q$96),"S",IF(AND(INPUTS!$E$96="Yes",AD$16=1,AD$7&gt;=INPUTS!$R$96,AD$7&lt;=INPUTS!$S$96),"C",IF(AND(INPUTS!$E$96="Yes",AD$17=1,AD$7&gt;INPUTS!$S$96),"✓",""))))</f>
        <v/>
      </c>
      <c r="AE29" s="105" t="str">
        <f aca="false">IF(AND(AND(INPUTS!$E$96="Yes",AE$16=1,AE$7&gt;=INPUTS!$P$96,AE$7&lt;=INPUTS!$Q$96),AND(INPUTS!$E$96="Yes",AE$16=1,AE$7&gt;=INPUTS!$R$96,AE$7&lt;=INPUTS!$S$96)),"S+C",IF(AND(INPUTS!$E$96="Yes",AE$16=1,AE$7&gt;=INPUTS!$P$96,AE$7&lt;=INPUTS!$Q$96),"S",IF(AND(INPUTS!$E$96="Yes",AE$16=1,AE$7&gt;=INPUTS!$R$96,AE$7&lt;=INPUTS!$S$96),"C",IF(AND(INPUTS!$E$96="Yes",AE$17=1,AE$7&gt;INPUTS!$S$96),"✓",""))))</f>
        <v/>
      </c>
      <c r="AF29" s="105" t="str">
        <f aca="false">IF(AND(AND(INPUTS!$E$96="Yes",AF$16=1,AF$7&gt;=INPUTS!$P$96,AF$7&lt;=INPUTS!$Q$96),AND(INPUTS!$E$96="Yes",AF$16=1,AF$7&gt;=INPUTS!$R$96,AF$7&lt;=INPUTS!$S$96)),"S+C",IF(AND(INPUTS!$E$96="Yes",AF$16=1,AF$7&gt;=INPUTS!$P$96,AF$7&lt;=INPUTS!$Q$96),"S",IF(AND(INPUTS!$E$96="Yes",AF$16=1,AF$7&gt;=INPUTS!$R$96,AF$7&lt;=INPUTS!$S$96),"C",IF(AND(INPUTS!$E$96="Yes",AF$17=1,AF$7&gt;INPUTS!$S$96),"✓",""))))</f>
        <v/>
      </c>
      <c r="AG29" s="105" t="str">
        <f aca="false">IF(AND(AND(INPUTS!$E$96="Yes",AG$16=1,AG$7&gt;=INPUTS!$P$96,AG$7&lt;=INPUTS!$Q$96),AND(INPUTS!$E$96="Yes",AG$16=1,AG$7&gt;=INPUTS!$R$96,AG$7&lt;=INPUTS!$S$96)),"S+C",IF(AND(INPUTS!$E$96="Yes",AG$16=1,AG$7&gt;=INPUTS!$P$96,AG$7&lt;=INPUTS!$Q$96),"S",IF(AND(INPUTS!$E$96="Yes",AG$16=1,AG$7&gt;=INPUTS!$R$96,AG$7&lt;=INPUTS!$S$96),"C",IF(AND(INPUTS!$E$96="Yes",AG$17=1,AG$7&gt;INPUTS!$S$96),"✓",""))))</f>
        <v/>
      </c>
      <c r="AH29" s="105" t="str">
        <f aca="false">IF(AND(AND(INPUTS!$E$96="Yes",AH$16=1,AH$7&gt;=INPUTS!$P$96,AH$7&lt;=INPUTS!$Q$96),AND(INPUTS!$E$96="Yes",AH$16=1,AH$7&gt;=INPUTS!$R$96,AH$7&lt;=INPUTS!$S$96)),"S+C",IF(AND(INPUTS!$E$96="Yes",AH$16=1,AH$7&gt;=INPUTS!$P$96,AH$7&lt;=INPUTS!$Q$96),"S",IF(AND(INPUTS!$E$96="Yes",AH$16=1,AH$7&gt;=INPUTS!$R$96,AH$7&lt;=INPUTS!$S$96),"C",IF(AND(INPUTS!$E$96="Yes",AH$17=1,AH$7&gt;INPUTS!$S$96),"✓",""))))</f>
        <v/>
      </c>
      <c r="AI29" s="105" t="str">
        <f aca="false">IF(AND(AND(INPUTS!$E$96="Yes",AI$16=1,AI$7&gt;=INPUTS!$P$96,AI$7&lt;=INPUTS!$Q$96),AND(INPUTS!$E$96="Yes",AI$16=1,AI$7&gt;=INPUTS!$R$96,AI$7&lt;=INPUTS!$S$96)),"S+C",IF(AND(INPUTS!$E$96="Yes",AI$16=1,AI$7&gt;=INPUTS!$P$96,AI$7&lt;=INPUTS!$Q$96),"S",IF(AND(INPUTS!$E$96="Yes",AI$16=1,AI$7&gt;=INPUTS!$R$96,AI$7&lt;=INPUTS!$S$96),"C",IF(AND(INPUTS!$E$96="Yes",AI$17=1,AI$7&gt;INPUTS!$S$96),"✓",""))))</f>
        <v/>
      </c>
      <c r="AJ29" s="105" t="str">
        <f aca="false">IF(AND(AND(INPUTS!$E$96="Yes",AJ$16=1,AJ$7&gt;=INPUTS!$P$96,AJ$7&lt;=INPUTS!$Q$96),AND(INPUTS!$E$96="Yes",AJ$16=1,AJ$7&gt;=INPUTS!$R$96,AJ$7&lt;=INPUTS!$S$96)),"S+C",IF(AND(INPUTS!$E$96="Yes",AJ$16=1,AJ$7&gt;=INPUTS!$P$96,AJ$7&lt;=INPUTS!$Q$96),"S",IF(AND(INPUTS!$E$96="Yes",AJ$16=1,AJ$7&gt;=INPUTS!$R$96,AJ$7&lt;=INPUTS!$S$96),"C",IF(AND(INPUTS!$E$96="Yes",AJ$17=1,AJ$7&gt;INPUTS!$S$96),"✓",""))))</f>
        <v/>
      </c>
      <c r="AK29" s="105" t="str">
        <f aca="false">IF(AND(AND(INPUTS!$E$96="Yes",AK$16=1,AK$7&gt;=INPUTS!$P$96,AK$7&lt;=INPUTS!$Q$96),AND(INPUTS!$E$96="Yes",AK$16=1,AK$7&gt;=INPUTS!$R$96,AK$7&lt;=INPUTS!$S$96)),"S+C",IF(AND(INPUTS!$E$96="Yes",AK$16=1,AK$7&gt;=INPUTS!$P$96,AK$7&lt;=INPUTS!$Q$96),"S",IF(AND(INPUTS!$E$96="Yes",AK$16=1,AK$7&gt;=INPUTS!$R$96,AK$7&lt;=INPUTS!$S$96),"C",IF(AND(INPUTS!$E$96="Yes",AK$17=1,AK$7&gt;INPUTS!$S$96),"✓",""))))</f>
        <v/>
      </c>
      <c r="AL29" s="105" t="str">
        <f aca="false">IF(AND(AND(INPUTS!$E$96="Yes",AL$16=1,AL$7&gt;=INPUTS!$P$96,AL$7&lt;=INPUTS!$Q$96),AND(INPUTS!$E$96="Yes",AL$16=1,AL$7&gt;=INPUTS!$R$96,AL$7&lt;=INPUTS!$S$96)),"S+C",IF(AND(INPUTS!$E$96="Yes",AL$16=1,AL$7&gt;=INPUTS!$P$96,AL$7&lt;=INPUTS!$Q$96),"S",IF(AND(INPUTS!$E$96="Yes",AL$16=1,AL$7&gt;=INPUTS!$R$96,AL$7&lt;=INPUTS!$S$96),"C",IF(AND(INPUTS!$E$96="Yes",AL$17=1,AL$7&gt;INPUTS!$S$96),"✓",""))))</f>
        <v/>
      </c>
      <c r="AM29" s="105" t="str">
        <f aca="false">IF(AND(AND(INPUTS!$E$96="Yes",AM$16=1,AM$7&gt;=INPUTS!$P$96,AM$7&lt;=INPUTS!$Q$96),AND(INPUTS!$E$96="Yes",AM$16=1,AM$7&gt;=INPUTS!$R$96,AM$7&lt;=INPUTS!$S$96)),"S+C",IF(AND(INPUTS!$E$96="Yes",AM$16=1,AM$7&gt;=INPUTS!$P$96,AM$7&lt;=INPUTS!$Q$96),"S",IF(AND(INPUTS!$E$96="Yes",AM$16=1,AM$7&gt;=INPUTS!$R$96,AM$7&lt;=INPUTS!$S$96),"C",IF(AND(INPUTS!$E$96="Yes",AM$17=1,AM$7&gt;INPUTS!$S$96),"✓",""))))</f>
        <v/>
      </c>
      <c r="AN29" s="105" t="str">
        <f aca="false">IF(AND(AND(INPUTS!$E$96="Yes",AN$16=1,AN$7&gt;=INPUTS!$P$96,AN$7&lt;=INPUTS!$Q$96),AND(INPUTS!$E$96="Yes",AN$16=1,AN$7&gt;=INPUTS!$R$96,AN$7&lt;=INPUTS!$S$96)),"S+C",IF(AND(INPUTS!$E$96="Yes",AN$16=1,AN$7&gt;=INPUTS!$P$96,AN$7&lt;=INPUTS!$Q$96),"S",IF(AND(INPUTS!$E$96="Yes",AN$16=1,AN$7&gt;=INPUTS!$R$96,AN$7&lt;=INPUTS!$S$96),"C",IF(AND(INPUTS!$E$96="Yes",AN$17=1,AN$7&gt;INPUTS!$S$96),"✓",""))))</f>
        <v/>
      </c>
      <c r="AO29" s="105" t="str">
        <f aca="false">IF(AND(AND(INPUTS!$E$96="Yes",AO$16=1,AO$7&gt;=INPUTS!$P$96,AO$7&lt;=INPUTS!$Q$96),AND(INPUTS!$E$96="Yes",AO$16=1,AO$7&gt;=INPUTS!$R$96,AO$7&lt;=INPUTS!$S$96)),"S+C",IF(AND(INPUTS!$E$96="Yes",AO$16=1,AO$7&gt;=INPUTS!$P$96,AO$7&lt;=INPUTS!$Q$96),"S",IF(AND(INPUTS!$E$96="Yes",AO$16=1,AO$7&gt;=INPUTS!$R$96,AO$7&lt;=INPUTS!$S$96),"C",IF(AND(INPUTS!$E$96="Yes",AO$17=1,AO$7&gt;INPUTS!$S$96),"✓",""))))</f>
        <v/>
      </c>
      <c r="AP29" s="105" t="str">
        <f aca="false">IF(AND(AND(INPUTS!$E$96="Yes",AP$16=1,AP$7&gt;=INPUTS!$P$96,AP$7&lt;=INPUTS!$Q$96),AND(INPUTS!$E$96="Yes",AP$16=1,AP$7&gt;=INPUTS!$R$96,AP$7&lt;=INPUTS!$S$96)),"S+C",IF(AND(INPUTS!$E$96="Yes",AP$16=1,AP$7&gt;=INPUTS!$P$96,AP$7&lt;=INPUTS!$Q$96),"S",IF(AND(INPUTS!$E$96="Yes",AP$16=1,AP$7&gt;=INPUTS!$R$96,AP$7&lt;=INPUTS!$S$96),"C",IF(AND(INPUTS!$E$96="Yes",AP$17=1,AP$7&gt;INPUTS!$S$96),"✓",""))))</f>
        <v/>
      </c>
      <c r="AQ29" s="105" t="str">
        <f aca="false">IF(AND(AND(INPUTS!$E$96="Yes",AQ$16=1,AQ$7&gt;=INPUTS!$P$96,AQ$7&lt;=INPUTS!$Q$96),AND(INPUTS!$E$96="Yes",AQ$16=1,AQ$7&gt;=INPUTS!$R$96,AQ$7&lt;=INPUTS!$S$96)),"S+C",IF(AND(INPUTS!$E$96="Yes",AQ$16=1,AQ$7&gt;=INPUTS!$P$96,AQ$7&lt;=INPUTS!$Q$96),"S",IF(AND(INPUTS!$E$96="Yes",AQ$16=1,AQ$7&gt;=INPUTS!$R$96,AQ$7&lt;=INPUTS!$S$96),"C",IF(AND(INPUTS!$E$96="Yes",AQ$17=1,AQ$7&gt;INPUTS!$S$96),"✓",""))))</f>
        <v/>
      </c>
    </row>
    <row r="30" customFormat="false" ht="15" hidden="false" customHeight="false" outlineLevel="0" collapsed="false">
      <c r="B30" s="7" t="str">
        <f aca="false">IF(INPUTS!$E$97="Yes",INPUTS!$B$97,"(product row 10 – off)")</f>
        <v>(product row 10 – off)</v>
      </c>
      <c r="D30" s="105" t="str">
        <f aca="false">IF(AND(AND(INPUTS!$E$97="Yes",D$16=1,D$7&gt;=INPUTS!$P$97,D$7&lt;=INPUTS!$Q$97),AND(INPUTS!$E$97="Yes",D$16=1,D$7&gt;=INPUTS!$R$97,D$7&lt;=INPUTS!$S$97)),"S+C",IF(AND(INPUTS!$E$97="Yes",D$16=1,D$7&gt;=INPUTS!$P$97,D$7&lt;=INPUTS!$Q$97),"S",IF(AND(INPUTS!$E$97="Yes",D$16=1,D$7&gt;=INPUTS!$R$97,D$7&lt;=INPUTS!$S$97),"C",IF(AND(INPUTS!$E$97="Yes",D$17=1,D$7&gt;INPUTS!$S$97),"✓",""))))</f>
        <v/>
      </c>
      <c r="E30" s="105" t="str">
        <f aca="false">IF(AND(AND(INPUTS!$E$97="Yes",E$16=1,E$7&gt;=INPUTS!$P$97,E$7&lt;=INPUTS!$Q$97),AND(INPUTS!$E$97="Yes",E$16=1,E$7&gt;=INPUTS!$R$97,E$7&lt;=INPUTS!$S$97)),"S+C",IF(AND(INPUTS!$E$97="Yes",E$16=1,E$7&gt;=INPUTS!$P$97,E$7&lt;=INPUTS!$Q$97),"S",IF(AND(INPUTS!$E$97="Yes",E$16=1,E$7&gt;=INPUTS!$R$97,E$7&lt;=INPUTS!$S$97),"C",IF(AND(INPUTS!$E$97="Yes",E$17=1,E$7&gt;INPUTS!$S$97),"✓",""))))</f>
        <v/>
      </c>
      <c r="F30" s="105" t="str">
        <f aca="false">IF(AND(AND(INPUTS!$E$97="Yes",F$16=1,F$7&gt;=INPUTS!$P$97,F$7&lt;=INPUTS!$Q$97),AND(INPUTS!$E$97="Yes",F$16=1,F$7&gt;=INPUTS!$R$97,F$7&lt;=INPUTS!$S$97)),"S+C",IF(AND(INPUTS!$E$97="Yes",F$16=1,F$7&gt;=INPUTS!$P$97,F$7&lt;=INPUTS!$Q$97),"S",IF(AND(INPUTS!$E$97="Yes",F$16=1,F$7&gt;=INPUTS!$R$97,F$7&lt;=INPUTS!$S$97),"C",IF(AND(INPUTS!$E$97="Yes",F$17=1,F$7&gt;INPUTS!$S$97),"✓",""))))</f>
        <v/>
      </c>
      <c r="G30" s="105" t="str">
        <f aca="false">IF(AND(AND(INPUTS!$E$97="Yes",G$16=1,G$7&gt;=INPUTS!$P$97,G$7&lt;=INPUTS!$Q$97),AND(INPUTS!$E$97="Yes",G$16=1,G$7&gt;=INPUTS!$R$97,G$7&lt;=INPUTS!$S$97)),"S+C",IF(AND(INPUTS!$E$97="Yes",G$16=1,G$7&gt;=INPUTS!$P$97,G$7&lt;=INPUTS!$Q$97),"S",IF(AND(INPUTS!$E$97="Yes",G$16=1,G$7&gt;=INPUTS!$R$97,G$7&lt;=INPUTS!$S$97),"C",IF(AND(INPUTS!$E$97="Yes",G$17=1,G$7&gt;INPUTS!$S$97),"✓",""))))</f>
        <v/>
      </c>
      <c r="H30" s="105" t="str">
        <f aca="false">IF(AND(AND(INPUTS!$E$97="Yes",H$16=1,H$7&gt;=INPUTS!$P$97,H$7&lt;=INPUTS!$Q$97),AND(INPUTS!$E$97="Yes",H$16=1,H$7&gt;=INPUTS!$R$97,H$7&lt;=INPUTS!$S$97)),"S+C",IF(AND(INPUTS!$E$97="Yes",H$16=1,H$7&gt;=INPUTS!$P$97,H$7&lt;=INPUTS!$Q$97),"S",IF(AND(INPUTS!$E$97="Yes",H$16=1,H$7&gt;=INPUTS!$R$97,H$7&lt;=INPUTS!$S$97),"C",IF(AND(INPUTS!$E$97="Yes",H$17=1,H$7&gt;INPUTS!$S$97),"✓",""))))</f>
        <v/>
      </c>
      <c r="I30" s="105" t="str">
        <f aca="false">IF(AND(AND(INPUTS!$E$97="Yes",I$16=1,I$7&gt;=INPUTS!$P$97,I$7&lt;=INPUTS!$Q$97),AND(INPUTS!$E$97="Yes",I$16=1,I$7&gt;=INPUTS!$R$97,I$7&lt;=INPUTS!$S$97)),"S+C",IF(AND(INPUTS!$E$97="Yes",I$16=1,I$7&gt;=INPUTS!$P$97,I$7&lt;=INPUTS!$Q$97),"S",IF(AND(INPUTS!$E$97="Yes",I$16=1,I$7&gt;=INPUTS!$R$97,I$7&lt;=INPUTS!$S$97),"C",IF(AND(INPUTS!$E$97="Yes",I$17=1,I$7&gt;INPUTS!$S$97),"✓",""))))</f>
        <v/>
      </c>
      <c r="J30" s="105" t="str">
        <f aca="false">IF(AND(AND(INPUTS!$E$97="Yes",J$16=1,J$7&gt;=INPUTS!$P$97,J$7&lt;=INPUTS!$Q$97),AND(INPUTS!$E$97="Yes",J$16=1,J$7&gt;=INPUTS!$R$97,J$7&lt;=INPUTS!$S$97)),"S+C",IF(AND(INPUTS!$E$97="Yes",J$16=1,J$7&gt;=INPUTS!$P$97,J$7&lt;=INPUTS!$Q$97),"S",IF(AND(INPUTS!$E$97="Yes",J$16=1,J$7&gt;=INPUTS!$R$97,J$7&lt;=INPUTS!$S$97),"C",IF(AND(INPUTS!$E$97="Yes",J$17=1,J$7&gt;INPUTS!$S$97),"✓",""))))</f>
        <v/>
      </c>
      <c r="K30" s="105" t="str">
        <f aca="false">IF(AND(AND(INPUTS!$E$97="Yes",K$16=1,K$7&gt;=INPUTS!$P$97,K$7&lt;=INPUTS!$Q$97),AND(INPUTS!$E$97="Yes",K$16=1,K$7&gt;=INPUTS!$R$97,K$7&lt;=INPUTS!$S$97)),"S+C",IF(AND(INPUTS!$E$97="Yes",K$16=1,K$7&gt;=INPUTS!$P$97,K$7&lt;=INPUTS!$Q$97),"S",IF(AND(INPUTS!$E$97="Yes",K$16=1,K$7&gt;=INPUTS!$R$97,K$7&lt;=INPUTS!$S$97),"C",IF(AND(INPUTS!$E$97="Yes",K$17=1,K$7&gt;INPUTS!$S$97),"✓",""))))</f>
        <v/>
      </c>
      <c r="L30" s="105" t="str">
        <f aca="false">IF(AND(AND(INPUTS!$E$97="Yes",L$16=1,L$7&gt;=INPUTS!$P$97,L$7&lt;=INPUTS!$Q$97),AND(INPUTS!$E$97="Yes",L$16=1,L$7&gt;=INPUTS!$R$97,L$7&lt;=INPUTS!$S$97)),"S+C",IF(AND(INPUTS!$E$97="Yes",L$16=1,L$7&gt;=INPUTS!$P$97,L$7&lt;=INPUTS!$Q$97),"S",IF(AND(INPUTS!$E$97="Yes",L$16=1,L$7&gt;=INPUTS!$R$97,L$7&lt;=INPUTS!$S$97),"C",IF(AND(INPUTS!$E$97="Yes",L$17=1,L$7&gt;INPUTS!$S$97),"✓",""))))</f>
        <v/>
      </c>
      <c r="M30" s="105" t="str">
        <f aca="false">IF(AND(AND(INPUTS!$E$97="Yes",M$16=1,M$7&gt;=INPUTS!$P$97,M$7&lt;=INPUTS!$Q$97),AND(INPUTS!$E$97="Yes",M$16=1,M$7&gt;=INPUTS!$R$97,M$7&lt;=INPUTS!$S$97)),"S+C",IF(AND(INPUTS!$E$97="Yes",M$16=1,M$7&gt;=INPUTS!$P$97,M$7&lt;=INPUTS!$Q$97),"S",IF(AND(INPUTS!$E$97="Yes",M$16=1,M$7&gt;=INPUTS!$R$97,M$7&lt;=INPUTS!$S$97),"C",IF(AND(INPUTS!$E$97="Yes",M$17=1,M$7&gt;INPUTS!$S$97),"✓",""))))</f>
        <v/>
      </c>
      <c r="N30" s="105" t="str">
        <f aca="false">IF(AND(AND(INPUTS!$E$97="Yes",N$16=1,N$7&gt;=INPUTS!$P$97,N$7&lt;=INPUTS!$Q$97),AND(INPUTS!$E$97="Yes",N$16=1,N$7&gt;=INPUTS!$R$97,N$7&lt;=INPUTS!$S$97)),"S+C",IF(AND(INPUTS!$E$97="Yes",N$16=1,N$7&gt;=INPUTS!$P$97,N$7&lt;=INPUTS!$Q$97),"S",IF(AND(INPUTS!$E$97="Yes",N$16=1,N$7&gt;=INPUTS!$R$97,N$7&lt;=INPUTS!$S$97),"C",IF(AND(INPUTS!$E$97="Yes",N$17=1,N$7&gt;INPUTS!$S$97),"✓",""))))</f>
        <v/>
      </c>
      <c r="O30" s="105" t="str">
        <f aca="false">IF(AND(AND(INPUTS!$E$97="Yes",O$16=1,O$7&gt;=INPUTS!$P$97,O$7&lt;=INPUTS!$Q$97),AND(INPUTS!$E$97="Yes",O$16=1,O$7&gt;=INPUTS!$R$97,O$7&lt;=INPUTS!$S$97)),"S+C",IF(AND(INPUTS!$E$97="Yes",O$16=1,O$7&gt;=INPUTS!$P$97,O$7&lt;=INPUTS!$Q$97),"S",IF(AND(INPUTS!$E$97="Yes",O$16=1,O$7&gt;=INPUTS!$R$97,O$7&lt;=INPUTS!$S$97),"C",IF(AND(INPUTS!$E$97="Yes",O$17=1,O$7&gt;INPUTS!$S$97),"✓",""))))</f>
        <v/>
      </c>
      <c r="P30" s="105" t="str">
        <f aca="false">IF(AND(AND(INPUTS!$E$97="Yes",P$16=1,P$7&gt;=INPUTS!$P$97,P$7&lt;=INPUTS!$Q$97),AND(INPUTS!$E$97="Yes",P$16=1,P$7&gt;=INPUTS!$R$97,P$7&lt;=INPUTS!$S$97)),"S+C",IF(AND(INPUTS!$E$97="Yes",P$16=1,P$7&gt;=INPUTS!$P$97,P$7&lt;=INPUTS!$Q$97),"S",IF(AND(INPUTS!$E$97="Yes",P$16=1,P$7&gt;=INPUTS!$R$97,P$7&lt;=INPUTS!$S$97),"C",IF(AND(INPUTS!$E$97="Yes",P$17=1,P$7&gt;INPUTS!$S$97),"✓",""))))</f>
        <v/>
      </c>
      <c r="Q30" s="105" t="str">
        <f aca="false">IF(AND(AND(INPUTS!$E$97="Yes",Q$16=1,Q$7&gt;=INPUTS!$P$97,Q$7&lt;=INPUTS!$Q$97),AND(INPUTS!$E$97="Yes",Q$16=1,Q$7&gt;=INPUTS!$R$97,Q$7&lt;=INPUTS!$S$97)),"S+C",IF(AND(INPUTS!$E$97="Yes",Q$16=1,Q$7&gt;=INPUTS!$P$97,Q$7&lt;=INPUTS!$Q$97),"S",IF(AND(INPUTS!$E$97="Yes",Q$16=1,Q$7&gt;=INPUTS!$R$97,Q$7&lt;=INPUTS!$S$97),"C",IF(AND(INPUTS!$E$97="Yes",Q$17=1,Q$7&gt;INPUTS!$S$97),"✓",""))))</f>
        <v/>
      </c>
      <c r="R30" s="105" t="str">
        <f aca="false">IF(AND(AND(INPUTS!$E$97="Yes",R$16=1,R$7&gt;=INPUTS!$P$97,R$7&lt;=INPUTS!$Q$97),AND(INPUTS!$E$97="Yes",R$16=1,R$7&gt;=INPUTS!$R$97,R$7&lt;=INPUTS!$S$97)),"S+C",IF(AND(INPUTS!$E$97="Yes",R$16=1,R$7&gt;=INPUTS!$P$97,R$7&lt;=INPUTS!$Q$97),"S",IF(AND(INPUTS!$E$97="Yes",R$16=1,R$7&gt;=INPUTS!$R$97,R$7&lt;=INPUTS!$S$97),"C",IF(AND(INPUTS!$E$97="Yes",R$17=1,R$7&gt;INPUTS!$S$97),"✓",""))))</f>
        <v/>
      </c>
      <c r="S30" s="105" t="str">
        <f aca="false">IF(AND(AND(INPUTS!$E$97="Yes",S$16=1,S$7&gt;=INPUTS!$P$97,S$7&lt;=INPUTS!$Q$97),AND(INPUTS!$E$97="Yes",S$16=1,S$7&gt;=INPUTS!$R$97,S$7&lt;=INPUTS!$S$97)),"S+C",IF(AND(INPUTS!$E$97="Yes",S$16=1,S$7&gt;=INPUTS!$P$97,S$7&lt;=INPUTS!$Q$97),"S",IF(AND(INPUTS!$E$97="Yes",S$16=1,S$7&gt;=INPUTS!$R$97,S$7&lt;=INPUTS!$S$97),"C",IF(AND(INPUTS!$E$97="Yes",S$17=1,S$7&gt;INPUTS!$S$97),"✓",""))))</f>
        <v/>
      </c>
      <c r="T30" s="105" t="str">
        <f aca="false">IF(AND(AND(INPUTS!$E$97="Yes",T$16=1,T$7&gt;=INPUTS!$P$97,T$7&lt;=INPUTS!$Q$97),AND(INPUTS!$E$97="Yes",T$16=1,T$7&gt;=INPUTS!$R$97,T$7&lt;=INPUTS!$S$97)),"S+C",IF(AND(INPUTS!$E$97="Yes",T$16=1,T$7&gt;=INPUTS!$P$97,T$7&lt;=INPUTS!$Q$97),"S",IF(AND(INPUTS!$E$97="Yes",T$16=1,T$7&gt;=INPUTS!$R$97,T$7&lt;=INPUTS!$S$97),"C",IF(AND(INPUTS!$E$97="Yes",T$17=1,T$7&gt;INPUTS!$S$97),"✓",""))))</f>
        <v/>
      </c>
      <c r="U30" s="105" t="str">
        <f aca="false">IF(AND(AND(INPUTS!$E$97="Yes",U$16=1,U$7&gt;=INPUTS!$P$97,U$7&lt;=INPUTS!$Q$97),AND(INPUTS!$E$97="Yes",U$16=1,U$7&gt;=INPUTS!$R$97,U$7&lt;=INPUTS!$S$97)),"S+C",IF(AND(INPUTS!$E$97="Yes",U$16=1,U$7&gt;=INPUTS!$P$97,U$7&lt;=INPUTS!$Q$97),"S",IF(AND(INPUTS!$E$97="Yes",U$16=1,U$7&gt;=INPUTS!$R$97,U$7&lt;=INPUTS!$S$97),"C",IF(AND(INPUTS!$E$97="Yes",U$17=1,U$7&gt;INPUTS!$S$97),"✓",""))))</f>
        <v/>
      </c>
      <c r="V30" s="105" t="str">
        <f aca="false">IF(AND(AND(INPUTS!$E$97="Yes",V$16=1,V$7&gt;=INPUTS!$P$97,V$7&lt;=INPUTS!$Q$97),AND(INPUTS!$E$97="Yes",V$16=1,V$7&gt;=INPUTS!$R$97,V$7&lt;=INPUTS!$S$97)),"S+C",IF(AND(INPUTS!$E$97="Yes",V$16=1,V$7&gt;=INPUTS!$P$97,V$7&lt;=INPUTS!$Q$97),"S",IF(AND(INPUTS!$E$97="Yes",V$16=1,V$7&gt;=INPUTS!$R$97,V$7&lt;=INPUTS!$S$97),"C",IF(AND(INPUTS!$E$97="Yes",V$17=1,V$7&gt;INPUTS!$S$97),"✓",""))))</f>
        <v/>
      </c>
      <c r="W30" s="105" t="str">
        <f aca="false">IF(AND(AND(INPUTS!$E$97="Yes",W$16=1,W$7&gt;=INPUTS!$P$97,W$7&lt;=INPUTS!$Q$97),AND(INPUTS!$E$97="Yes",W$16=1,W$7&gt;=INPUTS!$R$97,W$7&lt;=INPUTS!$S$97)),"S+C",IF(AND(INPUTS!$E$97="Yes",W$16=1,W$7&gt;=INPUTS!$P$97,W$7&lt;=INPUTS!$Q$97),"S",IF(AND(INPUTS!$E$97="Yes",W$16=1,W$7&gt;=INPUTS!$R$97,W$7&lt;=INPUTS!$S$97),"C",IF(AND(INPUTS!$E$97="Yes",W$17=1,W$7&gt;INPUTS!$S$97),"✓",""))))</f>
        <v/>
      </c>
      <c r="X30" s="105" t="str">
        <f aca="false">IF(AND(AND(INPUTS!$E$97="Yes",X$16=1,X$7&gt;=INPUTS!$P$97,X$7&lt;=INPUTS!$Q$97),AND(INPUTS!$E$97="Yes",X$16=1,X$7&gt;=INPUTS!$R$97,X$7&lt;=INPUTS!$S$97)),"S+C",IF(AND(INPUTS!$E$97="Yes",X$16=1,X$7&gt;=INPUTS!$P$97,X$7&lt;=INPUTS!$Q$97),"S",IF(AND(INPUTS!$E$97="Yes",X$16=1,X$7&gt;=INPUTS!$R$97,X$7&lt;=INPUTS!$S$97),"C",IF(AND(INPUTS!$E$97="Yes",X$17=1,X$7&gt;INPUTS!$S$97),"✓",""))))</f>
        <v/>
      </c>
      <c r="Y30" s="105" t="str">
        <f aca="false">IF(AND(AND(INPUTS!$E$97="Yes",Y$16=1,Y$7&gt;=INPUTS!$P$97,Y$7&lt;=INPUTS!$Q$97),AND(INPUTS!$E$97="Yes",Y$16=1,Y$7&gt;=INPUTS!$R$97,Y$7&lt;=INPUTS!$S$97)),"S+C",IF(AND(INPUTS!$E$97="Yes",Y$16=1,Y$7&gt;=INPUTS!$P$97,Y$7&lt;=INPUTS!$Q$97),"S",IF(AND(INPUTS!$E$97="Yes",Y$16=1,Y$7&gt;=INPUTS!$R$97,Y$7&lt;=INPUTS!$S$97),"C",IF(AND(INPUTS!$E$97="Yes",Y$17=1,Y$7&gt;INPUTS!$S$97),"✓",""))))</f>
        <v/>
      </c>
      <c r="Z30" s="105" t="str">
        <f aca="false">IF(AND(AND(INPUTS!$E$97="Yes",Z$16=1,Z$7&gt;=INPUTS!$P$97,Z$7&lt;=INPUTS!$Q$97),AND(INPUTS!$E$97="Yes",Z$16=1,Z$7&gt;=INPUTS!$R$97,Z$7&lt;=INPUTS!$S$97)),"S+C",IF(AND(INPUTS!$E$97="Yes",Z$16=1,Z$7&gt;=INPUTS!$P$97,Z$7&lt;=INPUTS!$Q$97),"S",IF(AND(INPUTS!$E$97="Yes",Z$16=1,Z$7&gt;=INPUTS!$R$97,Z$7&lt;=INPUTS!$S$97),"C",IF(AND(INPUTS!$E$97="Yes",Z$17=1,Z$7&gt;INPUTS!$S$97),"✓",""))))</f>
        <v/>
      </c>
      <c r="AA30" s="105" t="str">
        <f aca="false">IF(AND(AND(INPUTS!$E$97="Yes",AA$16=1,AA$7&gt;=INPUTS!$P$97,AA$7&lt;=INPUTS!$Q$97),AND(INPUTS!$E$97="Yes",AA$16=1,AA$7&gt;=INPUTS!$R$97,AA$7&lt;=INPUTS!$S$97)),"S+C",IF(AND(INPUTS!$E$97="Yes",AA$16=1,AA$7&gt;=INPUTS!$P$97,AA$7&lt;=INPUTS!$Q$97),"S",IF(AND(INPUTS!$E$97="Yes",AA$16=1,AA$7&gt;=INPUTS!$R$97,AA$7&lt;=INPUTS!$S$97),"C",IF(AND(INPUTS!$E$97="Yes",AA$17=1,AA$7&gt;INPUTS!$S$97),"✓",""))))</f>
        <v/>
      </c>
      <c r="AB30" s="105" t="str">
        <f aca="false">IF(AND(AND(INPUTS!$E$97="Yes",AB$16=1,AB$7&gt;=INPUTS!$P$97,AB$7&lt;=INPUTS!$Q$97),AND(INPUTS!$E$97="Yes",AB$16=1,AB$7&gt;=INPUTS!$R$97,AB$7&lt;=INPUTS!$S$97)),"S+C",IF(AND(INPUTS!$E$97="Yes",AB$16=1,AB$7&gt;=INPUTS!$P$97,AB$7&lt;=INPUTS!$Q$97),"S",IF(AND(INPUTS!$E$97="Yes",AB$16=1,AB$7&gt;=INPUTS!$R$97,AB$7&lt;=INPUTS!$S$97),"C",IF(AND(INPUTS!$E$97="Yes",AB$17=1,AB$7&gt;INPUTS!$S$97),"✓",""))))</f>
        <v/>
      </c>
      <c r="AC30" s="105" t="str">
        <f aca="false">IF(AND(AND(INPUTS!$E$97="Yes",AC$16=1,AC$7&gt;=INPUTS!$P$97,AC$7&lt;=INPUTS!$Q$97),AND(INPUTS!$E$97="Yes",AC$16=1,AC$7&gt;=INPUTS!$R$97,AC$7&lt;=INPUTS!$S$97)),"S+C",IF(AND(INPUTS!$E$97="Yes",AC$16=1,AC$7&gt;=INPUTS!$P$97,AC$7&lt;=INPUTS!$Q$97),"S",IF(AND(INPUTS!$E$97="Yes",AC$16=1,AC$7&gt;=INPUTS!$R$97,AC$7&lt;=INPUTS!$S$97),"C",IF(AND(INPUTS!$E$97="Yes",AC$17=1,AC$7&gt;INPUTS!$S$97),"✓",""))))</f>
        <v/>
      </c>
      <c r="AD30" s="105" t="str">
        <f aca="false">IF(AND(AND(INPUTS!$E$97="Yes",AD$16=1,AD$7&gt;=INPUTS!$P$97,AD$7&lt;=INPUTS!$Q$97),AND(INPUTS!$E$97="Yes",AD$16=1,AD$7&gt;=INPUTS!$R$97,AD$7&lt;=INPUTS!$S$97)),"S+C",IF(AND(INPUTS!$E$97="Yes",AD$16=1,AD$7&gt;=INPUTS!$P$97,AD$7&lt;=INPUTS!$Q$97),"S",IF(AND(INPUTS!$E$97="Yes",AD$16=1,AD$7&gt;=INPUTS!$R$97,AD$7&lt;=INPUTS!$S$97),"C",IF(AND(INPUTS!$E$97="Yes",AD$17=1,AD$7&gt;INPUTS!$S$97),"✓",""))))</f>
        <v/>
      </c>
      <c r="AE30" s="105" t="str">
        <f aca="false">IF(AND(AND(INPUTS!$E$97="Yes",AE$16=1,AE$7&gt;=INPUTS!$P$97,AE$7&lt;=INPUTS!$Q$97),AND(INPUTS!$E$97="Yes",AE$16=1,AE$7&gt;=INPUTS!$R$97,AE$7&lt;=INPUTS!$S$97)),"S+C",IF(AND(INPUTS!$E$97="Yes",AE$16=1,AE$7&gt;=INPUTS!$P$97,AE$7&lt;=INPUTS!$Q$97),"S",IF(AND(INPUTS!$E$97="Yes",AE$16=1,AE$7&gt;=INPUTS!$R$97,AE$7&lt;=INPUTS!$S$97),"C",IF(AND(INPUTS!$E$97="Yes",AE$17=1,AE$7&gt;INPUTS!$S$97),"✓",""))))</f>
        <v/>
      </c>
      <c r="AF30" s="105" t="str">
        <f aca="false">IF(AND(AND(INPUTS!$E$97="Yes",AF$16=1,AF$7&gt;=INPUTS!$P$97,AF$7&lt;=INPUTS!$Q$97),AND(INPUTS!$E$97="Yes",AF$16=1,AF$7&gt;=INPUTS!$R$97,AF$7&lt;=INPUTS!$S$97)),"S+C",IF(AND(INPUTS!$E$97="Yes",AF$16=1,AF$7&gt;=INPUTS!$P$97,AF$7&lt;=INPUTS!$Q$97),"S",IF(AND(INPUTS!$E$97="Yes",AF$16=1,AF$7&gt;=INPUTS!$R$97,AF$7&lt;=INPUTS!$S$97),"C",IF(AND(INPUTS!$E$97="Yes",AF$17=1,AF$7&gt;INPUTS!$S$97),"✓",""))))</f>
        <v/>
      </c>
      <c r="AG30" s="105" t="str">
        <f aca="false">IF(AND(AND(INPUTS!$E$97="Yes",AG$16=1,AG$7&gt;=INPUTS!$P$97,AG$7&lt;=INPUTS!$Q$97),AND(INPUTS!$E$97="Yes",AG$16=1,AG$7&gt;=INPUTS!$R$97,AG$7&lt;=INPUTS!$S$97)),"S+C",IF(AND(INPUTS!$E$97="Yes",AG$16=1,AG$7&gt;=INPUTS!$P$97,AG$7&lt;=INPUTS!$Q$97),"S",IF(AND(INPUTS!$E$97="Yes",AG$16=1,AG$7&gt;=INPUTS!$R$97,AG$7&lt;=INPUTS!$S$97),"C",IF(AND(INPUTS!$E$97="Yes",AG$17=1,AG$7&gt;INPUTS!$S$97),"✓",""))))</f>
        <v/>
      </c>
      <c r="AH30" s="105" t="str">
        <f aca="false">IF(AND(AND(INPUTS!$E$97="Yes",AH$16=1,AH$7&gt;=INPUTS!$P$97,AH$7&lt;=INPUTS!$Q$97),AND(INPUTS!$E$97="Yes",AH$16=1,AH$7&gt;=INPUTS!$R$97,AH$7&lt;=INPUTS!$S$97)),"S+C",IF(AND(INPUTS!$E$97="Yes",AH$16=1,AH$7&gt;=INPUTS!$P$97,AH$7&lt;=INPUTS!$Q$97),"S",IF(AND(INPUTS!$E$97="Yes",AH$16=1,AH$7&gt;=INPUTS!$R$97,AH$7&lt;=INPUTS!$S$97),"C",IF(AND(INPUTS!$E$97="Yes",AH$17=1,AH$7&gt;INPUTS!$S$97),"✓",""))))</f>
        <v/>
      </c>
      <c r="AI30" s="105" t="str">
        <f aca="false">IF(AND(AND(INPUTS!$E$97="Yes",AI$16=1,AI$7&gt;=INPUTS!$P$97,AI$7&lt;=INPUTS!$Q$97),AND(INPUTS!$E$97="Yes",AI$16=1,AI$7&gt;=INPUTS!$R$97,AI$7&lt;=INPUTS!$S$97)),"S+C",IF(AND(INPUTS!$E$97="Yes",AI$16=1,AI$7&gt;=INPUTS!$P$97,AI$7&lt;=INPUTS!$Q$97),"S",IF(AND(INPUTS!$E$97="Yes",AI$16=1,AI$7&gt;=INPUTS!$R$97,AI$7&lt;=INPUTS!$S$97),"C",IF(AND(INPUTS!$E$97="Yes",AI$17=1,AI$7&gt;INPUTS!$S$97),"✓",""))))</f>
        <v/>
      </c>
      <c r="AJ30" s="105" t="str">
        <f aca="false">IF(AND(AND(INPUTS!$E$97="Yes",AJ$16=1,AJ$7&gt;=INPUTS!$P$97,AJ$7&lt;=INPUTS!$Q$97),AND(INPUTS!$E$97="Yes",AJ$16=1,AJ$7&gt;=INPUTS!$R$97,AJ$7&lt;=INPUTS!$S$97)),"S+C",IF(AND(INPUTS!$E$97="Yes",AJ$16=1,AJ$7&gt;=INPUTS!$P$97,AJ$7&lt;=INPUTS!$Q$97),"S",IF(AND(INPUTS!$E$97="Yes",AJ$16=1,AJ$7&gt;=INPUTS!$R$97,AJ$7&lt;=INPUTS!$S$97),"C",IF(AND(INPUTS!$E$97="Yes",AJ$17=1,AJ$7&gt;INPUTS!$S$97),"✓",""))))</f>
        <v/>
      </c>
      <c r="AK30" s="105" t="str">
        <f aca="false">IF(AND(AND(INPUTS!$E$97="Yes",AK$16=1,AK$7&gt;=INPUTS!$P$97,AK$7&lt;=INPUTS!$Q$97),AND(INPUTS!$E$97="Yes",AK$16=1,AK$7&gt;=INPUTS!$R$97,AK$7&lt;=INPUTS!$S$97)),"S+C",IF(AND(INPUTS!$E$97="Yes",AK$16=1,AK$7&gt;=INPUTS!$P$97,AK$7&lt;=INPUTS!$Q$97),"S",IF(AND(INPUTS!$E$97="Yes",AK$16=1,AK$7&gt;=INPUTS!$R$97,AK$7&lt;=INPUTS!$S$97),"C",IF(AND(INPUTS!$E$97="Yes",AK$17=1,AK$7&gt;INPUTS!$S$97),"✓",""))))</f>
        <v/>
      </c>
      <c r="AL30" s="105" t="str">
        <f aca="false">IF(AND(AND(INPUTS!$E$97="Yes",AL$16=1,AL$7&gt;=INPUTS!$P$97,AL$7&lt;=INPUTS!$Q$97),AND(INPUTS!$E$97="Yes",AL$16=1,AL$7&gt;=INPUTS!$R$97,AL$7&lt;=INPUTS!$S$97)),"S+C",IF(AND(INPUTS!$E$97="Yes",AL$16=1,AL$7&gt;=INPUTS!$P$97,AL$7&lt;=INPUTS!$Q$97),"S",IF(AND(INPUTS!$E$97="Yes",AL$16=1,AL$7&gt;=INPUTS!$R$97,AL$7&lt;=INPUTS!$S$97),"C",IF(AND(INPUTS!$E$97="Yes",AL$17=1,AL$7&gt;INPUTS!$S$97),"✓",""))))</f>
        <v/>
      </c>
      <c r="AM30" s="105" t="str">
        <f aca="false">IF(AND(AND(INPUTS!$E$97="Yes",AM$16=1,AM$7&gt;=INPUTS!$P$97,AM$7&lt;=INPUTS!$Q$97),AND(INPUTS!$E$97="Yes",AM$16=1,AM$7&gt;=INPUTS!$R$97,AM$7&lt;=INPUTS!$S$97)),"S+C",IF(AND(INPUTS!$E$97="Yes",AM$16=1,AM$7&gt;=INPUTS!$P$97,AM$7&lt;=INPUTS!$Q$97),"S",IF(AND(INPUTS!$E$97="Yes",AM$16=1,AM$7&gt;=INPUTS!$R$97,AM$7&lt;=INPUTS!$S$97),"C",IF(AND(INPUTS!$E$97="Yes",AM$17=1,AM$7&gt;INPUTS!$S$97),"✓",""))))</f>
        <v/>
      </c>
      <c r="AN30" s="105" t="str">
        <f aca="false">IF(AND(AND(INPUTS!$E$97="Yes",AN$16=1,AN$7&gt;=INPUTS!$P$97,AN$7&lt;=INPUTS!$Q$97),AND(INPUTS!$E$97="Yes",AN$16=1,AN$7&gt;=INPUTS!$R$97,AN$7&lt;=INPUTS!$S$97)),"S+C",IF(AND(INPUTS!$E$97="Yes",AN$16=1,AN$7&gt;=INPUTS!$P$97,AN$7&lt;=INPUTS!$Q$97),"S",IF(AND(INPUTS!$E$97="Yes",AN$16=1,AN$7&gt;=INPUTS!$R$97,AN$7&lt;=INPUTS!$S$97),"C",IF(AND(INPUTS!$E$97="Yes",AN$17=1,AN$7&gt;INPUTS!$S$97),"✓",""))))</f>
        <v/>
      </c>
      <c r="AO30" s="105" t="str">
        <f aca="false">IF(AND(AND(INPUTS!$E$97="Yes",AO$16=1,AO$7&gt;=INPUTS!$P$97,AO$7&lt;=INPUTS!$Q$97),AND(INPUTS!$E$97="Yes",AO$16=1,AO$7&gt;=INPUTS!$R$97,AO$7&lt;=INPUTS!$S$97)),"S+C",IF(AND(INPUTS!$E$97="Yes",AO$16=1,AO$7&gt;=INPUTS!$P$97,AO$7&lt;=INPUTS!$Q$97),"S",IF(AND(INPUTS!$E$97="Yes",AO$16=1,AO$7&gt;=INPUTS!$R$97,AO$7&lt;=INPUTS!$S$97),"C",IF(AND(INPUTS!$E$97="Yes",AO$17=1,AO$7&gt;INPUTS!$S$97),"✓",""))))</f>
        <v/>
      </c>
      <c r="AP30" s="105" t="str">
        <f aca="false">IF(AND(AND(INPUTS!$E$97="Yes",AP$16=1,AP$7&gt;=INPUTS!$P$97,AP$7&lt;=INPUTS!$Q$97),AND(INPUTS!$E$97="Yes",AP$16=1,AP$7&gt;=INPUTS!$R$97,AP$7&lt;=INPUTS!$S$97)),"S+C",IF(AND(INPUTS!$E$97="Yes",AP$16=1,AP$7&gt;=INPUTS!$P$97,AP$7&lt;=INPUTS!$Q$97),"S",IF(AND(INPUTS!$E$97="Yes",AP$16=1,AP$7&gt;=INPUTS!$R$97,AP$7&lt;=INPUTS!$S$97),"C",IF(AND(INPUTS!$E$97="Yes",AP$17=1,AP$7&gt;INPUTS!$S$97),"✓",""))))</f>
        <v/>
      </c>
      <c r="AQ30" s="105" t="str">
        <f aca="false">IF(AND(AND(INPUTS!$E$97="Yes",AQ$16=1,AQ$7&gt;=INPUTS!$P$97,AQ$7&lt;=INPUTS!$Q$97),AND(INPUTS!$E$97="Yes",AQ$16=1,AQ$7&gt;=INPUTS!$R$97,AQ$7&lt;=INPUTS!$S$97)),"S+C",IF(AND(INPUTS!$E$97="Yes",AQ$16=1,AQ$7&gt;=INPUTS!$P$97,AQ$7&lt;=INPUTS!$Q$97),"S",IF(AND(INPUTS!$E$97="Yes",AQ$16=1,AQ$7&gt;=INPUTS!$R$97,AQ$7&lt;=INPUTS!$S$97),"C",IF(AND(INPUTS!$E$97="Yes",AQ$17=1,AQ$7&gt;INPUTS!$S$97),"✓",""))))</f>
        <v/>
      </c>
    </row>
    <row r="32" customFormat="false" ht="19.5" hidden="false" customHeight="true" outlineLevel="0" collapsed="false">
      <c r="B32" s="4" t="s">
        <v>640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customFormat="false" ht="15" hidden="false" customHeight="false" outlineLevel="0" collapsed="false">
      <c r="C33" s="102" t="s">
        <v>641</v>
      </c>
    </row>
    <row r="34" customFormat="false" ht="15" hidden="false" customHeight="false" outlineLevel="0" collapsed="false">
      <c r="B34" s="110" t="str">
        <f aca="false">IF(INPUTS!$E$88="Yes",INPUTS!$B$88,"Product row 1 (off)")</f>
        <v>Villas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</row>
    <row r="35" customFormat="false" ht="15" hidden="false" customHeight="false" outlineLevel="0" collapsed="false">
      <c r="B35" s="3" t="s">
        <v>642</v>
      </c>
      <c r="C35" s="107" t="n">
        <f aca="false">SUM(D35:AQ35)</f>
        <v>8</v>
      </c>
      <c r="D35" s="108" t="n">
        <f aca="false">IF(AND((INPUTS!$E$88="Yes"),D$16=1,D$7&gt;=INPUTS!$P$88,D$7&lt;=INPUTS!$Q$88),1,0)</f>
        <v>0</v>
      </c>
      <c r="E35" s="108" t="n">
        <f aca="false">IF(AND((INPUTS!$E$88="Yes"),E$16=1,E$7&gt;=INPUTS!$P$88,E$7&lt;=INPUTS!$Q$88),1,0)</f>
        <v>0</v>
      </c>
      <c r="F35" s="108" t="n">
        <f aca="false">IF(AND((INPUTS!$E$88="Yes"),F$16=1,F$7&gt;=INPUTS!$P$88,F$7&lt;=INPUTS!$Q$88),1,0)</f>
        <v>1</v>
      </c>
      <c r="G35" s="108" t="n">
        <f aca="false">IF(AND((INPUTS!$E$88="Yes"),G$16=1,G$7&gt;=INPUTS!$P$88,G$7&lt;=INPUTS!$Q$88),1,0)</f>
        <v>1</v>
      </c>
      <c r="H35" s="108" t="n">
        <f aca="false">IF(AND((INPUTS!$E$88="Yes"),H$16=1,H$7&gt;=INPUTS!$P$88,H$7&lt;=INPUTS!$Q$88),1,0)</f>
        <v>1</v>
      </c>
      <c r="I35" s="108" t="n">
        <f aca="false">IF(AND((INPUTS!$E$88="Yes"),I$16=1,I$7&gt;=INPUTS!$P$88,I$7&lt;=INPUTS!$Q$88),1,0)</f>
        <v>1</v>
      </c>
      <c r="J35" s="108" t="n">
        <f aca="false">IF(AND((INPUTS!$E$88="Yes"),J$16=1,J$7&gt;=INPUTS!$P$88,J$7&lt;=INPUTS!$Q$88),1,0)</f>
        <v>1</v>
      </c>
      <c r="K35" s="108" t="n">
        <f aca="false">IF(AND((INPUTS!$E$88="Yes"),K$16=1,K$7&gt;=INPUTS!$P$88,K$7&lt;=INPUTS!$Q$88),1,0)</f>
        <v>1</v>
      </c>
      <c r="L35" s="108" t="n">
        <f aca="false">IF(AND((INPUTS!$E$88="Yes"),L$16=1,L$7&gt;=INPUTS!$P$88,L$7&lt;=INPUTS!$Q$88),1,0)</f>
        <v>1</v>
      </c>
      <c r="M35" s="108" t="n">
        <f aca="false">IF(AND((INPUTS!$E$88="Yes"),M$16=1,M$7&gt;=INPUTS!$P$88,M$7&lt;=INPUTS!$Q$88),1,0)</f>
        <v>1</v>
      </c>
      <c r="N35" s="108" t="n">
        <f aca="false">IF(AND((INPUTS!$E$88="Yes"),N$16=1,N$7&gt;=INPUTS!$P$88,N$7&lt;=INPUTS!$Q$88),1,0)</f>
        <v>0</v>
      </c>
      <c r="O35" s="108" t="n">
        <f aca="false">IF(AND((INPUTS!$E$88="Yes"),O$16=1,O$7&gt;=INPUTS!$P$88,O$7&lt;=INPUTS!$Q$88),1,0)</f>
        <v>0</v>
      </c>
      <c r="P35" s="108" t="n">
        <f aca="false">IF(AND((INPUTS!$E$88="Yes"),P$16=1,P$7&gt;=INPUTS!$P$88,P$7&lt;=INPUTS!$Q$88),1,0)</f>
        <v>0</v>
      </c>
      <c r="Q35" s="108" t="n">
        <f aca="false">IF(AND((INPUTS!$E$88="Yes"),Q$16=1,Q$7&gt;=INPUTS!$P$88,Q$7&lt;=INPUTS!$Q$88),1,0)</f>
        <v>0</v>
      </c>
      <c r="R35" s="108" t="n">
        <f aca="false">IF(AND((INPUTS!$E$88="Yes"),R$16=1,R$7&gt;=INPUTS!$P$88,R$7&lt;=INPUTS!$Q$88),1,0)</f>
        <v>0</v>
      </c>
      <c r="S35" s="108" t="n">
        <f aca="false">IF(AND((INPUTS!$E$88="Yes"),S$16=1,S$7&gt;=INPUTS!$P$88,S$7&lt;=INPUTS!$Q$88),1,0)</f>
        <v>0</v>
      </c>
      <c r="T35" s="108" t="n">
        <f aca="false">IF(AND((INPUTS!$E$88="Yes"),T$16=1,T$7&gt;=INPUTS!$P$88,T$7&lt;=INPUTS!$Q$88),1,0)</f>
        <v>0</v>
      </c>
      <c r="U35" s="108" t="n">
        <f aca="false">IF(AND((INPUTS!$E$88="Yes"),U$16=1,U$7&gt;=INPUTS!$P$88,U$7&lt;=INPUTS!$Q$88),1,0)</f>
        <v>0</v>
      </c>
      <c r="V35" s="108" t="n">
        <f aca="false">IF(AND((INPUTS!$E$88="Yes"),V$16=1,V$7&gt;=INPUTS!$P$88,V$7&lt;=INPUTS!$Q$88),1,0)</f>
        <v>0</v>
      </c>
      <c r="W35" s="108" t="n">
        <f aca="false">IF(AND((INPUTS!$E$88="Yes"),W$16=1,W$7&gt;=INPUTS!$P$88,W$7&lt;=INPUTS!$Q$88),1,0)</f>
        <v>0</v>
      </c>
      <c r="X35" s="108" t="n">
        <f aca="false">IF(AND((INPUTS!$E$88="Yes"),X$16=1,X$7&gt;=INPUTS!$P$88,X$7&lt;=INPUTS!$Q$88),1,0)</f>
        <v>0</v>
      </c>
      <c r="Y35" s="108" t="n">
        <f aca="false">IF(AND((INPUTS!$E$88="Yes"),Y$16=1,Y$7&gt;=INPUTS!$P$88,Y$7&lt;=INPUTS!$Q$88),1,0)</f>
        <v>0</v>
      </c>
      <c r="Z35" s="108" t="n">
        <f aca="false">IF(AND((INPUTS!$E$88="Yes"),Z$16=1,Z$7&gt;=INPUTS!$P$88,Z$7&lt;=INPUTS!$Q$88),1,0)</f>
        <v>0</v>
      </c>
      <c r="AA35" s="108" t="n">
        <f aca="false">IF(AND((INPUTS!$E$88="Yes"),AA$16=1,AA$7&gt;=INPUTS!$P$88,AA$7&lt;=INPUTS!$Q$88),1,0)</f>
        <v>0</v>
      </c>
      <c r="AB35" s="108" t="n">
        <f aca="false">IF(AND((INPUTS!$E$88="Yes"),AB$16=1,AB$7&gt;=INPUTS!$P$88,AB$7&lt;=INPUTS!$Q$88),1,0)</f>
        <v>0</v>
      </c>
      <c r="AC35" s="108" t="n">
        <f aca="false">IF(AND((INPUTS!$E$88="Yes"),AC$16=1,AC$7&gt;=INPUTS!$P$88,AC$7&lt;=INPUTS!$Q$88),1,0)</f>
        <v>0</v>
      </c>
      <c r="AD35" s="108" t="n">
        <f aca="false">IF(AND((INPUTS!$E$88="Yes"),AD$16=1,AD$7&gt;=INPUTS!$P$88,AD$7&lt;=INPUTS!$Q$88),1,0)</f>
        <v>0</v>
      </c>
      <c r="AE35" s="108" t="n">
        <f aca="false">IF(AND((INPUTS!$E$88="Yes"),AE$16=1,AE$7&gt;=INPUTS!$P$88,AE$7&lt;=INPUTS!$Q$88),1,0)</f>
        <v>0</v>
      </c>
      <c r="AF35" s="108" t="n">
        <f aca="false">IF(AND((INPUTS!$E$88="Yes"),AF$16=1,AF$7&gt;=INPUTS!$P$88,AF$7&lt;=INPUTS!$Q$88),1,0)</f>
        <v>0</v>
      </c>
      <c r="AG35" s="108" t="n">
        <f aca="false">IF(AND((INPUTS!$E$88="Yes"),AG$16=1,AG$7&gt;=INPUTS!$P$88,AG$7&lt;=INPUTS!$Q$88),1,0)</f>
        <v>0</v>
      </c>
      <c r="AH35" s="108" t="n">
        <f aca="false">IF(AND((INPUTS!$E$88="Yes"),AH$16=1,AH$7&gt;=INPUTS!$P$88,AH$7&lt;=INPUTS!$Q$88),1,0)</f>
        <v>0</v>
      </c>
      <c r="AI35" s="108" t="n">
        <f aca="false">IF(AND((INPUTS!$E$88="Yes"),AI$16=1,AI$7&gt;=INPUTS!$P$88,AI$7&lt;=INPUTS!$Q$88),1,0)</f>
        <v>0</v>
      </c>
      <c r="AJ35" s="108" t="n">
        <f aca="false">IF(AND((INPUTS!$E$88="Yes"),AJ$16=1,AJ$7&gt;=INPUTS!$P$88,AJ$7&lt;=INPUTS!$Q$88),1,0)</f>
        <v>0</v>
      </c>
      <c r="AK35" s="108" t="n">
        <f aca="false">IF(AND((INPUTS!$E$88="Yes"),AK$16=1,AK$7&gt;=INPUTS!$P$88,AK$7&lt;=INPUTS!$Q$88),1,0)</f>
        <v>0</v>
      </c>
      <c r="AL35" s="108" t="n">
        <f aca="false">IF(AND((INPUTS!$E$88="Yes"),AL$16=1,AL$7&gt;=INPUTS!$P$88,AL$7&lt;=INPUTS!$Q$88),1,0)</f>
        <v>0</v>
      </c>
      <c r="AM35" s="108" t="n">
        <f aca="false">IF(AND((INPUTS!$E$88="Yes"),AM$16=1,AM$7&gt;=INPUTS!$P$88,AM$7&lt;=INPUTS!$Q$88),1,0)</f>
        <v>0</v>
      </c>
      <c r="AN35" s="108" t="n">
        <f aca="false">IF(AND((INPUTS!$E$88="Yes"),AN$16=1,AN$7&gt;=INPUTS!$P$88,AN$7&lt;=INPUTS!$Q$88),1,0)</f>
        <v>0</v>
      </c>
      <c r="AO35" s="108" t="n">
        <f aca="false">IF(AND((INPUTS!$E$88="Yes"),AO$16=1,AO$7&gt;=INPUTS!$P$88,AO$7&lt;=INPUTS!$Q$88),1,0)</f>
        <v>0</v>
      </c>
      <c r="AP35" s="108" t="n">
        <f aca="false">IF(AND((INPUTS!$E$88="Yes"),AP$16=1,AP$7&gt;=INPUTS!$P$88,AP$7&lt;=INPUTS!$Q$88),1,0)</f>
        <v>0</v>
      </c>
      <c r="AQ35" s="108" t="n">
        <f aca="false">IF(AND((INPUTS!$E$88="Yes"),AQ$16=1,AQ$7&gt;=INPUTS!$P$88,AQ$7&lt;=INPUTS!$Q$88),1,0)</f>
        <v>0</v>
      </c>
    </row>
    <row r="36" customFormat="false" ht="15" hidden="false" customHeight="false" outlineLevel="0" collapsed="false">
      <c r="B36" s="3" t="s">
        <v>643</v>
      </c>
      <c r="C36" s="107" t="n">
        <f aca="false">MAX(D36:AQ36)</f>
        <v>8</v>
      </c>
      <c r="D36" s="108" t="n">
        <f aca="false">IF(D35=1,D$7-INPUTS!$P$88+1,0)</f>
        <v>0</v>
      </c>
      <c r="E36" s="108" t="n">
        <f aca="false">IF(E35=1,E$7-INPUTS!$P$88+1,0)</f>
        <v>0</v>
      </c>
      <c r="F36" s="108" t="n">
        <f aca="false">IF(F35=1,F$7-INPUTS!$P$88+1,0)</f>
        <v>1</v>
      </c>
      <c r="G36" s="108" t="n">
        <f aca="false">IF(G35=1,G$7-INPUTS!$P$88+1,0)</f>
        <v>2</v>
      </c>
      <c r="H36" s="108" t="n">
        <f aca="false">IF(H35=1,H$7-INPUTS!$P$88+1,0)</f>
        <v>3</v>
      </c>
      <c r="I36" s="108" t="n">
        <f aca="false">IF(I35=1,I$7-INPUTS!$P$88+1,0)</f>
        <v>4</v>
      </c>
      <c r="J36" s="108" t="n">
        <f aca="false">IF(J35=1,J$7-INPUTS!$P$88+1,0)</f>
        <v>5</v>
      </c>
      <c r="K36" s="108" t="n">
        <f aca="false">IF(K35=1,K$7-INPUTS!$P$88+1,0)</f>
        <v>6</v>
      </c>
      <c r="L36" s="108" t="n">
        <f aca="false">IF(L35=1,L$7-INPUTS!$P$88+1,0)</f>
        <v>7</v>
      </c>
      <c r="M36" s="108" t="n">
        <f aca="false">IF(M35=1,M$7-INPUTS!$P$88+1,0)</f>
        <v>8</v>
      </c>
      <c r="N36" s="108" t="n">
        <f aca="false">IF(N35=1,N$7-INPUTS!$P$88+1,0)</f>
        <v>0</v>
      </c>
      <c r="O36" s="108" t="n">
        <f aca="false">IF(O35=1,O$7-INPUTS!$P$88+1,0)</f>
        <v>0</v>
      </c>
      <c r="P36" s="108" t="n">
        <f aca="false">IF(P35=1,P$7-INPUTS!$P$88+1,0)</f>
        <v>0</v>
      </c>
      <c r="Q36" s="108" t="n">
        <f aca="false">IF(Q35=1,Q$7-INPUTS!$P$88+1,0)</f>
        <v>0</v>
      </c>
      <c r="R36" s="108" t="n">
        <f aca="false">IF(R35=1,R$7-INPUTS!$P$88+1,0)</f>
        <v>0</v>
      </c>
      <c r="S36" s="108" t="n">
        <f aca="false">IF(S35=1,S$7-INPUTS!$P$88+1,0)</f>
        <v>0</v>
      </c>
      <c r="T36" s="108" t="n">
        <f aca="false">IF(T35=1,T$7-INPUTS!$P$88+1,0)</f>
        <v>0</v>
      </c>
      <c r="U36" s="108" t="n">
        <f aca="false">IF(U35=1,U$7-INPUTS!$P$88+1,0)</f>
        <v>0</v>
      </c>
      <c r="V36" s="108" t="n">
        <f aca="false">IF(V35=1,V$7-INPUTS!$P$88+1,0)</f>
        <v>0</v>
      </c>
      <c r="W36" s="108" t="n">
        <f aca="false">IF(W35=1,W$7-INPUTS!$P$88+1,0)</f>
        <v>0</v>
      </c>
      <c r="X36" s="108" t="n">
        <f aca="false">IF(X35=1,X$7-INPUTS!$P$88+1,0)</f>
        <v>0</v>
      </c>
      <c r="Y36" s="108" t="n">
        <f aca="false">IF(Y35=1,Y$7-INPUTS!$P$88+1,0)</f>
        <v>0</v>
      </c>
      <c r="Z36" s="108" t="n">
        <f aca="false">IF(Z35=1,Z$7-INPUTS!$P$88+1,0)</f>
        <v>0</v>
      </c>
      <c r="AA36" s="108" t="n">
        <f aca="false">IF(AA35=1,AA$7-INPUTS!$P$88+1,0)</f>
        <v>0</v>
      </c>
      <c r="AB36" s="108" t="n">
        <f aca="false">IF(AB35=1,AB$7-INPUTS!$P$88+1,0)</f>
        <v>0</v>
      </c>
      <c r="AC36" s="108" t="n">
        <f aca="false">IF(AC35=1,AC$7-INPUTS!$P$88+1,0)</f>
        <v>0</v>
      </c>
      <c r="AD36" s="108" t="n">
        <f aca="false">IF(AD35=1,AD$7-INPUTS!$P$88+1,0)</f>
        <v>0</v>
      </c>
      <c r="AE36" s="108" t="n">
        <f aca="false">IF(AE35=1,AE$7-INPUTS!$P$88+1,0)</f>
        <v>0</v>
      </c>
      <c r="AF36" s="108" t="n">
        <f aca="false">IF(AF35=1,AF$7-INPUTS!$P$88+1,0)</f>
        <v>0</v>
      </c>
      <c r="AG36" s="108" t="n">
        <f aca="false">IF(AG35=1,AG$7-INPUTS!$P$88+1,0)</f>
        <v>0</v>
      </c>
      <c r="AH36" s="108" t="n">
        <f aca="false">IF(AH35=1,AH$7-INPUTS!$P$88+1,0)</f>
        <v>0</v>
      </c>
      <c r="AI36" s="108" t="n">
        <f aca="false">IF(AI35=1,AI$7-INPUTS!$P$88+1,0)</f>
        <v>0</v>
      </c>
      <c r="AJ36" s="108" t="n">
        <f aca="false">IF(AJ35=1,AJ$7-INPUTS!$P$88+1,0)</f>
        <v>0</v>
      </c>
      <c r="AK36" s="108" t="n">
        <f aca="false">IF(AK35=1,AK$7-INPUTS!$P$88+1,0)</f>
        <v>0</v>
      </c>
      <c r="AL36" s="108" t="n">
        <f aca="false">IF(AL35=1,AL$7-INPUTS!$P$88+1,0)</f>
        <v>0</v>
      </c>
      <c r="AM36" s="108" t="n">
        <f aca="false">IF(AM35=1,AM$7-INPUTS!$P$88+1,0)</f>
        <v>0</v>
      </c>
      <c r="AN36" s="108" t="n">
        <f aca="false">IF(AN35=1,AN$7-INPUTS!$P$88+1,0)</f>
        <v>0</v>
      </c>
      <c r="AO36" s="108" t="n">
        <f aca="false">IF(AO35=1,AO$7-INPUTS!$P$88+1,0)</f>
        <v>0</v>
      </c>
      <c r="AP36" s="108" t="n">
        <f aca="false">IF(AP35=1,AP$7-INPUTS!$P$88+1,0)</f>
        <v>0</v>
      </c>
      <c r="AQ36" s="108" t="n">
        <f aca="false">IF(AQ35=1,AQ$7-INPUTS!$P$88+1,0)</f>
        <v>0</v>
      </c>
    </row>
    <row r="37" customFormat="false" ht="15" hidden="false" customHeight="false" outlineLevel="0" collapsed="false">
      <c r="B37" s="3" t="s">
        <v>644</v>
      </c>
      <c r="C37" s="107" t="n">
        <f aca="false">SUM(D37:AQ37)</f>
        <v>12</v>
      </c>
      <c r="D37" s="108" t="n">
        <f aca="false">IF(AND((INPUTS!$E$88="Yes"),D$16=1,D$7&gt;=INPUTS!$R$88,D$7&lt;=INPUTS!$S$88),1,0)</f>
        <v>0</v>
      </c>
      <c r="E37" s="108" t="n">
        <f aca="false">IF(AND((INPUTS!$E$88="Yes"),E$16=1,E$7&gt;=INPUTS!$R$88,E$7&lt;=INPUTS!$S$88),1,0)</f>
        <v>0</v>
      </c>
      <c r="F37" s="108" t="n">
        <f aca="false">IF(AND((INPUTS!$E$88="Yes"),F$16=1,F$7&gt;=INPUTS!$R$88,F$7&lt;=INPUTS!$S$88),1,0)</f>
        <v>0</v>
      </c>
      <c r="G37" s="108" t="n">
        <f aca="false">IF(AND((INPUTS!$E$88="Yes"),G$16=1,G$7&gt;=INPUTS!$R$88,G$7&lt;=INPUTS!$S$88),1,0)</f>
        <v>1</v>
      </c>
      <c r="H37" s="108" t="n">
        <f aca="false">IF(AND((INPUTS!$E$88="Yes"),H$16=1,H$7&gt;=INPUTS!$R$88,H$7&lt;=INPUTS!$S$88),1,0)</f>
        <v>1</v>
      </c>
      <c r="I37" s="108" t="n">
        <f aca="false">IF(AND((INPUTS!$E$88="Yes"),I$16=1,I$7&gt;=INPUTS!$R$88,I$7&lt;=INPUTS!$S$88),1,0)</f>
        <v>1</v>
      </c>
      <c r="J37" s="108" t="n">
        <f aca="false">IF(AND((INPUTS!$E$88="Yes"),J$16=1,J$7&gt;=INPUTS!$R$88,J$7&lt;=INPUTS!$S$88),1,0)</f>
        <v>1</v>
      </c>
      <c r="K37" s="108" t="n">
        <f aca="false">IF(AND((INPUTS!$E$88="Yes"),K$16=1,K$7&gt;=INPUTS!$R$88,K$7&lt;=INPUTS!$S$88),1,0)</f>
        <v>1</v>
      </c>
      <c r="L37" s="108" t="n">
        <f aca="false">IF(AND((INPUTS!$E$88="Yes"),L$16=1,L$7&gt;=INPUTS!$R$88,L$7&lt;=INPUTS!$S$88),1,0)</f>
        <v>1</v>
      </c>
      <c r="M37" s="108" t="n">
        <f aca="false">IF(AND((INPUTS!$E$88="Yes"),M$16=1,M$7&gt;=INPUTS!$R$88,M$7&lt;=INPUTS!$S$88),1,0)</f>
        <v>1</v>
      </c>
      <c r="N37" s="108" t="n">
        <f aca="false">IF(AND((INPUTS!$E$88="Yes"),N$16=1,N$7&gt;=INPUTS!$R$88,N$7&lt;=INPUTS!$S$88),1,0)</f>
        <v>1</v>
      </c>
      <c r="O37" s="108" t="n">
        <f aca="false">IF(AND((INPUTS!$E$88="Yes"),O$16=1,O$7&gt;=INPUTS!$R$88,O$7&lt;=INPUTS!$S$88),1,0)</f>
        <v>1</v>
      </c>
      <c r="P37" s="108" t="n">
        <f aca="false">IF(AND((INPUTS!$E$88="Yes"),P$16=1,P$7&gt;=INPUTS!$R$88,P$7&lt;=INPUTS!$S$88),1,0)</f>
        <v>1</v>
      </c>
      <c r="Q37" s="108" t="n">
        <f aca="false">IF(AND((INPUTS!$E$88="Yes"),Q$16=1,Q$7&gt;=INPUTS!$R$88,Q$7&lt;=INPUTS!$S$88),1,0)</f>
        <v>1</v>
      </c>
      <c r="R37" s="108" t="n">
        <f aca="false">IF(AND((INPUTS!$E$88="Yes"),R$16=1,R$7&gt;=INPUTS!$R$88,R$7&lt;=INPUTS!$S$88),1,0)</f>
        <v>1</v>
      </c>
      <c r="S37" s="108" t="n">
        <f aca="false">IF(AND((INPUTS!$E$88="Yes"),S$16=1,S$7&gt;=INPUTS!$R$88,S$7&lt;=INPUTS!$S$88),1,0)</f>
        <v>0</v>
      </c>
      <c r="T37" s="108" t="n">
        <f aca="false">IF(AND((INPUTS!$E$88="Yes"),T$16=1,T$7&gt;=INPUTS!$R$88,T$7&lt;=INPUTS!$S$88),1,0)</f>
        <v>0</v>
      </c>
      <c r="U37" s="108" t="n">
        <f aca="false">IF(AND((INPUTS!$E$88="Yes"),U$16=1,U$7&gt;=INPUTS!$R$88,U$7&lt;=INPUTS!$S$88),1,0)</f>
        <v>0</v>
      </c>
      <c r="V37" s="108" t="n">
        <f aca="false">IF(AND((INPUTS!$E$88="Yes"),V$16=1,V$7&gt;=INPUTS!$R$88,V$7&lt;=INPUTS!$S$88),1,0)</f>
        <v>0</v>
      </c>
      <c r="W37" s="108" t="n">
        <f aca="false">IF(AND((INPUTS!$E$88="Yes"),W$16=1,W$7&gt;=INPUTS!$R$88,W$7&lt;=INPUTS!$S$88),1,0)</f>
        <v>0</v>
      </c>
      <c r="X37" s="108" t="n">
        <f aca="false">IF(AND((INPUTS!$E$88="Yes"),X$16=1,X$7&gt;=INPUTS!$R$88,X$7&lt;=INPUTS!$S$88),1,0)</f>
        <v>0</v>
      </c>
      <c r="Y37" s="108" t="n">
        <f aca="false">IF(AND((INPUTS!$E$88="Yes"),Y$16=1,Y$7&gt;=INPUTS!$R$88,Y$7&lt;=INPUTS!$S$88),1,0)</f>
        <v>0</v>
      </c>
      <c r="Z37" s="108" t="n">
        <f aca="false">IF(AND((INPUTS!$E$88="Yes"),Z$16=1,Z$7&gt;=INPUTS!$R$88,Z$7&lt;=INPUTS!$S$88),1,0)</f>
        <v>0</v>
      </c>
      <c r="AA37" s="108" t="n">
        <f aca="false">IF(AND((INPUTS!$E$88="Yes"),AA$16=1,AA$7&gt;=INPUTS!$R$88,AA$7&lt;=INPUTS!$S$88),1,0)</f>
        <v>0</v>
      </c>
      <c r="AB37" s="108" t="n">
        <f aca="false">IF(AND((INPUTS!$E$88="Yes"),AB$16=1,AB$7&gt;=INPUTS!$R$88,AB$7&lt;=INPUTS!$S$88),1,0)</f>
        <v>0</v>
      </c>
      <c r="AC37" s="108" t="n">
        <f aca="false">IF(AND((INPUTS!$E$88="Yes"),AC$16=1,AC$7&gt;=INPUTS!$R$88,AC$7&lt;=INPUTS!$S$88),1,0)</f>
        <v>0</v>
      </c>
      <c r="AD37" s="108" t="n">
        <f aca="false">IF(AND((INPUTS!$E$88="Yes"),AD$16=1,AD$7&gt;=INPUTS!$R$88,AD$7&lt;=INPUTS!$S$88),1,0)</f>
        <v>0</v>
      </c>
      <c r="AE37" s="108" t="n">
        <f aca="false">IF(AND((INPUTS!$E$88="Yes"),AE$16=1,AE$7&gt;=INPUTS!$R$88,AE$7&lt;=INPUTS!$S$88),1,0)</f>
        <v>0</v>
      </c>
      <c r="AF37" s="108" t="n">
        <f aca="false">IF(AND((INPUTS!$E$88="Yes"),AF$16=1,AF$7&gt;=INPUTS!$R$88,AF$7&lt;=INPUTS!$S$88),1,0)</f>
        <v>0</v>
      </c>
      <c r="AG37" s="108" t="n">
        <f aca="false">IF(AND((INPUTS!$E$88="Yes"),AG$16=1,AG$7&gt;=INPUTS!$R$88,AG$7&lt;=INPUTS!$S$88),1,0)</f>
        <v>0</v>
      </c>
      <c r="AH37" s="108" t="n">
        <f aca="false">IF(AND((INPUTS!$E$88="Yes"),AH$16=1,AH$7&gt;=INPUTS!$R$88,AH$7&lt;=INPUTS!$S$88),1,0)</f>
        <v>0</v>
      </c>
      <c r="AI37" s="108" t="n">
        <f aca="false">IF(AND((INPUTS!$E$88="Yes"),AI$16=1,AI$7&gt;=INPUTS!$R$88,AI$7&lt;=INPUTS!$S$88),1,0)</f>
        <v>0</v>
      </c>
      <c r="AJ37" s="108" t="n">
        <f aca="false">IF(AND((INPUTS!$E$88="Yes"),AJ$16=1,AJ$7&gt;=INPUTS!$R$88,AJ$7&lt;=INPUTS!$S$88),1,0)</f>
        <v>0</v>
      </c>
      <c r="AK37" s="108" t="n">
        <f aca="false">IF(AND((INPUTS!$E$88="Yes"),AK$16=1,AK$7&gt;=INPUTS!$R$88,AK$7&lt;=INPUTS!$S$88),1,0)</f>
        <v>0</v>
      </c>
      <c r="AL37" s="108" t="n">
        <f aca="false">IF(AND((INPUTS!$E$88="Yes"),AL$16=1,AL$7&gt;=INPUTS!$R$88,AL$7&lt;=INPUTS!$S$88),1,0)</f>
        <v>0</v>
      </c>
      <c r="AM37" s="108" t="n">
        <f aca="false">IF(AND((INPUTS!$E$88="Yes"),AM$16=1,AM$7&gt;=INPUTS!$R$88,AM$7&lt;=INPUTS!$S$88),1,0)</f>
        <v>0</v>
      </c>
      <c r="AN37" s="108" t="n">
        <f aca="false">IF(AND((INPUTS!$E$88="Yes"),AN$16=1,AN$7&gt;=INPUTS!$R$88,AN$7&lt;=INPUTS!$S$88),1,0)</f>
        <v>0</v>
      </c>
      <c r="AO37" s="108" t="n">
        <f aca="false">IF(AND((INPUTS!$E$88="Yes"),AO$16=1,AO$7&gt;=INPUTS!$R$88,AO$7&lt;=INPUTS!$S$88),1,0)</f>
        <v>0</v>
      </c>
      <c r="AP37" s="108" t="n">
        <f aca="false">IF(AND((INPUTS!$E$88="Yes"),AP$16=1,AP$7&gt;=INPUTS!$R$88,AP$7&lt;=INPUTS!$S$88),1,0)</f>
        <v>0</v>
      </c>
      <c r="AQ37" s="108" t="n">
        <f aca="false">IF(AND((INPUTS!$E$88="Yes"),AQ$16=1,AQ$7&gt;=INPUTS!$R$88,AQ$7&lt;=INPUTS!$S$88),1,0)</f>
        <v>0</v>
      </c>
    </row>
    <row r="38" customFormat="false" ht="15" hidden="false" customHeight="false" outlineLevel="0" collapsed="false">
      <c r="B38" s="3" t="s">
        <v>645</v>
      </c>
      <c r="C38" s="107" t="n">
        <f aca="false">MAX(D38:AQ38)</f>
        <v>12</v>
      </c>
      <c r="D38" s="108" t="n">
        <f aca="false">IF(D37=1,D$7-INPUTS!$R$88+1,0)</f>
        <v>0</v>
      </c>
      <c r="E38" s="108" t="n">
        <f aca="false">IF(E37=1,E$7-INPUTS!$R$88+1,0)</f>
        <v>0</v>
      </c>
      <c r="F38" s="108" t="n">
        <f aca="false">IF(F37=1,F$7-INPUTS!$R$88+1,0)</f>
        <v>0</v>
      </c>
      <c r="G38" s="108" t="n">
        <f aca="false">IF(G37=1,G$7-INPUTS!$R$88+1,0)</f>
        <v>1</v>
      </c>
      <c r="H38" s="108" t="n">
        <f aca="false">IF(H37=1,H$7-INPUTS!$R$88+1,0)</f>
        <v>2</v>
      </c>
      <c r="I38" s="108" t="n">
        <f aca="false">IF(I37=1,I$7-INPUTS!$R$88+1,0)</f>
        <v>3</v>
      </c>
      <c r="J38" s="108" t="n">
        <f aca="false">IF(J37=1,J$7-INPUTS!$R$88+1,0)</f>
        <v>4</v>
      </c>
      <c r="K38" s="108" t="n">
        <f aca="false">IF(K37=1,K$7-INPUTS!$R$88+1,0)</f>
        <v>5</v>
      </c>
      <c r="L38" s="108" t="n">
        <f aca="false">IF(L37=1,L$7-INPUTS!$R$88+1,0)</f>
        <v>6</v>
      </c>
      <c r="M38" s="108" t="n">
        <f aca="false">IF(M37=1,M$7-INPUTS!$R$88+1,0)</f>
        <v>7</v>
      </c>
      <c r="N38" s="108" t="n">
        <f aca="false">IF(N37=1,N$7-INPUTS!$R$88+1,0)</f>
        <v>8</v>
      </c>
      <c r="O38" s="108" t="n">
        <f aca="false">IF(O37=1,O$7-INPUTS!$R$88+1,0)</f>
        <v>9</v>
      </c>
      <c r="P38" s="108" t="n">
        <f aca="false">IF(P37=1,P$7-INPUTS!$R$88+1,0)</f>
        <v>10</v>
      </c>
      <c r="Q38" s="108" t="n">
        <f aca="false">IF(Q37=1,Q$7-INPUTS!$R$88+1,0)</f>
        <v>11</v>
      </c>
      <c r="R38" s="108" t="n">
        <f aca="false">IF(R37=1,R$7-INPUTS!$R$88+1,0)</f>
        <v>12</v>
      </c>
      <c r="S38" s="108" t="n">
        <f aca="false">IF(S37=1,S$7-INPUTS!$R$88+1,0)</f>
        <v>0</v>
      </c>
      <c r="T38" s="108" t="n">
        <f aca="false">IF(T37=1,T$7-INPUTS!$R$88+1,0)</f>
        <v>0</v>
      </c>
      <c r="U38" s="108" t="n">
        <f aca="false">IF(U37=1,U$7-INPUTS!$R$88+1,0)</f>
        <v>0</v>
      </c>
      <c r="V38" s="108" t="n">
        <f aca="false">IF(V37=1,V$7-INPUTS!$R$88+1,0)</f>
        <v>0</v>
      </c>
      <c r="W38" s="108" t="n">
        <f aca="false">IF(W37=1,W$7-INPUTS!$R$88+1,0)</f>
        <v>0</v>
      </c>
      <c r="X38" s="108" t="n">
        <f aca="false">IF(X37=1,X$7-INPUTS!$R$88+1,0)</f>
        <v>0</v>
      </c>
      <c r="Y38" s="108" t="n">
        <f aca="false">IF(Y37=1,Y$7-INPUTS!$R$88+1,0)</f>
        <v>0</v>
      </c>
      <c r="Z38" s="108" t="n">
        <f aca="false">IF(Z37=1,Z$7-INPUTS!$R$88+1,0)</f>
        <v>0</v>
      </c>
      <c r="AA38" s="108" t="n">
        <f aca="false">IF(AA37=1,AA$7-INPUTS!$R$88+1,0)</f>
        <v>0</v>
      </c>
      <c r="AB38" s="108" t="n">
        <f aca="false">IF(AB37=1,AB$7-INPUTS!$R$88+1,0)</f>
        <v>0</v>
      </c>
      <c r="AC38" s="108" t="n">
        <f aca="false">IF(AC37=1,AC$7-INPUTS!$R$88+1,0)</f>
        <v>0</v>
      </c>
      <c r="AD38" s="108" t="n">
        <f aca="false">IF(AD37=1,AD$7-INPUTS!$R$88+1,0)</f>
        <v>0</v>
      </c>
      <c r="AE38" s="108" t="n">
        <f aca="false">IF(AE37=1,AE$7-INPUTS!$R$88+1,0)</f>
        <v>0</v>
      </c>
      <c r="AF38" s="108" t="n">
        <f aca="false">IF(AF37=1,AF$7-INPUTS!$R$88+1,0)</f>
        <v>0</v>
      </c>
      <c r="AG38" s="108" t="n">
        <f aca="false">IF(AG37=1,AG$7-INPUTS!$R$88+1,0)</f>
        <v>0</v>
      </c>
      <c r="AH38" s="108" t="n">
        <f aca="false">IF(AH37=1,AH$7-INPUTS!$R$88+1,0)</f>
        <v>0</v>
      </c>
      <c r="AI38" s="108" t="n">
        <f aca="false">IF(AI37=1,AI$7-INPUTS!$R$88+1,0)</f>
        <v>0</v>
      </c>
      <c r="AJ38" s="108" t="n">
        <f aca="false">IF(AJ37=1,AJ$7-INPUTS!$R$88+1,0)</f>
        <v>0</v>
      </c>
      <c r="AK38" s="108" t="n">
        <f aca="false">IF(AK37=1,AK$7-INPUTS!$R$88+1,0)</f>
        <v>0</v>
      </c>
      <c r="AL38" s="108" t="n">
        <f aca="false">IF(AL37=1,AL$7-INPUTS!$R$88+1,0)</f>
        <v>0</v>
      </c>
      <c r="AM38" s="108" t="n">
        <f aca="false">IF(AM37=1,AM$7-INPUTS!$R$88+1,0)</f>
        <v>0</v>
      </c>
      <c r="AN38" s="108" t="n">
        <f aca="false">IF(AN37=1,AN$7-INPUTS!$R$88+1,0)</f>
        <v>0</v>
      </c>
      <c r="AO38" s="108" t="n">
        <f aca="false">IF(AO37=1,AO$7-INPUTS!$R$88+1,0)</f>
        <v>0</v>
      </c>
      <c r="AP38" s="108" t="n">
        <f aca="false">IF(AP37=1,AP$7-INPUTS!$R$88+1,0)</f>
        <v>0</v>
      </c>
      <c r="AQ38" s="108" t="n">
        <f aca="false">IF(AQ37=1,AQ$7-INPUTS!$R$88+1,0)</f>
        <v>0</v>
      </c>
    </row>
    <row r="39" customFormat="false" ht="15" hidden="false" customHeight="false" outlineLevel="0" collapsed="false">
      <c r="B39" s="3" t="s">
        <v>646</v>
      </c>
      <c r="C39" s="107" t="n">
        <f aca="false">SUM(D39:AQ39)</f>
        <v>25</v>
      </c>
      <c r="D39" s="108" t="n">
        <f aca="false">IF(AND((INPUTS!$E$88="Yes"),D$16=1,D$7&gt;INPUTS!$S$88),1,0)</f>
        <v>0</v>
      </c>
      <c r="E39" s="108" t="n">
        <f aca="false">IF(AND((INPUTS!$E$88="Yes"),E$16=1,E$7&gt;INPUTS!$S$88),1,0)</f>
        <v>0</v>
      </c>
      <c r="F39" s="108" t="n">
        <f aca="false">IF(AND((INPUTS!$E$88="Yes"),F$16=1,F$7&gt;INPUTS!$S$88),1,0)</f>
        <v>0</v>
      </c>
      <c r="G39" s="108" t="n">
        <f aca="false">IF(AND((INPUTS!$E$88="Yes"),G$16=1,G$7&gt;INPUTS!$S$88),1,0)</f>
        <v>0</v>
      </c>
      <c r="H39" s="108" t="n">
        <f aca="false">IF(AND((INPUTS!$E$88="Yes"),H$16=1,H$7&gt;INPUTS!$S$88),1,0)</f>
        <v>0</v>
      </c>
      <c r="I39" s="108" t="n">
        <f aca="false">IF(AND((INPUTS!$E$88="Yes"),I$16=1,I$7&gt;INPUTS!$S$88),1,0)</f>
        <v>0</v>
      </c>
      <c r="J39" s="108" t="n">
        <f aca="false">IF(AND((INPUTS!$E$88="Yes"),J$16=1,J$7&gt;INPUTS!$S$88),1,0)</f>
        <v>0</v>
      </c>
      <c r="K39" s="108" t="n">
        <f aca="false">IF(AND((INPUTS!$E$88="Yes"),K$16=1,K$7&gt;INPUTS!$S$88),1,0)</f>
        <v>0</v>
      </c>
      <c r="L39" s="108" t="n">
        <f aca="false">IF(AND((INPUTS!$E$88="Yes"),L$16=1,L$7&gt;INPUTS!$S$88),1,0)</f>
        <v>0</v>
      </c>
      <c r="M39" s="108" t="n">
        <f aca="false">IF(AND((INPUTS!$E$88="Yes"),M$16=1,M$7&gt;INPUTS!$S$88),1,0)</f>
        <v>0</v>
      </c>
      <c r="N39" s="108" t="n">
        <f aca="false">IF(AND((INPUTS!$E$88="Yes"),N$16=1,N$7&gt;INPUTS!$S$88),1,0)</f>
        <v>0</v>
      </c>
      <c r="O39" s="108" t="n">
        <f aca="false">IF(AND((INPUTS!$E$88="Yes"),O$16=1,O$7&gt;INPUTS!$S$88),1,0)</f>
        <v>0</v>
      </c>
      <c r="P39" s="108" t="n">
        <f aca="false">IF(AND((INPUTS!$E$88="Yes"),P$16=1,P$7&gt;INPUTS!$S$88),1,0)</f>
        <v>0</v>
      </c>
      <c r="Q39" s="108" t="n">
        <f aca="false">IF(AND((INPUTS!$E$88="Yes"),Q$16=1,Q$7&gt;INPUTS!$S$88),1,0)</f>
        <v>0</v>
      </c>
      <c r="R39" s="108" t="n">
        <f aca="false">IF(AND((INPUTS!$E$88="Yes"),R$16=1,R$7&gt;INPUTS!$S$88),1,0)</f>
        <v>0</v>
      </c>
      <c r="S39" s="108" t="n">
        <f aca="false">IF(AND((INPUTS!$E$88="Yes"),S$16=1,S$7&gt;INPUTS!$S$88),1,0)</f>
        <v>1</v>
      </c>
      <c r="T39" s="108" t="n">
        <f aca="false">IF(AND((INPUTS!$E$88="Yes"),T$16=1,T$7&gt;INPUTS!$S$88),1,0)</f>
        <v>1</v>
      </c>
      <c r="U39" s="108" t="n">
        <f aca="false">IF(AND((INPUTS!$E$88="Yes"),U$16=1,U$7&gt;INPUTS!$S$88),1,0)</f>
        <v>1</v>
      </c>
      <c r="V39" s="108" t="n">
        <f aca="false">IF(AND((INPUTS!$E$88="Yes"),V$16=1,V$7&gt;INPUTS!$S$88),1,0)</f>
        <v>1</v>
      </c>
      <c r="W39" s="108" t="n">
        <f aca="false">IF(AND((INPUTS!$E$88="Yes"),W$16=1,W$7&gt;INPUTS!$S$88),1,0)</f>
        <v>1</v>
      </c>
      <c r="X39" s="108" t="n">
        <f aca="false">IF(AND((INPUTS!$E$88="Yes"),X$16=1,X$7&gt;INPUTS!$S$88),1,0)</f>
        <v>1</v>
      </c>
      <c r="Y39" s="108" t="n">
        <f aca="false">IF(AND((INPUTS!$E$88="Yes"),Y$16=1,Y$7&gt;INPUTS!$S$88),1,0)</f>
        <v>1</v>
      </c>
      <c r="Z39" s="108" t="n">
        <f aca="false">IF(AND((INPUTS!$E$88="Yes"),Z$16=1,Z$7&gt;INPUTS!$S$88),1,0)</f>
        <v>1</v>
      </c>
      <c r="AA39" s="108" t="n">
        <f aca="false">IF(AND((INPUTS!$E$88="Yes"),AA$16=1,AA$7&gt;INPUTS!$S$88),1,0)</f>
        <v>1</v>
      </c>
      <c r="AB39" s="108" t="n">
        <f aca="false">IF(AND((INPUTS!$E$88="Yes"),AB$16=1,AB$7&gt;INPUTS!$S$88),1,0)</f>
        <v>1</v>
      </c>
      <c r="AC39" s="108" t="n">
        <f aca="false">IF(AND((INPUTS!$E$88="Yes"),AC$16=1,AC$7&gt;INPUTS!$S$88),1,0)</f>
        <v>1</v>
      </c>
      <c r="AD39" s="108" t="n">
        <f aca="false">IF(AND((INPUTS!$E$88="Yes"),AD$16=1,AD$7&gt;INPUTS!$S$88),1,0)</f>
        <v>1</v>
      </c>
      <c r="AE39" s="108" t="n">
        <f aca="false">IF(AND((INPUTS!$E$88="Yes"),AE$16=1,AE$7&gt;INPUTS!$S$88),1,0)</f>
        <v>1</v>
      </c>
      <c r="AF39" s="108" t="n">
        <f aca="false">IF(AND((INPUTS!$E$88="Yes"),AF$16=1,AF$7&gt;INPUTS!$S$88),1,0)</f>
        <v>1</v>
      </c>
      <c r="AG39" s="108" t="n">
        <f aca="false">IF(AND((INPUTS!$E$88="Yes"),AG$16=1,AG$7&gt;INPUTS!$S$88),1,0)</f>
        <v>1</v>
      </c>
      <c r="AH39" s="108" t="n">
        <f aca="false">IF(AND((INPUTS!$E$88="Yes"),AH$16=1,AH$7&gt;INPUTS!$S$88),1,0)</f>
        <v>1</v>
      </c>
      <c r="AI39" s="108" t="n">
        <f aca="false">IF(AND((INPUTS!$E$88="Yes"),AI$16=1,AI$7&gt;INPUTS!$S$88),1,0)</f>
        <v>1</v>
      </c>
      <c r="AJ39" s="108" t="n">
        <f aca="false">IF(AND((INPUTS!$E$88="Yes"),AJ$16=1,AJ$7&gt;INPUTS!$S$88),1,0)</f>
        <v>1</v>
      </c>
      <c r="AK39" s="108" t="n">
        <f aca="false">IF(AND((INPUTS!$E$88="Yes"),AK$16=1,AK$7&gt;INPUTS!$S$88),1,0)</f>
        <v>1</v>
      </c>
      <c r="AL39" s="108" t="n">
        <f aca="false">IF(AND((INPUTS!$E$88="Yes"),AL$16=1,AL$7&gt;INPUTS!$S$88),1,0)</f>
        <v>1</v>
      </c>
      <c r="AM39" s="108" t="n">
        <f aca="false">IF(AND((INPUTS!$E$88="Yes"),AM$16=1,AM$7&gt;INPUTS!$S$88),1,0)</f>
        <v>1</v>
      </c>
      <c r="AN39" s="108" t="n">
        <f aca="false">IF(AND((INPUTS!$E$88="Yes"),AN$16=1,AN$7&gt;INPUTS!$S$88),1,0)</f>
        <v>1</v>
      </c>
      <c r="AO39" s="108" t="n">
        <f aca="false">IF(AND((INPUTS!$E$88="Yes"),AO$16=1,AO$7&gt;INPUTS!$S$88),1,0)</f>
        <v>1</v>
      </c>
      <c r="AP39" s="108" t="n">
        <f aca="false">IF(AND((INPUTS!$E$88="Yes"),AP$16=1,AP$7&gt;INPUTS!$S$88),1,0)</f>
        <v>1</v>
      </c>
      <c r="AQ39" s="108" t="n">
        <f aca="false">IF(AND((INPUTS!$E$88="Yes"),AQ$16=1,AQ$7&gt;INPUTS!$S$88),1,0)</f>
        <v>1</v>
      </c>
    </row>
    <row r="40" customFormat="false" ht="15" hidden="false" customHeight="false" outlineLevel="0" collapsed="false">
      <c r="B40" s="17" t="s">
        <v>647</v>
      </c>
      <c r="C40" s="105" t="str">
        <f aca="false">IF(INPUTS!$E$88&lt;&gt;"Yes","Off",IF(OR(NOT(ISNUMBER(INPUTS!$P$88)),NOT(ISNUMBER(INPUTS!$Q$88)),NOT(ISNUMBER(INPUTS!$R$88)),NOT(ISNUMBER(INPUTS!$S$88))),"ERROR",IF(AND(C35=INPUTS!$Q$88-INPUTS!$P$88+1,C37=INPUTS!$S$88-INPUTS!$R$88+1,C39=MAX(0,INPUTS!$C$24-INPUTS!$S$88)),"OK","ERROR")))</f>
        <v>OK</v>
      </c>
    </row>
    <row r="41" customFormat="false" ht="15" hidden="false" customHeight="false" outlineLevel="0" collapsed="false">
      <c r="B41" s="110" t="str">
        <f aca="false">IF(INPUTS!$E$89="Yes",INPUTS!$B$89,"Product row 2 (off)")</f>
        <v>Apartments – Towers A &amp; B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customFormat="false" ht="15" hidden="false" customHeight="false" outlineLevel="0" collapsed="false">
      <c r="B42" s="3" t="s">
        <v>642</v>
      </c>
      <c r="C42" s="107" t="n">
        <f aca="false">SUM(D42:AQ42)</f>
        <v>12</v>
      </c>
      <c r="D42" s="108" t="n">
        <f aca="false">IF(AND((INPUTS!$E$89="Yes"),D$16=1,D$7&gt;=INPUTS!$P$89,D$7&lt;=INPUTS!$Q$89),1,0)</f>
        <v>0</v>
      </c>
      <c r="E42" s="108" t="n">
        <f aca="false">IF(AND((INPUTS!$E$89="Yes"),E$16=1,E$7&gt;=INPUTS!$P$89,E$7&lt;=INPUTS!$Q$89),1,0)</f>
        <v>0</v>
      </c>
      <c r="F42" s="108" t="n">
        <f aca="false">IF(AND((INPUTS!$E$89="Yes"),F$16=1,F$7&gt;=INPUTS!$P$89,F$7&lt;=INPUTS!$Q$89),1,0)</f>
        <v>0</v>
      </c>
      <c r="G42" s="108" t="n">
        <f aca="false">IF(AND((INPUTS!$E$89="Yes"),G$16=1,G$7&gt;=INPUTS!$P$89,G$7&lt;=INPUTS!$Q$89),1,0)</f>
        <v>1</v>
      </c>
      <c r="H42" s="108" t="n">
        <f aca="false">IF(AND((INPUTS!$E$89="Yes"),H$16=1,H$7&gt;=INPUTS!$P$89,H$7&lt;=INPUTS!$Q$89),1,0)</f>
        <v>1</v>
      </c>
      <c r="I42" s="108" t="n">
        <f aca="false">IF(AND((INPUTS!$E$89="Yes"),I$16=1,I$7&gt;=INPUTS!$P$89,I$7&lt;=INPUTS!$Q$89),1,0)</f>
        <v>1</v>
      </c>
      <c r="J42" s="108" t="n">
        <f aca="false">IF(AND((INPUTS!$E$89="Yes"),J$16=1,J$7&gt;=INPUTS!$P$89,J$7&lt;=INPUTS!$Q$89),1,0)</f>
        <v>1</v>
      </c>
      <c r="K42" s="108" t="n">
        <f aca="false">IF(AND((INPUTS!$E$89="Yes"),K$16=1,K$7&gt;=INPUTS!$P$89,K$7&lt;=INPUTS!$Q$89),1,0)</f>
        <v>1</v>
      </c>
      <c r="L42" s="108" t="n">
        <f aca="false">IF(AND((INPUTS!$E$89="Yes"),L$16=1,L$7&gt;=INPUTS!$P$89,L$7&lt;=INPUTS!$Q$89),1,0)</f>
        <v>1</v>
      </c>
      <c r="M42" s="108" t="n">
        <f aca="false">IF(AND((INPUTS!$E$89="Yes"),M$16=1,M$7&gt;=INPUTS!$P$89,M$7&lt;=INPUTS!$Q$89),1,0)</f>
        <v>1</v>
      </c>
      <c r="N42" s="108" t="n">
        <f aca="false">IF(AND((INPUTS!$E$89="Yes"),N$16=1,N$7&gt;=INPUTS!$P$89,N$7&lt;=INPUTS!$Q$89),1,0)</f>
        <v>1</v>
      </c>
      <c r="O42" s="108" t="n">
        <f aca="false">IF(AND((INPUTS!$E$89="Yes"),O$16=1,O$7&gt;=INPUTS!$P$89,O$7&lt;=INPUTS!$Q$89),1,0)</f>
        <v>1</v>
      </c>
      <c r="P42" s="108" t="n">
        <f aca="false">IF(AND((INPUTS!$E$89="Yes"),P$16=1,P$7&gt;=INPUTS!$P$89,P$7&lt;=INPUTS!$Q$89),1,0)</f>
        <v>1</v>
      </c>
      <c r="Q42" s="108" t="n">
        <f aca="false">IF(AND((INPUTS!$E$89="Yes"),Q$16=1,Q$7&gt;=INPUTS!$P$89,Q$7&lt;=INPUTS!$Q$89),1,0)</f>
        <v>1</v>
      </c>
      <c r="R42" s="108" t="n">
        <f aca="false">IF(AND((INPUTS!$E$89="Yes"),R$16=1,R$7&gt;=INPUTS!$P$89,R$7&lt;=INPUTS!$Q$89),1,0)</f>
        <v>1</v>
      </c>
      <c r="S42" s="108" t="n">
        <f aca="false">IF(AND((INPUTS!$E$89="Yes"),S$16=1,S$7&gt;=INPUTS!$P$89,S$7&lt;=INPUTS!$Q$89),1,0)</f>
        <v>0</v>
      </c>
      <c r="T42" s="108" t="n">
        <f aca="false">IF(AND((INPUTS!$E$89="Yes"),T$16=1,T$7&gt;=INPUTS!$P$89,T$7&lt;=INPUTS!$Q$89),1,0)</f>
        <v>0</v>
      </c>
      <c r="U42" s="108" t="n">
        <f aca="false">IF(AND((INPUTS!$E$89="Yes"),U$16=1,U$7&gt;=INPUTS!$P$89,U$7&lt;=INPUTS!$Q$89),1,0)</f>
        <v>0</v>
      </c>
      <c r="V42" s="108" t="n">
        <f aca="false">IF(AND((INPUTS!$E$89="Yes"),V$16=1,V$7&gt;=INPUTS!$P$89,V$7&lt;=INPUTS!$Q$89),1,0)</f>
        <v>0</v>
      </c>
      <c r="W42" s="108" t="n">
        <f aca="false">IF(AND((INPUTS!$E$89="Yes"),W$16=1,W$7&gt;=INPUTS!$P$89,W$7&lt;=INPUTS!$Q$89),1,0)</f>
        <v>0</v>
      </c>
      <c r="X42" s="108" t="n">
        <f aca="false">IF(AND((INPUTS!$E$89="Yes"),X$16=1,X$7&gt;=INPUTS!$P$89,X$7&lt;=INPUTS!$Q$89),1,0)</f>
        <v>0</v>
      </c>
      <c r="Y42" s="108" t="n">
        <f aca="false">IF(AND((INPUTS!$E$89="Yes"),Y$16=1,Y$7&gt;=INPUTS!$P$89,Y$7&lt;=INPUTS!$Q$89),1,0)</f>
        <v>0</v>
      </c>
      <c r="Z42" s="108" t="n">
        <f aca="false">IF(AND((INPUTS!$E$89="Yes"),Z$16=1,Z$7&gt;=INPUTS!$P$89,Z$7&lt;=INPUTS!$Q$89),1,0)</f>
        <v>0</v>
      </c>
      <c r="AA42" s="108" t="n">
        <f aca="false">IF(AND((INPUTS!$E$89="Yes"),AA$16=1,AA$7&gt;=INPUTS!$P$89,AA$7&lt;=INPUTS!$Q$89),1,0)</f>
        <v>0</v>
      </c>
      <c r="AB42" s="108" t="n">
        <f aca="false">IF(AND((INPUTS!$E$89="Yes"),AB$16=1,AB$7&gt;=INPUTS!$P$89,AB$7&lt;=INPUTS!$Q$89),1,0)</f>
        <v>0</v>
      </c>
      <c r="AC42" s="108" t="n">
        <f aca="false">IF(AND((INPUTS!$E$89="Yes"),AC$16=1,AC$7&gt;=INPUTS!$P$89,AC$7&lt;=INPUTS!$Q$89),1,0)</f>
        <v>0</v>
      </c>
      <c r="AD42" s="108" t="n">
        <f aca="false">IF(AND((INPUTS!$E$89="Yes"),AD$16=1,AD$7&gt;=INPUTS!$P$89,AD$7&lt;=INPUTS!$Q$89),1,0)</f>
        <v>0</v>
      </c>
      <c r="AE42" s="108" t="n">
        <f aca="false">IF(AND((INPUTS!$E$89="Yes"),AE$16=1,AE$7&gt;=INPUTS!$P$89,AE$7&lt;=INPUTS!$Q$89),1,0)</f>
        <v>0</v>
      </c>
      <c r="AF42" s="108" t="n">
        <f aca="false">IF(AND((INPUTS!$E$89="Yes"),AF$16=1,AF$7&gt;=INPUTS!$P$89,AF$7&lt;=INPUTS!$Q$89),1,0)</f>
        <v>0</v>
      </c>
      <c r="AG42" s="108" t="n">
        <f aca="false">IF(AND((INPUTS!$E$89="Yes"),AG$16=1,AG$7&gt;=INPUTS!$P$89,AG$7&lt;=INPUTS!$Q$89),1,0)</f>
        <v>0</v>
      </c>
      <c r="AH42" s="108" t="n">
        <f aca="false">IF(AND((INPUTS!$E$89="Yes"),AH$16=1,AH$7&gt;=INPUTS!$P$89,AH$7&lt;=INPUTS!$Q$89),1,0)</f>
        <v>0</v>
      </c>
      <c r="AI42" s="108" t="n">
        <f aca="false">IF(AND((INPUTS!$E$89="Yes"),AI$16=1,AI$7&gt;=INPUTS!$P$89,AI$7&lt;=INPUTS!$Q$89),1,0)</f>
        <v>0</v>
      </c>
      <c r="AJ42" s="108" t="n">
        <f aca="false">IF(AND((INPUTS!$E$89="Yes"),AJ$16=1,AJ$7&gt;=INPUTS!$P$89,AJ$7&lt;=INPUTS!$Q$89),1,0)</f>
        <v>0</v>
      </c>
      <c r="AK42" s="108" t="n">
        <f aca="false">IF(AND((INPUTS!$E$89="Yes"),AK$16=1,AK$7&gt;=INPUTS!$P$89,AK$7&lt;=INPUTS!$Q$89),1,0)</f>
        <v>0</v>
      </c>
      <c r="AL42" s="108" t="n">
        <f aca="false">IF(AND((INPUTS!$E$89="Yes"),AL$16=1,AL$7&gt;=INPUTS!$P$89,AL$7&lt;=INPUTS!$Q$89),1,0)</f>
        <v>0</v>
      </c>
      <c r="AM42" s="108" t="n">
        <f aca="false">IF(AND((INPUTS!$E$89="Yes"),AM$16=1,AM$7&gt;=INPUTS!$P$89,AM$7&lt;=INPUTS!$Q$89),1,0)</f>
        <v>0</v>
      </c>
      <c r="AN42" s="108" t="n">
        <f aca="false">IF(AND((INPUTS!$E$89="Yes"),AN$16=1,AN$7&gt;=INPUTS!$P$89,AN$7&lt;=INPUTS!$Q$89),1,0)</f>
        <v>0</v>
      </c>
      <c r="AO42" s="108" t="n">
        <f aca="false">IF(AND((INPUTS!$E$89="Yes"),AO$16=1,AO$7&gt;=INPUTS!$P$89,AO$7&lt;=INPUTS!$Q$89),1,0)</f>
        <v>0</v>
      </c>
      <c r="AP42" s="108" t="n">
        <f aca="false">IF(AND((INPUTS!$E$89="Yes"),AP$16=1,AP$7&gt;=INPUTS!$P$89,AP$7&lt;=INPUTS!$Q$89),1,0)</f>
        <v>0</v>
      </c>
      <c r="AQ42" s="108" t="n">
        <f aca="false">IF(AND((INPUTS!$E$89="Yes"),AQ$16=1,AQ$7&gt;=INPUTS!$P$89,AQ$7&lt;=INPUTS!$Q$89),1,0)</f>
        <v>0</v>
      </c>
    </row>
    <row r="43" customFormat="false" ht="15" hidden="false" customHeight="false" outlineLevel="0" collapsed="false">
      <c r="B43" s="3" t="s">
        <v>643</v>
      </c>
      <c r="C43" s="107" t="n">
        <f aca="false">MAX(D43:AQ43)</f>
        <v>12</v>
      </c>
      <c r="D43" s="108" t="n">
        <f aca="false">IF(D42=1,D$7-INPUTS!$P$89+1,0)</f>
        <v>0</v>
      </c>
      <c r="E43" s="108" t="n">
        <f aca="false">IF(E42=1,E$7-INPUTS!$P$89+1,0)</f>
        <v>0</v>
      </c>
      <c r="F43" s="108" t="n">
        <f aca="false">IF(F42=1,F$7-INPUTS!$P$89+1,0)</f>
        <v>0</v>
      </c>
      <c r="G43" s="108" t="n">
        <f aca="false">IF(G42=1,G$7-INPUTS!$P$89+1,0)</f>
        <v>1</v>
      </c>
      <c r="H43" s="108" t="n">
        <f aca="false">IF(H42=1,H$7-INPUTS!$P$89+1,0)</f>
        <v>2</v>
      </c>
      <c r="I43" s="108" t="n">
        <f aca="false">IF(I42=1,I$7-INPUTS!$P$89+1,0)</f>
        <v>3</v>
      </c>
      <c r="J43" s="108" t="n">
        <f aca="false">IF(J42=1,J$7-INPUTS!$P$89+1,0)</f>
        <v>4</v>
      </c>
      <c r="K43" s="108" t="n">
        <f aca="false">IF(K42=1,K$7-INPUTS!$P$89+1,0)</f>
        <v>5</v>
      </c>
      <c r="L43" s="108" t="n">
        <f aca="false">IF(L42=1,L$7-INPUTS!$P$89+1,0)</f>
        <v>6</v>
      </c>
      <c r="M43" s="108" t="n">
        <f aca="false">IF(M42=1,M$7-INPUTS!$P$89+1,0)</f>
        <v>7</v>
      </c>
      <c r="N43" s="108" t="n">
        <f aca="false">IF(N42=1,N$7-INPUTS!$P$89+1,0)</f>
        <v>8</v>
      </c>
      <c r="O43" s="108" t="n">
        <f aca="false">IF(O42=1,O$7-INPUTS!$P$89+1,0)</f>
        <v>9</v>
      </c>
      <c r="P43" s="108" t="n">
        <f aca="false">IF(P42=1,P$7-INPUTS!$P$89+1,0)</f>
        <v>10</v>
      </c>
      <c r="Q43" s="108" t="n">
        <f aca="false">IF(Q42=1,Q$7-INPUTS!$P$89+1,0)</f>
        <v>11</v>
      </c>
      <c r="R43" s="108" t="n">
        <f aca="false">IF(R42=1,R$7-INPUTS!$P$89+1,0)</f>
        <v>12</v>
      </c>
      <c r="S43" s="108" t="n">
        <f aca="false">IF(S42=1,S$7-INPUTS!$P$89+1,0)</f>
        <v>0</v>
      </c>
      <c r="T43" s="108" t="n">
        <f aca="false">IF(T42=1,T$7-INPUTS!$P$89+1,0)</f>
        <v>0</v>
      </c>
      <c r="U43" s="108" t="n">
        <f aca="false">IF(U42=1,U$7-INPUTS!$P$89+1,0)</f>
        <v>0</v>
      </c>
      <c r="V43" s="108" t="n">
        <f aca="false">IF(V42=1,V$7-INPUTS!$P$89+1,0)</f>
        <v>0</v>
      </c>
      <c r="W43" s="108" t="n">
        <f aca="false">IF(W42=1,W$7-INPUTS!$P$89+1,0)</f>
        <v>0</v>
      </c>
      <c r="X43" s="108" t="n">
        <f aca="false">IF(X42=1,X$7-INPUTS!$P$89+1,0)</f>
        <v>0</v>
      </c>
      <c r="Y43" s="108" t="n">
        <f aca="false">IF(Y42=1,Y$7-INPUTS!$P$89+1,0)</f>
        <v>0</v>
      </c>
      <c r="Z43" s="108" t="n">
        <f aca="false">IF(Z42=1,Z$7-INPUTS!$P$89+1,0)</f>
        <v>0</v>
      </c>
      <c r="AA43" s="108" t="n">
        <f aca="false">IF(AA42=1,AA$7-INPUTS!$P$89+1,0)</f>
        <v>0</v>
      </c>
      <c r="AB43" s="108" t="n">
        <f aca="false">IF(AB42=1,AB$7-INPUTS!$P$89+1,0)</f>
        <v>0</v>
      </c>
      <c r="AC43" s="108" t="n">
        <f aca="false">IF(AC42=1,AC$7-INPUTS!$P$89+1,0)</f>
        <v>0</v>
      </c>
      <c r="AD43" s="108" t="n">
        <f aca="false">IF(AD42=1,AD$7-INPUTS!$P$89+1,0)</f>
        <v>0</v>
      </c>
      <c r="AE43" s="108" t="n">
        <f aca="false">IF(AE42=1,AE$7-INPUTS!$P$89+1,0)</f>
        <v>0</v>
      </c>
      <c r="AF43" s="108" t="n">
        <f aca="false">IF(AF42=1,AF$7-INPUTS!$P$89+1,0)</f>
        <v>0</v>
      </c>
      <c r="AG43" s="108" t="n">
        <f aca="false">IF(AG42=1,AG$7-INPUTS!$P$89+1,0)</f>
        <v>0</v>
      </c>
      <c r="AH43" s="108" t="n">
        <f aca="false">IF(AH42=1,AH$7-INPUTS!$P$89+1,0)</f>
        <v>0</v>
      </c>
      <c r="AI43" s="108" t="n">
        <f aca="false">IF(AI42=1,AI$7-INPUTS!$P$89+1,0)</f>
        <v>0</v>
      </c>
      <c r="AJ43" s="108" t="n">
        <f aca="false">IF(AJ42=1,AJ$7-INPUTS!$P$89+1,0)</f>
        <v>0</v>
      </c>
      <c r="AK43" s="108" t="n">
        <f aca="false">IF(AK42=1,AK$7-INPUTS!$P$89+1,0)</f>
        <v>0</v>
      </c>
      <c r="AL43" s="108" t="n">
        <f aca="false">IF(AL42=1,AL$7-INPUTS!$P$89+1,0)</f>
        <v>0</v>
      </c>
      <c r="AM43" s="108" t="n">
        <f aca="false">IF(AM42=1,AM$7-INPUTS!$P$89+1,0)</f>
        <v>0</v>
      </c>
      <c r="AN43" s="108" t="n">
        <f aca="false">IF(AN42=1,AN$7-INPUTS!$P$89+1,0)</f>
        <v>0</v>
      </c>
      <c r="AO43" s="108" t="n">
        <f aca="false">IF(AO42=1,AO$7-INPUTS!$P$89+1,0)</f>
        <v>0</v>
      </c>
      <c r="AP43" s="108" t="n">
        <f aca="false">IF(AP42=1,AP$7-INPUTS!$P$89+1,0)</f>
        <v>0</v>
      </c>
      <c r="AQ43" s="108" t="n">
        <f aca="false">IF(AQ42=1,AQ$7-INPUTS!$P$89+1,0)</f>
        <v>0</v>
      </c>
    </row>
    <row r="44" customFormat="false" ht="15" hidden="false" customHeight="false" outlineLevel="0" collapsed="false">
      <c r="B44" s="3" t="s">
        <v>644</v>
      </c>
      <c r="C44" s="107" t="n">
        <f aca="false">SUM(D44:AQ44)</f>
        <v>16</v>
      </c>
      <c r="D44" s="108" t="n">
        <f aca="false">IF(AND((INPUTS!$E$89="Yes"),D$16=1,D$7&gt;=INPUTS!$R$89,D$7&lt;=INPUTS!$S$89),1,0)</f>
        <v>0</v>
      </c>
      <c r="E44" s="108" t="n">
        <f aca="false">IF(AND((INPUTS!$E$89="Yes"),E$16=1,E$7&gt;=INPUTS!$R$89,E$7&lt;=INPUTS!$S$89),1,0)</f>
        <v>0</v>
      </c>
      <c r="F44" s="108" t="n">
        <f aca="false">IF(AND((INPUTS!$E$89="Yes"),F$16=1,F$7&gt;=INPUTS!$R$89,F$7&lt;=INPUTS!$S$89),1,0)</f>
        <v>0</v>
      </c>
      <c r="G44" s="108" t="n">
        <f aca="false">IF(AND((INPUTS!$E$89="Yes"),G$16=1,G$7&gt;=INPUTS!$R$89,G$7&lt;=INPUTS!$S$89),1,0)</f>
        <v>0</v>
      </c>
      <c r="H44" s="108" t="n">
        <f aca="false">IF(AND((INPUTS!$E$89="Yes"),H$16=1,H$7&gt;=INPUTS!$R$89,H$7&lt;=INPUTS!$S$89),1,0)</f>
        <v>1</v>
      </c>
      <c r="I44" s="108" t="n">
        <f aca="false">IF(AND((INPUTS!$E$89="Yes"),I$16=1,I$7&gt;=INPUTS!$R$89,I$7&lt;=INPUTS!$S$89),1,0)</f>
        <v>1</v>
      </c>
      <c r="J44" s="108" t="n">
        <f aca="false">IF(AND((INPUTS!$E$89="Yes"),J$16=1,J$7&gt;=INPUTS!$R$89,J$7&lt;=INPUTS!$S$89),1,0)</f>
        <v>1</v>
      </c>
      <c r="K44" s="108" t="n">
        <f aca="false">IF(AND((INPUTS!$E$89="Yes"),K$16=1,K$7&gt;=INPUTS!$R$89,K$7&lt;=INPUTS!$S$89),1,0)</f>
        <v>1</v>
      </c>
      <c r="L44" s="108" t="n">
        <f aca="false">IF(AND((INPUTS!$E$89="Yes"),L$16=1,L$7&gt;=INPUTS!$R$89,L$7&lt;=INPUTS!$S$89),1,0)</f>
        <v>1</v>
      </c>
      <c r="M44" s="108" t="n">
        <f aca="false">IF(AND((INPUTS!$E$89="Yes"),M$16=1,M$7&gt;=INPUTS!$R$89,M$7&lt;=INPUTS!$S$89),1,0)</f>
        <v>1</v>
      </c>
      <c r="N44" s="108" t="n">
        <f aca="false">IF(AND((INPUTS!$E$89="Yes"),N$16=1,N$7&gt;=INPUTS!$R$89,N$7&lt;=INPUTS!$S$89),1,0)</f>
        <v>1</v>
      </c>
      <c r="O44" s="108" t="n">
        <f aca="false">IF(AND((INPUTS!$E$89="Yes"),O$16=1,O$7&gt;=INPUTS!$R$89,O$7&lt;=INPUTS!$S$89),1,0)</f>
        <v>1</v>
      </c>
      <c r="P44" s="108" t="n">
        <f aca="false">IF(AND((INPUTS!$E$89="Yes"),P$16=1,P$7&gt;=INPUTS!$R$89,P$7&lt;=INPUTS!$S$89),1,0)</f>
        <v>1</v>
      </c>
      <c r="Q44" s="108" t="n">
        <f aca="false">IF(AND((INPUTS!$E$89="Yes"),Q$16=1,Q$7&gt;=INPUTS!$R$89,Q$7&lt;=INPUTS!$S$89),1,0)</f>
        <v>1</v>
      </c>
      <c r="R44" s="108" t="n">
        <f aca="false">IF(AND((INPUTS!$E$89="Yes"),R$16=1,R$7&gt;=INPUTS!$R$89,R$7&lt;=INPUTS!$S$89),1,0)</f>
        <v>1</v>
      </c>
      <c r="S44" s="108" t="n">
        <f aca="false">IF(AND((INPUTS!$E$89="Yes"),S$16=1,S$7&gt;=INPUTS!$R$89,S$7&lt;=INPUTS!$S$89),1,0)</f>
        <v>1</v>
      </c>
      <c r="T44" s="108" t="n">
        <f aca="false">IF(AND((INPUTS!$E$89="Yes"),T$16=1,T$7&gt;=INPUTS!$R$89,T$7&lt;=INPUTS!$S$89),1,0)</f>
        <v>1</v>
      </c>
      <c r="U44" s="108" t="n">
        <f aca="false">IF(AND((INPUTS!$E$89="Yes"),U$16=1,U$7&gt;=INPUTS!$R$89,U$7&lt;=INPUTS!$S$89),1,0)</f>
        <v>1</v>
      </c>
      <c r="V44" s="108" t="n">
        <f aca="false">IF(AND((INPUTS!$E$89="Yes"),V$16=1,V$7&gt;=INPUTS!$R$89,V$7&lt;=INPUTS!$S$89),1,0)</f>
        <v>1</v>
      </c>
      <c r="W44" s="108" t="n">
        <f aca="false">IF(AND((INPUTS!$E$89="Yes"),W$16=1,W$7&gt;=INPUTS!$R$89,W$7&lt;=INPUTS!$S$89),1,0)</f>
        <v>1</v>
      </c>
      <c r="X44" s="108" t="n">
        <f aca="false">IF(AND((INPUTS!$E$89="Yes"),X$16=1,X$7&gt;=INPUTS!$R$89,X$7&lt;=INPUTS!$S$89),1,0)</f>
        <v>0</v>
      </c>
      <c r="Y44" s="108" t="n">
        <f aca="false">IF(AND((INPUTS!$E$89="Yes"),Y$16=1,Y$7&gt;=INPUTS!$R$89,Y$7&lt;=INPUTS!$S$89),1,0)</f>
        <v>0</v>
      </c>
      <c r="Z44" s="108" t="n">
        <f aca="false">IF(AND((INPUTS!$E$89="Yes"),Z$16=1,Z$7&gt;=INPUTS!$R$89,Z$7&lt;=INPUTS!$S$89),1,0)</f>
        <v>0</v>
      </c>
      <c r="AA44" s="108" t="n">
        <f aca="false">IF(AND((INPUTS!$E$89="Yes"),AA$16=1,AA$7&gt;=INPUTS!$R$89,AA$7&lt;=INPUTS!$S$89),1,0)</f>
        <v>0</v>
      </c>
      <c r="AB44" s="108" t="n">
        <f aca="false">IF(AND((INPUTS!$E$89="Yes"),AB$16=1,AB$7&gt;=INPUTS!$R$89,AB$7&lt;=INPUTS!$S$89),1,0)</f>
        <v>0</v>
      </c>
      <c r="AC44" s="108" t="n">
        <f aca="false">IF(AND((INPUTS!$E$89="Yes"),AC$16=1,AC$7&gt;=INPUTS!$R$89,AC$7&lt;=INPUTS!$S$89),1,0)</f>
        <v>0</v>
      </c>
      <c r="AD44" s="108" t="n">
        <f aca="false">IF(AND((INPUTS!$E$89="Yes"),AD$16=1,AD$7&gt;=INPUTS!$R$89,AD$7&lt;=INPUTS!$S$89),1,0)</f>
        <v>0</v>
      </c>
      <c r="AE44" s="108" t="n">
        <f aca="false">IF(AND((INPUTS!$E$89="Yes"),AE$16=1,AE$7&gt;=INPUTS!$R$89,AE$7&lt;=INPUTS!$S$89),1,0)</f>
        <v>0</v>
      </c>
      <c r="AF44" s="108" t="n">
        <f aca="false">IF(AND((INPUTS!$E$89="Yes"),AF$16=1,AF$7&gt;=INPUTS!$R$89,AF$7&lt;=INPUTS!$S$89),1,0)</f>
        <v>0</v>
      </c>
      <c r="AG44" s="108" t="n">
        <f aca="false">IF(AND((INPUTS!$E$89="Yes"),AG$16=1,AG$7&gt;=INPUTS!$R$89,AG$7&lt;=INPUTS!$S$89),1,0)</f>
        <v>0</v>
      </c>
      <c r="AH44" s="108" t="n">
        <f aca="false">IF(AND((INPUTS!$E$89="Yes"),AH$16=1,AH$7&gt;=INPUTS!$R$89,AH$7&lt;=INPUTS!$S$89),1,0)</f>
        <v>0</v>
      </c>
      <c r="AI44" s="108" t="n">
        <f aca="false">IF(AND((INPUTS!$E$89="Yes"),AI$16=1,AI$7&gt;=INPUTS!$R$89,AI$7&lt;=INPUTS!$S$89),1,0)</f>
        <v>0</v>
      </c>
      <c r="AJ44" s="108" t="n">
        <f aca="false">IF(AND((INPUTS!$E$89="Yes"),AJ$16=1,AJ$7&gt;=INPUTS!$R$89,AJ$7&lt;=INPUTS!$S$89),1,0)</f>
        <v>0</v>
      </c>
      <c r="AK44" s="108" t="n">
        <f aca="false">IF(AND((INPUTS!$E$89="Yes"),AK$16=1,AK$7&gt;=INPUTS!$R$89,AK$7&lt;=INPUTS!$S$89),1,0)</f>
        <v>0</v>
      </c>
      <c r="AL44" s="108" t="n">
        <f aca="false">IF(AND((INPUTS!$E$89="Yes"),AL$16=1,AL$7&gt;=INPUTS!$R$89,AL$7&lt;=INPUTS!$S$89),1,0)</f>
        <v>0</v>
      </c>
      <c r="AM44" s="108" t="n">
        <f aca="false">IF(AND((INPUTS!$E$89="Yes"),AM$16=1,AM$7&gt;=INPUTS!$R$89,AM$7&lt;=INPUTS!$S$89),1,0)</f>
        <v>0</v>
      </c>
      <c r="AN44" s="108" t="n">
        <f aca="false">IF(AND((INPUTS!$E$89="Yes"),AN$16=1,AN$7&gt;=INPUTS!$R$89,AN$7&lt;=INPUTS!$S$89),1,0)</f>
        <v>0</v>
      </c>
      <c r="AO44" s="108" t="n">
        <f aca="false">IF(AND((INPUTS!$E$89="Yes"),AO$16=1,AO$7&gt;=INPUTS!$R$89,AO$7&lt;=INPUTS!$S$89),1,0)</f>
        <v>0</v>
      </c>
      <c r="AP44" s="108" t="n">
        <f aca="false">IF(AND((INPUTS!$E$89="Yes"),AP$16=1,AP$7&gt;=INPUTS!$R$89,AP$7&lt;=INPUTS!$S$89),1,0)</f>
        <v>0</v>
      </c>
      <c r="AQ44" s="108" t="n">
        <f aca="false">IF(AND((INPUTS!$E$89="Yes"),AQ$16=1,AQ$7&gt;=INPUTS!$R$89,AQ$7&lt;=INPUTS!$S$89),1,0)</f>
        <v>0</v>
      </c>
    </row>
    <row r="45" customFormat="false" ht="15" hidden="false" customHeight="false" outlineLevel="0" collapsed="false">
      <c r="B45" s="3" t="s">
        <v>645</v>
      </c>
      <c r="C45" s="107" t="n">
        <f aca="false">MAX(D45:AQ45)</f>
        <v>16</v>
      </c>
      <c r="D45" s="108" t="n">
        <f aca="false">IF(D44=1,D$7-INPUTS!$R$89+1,0)</f>
        <v>0</v>
      </c>
      <c r="E45" s="108" t="n">
        <f aca="false">IF(E44=1,E$7-INPUTS!$R$89+1,0)</f>
        <v>0</v>
      </c>
      <c r="F45" s="108" t="n">
        <f aca="false">IF(F44=1,F$7-INPUTS!$R$89+1,0)</f>
        <v>0</v>
      </c>
      <c r="G45" s="108" t="n">
        <f aca="false">IF(G44=1,G$7-INPUTS!$R$89+1,0)</f>
        <v>0</v>
      </c>
      <c r="H45" s="108" t="n">
        <f aca="false">IF(H44=1,H$7-INPUTS!$R$89+1,0)</f>
        <v>1</v>
      </c>
      <c r="I45" s="108" t="n">
        <f aca="false">IF(I44=1,I$7-INPUTS!$R$89+1,0)</f>
        <v>2</v>
      </c>
      <c r="J45" s="108" t="n">
        <f aca="false">IF(J44=1,J$7-INPUTS!$R$89+1,0)</f>
        <v>3</v>
      </c>
      <c r="K45" s="108" t="n">
        <f aca="false">IF(K44=1,K$7-INPUTS!$R$89+1,0)</f>
        <v>4</v>
      </c>
      <c r="L45" s="108" t="n">
        <f aca="false">IF(L44=1,L$7-INPUTS!$R$89+1,0)</f>
        <v>5</v>
      </c>
      <c r="M45" s="108" t="n">
        <f aca="false">IF(M44=1,M$7-INPUTS!$R$89+1,0)</f>
        <v>6</v>
      </c>
      <c r="N45" s="108" t="n">
        <f aca="false">IF(N44=1,N$7-INPUTS!$R$89+1,0)</f>
        <v>7</v>
      </c>
      <c r="O45" s="108" t="n">
        <f aca="false">IF(O44=1,O$7-INPUTS!$R$89+1,0)</f>
        <v>8</v>
      </c>
      <c r="P45" s="108" t="n">
        <f aca="false">IF(P44=1,P$7-INPUTS!$R$89+1,0)</f>
        <v>9</v>
      </c>
      <c r="Q45" s="108" t="n">
        <f aca="false">IF(Q44=1,Q$7-INPUTS!$R$89+1,0)</f>
        <v>10</v>
      </c>
      <c r="R45" s="108" t="n">
        <f aca="false">IF(R44=1,R$7-INPUTS!$R$89+1,0)</f>
        <v>11</v>
      </c>
      <c r="S45" s="108" t="n">
        <f aca="false">IF(S44=1,S$7-INPUTS!$R$89+1,0)</f>
        <v>12</v>
      </c>
      <c r="T45" s="108" t="n">
        <f aca="false">IF(T44=1,T$7-INPUTS!$R$89+1,0)</f>
        <v>13</v>
      </c>
      <c r="U45" s="108" t="n">
        <f aca="false">IF(U44=1,U$7-INPUTS!$R$89+1,0)</f>
        <v>14</v>
      </c>
      <c r="V45" s="108" t="n">
        <f aca="false">IF(V44=1,V$7-INPUTS!$R$89+1,0)</f>
        <v>15</v>
      </c>
      <c r="W45" s="108" t="n">
        <f aca="false">IF(W44=1,W$7-INPUTS!$R$89+1,0)</f>
        <v>16</v>
      </c>
      <c r="X45" s="108" t="n">
        <f aca="false">IF(X44=1,X$7-INPUTS!$R$89+1,0)</f>
        <v>0</v>
      </c>
      <c r="Y45" s="108" t="n">
        <f aca="false">IF(Y44=1,Y$7-INPUTS!$R$89+1,0)</f>
        <v>0</v>
      </c>
      <c r="Z45" s="108" t="n">
        <f aca="false">IF(Z44=1,Z$7-INPUTS!$R$89+1,0)</f>
        <v>0</v>
      </c>
      <c r="AA45" s="108" t="n">
        <f aca="false">IF(AA44=1,AA$7-INPUTS!$R$89+1,0)</f>
        <v>0</v>
      </c>
      <c r="AB45" s="108" t="n">
        <f aca="false">IF(AB44=1,AB$7-INPUTS!$R$89+1,0)</f>
        <v>0</v>
      </c>
      <c r="AC45" s="108" t="n">
        <f aca="false">IF(AC44=1,AC$7-INPUTS!$R$89+1,0)</f>
        <v>0</v>
      </c>
      <c r="AD45" s="108" t="n">
        <f aca="false">IF(AD44=1,AD$7-INPUTS!$R$89+1,0)</f>
        <v>0</v>
      </c>
      <c r="AE45" s="108" t="n">
        <f aca="false">IF(AE44=1,AE$7-INPUTS!$R$89+1,0)</f>
        <v>0</v>
      </c>
      <c r="AF45" s="108" t="n">
        <f aca="false">IF(AF44=1,AF$7-INPUTS!$R$89+1,0)</f>
        <v>0</v>
      </c>
      <c r="AG45" s="108" t="n">
        <f aca="false">IF(AG44=1,AG$7-INPUTS!$R$89+1,0)</f>
        <v>0</v>
      </c>
      <c r="AH45" s="108" t="n">
        <f aca="false">IF(AH44=1,AH$7-INPUTS!$R$89+1,0)</f>
        <v>0</v>
      </c>
      <c r="AI45" s="108" t="n">
        <f aca="false">IF(AI44=1,AI$7-INPUTS!$R$89+1,0)</f>
        <v>0</v>
      </c>
      <c r="AJ45" s="108" t="n">
        <f aca="false">IF(AJ44=1,AJ$7-INPUTS!$R$89+1,0)</f>
        <v>0</v>
      </c>
      <c r="AK45" s="108" t="n">
        <f aca="false">IF(AK44=1,AK$7-INPUTS!$R$89+1,0)</f>
        <v>0</v>
      </c>
      <c r="AL45" s="108" t="n">
        <f aca="false">IF(AL44=1,AL$7-INPUTS!$R$89+1,0)</f>
        <v>0</v>
      </c>
      <c r="AM45" s="108" t="n">
        <f aca="false">IF(AM44=1,AM$7-INPUTS!$R$89+1,0)</f>
        <v>0</v>
      </c>
      <c r="AN45" s="108" t="n">
        <f aca="false">IF(AN44=1,AN$7-INPUTS!$R$89+1,0)</f>
        <v>0</v>
      </c>
      <c r="AO45" s="108" t="n">
        <f aca="false">IF(AO44=1,AO$7-INPUTS!$R$89+1,0)</f>
        <v>0</v>
      </c>
      <c r="AP45" s="108" t="n">
        <f aca="false">IF(AP44=1,AP$7-INPUTS!$R$89+1,0)</f>
        <v>0</v>
      </c>
      <c r="AQ45" s="108" t="n">
        <f aca="false">IF(AQ44=1,AQ$7-INPUTS!$R$89+1,0)</f>
        <v>0</v>
      </c>
    </row>
    <row r="46" customFormat="false" ht="15" hidden="false" customHeight="false" outlineLevel="0" collapsed="false">
      <c r="B46" s="3" t="s">
        <v>646</v>
      </c>
      <c r="C46" s="107" t="n">
        <f aca="false">SUM(D46:AQ46)</f>
        <v>20</v>
      </c>
      <c r="D46" s="108" t="n">
        <f aca="false">IF(AND((INPUTS!$E$89="Yes"),D$16=1,D$7&gt;INPUTS!$S$89),1,0)</f>
        <v>0</v>
      </c>
      <c r="E46" s="108" t="n">
        <f aca="false">IF(AND((INPUTS!$E$89="Yes"),E$16=1,E$7&gt;INPUTS!$S$89),1,0)</f>
        <v>0</v>
      </c>
      <c r="F46" s="108" t="n">
        <f aca="false">IF(AND((INPUTS!$E$89="Yes"),F$16=1,F$7&gt;INPUTS!$S$89),1,0)</f>
        <v>0</v>
      </c>
      <c r="G46" s="108" t="n">
        <f aca="false">IF(AND((INPUTS!$E$89="Yes"),G$16=1,G$7&gt;INPUTS!$S$89),1,0)</f>
        <v>0</v>
      </c>
      <c r="H46" s="108" t="n">
        <f aca="false">IF(AND((INPUTS!$E$89="Yes"),H$16=1,H$7&gt;INPUTS!$S$89),1,0)</f>
        <v>0</v>
      </c>
      <c r="I46" s="108" t="n">
        <f aca="false">IF(AND((INPUTS!$E$89="Yes"),I$16=1,I$7&gt;INPUTS!$S$89),1,0)</f>
        <v>0</v>
      </c>
      <c r="J46" s="108" t="n">
        <f aca="false">IF(AND((INPUTS!$E$89="Yes"),J$16=1,J$7&gt;INPUTS!$S$89),1,0)</f>
        <v>0</v>
      </c>
      <c r="K46" s="108" t="n">
        <f aca="false">IF(AND((INPUTS!$E$89="Yes"),K$16=1,K$7&gt;INPUTS!$S$89),1,0)</f>
        <v>0</v>
      </c>
      <c r="L46" s="108" t="n">
        <f aca="false">IF(AND((INPUTS!$E$89="Yes"),L$16=1,L$7&gt;INPUTS!$S$89),1,0)</f>
        <v>0</v>
      </c>
      <c r="M46" s="108" t="n">
        <f aca="false">IF(AND((INPUTS!$E$89="Yes"),M$16=1,M$7&gt;INPUTS!$S$89),1,0)</f>
        <v>0</v>
      </c>
      <c r="N46" s="108" t="n">
        <f aca="false">IF(AND((INPUTS!$E$89="Yes"),N$16=1,N$7&gt;INPUTS!$S$89),1,0)</f>
        <v>0</v>
      </c>
      <c r="O46" s="108" t="n">
        <f aca="false">IF(AND((INPUTS!$E$89="Yes"),O$16=1,O$7&gt;INPUTS!$S$89),1,0)</f>
        <v>0</v>
      </c>
      <c r="P46" s="108" t="n">
        <f aca="false">IF(AND((INPUTS!$E$89="Yes"),P$16=1,P$7&gt;INPUTS!$S$89),1,0)</f>
        <v>0</v>
      </c>
      <c r="Q46" s="108" t="n">
        <f aca="false">IF(AND((INPUTS!$E$89="Yes"),Q$16=1,Q$7&gt;INPUTS!$S$89),1,0)</f>
        <v>0</v>
      </c>
      <c r="R46" s="108" t="n">
        <f aca="false">IF(AND((INPUTS!$E$89="Yes"),R$16=1,R$7&gt;INPUTS!$S$89),1,0)</f>
        <v>0</v>
      </c>
      <c r="S46" s="108" t="n">
        <f aca="false">IF(AND((INPUTS!$E$89="Yes"),S$16=1,S$7&gt;INPUTS!$S$89),1,0)</f>
        <v>0</v>
      </c>
      <c r="T46" s="108" t="n">
        <f aca="false">IF(AND((INPUTS!$E$89="Yes"),T$16=1,T$7&gt;INPUTS!$S$89),1,0)</f>
        <v>0</v>
      </c>
      <c r="U46" s="108" t="n">
        <f aca="false">IF(AND((INPUTS!$E$89="Yes"),U$16=1,U$7&gt;INPUTS!$S$89),1,0)</f>
        <v>0</v>
      </c>
      <c r="V46" s="108" t="n">
        <f aca="false">IF(AND((INPUTS!$E$89="Yes"),V$16=1,V$7&gt;INPUTS!$S$89),1,0)</f>
        <v>0</v>
      </c>
      <c r="W46" s="108" t="n">
        <f aca="false">IF(AND((INPUTS!$E$89="Yes"),W$16=1,W$7&gt;INPUTS!$S$89),1,0)</f>
        <v>0</v>
      </c>
      <c r="X46" s="108" t="n">
        <f aca="false">IF(AND((INPUTS!$E$89="Yes"),X$16=1,X$7&gt;INPUTS!$S$89),1,0)</f>
        <v>1</v>
      </c>
      <c r="Y46" s="108" t="n">
        <f aca="false">IF(AND((INPUTS!$E$89="Yes"),Y$16=1,Y$7&gt;INPUTS!$S$89),1,0)</f>
        <v>1</v>
      </c>
      <c r="Z46" s="108" t="n">
        <f aca="false">IF(AND((INPUTS!$E$89="Yes"),Z$16=1,Z$7&gt;INPUTS!$S$89),1,0)</f>
        <v>1</v>
      </c>
      <c r="AA46" s="108" t="n">
        <f aca="false">IF(AND((INPUTS!$E$89="Yes"),AA$16=1,AA$7&gt;INPUTS!$S$89),1,0)</f>
        <v>1</v>
      </c>
      <c r="AB46" s="108" t="n">
        <f aca="false">IF(AND((INPUTS!$E$89="Yes"),AB$16=1,AB$7&gt;INPUTS!$S$89),1,0)</f>
        <v>1</v>
      </c>
      <c r="AC46" s="108" t="n">
        <f aca="false">IF(AND((INPUTS!$E$89="Yes"),AC$16=1,AC$7&gt;INPUTS!$S$89),1,0)</f>
        <v>1</v>
      </c>
      <c r="AD46" s="108" t="n">
        <f aca="false">IF(AND((INPUTS!$E$89="Yes"),AD$16=1,AD$7&gt;INPUTS!$S$89),1,0)</f>
        <v>1</v>
      </c>
      <c r="AE46" s="108" t="n">
        <f aca="false">IF(AND((INPUTS!$E$89="Yes"),AE$16=1,AE$7&gt;INPUTS!$S$89),1,0)</f>
        <v>1</v>
      </c>
      <c r="AF46" s="108" t="n">
        <f aca="false">IF(AND((INPUTS!$E$89="Yes"),AF$16=1,AF$7&gt;INPUTS!$S$89),1,0)</f>
        <v>1</v>
      </c>
      <c r="AG46" s="108" t="n">
        <f aca="false">IF(AND((INPUTS!$E$89="Yes"),AG$16=1,AG$7&gt;INPUTS!$S$89),1,0)</f>
        <v>1</v>
      </c>
      <c r="AH46" s="108" t="n">
        <f aca="false">IF(AND((INPUTS!$E$89="Yes"),AH$16=1,AH$7&gt;INPUTS!$S$89),1,0)</f>
        <v>1</v>
      </c>
      <c r="AI46" s="108" t="n">
        <f aca="false">IF(AND((INPUTS!$E$89="Yes"),AI$16=1,AI$7&gt;INPUTS!$S$89),1,0)</f>
        <v>1</v>
      </c>
      <c r="AJ46" s="108" t="n">
        <f aca="false">IF(AND((INPUTS!$E$89="Yes"),AJ$16=1,AJ$7&gt;INPUTS!$S$89),1,0)</f>
        <v>1</v>
      </c>
      <c r="AK46" s="108" t="n">
        <f aca="false">IF(AND((INPUTS!$E$89="Yes"),AK$16=1,AK$7&gt;INPUTS!$S$89),1,0)</f>
        <v>1</v>
      </c>
      <c r="AL46" s="108" t="n">
        <f aca="false">IF(AND((INPUTS!$E$89="Yes"),AL$16=1,AL$7&gt;INPUTS!$S$89),1,0)</f>
        <v>1</v>
      </c>
      <c r="AM46" s="108" t="n">
        <f aca="false">IF(AND((INPUTS!$E$89="Yes"),AM$16=1,AM$7&gt;INPUTS!$S$89),1,0)</f>
        <v>1</v>
      </c>
      <c r="AN46" s="108" t="n">
        <f aca="false">IF(AND((INPUTS!$E$89="Yes"),AN$16=1,AN$7&gt;INPUTS!$S$89),1,0)</f>
        <v>1</v>
      </c>
      <c r="AO46" s="108" t="n">
        <f aca="false">IF(AND((INPUTS!$E$89="Yes"),AO$16=1,AO$7&gt;INPUTS!$S$89),1,0)</f>
        <v>1</v>
      </c>
      <c r="AP46" s="108" t="n">
        <f aca="false">IF(AND((INPUTS!$E$89="Yes"),AP$16=1,AP$7&gt;INPUTS!$S$89),1,0)</f>
        <v>1</v>
      </c>
      <c r="AQ46" s="108" t="n">
        <f aca="false">IF(AND((INPUTS!$E$89="Yes"),AQ$16=1,AQ$7&gt;INPUTS!$S$89),1,0)</f>
        <v>1</v>
      </c>
    </row>
    <row r="47" customFormat="false" ht="15" hidden="false" customHeight="false" outlineLevel="0" collapsed="false">
      <c r="B47" s="17" t="s">
        <v>647</v>
      </c>
      <c r="C47" s="105" t="str">
        <f aca="false">IF(INPUTS!$E$89&lt;&gt;"Yes","Off",IF(OR(NOT(ISNUMBER(INPUTS!$P$89)),NOT(ISNUMBER(INPUTS!$Q$89)),NOT(ISNUMBER(INPUTS!$R$89)),NOT(ISNUMBER(INPUTS!$S$89))),"ERROR",IF(AND(C42=INPUTS!$Q$89-INPUTS!$P$89+1,C44=INPUTS!$S$89-INPUTS!$R$89+1,C46=MAX(0,INPUTS!$C$24-INPUTS!$S$89)),"OK","ERROR")))</f>
        <v>OK</v>
      </c>
    </row>
    <row r="48" customFormat="false" ht="15" hidden="false" customHeight="false" outlineLevel="0" collapsed="false">
      <c r="B48" s="110" t="str">
        <f aca="false">IF(INPUTS!$E$90="Yes",INPUTS!$B$90,"Product row 3 (off)")</f>
        <v>Studios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</row>
    <row r="49" customFormat="false" ht="15" hidden="false" customHeight="false" outlineLevel="0" collapsed="false">
      <c r="B49" s="3" t="s">
        <v>642</v>
      </c>
      <c r="C49" s="107" t="n">
        <f aca="false">SUM(D49:AQ49)</f>
        <v>8</v>
      </c>
      <c r="D49" s="108" t="n">
        <f aca="false">IF(AND((INPUTS!$E$90="Yes"),D$16=1,D$7&gt;=INPUTS!$P$90,D$7&lt;=INPUTS!$Q$90),1,0)</f>
        <v>0</v>
      </c>
      <c r="E49" s="108" t="n">
        <f aca="false">IF(AND((INPUTS!$E$90="Yes"),E$16=1,E$7&gt;=INPUTS!$P$90,E$7&lt;=INPUTS!$Q$90),1,0)</f>
        <v>0</v>
      </c>
      <c r="F49" s="108" t="n">
        <f aca="false">IF(AND((INPUTS!$E$90="Yes"),F$16=1,F$7&gt;=INPUTS!$P$90,F$7&lt;=INPUTS!$Q$90),1,0)</f>
        <v>0</v>
      </c>
      <c r="G49" s="108" t="n">
        <f aca="false">IF(AND((INPUTS!$E$90="Yes"),G$16=1,G$7&gt;=INPUTS!$P$90,G$7&lt;=INPUTS!$Q$90),1,0)</f>
        <v>0</v>
      </c>
      <c r="H49" s="108" t="n">
        <f aca="false">IF(AND((INPUTS!$E$90="Yes"),H$16=1,H$7&gt;=INPUTS!$P$90,H$7&lt;=INPUTS!$Q$90),1,0)</f>
        <v>0</v>
      </c>
      <c r="I49" s="108" t="n">
        <f aca="false">IF(AND((INPUTS!$E$90="Yes"),I$16=1,I$7&gt;=INPUTS!$P$90,I$7&lt;=INPUTS!$Q$90),1,0)</f>
        <v>1</v>
      </c>
      <c r="J49" s="108" t="n">
        <f aca="false">IF(AND((INPUTS!$E$90="Yes"),J$16=1,J$7&gt;=INPUTS!$P$90,J$7&lt;=INPUTS!$Q$90),1,0)</f>
        <v>1</v>
      </c>
      <c r="K49" s="108" t="n">
        <f aca="false">IF(AND((INPUTS!$E$90="Yes"),K$16=1,K$7&gt;=INPUTS!$P$90,K$7&lt;=INPUTS!$Q$90),1,0)</f>
        <v>1</v>
      </c>
      <c r="L49" s="108" t="n">
        <f aca="false">IF(AND((INPUTS!$E$90="Yes"),L$16=1,L$7&gt;=INPUTS!$P$90,L$7&lt;=INPUTS!$Q$90),1,0)</f>
        <v>1</v>
      </c>
      <c r="M49" s="108" t="n">
        <f aca="false">IF(AND((INPUTS!$E$90="Yes"),M$16=1,M$7&gt;=INPUTS!$P$90,M$7&lt;=INPUTS!$Q$90),1,0)</f>
        <v>1</v>
      </c>
      <c r="N49" s="108" t="n">
        <f aca="false">IF(AND((INPUTS!$E$90="Yes"),N$16=1,N$7&gt;=INPUTS!$P$90,N$7&lt;=INPUTS!$Q$90),1,0)</f>
        <v>1</v>
      </c>
      <c r="O49" s="108" t="n">
        <f aca="false">IF(AND((INPUTS!$E$90="Yes"),O$16=1,O$7&gt;=INPUTS!$P$90,O$7&lt;=INPUTS!$Q$90),1,0)</f>
        <v>1</v>
      </c>
      <c r="P49" s="108" t="n">
        <f aca="false">IF(AND((INPUTS!$E$90="Yes"),P$16=1,P$7&gt;=INPUTS!$P$90,P$7&lt;=INPUTS!$Q$90),1,0)</f>
        <v>1</v>
      </c>
      <c r="Q49" s="108" t="n">
        <f aca="false">IF(AND((INPUTS!$E$90="Yes"),Q$16=1,Q$7&gt;=INPUTS!$P$90,Q$7&lt;=INPUTS!$Q$90),1,0)</f>
        <v>0</v>
      </c>
      <c r="R49" s="108" t="n">
        <f aca="false">IF(AND((INPUTS!$E$90="Yes"),R$16=1,R$7&gt;=INPUTS!$P$90,R$7&lt;=INPUTS!$Q$90),1,0)</f>
        <v>0</v>
      </c>
      <c r="S49" s="108" t="n">
        <f aca="false">IF(AND((INPUTS!$E$90="Yes"),S$16=1,S$7&gt;=INPUTS!$P$90,S$7&lt;=INPUTS!$Q$90),1,0)</f>
        <v>0</v>
      </c>
      <c r="T49" s="108" t="n">
        <f aca="false">IF(AND((INPUTS!$E$90="Yes"),T$16=1,T$7&gt;=INPUTS!$P$90,T$7&lt;=INPUTS!$Q$90),1,0)</f>
        <v>0</v>
      </c>
      <c r="U49" s="108" t="n">
        <f aca="false">IF(AND((INPUTS!$E$90="Yes"),U$16=1,U$7&gt;=INPUTS!$P$90,U$7&lt;=INPUTS!$Q$90),1,0)</f>
        <v>0</v>
      </c>
      <c r="V49" s="108" t="n">
        <f aca="false">IF(AND((INPUTS!$E$90="Yes"),V$16=1,V$7&gt;=INPUTS!$P$90,V$7&lt;=INPUTS!$Q$90),1,0)</f>
        <v>0</v>
      </c>
      <c r="W49" s="108" t="n">
        <f aca="false">IF(AND((INPUTS!$E$90="Yes"),W$16=1,W$7&gt;=INPUTS!$P$90,W$7&lt;=INPUTS!$Q$90),1,0)</f>
        <v>0</v>
      </c>
      <c r="X49" s="108" t="n">
        <f aca="false">IF(AND((INPUTS!$E$90="Yes"),X$16=1,X$7&gt;=INPUTS!$P$90,X$7&lt;=INPUTS!$Q$90),1,0)</f>
        <v>0</v>
      </c>
      <c r="Y49" s="108" t="n">
        <f aca="false">IF(AND((INPUTS!$E$90="Yes"),Y$16=1,Y$7&gt;=INPUTS!$P$90,Y$7&lt;=INPUTS!$Q$90),1,0)</f>
        <v>0</v>
      </c>
      <c r="Z49" s="108" t="n">
        <f aca="false">IF(AND((INPUTS!$E$90="Yes"),Z$16=1,Z$7&gt;=INPUTS!$P$90,Z$7&lt;=INPUTS!$Q$90),1,0)</f>
        <v>0</v>
      </c>
      <c r="AA49" s="108" t="n">
        <f aca="false">IF(AND((INPUTS!$E$90="Yes"),AA$16=1,AA$7&gt;=INPUTS!$P$90,AA$7&lt;=INPUTS!$Q$90),1,0)</f>
        <v>0</v>
      </c>
      <c r="AB49" s="108" t="n">
        <f aca="false">IF(AND((INPUTS!$E$90="Yes"),AB$16=1,AB$7&gt;=INPUTS!$P$90,AB$7&lt;=INPUTS!$Q$90),1,0)</f>
        <v>0</v>
      </c>
      <c r="AC49" s="108" t="n">
        <f aca="false">IF(AND((INPUTS!$E$90="Yes"),AC$16=1,AC$7&gt;=INPUTS!$P$90,AC$7&lt;=INPUTS!$Q$90),1,0)</f>
        <v>0</v>
      </c>
      <c r="AD49" s="108" t="n">
        <f aca="false">IF(AND((INPUTS!$E$90="Yes"),AD$16=1,AD$7&gt;=INPUTS!$P$90,AD$7&lt;=INPUTS!$Q$90),1,0)</f>
        <v>0</v>
      </c>
      <c r="AE49" s="108" t="n">
        <f aca="false">IF(AND((INPUTS!$E$90="Yes"),AE$16=1,AE$7&gt;=INPUTS!$P$90,AE$7&lt;=INPUTS!$Q$90),1,0)</f>
        <v>0</v>
      </c>
      <c r="AF49" s="108" t="n">
        <f aca="false">IF(AND((INPUTS!$E$90="Yes"),AF$16=1,AF$7&gt;=INPUTS!$P$90,AF$7&lt;=INPUTS!$Q$90),1,0)</f>
        <v>0</v>
      </c>
      <c r="AG49" s="108" t="n">
        <f aca="false">IF(AND((INPUTS!$E$90="Yes"),AG$16=1,AG$7&gt;=INPUTS!$P$90,AG$7&lt;=INPUTS!$Q$90),1,0)</f>
        <v>0</v>
      </c>
      <c r="AH49" s="108" t="n">
        <f aca="false">IF(AND((INPUTS!$E$90="Yes"),AH$16=1,AH$7&gt;=INPUTS!$P$90,AH$7&lt;=INPUTS!$Q$90),1,0)</f>
        <v>0</v>
      </c>
      <c r="AI49" s="108" t="n">
        <f aca="false">IF(AND((INPUTS!$E$90="Yes"),AI$16=1,AI$7&gt;=INPUTS!$P$90,AI$7&lt;=INPUTS!$Q$90),1,0)</f>
        <v>0</v>
      </c>
      <c r="AJ49" s="108" t="n">
        <f aca="false">IF(AND((INPUTS!$E$90="Yes"),AJ$16=1,AJ$7&gt;=INPUTS!$P$90,AJ$7&lt;=INPUTS!$Q$90),1,0)</f>
        <v>0</v>
      </c>
      <c r="AK49" s="108" t="n">
        <f aca="false">IF(AND((INPUTS!$E$90="Yes"),AK$16=1,AK$7&gt;=INPUTS!$P$90,AK$7&lt;=INPUTS!$Q$90),1,0)</f>
        <v>0</v>
      </c>
      <c r="AL49" s="108" t="n">
        <f aca="false">IF(AND((INPUTS!$E$90="Yes"),AL$16=1,AL$7&gt;=INPUTS!$P$90,AL$7&lt;=INPUTS!$Q$90),1,0)</f>
        <v>0</v>
      </c>
      <c r="AM49" s="108" t="n">
        <f aca="false">IF(AND((INPUTS!$E$90="Yes"),AM$16=1,AM$7&gt;=INPUTS!$P$90,AM$7&lt;=INPUTS!$Q$90),1,0)</f>
        <v>0</v>
      </c>
      <c r="AN49" s="108" t="n">
        <f aca="false">IF(AND((INPUTS!$E$90="Yes"),AN$16=1,AN$7&gt;=INPUTS!$P$90,AN$7&lt;=INPUTS!$Q$90),1,0)</f>
        <v>0</v>
      </c>
      <c r="AO49" s="108" t="n">
        <f aca="false">IF(AND((INPUTS!$E$90="Yes"),AO$16=1,AO$7&gt;=INPUTS!$P$90,AO$7&lt;=INPUTS!$Q$90),1,0)</f>
        <v>0</v>
      </c>
      <c r="AP49" s="108" t="n">
        <f aca="false">IF(AND((INPUTS!$E$90="Yes"),AP$16=1,AP$7&gt;=INPUTS!$P$90,AP$7&lt;=INPUTS!$Q$90),1,0)</f>
        <v>0</v>
      </c>
      <c r="AQ49" s="108" t="n">
        <f aca="false">IF(AND((INPUTS!$E$90="Yes"),AQ$16=1,AQ$7&gt;=INPUTS!$P$90,AQ$7&lt;=INPUTS!$Q$90),1,0)</f>
        <v>0</v>
      </c>
    </row>
    <row r="50" customFormat="false" ht="15" hidden="false" customHeight="false" outlineLevel="0" collapsed="false">
      <c r="B50" s="3" t="s">
        <v>643</v>
      </c>
      <c r="C50" s="107" t="n">
        <f aca="false">MAX(D50:AQ50)</f>
        <v>8</v>
      </c>
      <c r="D50" s="108" t="n">
        <f aca="false">IF(D49=1,D$7-INPUTS!$P$90+1,0)</f>
        <v>0</v>
      </c>
      <c r="E50" s="108" t="n">
        <f aca="false">IF(E49=1,E$7-INPUTS!$P$90+1,0)</f>
        <v>0</v>
      </c>
      <c r="F50" s="108" t="n">
        <f aca="false">IF(F49=1,F$7-INPUTS!$P$90+1,0)</f>
        <v>0</v>
      </c>
      <c r="G50" s="108" t="n">
        <f aca="false">IF(G49=1,G$7-INPUTS!$P$90+1,0)</f>
        <v>0</v>
      </c>
      <c r="H50" s="108" t="n">
        <f aca="false">IF(H49=1,H$7-INPUTS!$P$90+1,0)</f>
        <v>0</v>
      </c>
      <c r="I50" s="108" t="n">
        <f aca="false">IF(I49=1,I$7-INPUTS!$P$90+1,0)</f>
        <v>1</v>
      </c>
      <c r="J50" s="108" t="n">
        <f aca="false">IF(J49=1,J$7-INPUTS!$P$90+1,0)</f>
        <v>2</v>
      </c>
      <c r="K50" s="108" t="n">
        <f aca="false">IF(K49=1,K$7-INPUTS!$P$90+1,0)</f>
        <v>3</v>
      </c>
      <c r="L50" s="108" t="n">
        <f aca="false">IF(L49=1,L$7-INPUTS!$P$90+1,0)</f>
        <v>4</v>
      </c>
      <c r="M50" s="108" t="n">
        <f aca="false">IF(M49=1,M$7-INPUTS!$P$90+1,0)</f>
        <v>5</v>
      </c>
      <c r="N50" s="108" t="n">
        <f aca="false">IF(N49=1,N$7-INPUTS!$P$90+1,0)</f>
        <v>6</v>
      </c>
      <c r="O50" s="108" t="n">
        <f aca="false">IF(O49=1,O$7-INPUTS!$P$90+1,0)</f>
        <v>7</v>
      </c>
      <c r="P50" s="108" t="n">
        <f aca="false">IF(P49=1,P$7-INPUTS!$P$90+1,0)</f>
        <v>8</v>
      </c>
      <c r="Q50" s="108" t="n">
        <f aca="false">IF(Q49=1,Q$7-INPUTS!$P$90+1,0)</f>
        <v>0</v>
      </c>
      <c r="R50" s="108" t="n">
        <f aca="false">IF(R49=1,R$7-INPUTS!$P$90+1,0)</f>
        <v>0</v>
      </c>
      <c r="S50" s="108" t="n">
        <f aca="false">IF(S49=1,S$7-INPUTS!$P$90+1,0)</f>
        <v>0</v>
      </c>
      <c r="T50" s="108" t="n">
        <f aca="false">IF(T49=1,T$7-INPUTS!$P$90+1,0)</f>
        <v>0</v>
      </c>
      <c r="U50" s="108" t="n">
        <f aca="false">IF(U49=1,U$7-INPUTS!$P$90+1,0)</f>
        <v>0</v>
      </c>
      <c r="V50" s="108" t="n">
        <f aca="false">IF(V49=1,V$7-INPUTS!$P$90+1,0)</f>
        <v>0</v>
      </c>
      <c r="W50" s="108" t="n">
        <f aca="false">IF(W49=1,W$7-INPUTS!$P$90+1,0)</f>
        <v>0</v>
      </c>
      <c r="X50" s="108" t="n">
        <f aca="false">IF(X49=1,X$7-INPUTS!$P$90+1,0)</f>
        <v>0</v>
      </c>
      <c r="Y50" s="108" t="n">
        <f aca="false">IF(Y49=1,Y$7-INPUTS!$P$90+1,0)</f>
        <v>0</v>
      </c>
      <c r="Z50" s="108" t="n">
        <f aca="false">IF(Z49=1,Z$7-INPUTS!$P$90+1,0)</f>
        <v>0</v>
      </c>
      <c r="AA50" s="108" t="n">
        <f aca="false">IF(AA49=1,AA$7-INPUTS!$P$90+1,0)</f>
        <v>0</v>
      </c>
      <c r="AB50" s="108" t="n">
        <f aca="false">IF(AB49=1,AB$7-INPUTS!$P$90+1,0)</f>
        <v>0</v>
      </c>
      <c r="AC50" s="108" t="n">
        <f aca="false">IF(AC49=1,AC$7-INPUTS!$P$90+1,0)</f>
        <v>0</v>
      </c>
      <c r="AD50" s="108" t="n">
        <f aca="false">IF(AD49=1,AD$7-INPUTS!$P$90+1,0)</f>
        <v>0</v>
      </c>
      <c r="AE50" s="108" t="n">
        <f aca="false">IF(AE49=1,AE$7-INPUTS!$P$90+1,0)</f>
        <v>0</v>
      </c>
      <c r="AF50" s="108" t="n">
        <f aca="false">IF(AF49=1,AF$7-INPUTS!$P$90+1,0)</f>
        <v>0</v>
      </c>
      <c r="AG50" s="108" t="n">
        <f aca="false">IF(AG49=1,AG$7-INPUTS!$P$90+1,0)</f>
        <v>0</v>
      </c>
      <c r="AH50" s="108" t="n">
        <f aca="false">IF(AH49=1,AH$7-INPUTS!$P$90+1,0)</f>
        <v>0</v>
      </c>
      <c r="AI50" s="108" t="n">
        <f aca="false">IF(AI49=1,AI$7-INPUTS!$P$90+1,0)</f>
        <v>0</v>
      </c>
      <c r="AJ50" s="108" t="n">
        <f aca="false">IF(AJ49=1,AJ$7-INPUTS!$P$90+1,0)</f>
        <v>0</v>
      </c>
      <c r="AK50" s="108" t="n">
        <f aca="false">IF(AK49=1,AK$7-INPUTS!$P$90+1,0)</f>
        <v>0</v>
      </c>
      <c r="AL50" s="108" t="n">
        <f aca="false">IF(AL49=1,AL$7-INPUTS!$P$90+1,0)</f>
        <v>0</v>
      </c>
      <c r="AM50" s="108" t="n">
        <f aca="false">IF(AM49=1,AM$7-INPUTS!$P$90+1,0)</f>
        <v>0</v>
      </c>
      <c r="AN50" s="108" t="n">
        <f aca="false">IF(AN49=1,AN$7-INPUTS!$P$90+1,0)</f>
        <v>0</v>
      </c>
      <c r="AO50" s="108" t="n">
        <f aca="false">IF(AO49=1,AO$7-INPUTS!$P$90+1,0)</f>
        <v>0</v>
      </c>
      <c r="AP50" s="108" t="n">
        <f aca="false">IF(AP49=1,AP$7-INPUTS!$P$90+1,0)</f>
        <v>0</v>
      </c>
      <c r="AQ50" s="108" t="n">
        <f aca="false">IF(AQ49=1,AQ$7-INPUTS!$P$90+1,0)</f>
        <v>0</v>
      </c>
    </row>
    <row r="51" customFormat="false" ht="15" hidden="false" customHeight="false" outlineLevel="0" collapsed="false">
      <c r="B51" s="3" t="s">
        <v>644</v>
      </c>
      <c r="C51" s="107" t="n">
        <f aca="false">SUM(D51:AQ51)</f>
        <v>12</v>
      </c>
      <c r="D51" s="108" t="n">
        <f aca="false">IF(AND((INPUTS!$E$90="Yes"),D$16=1,D$7&gt;=INPUTS!$R$90,D$7&lt;=INPUTS!$S$90),1,0)</f>
        <v>0</v>
      </c>
      <c r="E51" s="108" t="n">
        <f aca="false">IF(AND((INPUTS!$E$90="Yes"),E$16=1,E$7&gt;=INPUTS!$R$90,E$7&lt;=INPUTS!$S$90),1,0)</f>
        <v>0</v>
      </c>
      <c r="F51" s="108" t="n">
        <f aca="false">IF(AND((INPUTS!$E$90="Yes"),F$16=1,F$7&gt;=INPUTS!$R$90,F$7&lt;=INPUTS!$S$90),1,0)</f>
        <v>0</v>
      </c>
      <c r="G51" s="108" t="n">
        <f aca="false">IF(AND((INPUTS!$E$90="Yes"),G$16=1,G$7&gt;=INPUTS!$R$90,G$7&lt;=INPUTS!$S$90),1,0)</f>
        <v>0</v>
      </c>
      <c r="H51" s="108" t="n">
        <f aca="false">IF(AND((INPUTS!$E$90="Yes"),H$16=1,H$7&gt;=INPUTS!$R$90,H$7&lt;=INPUTS!$S$90),1,0)</f>
        <v>0</v>
      </c>
      <c r="I51" s="108" t="n">
        <f aca="false">IF(AND((INPUTS!$E$90="Yes"),I$16=1,I$7&gt;=INPUTS!$R$90,I$7&lt;=INPUTS!$S$90),1,0)</f>
        <v>1</v>
      </c>
      <c r="J51" s="108" t="n">
        <f aca="false">IF(AND((INPUTS!$E$90="Yes"),J$16=1,J$7&gt;=INPUTS!$R$90,J$7&lt;=INPUTS!$S$90),1,0)</f>
        <v>1</v>
      </c>
      <c r="K51" s="108" t="n">
        <f aca="false">IF(AND((INPUTS!$E$90="Yes"),K$16=1,K$7&gt;=INPUTS!$R$90,K$7&lt;=INPUTS!$S$90),1,0)</f>
        <v>1</v>
      </c>
      <c r="L51" s="108" t="n">
        <f aca="false">IF(AND((INPUTS!$E$90="Yes"),L$16=1,L$7&gt;=INPUTS!$R$90,L$7&lt;=INPUTS!$S$90),1,0)</f>
        <v>1</v>
      </c>
      <c r="M51" s="108" t="n">
        <f aca="false">IF(AND((INPUTS!$E$90="Yes"),M$16=1,M$7&gt;=INPUTS!$R$90,M$7&lt;=INPUTS!$S$90),1,0)</f>
        <v>1</v>
      </c>
      <c r="N51" s="108" t="n">
        <f aca="false">IF(AND((INPUTS!$E$90="Yes"),N$16=1,N$7&gt;=INPUTS!$R$90,N$7&lt;=INPUTS!$S$90),1,0)</f>
        <v>1</v>
      </c>
      <c r="O51" s="108" t="n">
        <f aca="false">IF(AND((INPUTS!$E$90="Yes"),O$16=1,O$7&gt;=INPUTS!$R$90,O$7&lt;=INPUTS!$S$90),1,0)</f>
        <v>1</v>
      </c>
      <c r="P51" s="108" t="n">
        <f aca="false">IF(AND((INPUTS!$E$90="Yes"),P$16=1,P$7&gt;=INPUTS!$R$90,P$7&lt;=INPUTS!$S$90),1,0)</f>
        <v>1</v>
      </c>
      <c r="Q51" s="108" t="n">
        <f aca="false">IF(AND((INPUTS!$E$90="Yes"),Q$16=1,Q$7&gt;=INPUTS!$R$90,Q$7&lt;=INPUTS!$S$90),1,0)</f>
        <v>1</v>
      </c>
      <c r="R51" s="108" t="n">
        <f aca="false">IF(AND((INPUTS!$E$90="Yes"),R$16=1,R$7&gt;=INPUTS!$R$90,R$7&lt;=INPUTS!$S$90),1,0)</f>
        <v>1</v>
      </c>
      <c r="S51" s="108" t="n">
        <f aca="false">IF(AND((INPUTS!$E$90="Yes"),S$16=1,S$7&gt;=INPUTS!$R$90,S$7&lt;=INPUTS!$S$90),1,0)</f>
        <v>1</v>
      </c>
      <c r="T51" s="108" t="n">
        <f aca="false">IF(AND((INPUTS!$E$90="Yes"),T$16=1,T$7&gt;=INPUTS!$R$90,T$7&lt;=INPUTS!$S$90),1,0)</f>
        <v>1</v>
      </c>
      <c r="U51" s="108" t="n">
        <f aca="false">IF(AND((INPUTS!$E$90="Yes"),U$16=1,U$7&gt;=INPUTS!$R$90,U$7&lt;=INPUTS!$S$90),1,0)</f>
        <v>0</v>
      </c>
      <c r="V51" s="108" t="n">
        <f aca="false">IF(AND((INPUTS!$E$90="Yes"),V$16=1,V$7&gt;=INPUTS!$R$90,V$7&lt;=INPUTS!$S$90),1,0)</f>
        <v>0</v>
      </c>
      <c r="W51" s="108" t="n">
        <f aca="false">IF(AND((INPUTS!$E$90="Yes"),W$16=1,W$7&gt;=INPUTS!$R$90,W$7&lt;=INPUTS!$S$90),1,0)</f>
        <v>0</v>
      </c>
      <c r="X51" s="108" t="n">
        <f aca="false">IF(AND((INPUTS!$E$90="Yes"),X$16=1,X$7&gt;=INPUTS!$R$90,X$7&lt;=INPUTS!$S$90),1,0)</f>
        <v>0</v>
      </c>
      <c r="Y51" s="108" t="n">
        <f aca="false">IF(AND((INPUTS!$E$90="Yes"),Y$16=1,Y$7&gt;=INPUTS!$R$90,Y$7&lt;=INPUTS!$S$90),1,0)</f>
        <v>0</v>
      </c>
      <c r="Z51" s="108" t="n">
        <f aca="false">IF(AND((INPUTS!$E$90="Yes"),Z$16=1,Z$7&gt;=INPUTS!$R$90,Z$7&lt;=INPUTS!$S$90),1,0)</f>
        <v>0</v>
      </c>
      <c r="AA51" s="108" t="n">
        <f aca="false">IF(AND((INPUTS!$E$90="Yes"),AA$16=1,AA$7&gt;=INPUTS!$R$90,AA$7&lt;=INPUTS!$S$90),1,0)</f>
        <v>0</v>
      </c>
      <c r="AB51" s="108" t="n">
        <f aca="false">IF(AND((INPUTS!$E$90="Yes"),AB$16=1,AB$7&gt;=INPUTS!$R$90,AB$7&lt;=INPUTS!$S$90),1,0)</f>
        <v>0</v>
      </c>
      <c r="AC51" s="108" t="n">
        <f aca="false">IF(AND((INPUTS!$E$90="Yes"),AC$16=1,AC$7&gt;=INPUTS!$R$90,AC$7&lt;=INPUTS!$S$90),1,0)</f>
        <v>0</v>
      </c>
      <c r="AD51" s="108" t="n">
        <f aca="false">IF(AND((INPUTS!$E$90="Yes"),AD$16=1,AD$7&gt;=INPUTS!$R$90,AD$7&lt;=INPUTS!$S$90),1,0)</f>
        <v>0</v>
      </c>
      <c r="AE51" s="108" t="n">
        <f aca="false">IF(AND((INPUTS!$E$90="Yes"),AE$16=1,AE$7&gt;=INPUTS!$R$90,AE$7&lt;=INPUTS!$S$90),1,0)</f>
        <v>0</v>
      </c>
      <c r="AF51" s="108" t="n">
        <f aca="false">IF(AND((INPUTS!$E$90="Yes"),AF$16=1,AF$7&gt;=INPUTS!$R$90,AF$7&lt;=INPUTS!$S$90),1,0)</f>
        <v>0</v>
      </c>
      <c r="AG51" s="108" t="n">
        <f aca="false">IF(AND((INPUTS!$E$90="Yes"),AG$16=1,AG$7&gt;=INPUTS!$R$90,AG$7&lt;=INPUTS!$S$90),1,0)</f>
        <v>0</v>
      </c>
      <c r="AH51" s="108" t="n">
        <f aca="false">IF(AND((INPUTS!$E$90="Yes"),AH$16=1,AH$7&gt;=INPUTS!$R$90,AH$7&lt;=INPUTS!$S$90),1,0)</f>
        <v>0</v>
      </c>
      <c r="AI51" s="108" t="n">
        <f aca="false">IF(AND((INPUTS!$E$90="Yes"),AI$16=1,AI$7&gt;=INPUTS!$R$90,AI$7&lt;=INPUTS!$S$90),1,0)</f>
        <v>0</v>
      </c>
      <c r="AJ51" s="108" t="n">
        <f aca="false">IF(AND((INPUTS!$E$90="Yes"),AJ$16=1,AJ$7&gt;=INPUTS!$R$90,AJ$7&lt;=INPUTS!$S$90),1,0)</f>
        <v>0</v>
      </c>
      <c r="AK51" s="108" t="n">
        <f aca="false">IF(AND((INPUTS!$E$90="Yes"),AK$16=1,AK$7&gt;=INPUTS!$R$90,AK$7&lt;=INPUTS!$S$90),1,0)</f>
        <v>0</v>
      </c>
      <c r="AL51" s="108" t="n">
        <f aca="false">IF(AND((INPUTS!$E$90="Yes"),AL$16=1,AL$7&gt;=INPUTS!$R$90,AL$7&lt;=INPUTS!$S$90),1,0)</f>
        <v>0</v>
      </c>
      <c r="AM51" s="108" t="n">
        <f aca="false">IF(AND((INPUTS!$E$90="Yes"),AM$16=1,AM$7&gt;=INPUTS!$R$90,AM$7&lt;=INPUTS!$S$90),1,0)</f>
        <v>0</v>
      </c>
      <c r="AN51" s="108" t="n">
        <f aca="false">IF(AND((INPUTS!$E$90="Yes"),AN$16=1,AN$7&gt;=INPUTS!$R$90,AN$7&lt;=INPUTS!$S$90),1,0)</f>
        <v>0</v>
      </c>
      <c r="AO51" s="108" t="n">
        <f aca="false">IF(AND((INPUTS!$E$90="Yes"),AO$16=1,AO$7&gt;=INPUTS!$R$90,AO$7&lt;=INPUTS!$S$90),1,0)</f>
        <v>0</v>
      </c>
      <c r="AP51" s="108" t="n">
        <f aca="false">IF(AND((INPUTS!$E$90="Yes"),AP$16=1,AP$7&gt;=INPUTS!$R$90,AP$7&lt;=INPUTS!$S$90),1,0)</f>
        <v>0</v>
      </c>
      <c r="AQ51" s="108" t="n">
        <f aca="false">IF(AND((INPUTS!$E$90="Yes"),AQ$16=1,AQ$7&gt;=INPUTS!$R$90,AQ$7&lt;=INPUTS!$S$90),1,0)</f>
        <v>0</v>
      </c>
    </row>
    <row r="52" customFormat="false" ht="15" hidden="false" customHeight="false" outlineLevel="0" collapsed="false">
      <c r="B52" s="3" t="s">
        <v>645</v>
      </c>
      <c r="C52" s="107" t="n">
        <f aca="false">MAX(D52:AQ52)</f>
        <v>12</v>
      </c>
      <c r="D52" s="108" t="n">
        <f aca="false">IF(D51=1,D$7-INPUTS!$R$90+1,0)</f>
        <v>0</v>
      </c>
      <c r="E52" s="108" t="n">
        <f aca="false">IF(E51=1,E$7-INPUTS!$R$90+1,0)</f>
        <v>0</v>
      </c>
      <c r="F52" s="108" t="n">
        <f aca="false">IF(F51=1,F$7-INPUTS!$R$90+1,0)</f>
        <v>0</v>
      </c>
      <c r="G52" s="108" t="n">
        <f aca="false">IF(G51=1,G$7-INPUTS!$R$90+1,0)</f>
        <v>0</v>
      </c>
      <c r="H52" s="108" t="n">
        <f aca="false">IF(H51=1,H$7-INPUTS!$R$90+1,0)</f>
        <v>0</v>
      </c>
      <c r="I52" s="108" t="n">
        <f aca="false">IF(I51=1,I$7-INPUTS!$R$90+1,0)</f>
        <v>1</v>
      </c>
      <c r="J52" s="108" t="n">
        <f aca="false">IF(J51=1,J$7-INPUTS!$R$90+1,0)</f>
        <v>2</v>
      </c>
      <c r="K52" s="108" t="n">
        <f aca="false">IF(K51=1,K$7-INPUTS!$R$90+1,0)</f>
        <v>3</v>
      </c>
      <c r="L52" s="108" t="n">
        <f aca="false">IF(L51=1,L$7-INPUTS!$R$90+1,0)</f>
        <v>4</v>
      </c>
      <c r="M52" s="108" t="n">
        <f aca="false">IF(M51=1,M$7-INPUTS!$R$90+1,0)</f>
        <v>5</v>
      </c>
      <c r="N52" s="108" t="n">
        <f aca="false">IF(N51=1,N$7-INPUTS!$R$90+1,0)</f>
        <v>6</v>
      </c>
      <c r="O52" s="108" t="n">
        <f aca="false">IF(O51=1,O$7-INPUTS!$R$90+1,0)</f>
        <v>7</v>
      </c>
      <c r="P52" s="108" t="n">
        <f aca="false">IF(P51=1,P$7-INPUTS!$R$90+1,0)</f>
        <v>8</v>
      </c>
      <c r="Q52" s="108" t="n">
        <f aca="false">IF(Q51=1,Q$7-INPUTS!$R$90+1,0)</f>
        <v>9</v>
      </c>
      <c r="R52" s="108" t="n">
        <f aca="false">IF(R51=1,R$7-INPUTS!$R$90+1,0)</f>
        <v>10</v>
      </c>
      <c r="S52" s="108" t="n">
        <f aca="false">IF(S51=1,S$7-INPUTS!$R$90+1,0)</f>
        <v>11</v>
      </c>
      <c r="T52" s="108" t="n">
        <f aca="false">IF(T51=1,T$7-INPUTS!$R$90+1,0)</f>
        <v>12</v>
      </c>
      <c r="U52" s="108" t="n">
        <f aca="false">IF(U51=1,U$7-INPUTS!$R$90+1,0)</f>
        <v>0</v>
      </c>
      <c r="V52" s="108" t="n">
        <f aca="false">IF(V51=1,V$7-INPUTS!$R$90+1,0)</f>
        <v>0</v>
      </c>
      <c r="W52" s="108" t="n">
        <f aca="false">IF(W51=1,W$7-INPUTS!$R$90+1,0)</f>
        <v>0</v>
      </c>
      <c r="X52" s="108" t="n">
        <f aca="false">IF(X51=1,X$7-INPUTS!$R$90+1,0)</f>
        <v>0</v>
      </c>
      <c r="Y52" s="108" t="n">
        <f aca="false">IF(Y51=1,Y$7-INPUTS!$R$90+1,0)</f>
        <v>0</v>
      </c>
      <c r="Z52" s="108" t="n">
        <f aca="false">IF(Z51=1,Z$7-INPUTS!$R$90+1,0)</f>
        <v>0</v>
      </c>
      <c r="AA52" s="108" t="n">
        <f aca="false">IF(AA51=1,AA$7-INPUTS!$R$90+1,0)</f>
        <v>0</v>
      </c>
      <c r="AB52" s="108" t="n">
        <f aca="false">IF(AB51=1,AB$7-INPUTS!$R$90+1,0)</f>
        <v>0</v>
      </c>
      <c r="AC52" s="108" t="n">
        <f aca="false">IF(AC51=1,AC$7-INPUTS!$R$90+1,0)</f>
        <v>0</v>
      </c>
      <c r="AD52" s="108" t="n">
        <f aca="false">IF(AD51=1,AD$7-INPUTS!$R$90+1,0)</f>
        <v>0</v>
      </c>
      <c r="AE52" s="108" t="n">
        <f aca="false">IF(AE51=1,AE$7-INPUTS!$R$90+1,0)</f>
        <v>0</v>
      </c>
      <c r="AF52" s="108" t="n">
        <f aca="false">IF(AF51=1,AF$7-INPUTS!$R$90+1,0)</f>
        <v>0</v>
      </c>
      <c r="AG52" s="108" t="n">
        <f aca="false">IF(AG51=1,AG$7-INPUTS!$R$90+1,0)</f>
        <v>0</v>
      </c>
      <c r="AH52" s="108" t="n">
        <f aca="false">IF(AH51=1,AH$7-INPUTS!$R$90+1,0)</f>
        <v>0</v>
      </c>
      <c r="AI52" s="108" t="n">
        <f aca="false">IF(AI51=1,AI$7-INPUTS!$R$90+1,0)</f>
        <v>0</v>
      </c>
      <c r="AJ52" s="108" t="n">
        <f aca="false">IF(AJ51=1,AJ$7-INPUTS!$R$90+1,0)</f>
        <v>0</v>
      </c>
      <c r="AK52" s="108" t="n">
        <f aca="false">IF(AK51=1,AK$7-INPUTS!$R$90+1,0)</f>
        <v>0</v>
      </c>
      <c r="AL52" s="108" t="n">
        <f aca="false">IF(AL51=1,AL$7-INPUTS!$R$90+1,0)</f>
        <v>0</v>
      </c>
      <c r="AM52" s="108" t="n">
        <f aca="false">IF(AM51=1,AM$7-INPUTS!$R$90+1,0)</f>
        <v>0</v>
      </c>
      <c r="AN52" s="108" t="n">
        <f aca="false">IF(AN51=1,AN$7-INPUTS!$R$90+1,0)</f>
        <v>0</v>
      </c>
      <c r="AO52" s="108" t="n">
        <f aca="false">IF(AO51=1,AO$7-INPUTS!$R$90+1,0)</f>
        <v>0</v>
      </c>
      <c r="AP52" s="108" t="n">
        <f aca="false">IF(AP51=1,AP$7-INPUTS!$R$90+1,0)</f>
        <v>0</v>
      </c>
      <c r="AQ52" s="108" t="n">
        <f aca="false">IF(AQ51=1,AQ$7-INPUTS!$R$90+1,0)</f>
        <v>0</v>
      </c>
    </row>
    <row r="53" customFormat="false" ht="15" hidden="false" customHeight="false" outlineLevel="0" collapsed="false">
      <c r="B53" s="3" t="s">
        <v>646</v>
      </c>
      <c r="C53" s="107" t="n">
        <f aca="false">SUM(D53:AQ53)</f>
        <v>23</v>
      </c>
      <c r="D53" s="108" t="n">
        <f aca="false">IF(AND((INPUTS!$E$90="Yes"),D$16=1,D$7&gt;INPUTS!$S$90),1,0)</f>
        <v>0</v>
      </c>
      <c r="E53" s="108" t="n">
        <f aca="false">IF(AND((INPUTS!$E$90="Yes"),E$16=1,E$7&gt;INPUTS!$S$90),1,0)</f>
        <v>0</v>
      </c>
      <c r="F53" s="108" t="n">
        <f aca="false">IF(AND((INPUTS!$E$90="Yes"),F$16=1,F$7&gt;INPUTS!$S$90),1,0)</f>
        <v>0</v>
      </c>
      <c r="G53" s="108" t="n">
        <f aca="false">IF(AND((INPUTS!$E$90="Yes"),G$16=1,G$7&gt;INPUTS!$S$90),1,0)</f>
        <v>0</v>
      </c>
      <c r="H53" s="108" t="n">
        <f aca="false">IF(AND((INPUTS!$E$90="Yes"),H$16=1,H$7&gt;INPUTS!$S$90),1,0)</f>
        <v>0</v>
      </c>
      <c r="I53" s="108" t="n">
        <f aca="false">IF(AND((INPUTS!$E$90="Yes"),I$16=1,I$7&gt;INPUTS!$S$90),1,0)</f>
        <v>0</v>
      </c>
      <c r="J53" s="108" t="n">
        <f aca="false">IF(AND((INPUTS!$E$90="Yes"),J$16=1,J$7&gt;INPUTS!$S$90),1,0)</f>
        <v>0</v>
      </c>
      <c r="K53" s="108" t="n">
        <f aca="false">IF(AND((INPUTS!$E$90="Yes"),K$16=1,K$7&gt;INPUTS!$S$90),1,0)</f>
        <v>0</v>
      </c>
      <c r="L53" s="108" t="n">
        <f aca="false">IF(AND((INPUTS!$E$90="Yes"),L$16=1,L$7&gt;INPUTS!$S$90),1,0)</f>
        <v>0</v>
      </c>
      <c r="M53" s="108" t="n">
        <f aca="false">IF(AND((INPUTS!$E$90="Yes"),M$16=1,M$7&gt;INPUTS!$S$90),1,0)</f>
        <v>0</v>
      </c>
      <c r="N53" s="108" t="n">
        <f aca="false">IF(AND((INPUTS!$E$90="Yes"),N$16=1,N$7&gt;INPUTS!$S$90),1,0)</f>
        <v>0</v>
      </c>
      <c r="O53" s="108" t="n">
        <f aca="false">IF(AND((INPUTS!$E$90="Yes"),O$16=1,O$7&gt;INPUTS!$S$90),1,0)</f>
        <v>0</v>
      </c>
      <c r="P53" s="108" t="n">
        <f aca="false">IF(AND((INPUTS!$E$90="Yes"),P$16=1,P$7&gt;INPUTS!$S$90),1,0)</f>
        <v>0</v>
      </c>
      <c r="Q53" s="108" t="n">
        <f aca="false">IF(AND((INPUTS!$E$90="Yes"),Q$16=1,Q$7&gt;INPUTS!$S$90),1,0)</f>
        <v>0</v>
      </c>
      <c r="R53" s="108" t="n">
        <f aca="false">IF(AND((INPUTS!$E$90="Yes"),R$16=1,R$7&gt;INPUTS!$S$90),1,0)</f>
        <v>0</v>
      </c>
      <c r="S53" s="108" t="n">
        <f aca="false">IF(AND((INPUTS!$E$90="Yes"),S$16=1,S$7&gt;INPUTS!$S$90),1,0)</f>
        <v>0</v>
      </c>
      <c r="T53" s="108" t="n">
        <f aca="false">IF(AND((INPUTS!$E$90="Yes"),T$16=1,T$7&gt;INPUTS!$S$90),1,0)</f>
        <v>0</v>
      </c>
      <c r="U53" s="108" t="n">
        <f aca="false">IF(AND((INPUTS!$E$90="Yes"),U$16=1,U$7&gt;INPUTS!$S$90),1,0)</f>
        <v>1</v>
      </c>
      <c r="V53" s="108" t="n">
        <f aca="false">IF(AND((INPUTS!$E$90="Yes"),V$16=1,V$7&gt;INPUTS!$S$90),1,0)</f>
        <v>1</v>
      </c>
      <c r="W53" s="108" t="n">
        <f aca="false">IF(AND((INPUTS!$E$90="Yes"),W$16=1,W$7&gt;INPUTS!$S$90),1,0)</f>
        <v>1</v>
      </c>
      <c r="X53" s="108" t="n">
        <f aca="false">IF(AND((INPUTS!$E$90="Yes"),X$16=1,X$7&gt;INPUTS!$S$90),1,0)</f>
        <v>1</v>
      </c>
      <c r="Y53" s="108" t="n">
        <f aca="false">IF(AND((INPUTS!$E$90="Yes"),Y$16=1,Y$7&gt;INPUTS!$S$90),1,0)</f>
        <v>1</v>
      </c>
      <c r="Z53" s="108" t="n">
        <f aca="false">IF(AND((INPUTS!$E$90="Yes"),Z$16=1,Z$7&gt;INPUTS!$S$90),1,0)</f>
        <v>1</v>
      </c>
      <c r="AA53" s="108" t="n">
        <f aca="false">IF(AND((INPUTS!$E$90="Yes"),AA$16=1,AA$7&gt;INPUTS!$S$90),1,0)</f>
        <v>1</v>
      </c>
      <c r="AB53" s="108" t="n">
        <f aca="false">IF(AND((INPUTS!$E$90="Yes"),AB$16=1,AB$7&gt;INPUTS!$S$90),1,0)</f>
        <v>1</v>
      </c>
      <c r="AC53" s="108" t="n">
        <f aca="false">IF(AND((INPUTS!$E$90="Yes"),AC$16=1,AC$7&gt;INPUTS!$S$90),1,0)</f>
        <v>1</v>
      </c>
      <c r="AD53" s="108" t="n">
        <f aca="false">IF(AND((INPUTS!$E$90="Yes"),AD$16=1,AD$7&gt;INPUTS!$S$90),1,0)</f>
        <v>1</v>
      </c>
      <c r="AE53" s="108" t="n">
        <f aca="false">IF(AND((INPUTS!$E$90="Yes"),AE$16=1,AE$7&gt;INPUTS!$S$90),1,0)</f>
        <v>1</v>
      </c>
      <c r="AF53" s="108" t="n">
        <f aca="false">IF(AND((INPUTS!$E$90="Yes"),AF$16=1,AF$7&gt;INPUTS!$S$90),1,0)</f>
        <v>1</v>
      </c>
      <c r="AG53" s="108" t="n">
        <f aca="false">IF(AND((INPUTS!$E$90="Yes"),AG$16=1,AG$7&gt;INPUTS!$S$90),1,0)</f>
        <v>1</v>
      </c>
      <c r="AH53" s="108" t="n">
        <f aca="false">IF(AND((INPUTS!$E$90="Yes"),AH$16=1,AH$7&gt;INPUTS!$S$90),1,0)</f>
        <v>1</v>
      </c>
      <c r="AI53" s="108" t="n">
        <f aca="false">IF(AND((INPUTS!$E$90="Yes"),AI$16=1,AI$7&gt;INPUTS!$S$90),1,0)</f>
        <v>1</v>
      </c>
      <c r="AJ53" s="108" t="n">
        <f aca="false">IF(AND((INPUTS!$E$90="Yes"),AJ$16=1,AJ$7&gt;INPUTS!$S$90),1,0)</f>
        <v>1</v>
      </c>
      <c r="AK53" s="108" t="n">
        <f aca="false">IF(AND((INPUTS!$E$90="Yes"),AK$16=1,AK$7&gt;INPUTS!$S$90),1,0)</f>
        <v>1</v>
      </c>
      <c r="AL53" s="108" t="n">
        <f aca="false">IF(AND((INPUTS!$E$90="Yes"),AL$16=1,AL$7&gt;INPUTS!$S$90),1,0)</f>
        <v>1</v>
      </c>
      <c r="AM53" s="108" t="n">
        <f aca="false">IF(AND((INPUTS!$E$90="Yes"),AM$16=1,AM$7&gt;INPUTS!$S$90),1,0)</f>
        <v>1</v>
      </c>
      <c r="AN53" s="108" t="n">
        <f aca="false">IF(AND((INPUTS!$E$90="Yes"),AN$16=1,AN$7&gt;INPUTS!$S$90),1,0)</f>
        <v>1</v>
      </c>
      <c r="AO53" s="108" t="n">
        <f aca="false">IF(AND((INPUTS!$E$90="Yes"),AO$16=1,AO$7&gt;INPUTS!$S$90),1,0)</f>
        <v>1</v>
      </c>
      <c r="AP53" s="108" t="n">
        <f aca="false">IF(AND((INPUTS!$E$90="Yes"),AP$16=1,AP$7&gt;INPUTS!$S$90),1,0)</f>
        <v>1</v>
      </c>
      <c r="AQ53" s="108" t="n">
        <f aca="false">IF(AND((INPUTS!$E$90="Yes"),AQ$16=1,AQ$7&gt;INPUTS!$S$90),1,0)</f>
        <v>1</v>
      </c>
    </row>
    <row r="54" customFormat="false" ht="15" hidden="false" customHeight="false" outlineLevel="0" collapsed="false">
      <c r="B54" s="17" t="s">
        <v>647</v>
      </c>
      <c r="C54" s="105" t="str">
        <f aca="false">IF(INPUTS!$E$90&lt;&gt;"Yes","Off",IF(OR(NOT(ISNUMBER(INPUTS!$P$90)),NOT(ISNUMBER(INPUTS!$Q$90)),NOT(ISNUMBER(INPUTS!$R$90)),NOT(ISNUMBER(INPUTS!$S$90))),"ERROR",IF(AND(C49=INPUTS!$Q$90-INPUTS!$P$90+1,C51=INPUTS!$S$90-INPUTS!$R$90+1,C53=MAX(0,INPUTS!$C$24-INPUTS!$S$90)),"OK","ERROR")))</f>
        <v>OK</v>
      </c>
    </row>
    <row r="55" customFormat="false" ht="15" hidden="false" customHeight="false" outlineLevel="0" collapsed="false">
      <c r="B55" s="110" t="str">
        <f aca="false">IF(INPUTS!$E$91="Yes",INPUTS!$B$91,"Product row 4 (off)")</f>
        <v>High-street retail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</row>
    <row r="56" customFormat="false" ht="15" hidden="false" customHeight="false" outlineLevel="0" collapsed="false">
      <c r="B56" s="3" t="s">
        <v>642</v>
      </c>
      <c r="C56" s="107" t="n">
        <f aca="false">SUM(D56:AQ56)</f>
        <v>8</v>
      </c>
      <c r="D56" s="108" t="n">
        <f aca="false">IF(AND((INPUTS!$E$91="Yes"),D$16=1,D$7&gt;=INPUTS!$P$91,D$7&lt;=INPUTS!$Q$91),1,0)</f>
        <v>0</v>
      </c>
      <c r="E56" s="108" t="n">
        <f aca="false">IF(AND((INPUTS!$E$91="Yes"),E$16=1,E$7&gt;=INPUTS!$P$91,E$7&lt;=INPUTS!$Q$91),1,0)</f>
        <v>0</v>
      </c>
      <c r="F56" s="108" t="n">
        <f aca="false">IF(AND((INPUTS!$E$91="Yes"),F$16=1,F$7&gt;=INPUTS!$P$91,F$7&lt;=INPUTS!$Q$91),1,0)</f>
        <v>0</v>
      </c>
      <c r="G56" s="108" t="n">
        <f aca="false">IF(AND((INPUTS!$E$91="Yes"),G$16=1,G$7&gt;=INPUTS!$P$91,G$7&lt;=INPUTS!$Q$91),1,0)</f>
        <v>0</v>
      </c>
      <c r="H56" s="108" t="n">
        <f aca="false">IF(AND((INPUTS!$E$91="Yes"),H$16=1,H$7&gt;=INPUTS!$P$91,H$7&lt;=INPUTS!$Q$91),1,0)</f>
        <v>0</v>
      </c>
      <c r="I56" s="108" t="n">
        <f aca="false">IF(AND((INPUTS!$E$91="Yes"),I$16=1,I$7&gt;=INPUTS!$P$91,I$7&lt;=INPUTS!$Q$91),1,0)</f>
        <v>0</v>
      </c>
      <c r="J56" s="108" t="n">
        <f aca="false">IF(AND((INPUTS!$E$91="Yes"),J$16=1,J$7&gt;=INPUTS!$P$91,J$7&lt;=INPUTS!$Q$91),1,0)</f>
        <v>0</v>
      </c>
      <c r="K56" s="108" t="n">
        <f aca="false">IF(AND((INPUTS!$E$91="Yes"),K$16=1,K$7&gt;=INPUTS!$P$91,K$7&lt;=INPUTS!$Q$91),1,0)</f>
        <v>1</v>
      </c>
      <c r="L56" s="108" t="n">
        <f aca="false">IF(AND((INPUTS!$E$91="Yes"),L$16=1,L$7&gt;=INPUTS!$P$91,L$7&lt;=INPUTS!$Q$91),1,0)</f>
        <v>1</v>
      </c>
      <c r="M56" s="108" t="n">
        <f aca="false">IF(AND((INPUTS!$E$91="Yes"),M$16=1,M$7&gt;=INPUTS!$P$91,M$7&lt;=INPUTS!$Q$91),1,0)</f>
        <v>1</v>
      </c>
      <c r="N56" s="108" t="n">
        <f aca="false">IF(AND((INPUTS!$E$91="Yes"),N$16=1,N$7&gt;=INPUTS!$P$91,N$7&lt;=INPUTS!$Q$91),1,0)</f>
        <v>1</v>
      </c>
      <c r="O56" s="108" t="n">
        <f aca="false">IF(AND((INPUTS!$E$91="Yes"),O$16=1,O$7&gt;=INPUTS!$P$91,O$7&lt;=INPUTS!$Q$91),1,0)</f>
        <v>1</v>
      </c>
      <c r="P56" s="108" t="n">
        <f aca="false">IF(AND((INPUTS!$E$91="Yes"),P$16=1,P$7&gt;=INPUTS!$P$91,P$7&lt;=INPUTS!$Q$91),1,0)</f>
        <v>1</v>
      </c>
      <c r="Q56" s="108" t="n">
        <f aca="false">IF(AND((INPUTS!$E$91="Yes"),Q$16=1,Q$7&gt;=INPUTS!$P$91,Q$7&lt;=INPUTS!$Q$91),1,0)</f>
        <v>1</v>
      </c>
      <c r="R56" s="108" t="n">
        <f aca="false">IF(AND((INPUTS!$E$91="Yes"),R$16=1,R$7&gt;=INPUTS!$P$91,R$7&lt;=INPUTS!$Q$91),1,0)</f>
        <v>1</v>
      </c>
      <c r="S56" s="108" t="n">
        <f aca="false">IF(AND((INPUTS!$E$91="Yes"),S$16=1,S$7&gt;=INPUTS!$P$91,S$7&lt;=INPUTS!$Q$91),1,0)</f>
        <v>0</v>
      </c>
      <c r="T56" s="108" t="n">
        <f aca="false">IF(AND((INPUTS!$E$91="Yes"),T$16=1,T$7&gt;=INPUTS!$P$91,T$7&lt;=INPUTS!$Q$91),1,0)</f>
        <v>0</v>
      </c>
      <c r="U56" s="108" t="n">
        <f aca="false">IF(AND((INPUTS!$E$91="Yes"),U$16=1,U$7&gt;=INPUTS!$P$91,U$7&lt;=INPUTS!$Q$91),1,0)</f>
        <v>0</v>
      </c>
      <c r="V56" s="108" t="n">
        <f aca="false">IF(AND((INPUTS!$E$91="Yes"),V$16=1,V$7&gt;=INPUTS!$P$91,V$7&lt;=INPUTS!$Q$91),1,0)</f>
        <v>0</v>
      </c>
      <c r="W56" s="108" t="n">
        <f aca="false">IF(AND((INPUTS!$E$91="Yes"),W$16=1,W$7&gt;=INPUTS!$P$91,W$7&lt;=INPUTS!$Q$91),1,0)</f>
        <v>0</v>
      </c>
      <c r="X56" s="108" t="n">
        <f aca="false">IF(AND((INPUTS!$E$91="Yes"),X$16=1,X$7&gt;=INPUTS!$P$91,X$7&lt;=INPUTS!$Q$91),1,0)</f>
        <v>0</v>
      </c>
      <c r="Y56" s="108" t="n">
        <f aca="false">IF(AND((INPUTS!$E$91="Yes"),Y$16=1,Y$7&gt;=INPUTS!$P$91,Y$7&lt;=INPUTS!$Q$91),1,0)</f>
        <v>0</v>
      </c>
      <c r="Z56" s="108" t="n">
        <f aca="false">IF(AND((INPUTS!$E$91="Yes"),Z$16=1,Z$7&gt;=INPUTS!$P$91,Z$7&lt;=INPUTS!$Q$91),1,0)</f>
        <v>0</v>
      </c>
      <c r="AA56" s="108" t="n">
        <f aca="false">IF(AND((INPUTS!$E$91="Yes"),AA$16=1,AA$7&gt;=INPUTS!$P$91,AA$7&lt;=INPUTS!$Q$91),1,0)</f>
        <v>0</v>
      </c>
      <c r="AB56" s="108" t="n">
        <f aca="false">IF(AND((INPUTS!$E$91="Yes"),AB$16=1,AB$7&gt;=INPUTS!$P$91,AB$7&lt;=INPUTS!$Q$91),1,0)</f>
        <v>0</v>
      </c>
      <c r="AC56" s="108" t="n">
        <f aca="false">IF(AND((INPUTS!$E$91="Yes"),AC$16=1,AC$7&gt;=INPUTS!$P$91,AC$7&lt;=INPUTS!$Q$91),1,0)</f>
        <v>0</v>
      </c>
      <c r="AD56" s="108" t="n">
        <f aca="false">IF(AND((INPUTS!$E$91="Yes"),AD$16=1,AD$7&gt;=INPUTS!$P$91,AD$7&lt;=INPUTS!$Q$91),1,0)</f>
        <v>0</v>
      </c>
      <c r="AE56" s="108" t="n">
        <f aca="false">IF(AND((INPUTS!$E$91="Yes"),AE$16=1,AE$7&gt;=INPUTS!$P$91,AE$7&lt;=INPUTS!$Q$91),1,0)</f>
        <v>0</v>
      </c>
      <c r="AF56" s="108" t="n">
        <f aca="false">IF(AND((INPUTS!$E$91="Yes"),AF$16=1,AF$7&gt;=INPUTS!$P$91,AF$7&lt;=INPUTS!$Q$91),1,0)</f>
        <v>0</v>
      </c>
      <c r="AG56" s="108" t="n">
        <f aca="false">IF(AND((INPUTS!$E$91="Yes"),AG$16=1,AG$7&gt;=INPUTS!$P$91,AG$7&lt;=INPUTS!$Q$91),1,0)</f>
        <v>0</v>
      </c>
      <c r="AH56" s="108" t="n">
        <f aca="false">IF(AND((INPUTS!$E$91="Yes"),AH$16=1,AH$7&gt;=INPUTS!$P$91,AH$7&lt;=INPUTS!$Q$91),1,0)</f>
        <v>0</v>
      </c>
      <c r="AI56" s="108" t="n">
        <f aca="false">IF(AND((INPUTS!$E$91="Yes"),AI$16=1,AI$7&gt;=INPUTS!$P$91,AI$7&lt;=INPUTS!$Q$91),1,0)</f>
        <v>0</v>
      </c>
      <c r="AJ56" s="108" t="n">
        <f aca="false">IF(AND((INPUTS!$E$91="Yes"),AJ$16=1,AJ$7&gt;=INPUTS!$P$91,AJ$7&lt;=INPUTS!$Q$91),1,0)</f>
        <v>0</v>
      </c>
      <c r="AK56" s="108" t="n">
        <f aca="false">IF(AND((INPUTS!$E$91="Yes"),AK$16=1,AK$7&gt;=INPUTS!$P$91,AK$7&lt;=INPUTS!$Q$91),1,0)</f>
        <v>0</v>
      </c>
      <c r="AL56" s="108" t="n">
        <f aca="false">IF(AND((INPUTS!$E$91="Yes"),AL$16=1,AL$7&gt;=INPUTS!$P$91,AL$7&lt;=INPUTS!$Q$91),1,0)</f>
        <v>0</v>
      </c>
      <c r="AM56" s="108" t="n">
        <f aca="false">IF(AND((INPUTS!$E$91="Yes"),AM$16=1,AM$7&gt;=INPUTS!$P$91,AM$7&lt;=INPUTS!$Q$91),1,0)</f>
        <v>0</v>
      </c>
      <c r="AN56" s="108" t="n">
        <f aca="false">IF(AND((INPUTS!$E$91="Yes"),AN$16=1,AN$7&gt;=INPUTS!$P$91,AN$7&lt;=INPUTS!$Q$91),1,0)</f>
        <v>0</v>
      </c>
      <c r="AO56" s="108" t="n">
        <f aca="false">IF(AND((INPUTS!$E$91="Yes"),AO$16=1,AO$7&gt;=INPUTS!$P$91,AO$7&lt;=INPUTS!$Q$91),1,0)</f>
        <v>0</v>
      </c>
      <c r="AP56" s="108" t="n">
        <f aca="false">IF(AND((INPUTS!$E$91="Yes"),AP$16=1,AP$7&gt;=INPUTS!$P$91,AP$7&lt;=INPUTS!$Q$91),1,0)</f>
        <v>0</v>
      </c>
      <c r="AQ56" s="108" t="n">
        <f aca="false">IF(AND((INPUTS!$E$91="Yes"),AQ$16=1,AQ$7&gt;=INPUTS!$P$91,AQ$7&lt;=INPUTS!$Q$91),1,0)</f>
        <v>0</v>
      </c>
    </row>
    <row r="57" customFormat="false" ht="15" hidden="false" customHeight="false" outlineLevel="0" collapsed="false">
      <c r="B57" s="3" t="s">
        <v>643</v>
      </c>
      <c r="C57" s="107" t="n">
        <f aca="false">MAX(D57:AQ57)</f>
        <v>8</v>
      </c>
      <c r="D57" s="108" t="n">
        <f aca="false">IF(D56=1,D$7-INPUTS!$P$91+1,0)</f>
        <v>0</v>
      </c>
      <c r="E57" s="108" t="n">
        <f aca="false">IF(E56=1,E$7-INPUTS!$P$91+1,0)</f>
        <v>0</v>
      </c>
      <c r="F57" s="108" t="n">
        <f aca="false">IF(F56=1,F$7-INPUTS!$P$91+1,0)</f>
        <v>0</v>
      </c>
      <c r="G57" s="108" t="n">
        <f aca="false">IF(G56=1,G$7-INPUTS!$P$91+1,0)</f>
        <v>0</v>
      </c>
      <c r="H57" s="108" t="n">
        <f aca="false">IF(H56=1,H$7-INPUTS!$P$91+1,0)</f>
        <v>0</v>
      </c>
      <c r="I57" s="108" t="n">
        <f aca="false">IF(I56=1,I$7-INPUTS!$P$91+1,0)</f>
        <v>0</v>
      </c>
      <c r="J57" s="108" t="n">
        <f aca="false">IF(J56=1,J$7-INPUTS!$P$91+1,0)</f>
        <v>0</v>
      </c>
      <c r="K57" s="108" t="n">
        <f aca="false">IF(K56=1,K$7-INPUTS!$P$91+1,0)</f>
        <v>1</v>
      </c>
      <c r="L57" s="108" t="n">
        <f aca="false">IF(L56=1,L$7-INPUTS!$P$91+1,0)</f>
        <v>2</v>
      </c>
      <c r="M57" s="108" t="n">
        <f aca="false">IF(M56=1,M$7-INPUTS!$P$91+1,0)</f>
        <v>3</v>
      </c>
      <c r="N57" s="108" t="n">
        <f aca="false">IF(N56=1,N$7-INPUTS!$P$91+1,0)</f>
        <v>4</v>
      </c>
      <c r="O57" s="108" t="n">
        <f aca="false">IF(O56=1,O$7-INPUTS!$P$91+1,0)</f>
        <v>5</v>
      </c>
      <c r="P57" s="108" t="n">
        <f aca="false">IF(P56=1,P$7-INPUTS!$P$91+1,0)</f>
        <v>6</v>
      </c>
      <c r="Q57" s="108" t="n">
        <f aca="false">IF(Q56=1,Q$7-INPUTS!$P$91+1,0)</f>
        <v>7</v>
      </c>
      <c r="R57" s="108" t="n">
        <f aca="false">IF(R56=1,R$7-INPUTS!$P$91+1,0)</f>
        <v>8</v>
      </c>
      <c r="S57" s="108" t="n">
        <f aca="false">IF(S56=1,S$7-INPUTS!$P$91+1,0)</f>
        <v>0</v>
      </c>
      <c r="T57" s="108" t="n">
        <f aca="false">IF(T56=1,T$7-INPUTS!$P$91+1,0)</f>
        <v>0</v>
      </c>
      <c r="U57" s="108" t="n">
        <f aca="false">IF(U56=1,U$7-INPUTS!$P$91+1,0)</f>
        <v>0</v>
      </c>
      <c r="V57" s="108" t="n">
        <f aca="false">IF(V56=1,V$7-INPUTS!$P$91+1,0)</f>
        <v>0</v>
      </c>
      <c r="W57" s="108" t="n">
        <f aca="false">IF(W56=1,W$7-INPUTS!$P$91+1,0)</f>
        <v>0</v>
      </c>
      <c r="X57" s="108" t="n">
        <f aca="false">IF(X56=1,X$7-INPUTS!$P$91+1,0)</f>
        <v>0</v>
      </c>
      <c r="Y57" s="108" t="n">
        <f aca="false">IF(Y56=1,Y$7-INPUTS!$P$91+1,0)</f>
        <v>0</v>
      </c>
      <c r="Z57" s="108" t="n">
        <f aca="false">IF(Z56=1,Z$7-INPUTS!$P$91+1,0)</f>
        <v>0</v>
      </c>
      <c r="AA57" s="108" t="n">
        <f aca="false">IF(AA56=1,AA$7-INPUTS!$P$91+1,0)</f>
        <v>0</v>
      </c>
      <c r="AB57" s="108" t="n">
        <f aca="false">IF(AB56=1,AB$7-INPUTS!$P$91+1,0)</f>
        <v>0</v>
      </c>
      <c r="AC57" s="108" t="n">
        <f aca="false">IF(AC56=1,AC$7-INPUTS!$P$91+1,0)</f>
        <v>0</v>
      </c>
      <c r="AD57" s="108" t="n">
        <f aca="false">IF(AD56=1,AD$7-INPUTS!$P$91+1,0)</f>
        <v>0</v>
      </c>
      <c r="AE57" s="108" t="n">
        <f aca="false">IF(AE56=1,AE$7-INPUTS!$P$91+1,0)</f>
        <v>0</v>
      </c>
      <c r="AF57" s="108" t="n">
        <f aca="false">IF(AF56=1,AF$7-INPUTS!$P$91+1,0)</f>
        <v>0</v>
      </c>
      <c r="AG57" s="108" t="n">
        <f aca="false">IF(AG56=1,AG$7-INPUTS!$P$91+1,0)</f>
        <v>0</v>
      </c>
      <c r="AH57" s="108" t="n">
        <f aca="false">IF(AH56=1,AH$7-INPUTS!$P$91+1,0)</f>
        <v>0</v>
      </c>
      <c r="AI57" s="108" t="n">
        <f aca="false">IF(AI56=1,AI$7-INPUTS!$P$91+1,0)</f>
        <v>0</v>
      </c>
      <c r="AJ57" s="108" t="n">
        <f aca="false">IF(AJ56=1,AJ$7-INPUTS!$P$91+1,0)</f>
        <v>0</v>
      </c>
      <c r="AK57" s="108" t="n">
        <f aca="false">IF(AK56=1,AK$7-INPUTS!$P$91+1,0)</f>
        <v>0</v>
      </c>
      <c r="AL57" s="108" t="n">
        <f aca="false">IF(AL56=1,AL$7-INPUTS!$P$91+1,0)</f>
        <v>0</v>
      </c>
      <c r="AM57" s="108" t="n">
        <f aca="false">IF(AM56=1,AM$7-INPUTS!$P$91+1,0)</f>
        <v>0</v>
      </c>
      <c r="AN57" s="108" t="n">
        <f aca="false">IF(AN56=1,AN$7-INPUTS!$P$91+1,0)</f>
        <v>0</v>
      </c>
      <c r="AO57" s="108" t="n">
        <f aca="false">IF(AO56=1,AO$7-INPUTS!$P$91+1,0)</f>
        <v>0</v>
      </c>
      <c r="AP57" s="108" t="n">
        <f aca="false">IF(AP56=1,AP$7-INPUTS!$P$91+1,0)</f>
        <v>0</v>
      </c>
      <c r="AQ57" s="108" t="n">
        <f aca="false">IF(AQ56=1,AQ$7-INPUTS!$P$91+1,0)</f>
        <v>0</v>
      </c>
    </row>
    <row r="58" customFormat="false" ht="15" hidden="false" customHeight="false" outlineLevel="0" collapsed="false">
      <c r="B58" s="3" t="s">
        <v>644</v>
      </c>
      <c r="C58" s="107" t="n">
        <f aca="false">SUM(D58:AQ58)</f>
        <v>12</v>
      </c>
      <c r="D58" s="108" t="n">
        <f aca="false">IF(AND((INPUTS!$E$91="Yes"),D$16=1,D$7&gt;=INPUTS!$R$91,D$7&lt;=INPUTS!$S$91),1,0)</f>
        <v>0</v>
      </c>
      <c r="E58" s="108" t="n">
        <f aca="false">IF(AND((INPUTS!$E$91="Yes"),E$16=1,E$7&gt;=INPUTS!$R$91,E$7&lt;=INPUTS!$S$91),1,0)</f>
        <v>0</v>
      </c>
      <c r="F58" s="108" t="n">
        <f aca="false">IF(AND((INPUTS!$E$91="Yes"),F$16=1,F$7&gt;=INPUTS!$R$91,F$7&lt;=INPUTS!$S$91),1,0)</f>
        <v>0</v>
      </c>
      <c r="G58" s="108" t="n">
        <f aca="false">IF(AND((INPUTS!$E$91="Yes"),G$16=1,G$7&gt;=INPUTS!$R$91,G$7&lt;=INPUTS!$S$91),1,0)</f>
        <v>0</v>
      </c>
      <c r="H58" s="108" t="n">
        <f aca="false">IF(AND((INPUTS!$E$91="Yes"),H$16=1,H$7&gt;=INPUTS!$R$91,H$7&lt;=INPUTS!$S$91),1,0)</f>
        <v>0</v>
      </c>
      <c r="I58" s="108" t="n">
        <f aca="false">IF(AND((INPUTS!$E$91="Yes"),I$16=1,I$7&gt;=INPUTS!$R$91,I$7&lt;=INPUTS!$S$91),1,0)</f>
        <v>1</v>
      </c>
      <c r="J58" s="108" t="n">
        <f aca="false">IF(AND((INPUTS!$E$91="Yes"),J$16=1,J$7&gt;=INPUTS!$R$91,J$7&lt;=INPUTS!$S$91),1,0)</f>
        <v>1</v>
      </c>
      <c r="K58" s="108" t="n">
        <f aca="false">IF(AND((INPUTS!$E$91="Yes"),K$16=1,K$7&gt;=INPUTS!$R$91,K$7&lt;=INPUTS!$S$91),1,0)</f>
        <v>1</v>
      </c>
      <c r="L58" s="108" t="n">
        <f aca="false">IF(AND((INPUTS!$E$91="Yes"),L$16=1,L$7&gt;=INPUTS!$R$91,L$7&lt;=INPUTS!$S$91),1,0)</f>
        <v>1</v>
      </c>
      <c r="M58" s="108" t="n">
        <f aca="false">IF(AND((INPUTS!$E$91="Yes"),M$16=1,M$7&gt;=INPUTS!$R$91,M$7&lt;=INPUTS!$S$91),1,0)</f>
        <v>1</v>
      </c>
      <c r="N58" s="108" t="n">
        <f aca="false">IF(AND((INPUTS!$E$91="Yes"),N$16=1,N$7&gt;=INPUTS!$R$91,N$7&lt;=INPUTS!$S$91),1,0)</f>
        <v>1</v>
      </c>
      <c r="O58" s="108" t="n">
        <f aca="false">IF(AND((INPUTS!$E$91="Yes"),O$16=1,O$7&gt;=INPUTS!$R$91,O$7&lt;=INPUTS!$S$91),1,0)</f>
        <v>1</v>
      </c>
      <c r="P58" s="108" t="n">
        <f aca="false">IF(AND((INPUTS!$E$91="Yes"),P$16=1,P$7&gt;=INPUTS!$R$91,P$7&lt;=INPUTS!$S$91),1,0)</f>
        <v>1</v>
      </c>
      <c r="Q58" s="108" t="n">
        <f aca="false">IF(AND((INPUTS!$E$91="Yes"),Q$16=1,Q$7&gt;=INPUTS!$R$91,Q$7&lt;=INPUTS!$S$91),1,0)</f>
        <v>1</v>
      </c>
      <c r="R58" s="108" t="n">
        <f aca="false">IF(AND((INPUTS!$E$91="Yes"),R$16=1,R$7&gt;=INPUTS!$R$91,R$7&lt;=INPUTS!$S$91),1,0)</f>
        <v>1</v>
      </c>
      <c r="S58" s="108" t="n">
        <f aca="false">IF(AND((INPUTS!$E$91="Yes"),S$16=1,S$7&gt;=INPUTS!$R$91,S$7&lt;=INPUTS!$S$91),1,0)</f>
        <v>1</v>
      </c>
      <c r="T58" s="108" t="n">
        <f aca="false">IF(AND((INPUTS!$E$91="Yes"),T$16=1,T$7&gt;=INPUTS!$R$91,T$7&lt;=INPUTS!$S$91),1,0)</f>
        <v>1</v>
      </c>
      <c r="U58" s="108" t="n">
        <f aca="false">IF(AND((INPUTS!$E$91="Yes"),U$16=1,U$7&gt;=INPUTS!$R$91,U$7&lt;=INPUTS!$S$91),1,0)</f>
        <v>0</v>
      </c>
      <c r="V58" s="108" t="n">
        <f aca="false">IF(AND((INPUTS!$E$91="Yes"),V$16=1,V$7&gt;=INPUTS!$R$91,V$7&lt;=INPUTS!$S$91),1,0)</f>
        <v>0</v>
      </c>
      <c r="W58" s="108" t="n">
        <f aca="false">IF(AND((INPUTS!$E$91="Yes"),W$16=1,W$7&gt;=INPUTS!$R$91,W$7&lt;=INPUTS!$S$91),1,0)</f>
        <v>0</v>
      </c>
      <c r="X58" s="108" t="n">
        <f aca="false">IF(AND((INPUTS!$E$91="Yes"),X$16=1,X$7&gt;=INPUTS!$R$91,X$7&lt;=INPUTS!$S$91),1,0)</f>
        <v>0</v>
      </c>
      <c r="Y58" s="108" t="n">
        <f aca="false">IF(AND((INPUTS!$E$91="Yes"),Y$16=1,Y$7&gt;=INPUTS!$R$91,Y$7&lt;=INPUTS!$S$91),1,0)</f>
        <v>0</v>
      </c>
      <c r="Z58" s="108" t="n">
        <f aca="false">IF(AND((INPUTS!$E$91="Yes"),Z$16=1,Z$7&gt;=INPUTS!$R$91,Z$7&lt;=INPUTS!$S$91),1,0)</f>
        <v>0</v>
      </c>
      <c r="AA58" s="108" t="n">
        <f aca="false">IF(AND((INPUTS!$E$91="Yes"),AA$16=1,AA$7&gt;=INPUTS!$R$91,AA$7&lt;=INPUTS!$S$91),1,0)</f>
        <v>0</v>
      </c>
      <c r="AB58" s="108" t="n">
        <f aca="false">IF(AND((INPUTS!$E$91="Yes"),AB$16=1,AB$7&gt;=INPUTS!$R$91,AB$7&lt;=INPUTS!$S$91),1,0)</f>
        <v>0</v>
      </c>
      <c r="AC58" s="108" t="n">
        <f aca="false">IF(AND((INPUTS!$E$91="Yes"),AC$16=1,AC$7&gt;=INPUTS!$R$91,AC$7&lt;=INPUTS!$S$91),1,0)</f>
        <v>0</v>
      </c>
      <c r="AD58" s="108" t="n">
        <f aca="false">IF(AND((INPUTS!$E$91="Yes"),AD$16=1,AD$7&gt;=INPUTS!$R$91,AD$7&lt;=INPUTS!$S$91),1,0)</f>
        <v>0</v>
      </c>
      <c r="AE58" s="108" t="n">
        <f aca="false">IF(AND((INPUTS!$E$91="Yes"),AE$16=1,AE$7&gt;=INPUTS!$R$91,AE$7&lt;=INPUTS!$S$91),1,0)</f>
        <v>0</v>
      </c>
      <c r="AF58" s="108" t="n">
        <f aca="false">IF(AND((INPUTS!$E$91="Yes"),AF$16=1,AF$7&gt;=INPUTS!$R$91,AF$7&lt;=INPUTS!$S$91),1,0)</f>
        <v>0</v>
      </c>
      <c r="AG58" s="108" t="n">
        <f aca="false">IF(AND((INPUTS!$E$91="Yes"),AG$16=1,AG$7&gt;=INPUTS!$R$91,AG$7&lt;=INPUTS!$S$91),1,0)</f>
        <v>0</v>
      </c>
      <c r="AH58" s="108" t="n">
        <f aca="false">IF(AND((INPUTS!$E$91="Yes"),AH$16=1,AH$7&gt;=INPUTS!$R$91,AH$7&lt;=INPUTS!$S$91),1,0)</f>
        <v>0</v>
      </c>
      <c r="AI58" s="108" t="n">
        <f aca="false">IF(AND((INPUTS!$E$91="Yes"),AI$16=1,AI$7&gt;=INPUTS!$R$91,AI$7&lt;=INPUTS!$S$91),1,0)</f>
        <v>0</v>
      </c>
      <c r="AJ58" s="108" t="n">
        <f aca="false">IF(AND((INPUTS!$E$91="Yes"),AJ$16=1,AJ$7&gt;=INPUTS!$R$91,AJ$7&lt;=INPUTS!$S$91),1,0)</f>
        <v>0</v>
      </c>
      <c r="AK58" s="108" t="n">
        <f aca="false">IF(AND((INPUTS!$E$91="Yes"),AK$16=1,AK$7&gt;=INPUTS!$R$91,AK$7&lt;=INPUTS!$S$91),1,0)</f>
        <v>0</v>
      </c>
      <c r="AL58" s="108" t="n">
        <f aca="false">IF(AND((INPUTS!$E$91="Yes"),AL$16=1,AL$7&gt;=INPUTS!$R$91,AL$7&lt;=INPUTS!$S$91),1,0)</f>
        <v>0</v>
      </c>
      <c r="AM58" s="108" t="n">
        <f aca="false">IF(AND((INPUTS!$E$91="Yes"),AM$16=1,AM$7&gt;=INPUTS!$R$91,AM$7&lt;=INPUTS!$S$91),1,0)</f>
        <v>0</v>
      </c>
      <c r="AN58" s="108" t="n">
        <f aca="false">IF(AND((INPUTS!$E$91="Yes"),AN$16=1,AN$7&gt;=INPUTS!$R$91,AN$7&lt;=INPUTS!$S$91),1,0)</f>
        <v>0</v>
      </c>
      <c r="AO58" s="108" t="n">
        <f aca="false">IF(AND((INPUTS!$E$91="Yes"),AO$16=1,AO$7&gt;=INPUTS!$R$91,AO$7&lt;=INPUTS!$S$91),1,0)</f>
        <v>0</v>
      </c>
      <c r="AP58" s="108" t="n">
        <f aca="false">IF(AND((INPUTS!$E$91="Yes"),AP$16=1,AP$7&gt;=INPUTS!$R$91,AP$7&lt;=INPUTS!$S$91),1,0)</f>
        <v>0</v>
      </c>
      <c r="AQ58" s="108" t="n">
        <f aca="false">IF(AND((INPUTS!$E$91="Yes"),AQ$16=1,AQ$7&gt;=INPUTS!$R$91,AQ$7&lt;=INPUTS!$S$91),1,0)</f>
        <v>0</v>
      </c>
    </row>
    <row r="59" customFormat="false" ht="15" hidden="false" customHeight="false" outlineLevel="0" collapsed="false">
      <c r="B59" s="3" t="s">
        <v>645</v>
      </c>
      <c r="C59" s="107" t="n">
        <f aca="false">MAX(D59:AQ59)</f>
        <v>12</v>
      </c>
      <c r="D59" s="108" t="n">
        <f aca="false">IF(D58=1,D$7-INPUTS!$R$91+1,0)</f>
        <v>0</v>
      </c>
      <c r="E59" s="108" t="n">
        <f aca="false">IF(E58=1,E$7-INPUTS!$R$91+1,0)</f>
        <v>0</v>
      </c>
      <c r="F59" s="108" t="n">
        <f aca="false">IF(F58=1,F$7-INPUTS!$R$91+1,0)</f>
        <v>0</v>
      </c>
      <c r="G59" s="108" t="n">
        <f aca="false">IF(G58=1,G$7-INPUTS!$R$91+1,0)</f>
        <v>0</v>
      </c>
      <c r="H59" s="108" t="n">
        <f aca="false">IF(H58=1,H$7-INPUTS!$R$91+1,0)</f>
        <v>0</v>
      </c>
      <c r="I59" s="108" t="n">
        <f aca="false">IF(I58=1,I$7-INPUTS!$R$91+1,0)</f>
        <v>1</v>
      </c>
      <c r="J59" s="108" t="n">
        <f aca="false">IF(J58=1,J$7-INPUTS!$R$91+1,0)</f>
        <v>2</v>
      </c>
      <c r="K59" s="108" t="n">
        <f aca="false">IF(K58=1,K$7-INPUTS!$R$91+1,0)</f>
        <v>3</v>
      </c>
      <c r="L59" s="108" t="n">
        <f aca="false">IF(L58=1,L$7-INPUTS!$R$91+1,0)</f>
        <v>4</v>
      </c>
      <c r="M59" s="108" t="n">
        <f aca="false">IF(M58=1,M$7-INPUTS!$R$91+1,0)</f>
        <v>5</v>
      </c>
      <c r="N59" s="108" t="n">
        <f aca="false">IF(N58=1,N$7-INPUTS!$R$91+1,0)</f>
        <v>6</v>
      </c>
      <c r="O59" s="108" t="n">
        <f aca="false">IF(O58=1,O$7-INPUTS!$R$91+1,0)</f>
        <v>7</v>
      </c>
      <c r="P59" s="108" t="n">
        <f aca="false">IF(P58=1,P$7-INPUTS!$R$91+1,0)</f>
        <v>8</v>
      </c>
      <c r="Q59" s="108" t="n">
        <f aca="false">IF(Q58=1,Q$7-INPUTS!$R$91+1,0)</f>
        <v>9</v>
      </c>
      <c r="R59" s="108" t="n">
        <f aca="false">IF(R58=1,R$7-INPUTS!$R$91+1,0)</f>
        <v>10</v>
      </c>
      <c r="S59" s="108" t="n">
        <f aca="false">IF(S58=1,S$7-INPUTS!$R$91+1,0)</f>
        <v>11</v>
      </c>
      <c r="T59" s="108" t="n">
        <f aca="false">IF(T58=1,T$7-INPUTS!$R$91+1,0)</f>
        <v>12</v>
      </c>
      <c r="U59" s="108" t="n">
        <f aca="false">IF(U58=1,U$7-INPUTS!$R$91+1,0)</f>
        <v>0</v>
      </c>
      <c r="V59" s="108" t="n">
        <f aca="false">IF(V58=1,V$7-INPUTS!$R$91+1,0)</f>
        <v>0</v>
      </c>
      <c r="W59" s="108" t="n">
        <f aca="false">IF(W58=1,W$7-INPUTS!$R$91+1,0)</f>
        <v>0</v>
      </c>
      <c r="X59" s="108" t="n">
        <f aca="false">IF(X58=1,X$7-INPUTS!$R$91+1,0)</f>
        <v>0</v>
      </c>
      <c r="Y59" s="108" t="n">
        <f aca="false">IF(Y58=1,Y$7-INPUTS!$R$91+1,0)</f>
        <v>0</v>
      </c>
      <c r="Z59" s="108" t="n">
        <f aca="false">IF(Z58=1,Z$7-INPUTS!$R$91+1,0)</f>
        <v>0</v>
      </c>
      <c r="AA59" s="108" t="n">
        <f aca="false">IF(AA58=1,AA$7-INPUTS!$R$91+1,0)</f>
        <v>0</v>
      </c>
      <c r="AB59" s="108" t="n">
        <f aca="false">IF(AB58=1,AB$7-INPUTS!$R$91+1,0)</f>
        <v>0</v>
      </c>
      <c r="AC59" s="108" t="n">
        <f aca="false">IF(AC58=1,AC$7-INPUTS!$R$91+1,0)</f>
        <v>0</v>
      </c>
      <c r="AD59" s="108" t="n">
        <f aca="false">IF(AD58=1,AD$7-INPUTS!$R$91+1,0)</f>
        <v>0</v>
      </c>
      <c r="AE59" s="108" t="n">
        <f aca="false">IF(AE58=1,AE$7-INPUTS!$R$91+1,0)</f>
        <v>0</v>
      </c>
      <c r="AF59" s="108" t="n">
        <f aca="false">IF(AF58=1,AF$7-INPUTS!$R$91+1,0)</f>
        <v>0</v>
      </c>
      <c r="AG59" s="108" t="n">
        <f aca="false">IF(AG58=1,AG$7-INPUTS!$R$91+1,0)</f>
        <v>0</v>
      </c>
      <c r="AH59" s="108" t="n">
        <f aca="false">IF(AH58=1,AH$7-INPUTS!$R$91+1,0)</f>
        <v>0</v>
      </c>
      <c r="AI59" s="108" t="n">
        <f aca="false">IF(AI58=1,AI$7-INPUTS!$R$91+1,0)</f>
        <v>0</v>
      </c>
      <c r="AJ59" s="108" t="n">
        <f aca="false">IF(AJ58=1,AJ$7-INPUTS!$R$91+1,0)</f>
        <v>0</v>
      </c>
      <c r="AK59" s="108" t="n">
        <f aca="false">IF(AK58=1,AK$7-INPUTS!$R$91+1,0)</f>
        <v>0</v>
      </c>
      <c r="AL59" s="108" t="n">
        <f aca="false">IF(AL58=1,AL$7-INPUTS!$R$91+1,0)</f>
        <v>0</v>
      </c>
      <c r="AM59" s="108" t="n">
        <f aca="false">IF(AM58=1,AM$7-INPUTS!$R$91+1,0)</f>
        <v>0</v>
      </c>
      <c r="AN59" s="108" t="n">
        <f aca="false">IF(AN58=1,AN$7-INPUTS!$R$91+1,0)</f>
        <v>0</v>
      </c>
      <c r="AO59" s="108" t="n">
        <f aca="false">IF(AO58=1,AO$7-INPUTS!$R$91+1,0)</f>
        <v>0</v>
      </c>
      <c r="AP59" s="108" t="n">
        <f aca="false">IF(AP58=1,AP$7-INPUTS!$R$91+1,0)</f>
        <v>0</v>
      </c>
      <c r="AQ59" s="108" t="n">
        <f aca="false">IF(AQ58=1,AQ$7-INPUTS!$R$91+1,0)</f>
        <v>0</v>
      </c>
    </row>
    <row r="60" customFormat="false" ht="15" hidden="false" customHeight="false" outlineLevel="0" collapsed="false">
      <c r="B60" s="3" t="s">
        <v>646</v>
      </c>
      <c r="C60" s="107" t="n">
        <f aca="false">SUM(D60:AQ60)</f>
        <v>23</v>
      </c>
      <c r="D60" s="108" t="n">
        <f aca="false">IF(AND((INPUTS!$E$91="Yes"),D$16=1,D$7&gt;INPUTS!$S$91),1,0)</f>
        <v>0</v>
      </c>
      <c r="E60" s="108" t="n">
        <f aca="false">IF(AND((INPUTS!$E$91="Yes"),E$16=1,E$7&gt;INPUTS!$S$91),1,0)</f>
        <v>0</v>
      </c>
      <c r="F60" s="108" t="n">
        <f aca="false">IF(AND((INPUTS!$E$91="Yes"),F$16=1,F$7&gt;INPUTS!$S$91),1,0)</f>
        <v>0</v>
      </c>
      <c r="G60" s="108" t="n">
        <f aca="false">IF(AND((INPUTS!$E$91="Yes"),G$16=1,G$7&gt;INPUTS!$S$91),1,0)</f>
        <v>0</v>
      </c>
      <c r="H60" s="108" t="n">
        <f aca="false">IF(AND((INPUTS!$E$91="Yes"),H$16=1,H$7&gt;INPUTS!$S$91),1,0)</f>
        <v>0</v>
      </c>
      <c r="I60" s="108" t="n">
        <f aca="false">IF(AND((INPUTS!$E$91="Yes"),I$16=1,I$7&gt;INPUTS!$S$91),1,0)</f>
        <v>0</v>
      </c>
      <c r="J60" s="108" t="n">
        <f aca="false">IF(AND((INPUTS!$E$91="Yes"),J$16=1,J$7&gt;INPUTS!$S$91),1,0)</f>
        <v>0</v>
      </c>
      <c r="K60" s="108" t="n">
        <f aca="false">IF(AND((INPUTS!$E$91="Yes"),K$16=1,K$7&gt;INPUTS!$S$91),1,0)</f>
        <v>0</v>
      </c>
      <c r="L60" s="108" t="n">
        <f aca="false">IF(AND((INPUTS!$E$91="Yes"),L$16=1,L$7&gt;INPUTS!$S$91),1,0)</f>
        <v>0</v>
      </c>
      <c r="M60" s="108" t="n">
        <f aca="false">IF(AND((INPUTS!$E$91="Yes"),M$16=1,M$7&gt;INPUTS!$S$91),1,0)</f>
        <v>0</v>
      </c>
      <c r="N60" s="108" t="n">
        <f aca="false">IF(AND((INPUTS!$E$91="Yes"),N$16=1,N$7&gt;INPUTS!$S$91),1,0)</f>
        <v>0</v>
      </c>
      <c r="O60" s="108" t="n">
        <f aca="false">IF(AND((INPUTS!$E$91="Yes"),O$16=1,O$7&gt;INPUTS!$S$91),1,0)</f>
        <v>0</v>
      </c>
      <c r="P60" s="108" t="n">
        <f aca="false">IF(AND((INPUTS!$E$91="Yes"),P$16=1,P$7&gt;INPUTS!$S$91),1,0)</f>
        <v>0</v>
      </c>
      <c r="Q60" s="108" t="n">
        <f aca="false">IF(AND((INPUTS!$E$91="Yes"),Q$16=1,Q$7&gt;INPUTS!$S$91),1,0)</f>
        <v>0</v>
      </c>
      <c r="R60" s="108" t="n">
        <f aca="false">IF(AND((INPUTS!$E$91="Yes"),R$16=1,R$7&gt;INPUTS!$S$91),1,0)</f>
        <v>0</v>
      </c>
      <c r="S60" s="108" t="n">
        <f aca="false">IF(AND((INPUTS!$E$91="Yes"),S$16=1,S$7&gt;INPUTS!$S$91),1,0)</f>
        <v>0</v>
      </c>
      <c r="T60" s="108" t="n">
        <f aca="false">IF(AND((INPUTS!$E$91="Yes"),T$16=1,T$7&gt;INPUTS!$S$91),1,0)</f>
        <v>0</v>
      </c>
      <c r="U60" s="108" t="n">
        <f aca="false">IF(AND((INPUTS!$E$91="Yes"),U$16=1,U$7&gt;INPUTS!$S$91),1,0)</f>
        <v>1</v>
      </c>
      <c r="V60" s="108" t="n">
        <f aca="false">IF(AND((INPUTS!$E$91="Yes"),V$16=1,V$7&gt;INPUTS!$S$91),1,0)</f>
        <v>1</v>
      </c>
      <c r="W60" s="108" t="n">
        <f aca="false">IF(AND((INPUTS!$E$91="Yes"),W$16=1,W$7&gt;INPUTS!$S$91),1,0)</f>
        <v>1</v>
      </c>
      <c r="X60" s="108" t="n">
        <f aca="false">IF(AND((INPUTS!$E$91="Yes"),X$16=1,X$7&gt;INPUTS!$S$91),1,0)</f>
        <v>1</v>
      </c>
      <c r="Y60" s="108" t="n">
        <f aca="false">IF(AND((INPUTS!$E$91="Yes"),Y$16=1,Y$7&gt;INPUTS!$S$91),1,0)</f>
        <v>1</v>
      </c>
      <c r="Z60" s="108" t="n">
        <f aca="false">IF(AND((INPUTS!$E$91="Yes"),Z$16=1,Z$7&gt;INPUTS!$S$91),1,0)</f>
        <v>1</v>
      </c>
      <c r="AA60" s="108" t="n">
        <f aca="false">IF(AND((INPUTS!$E$91="Yes"),AA$16=1,AA$7&gt;INPUTS!$S$91),1,0)</f>
        <v>1</v>
      </c>
      <c r="AB60" s="108" t="n">
        <f aca="false">IF(AND((INPUTS!$E$91="Yes"),AB$16=1,AB$7&gt;INPUTS!$S$91),1,0)</f>
        <v>1</v>
      </c>
      <c r="AC60" s="108" t="n">
        <f aca="false">IF(AND((INPUTS!$E$91="Yes"),AC$16=1,AC$7&gt;INPUTS!$S$91),1,0)</f>
        <v>1</v>
      </c>
      <c r="AD60" s="108" t="n">
        <f aca="false">IF(AND((INPUTS!$E$91="Yes"),AD$16=1,AD$7&gt;INPUTS!$S$91),1,0)</f>
        <v>1</v>
      </c>
      <c r="AE60" s="108" t="n">
        <f aca="false">IF(AND((INPUTS!$E$91="Yes"),AE$16=1,AE$7&gt;INPUTS!$S$91),1,0)</f>
        <v>1</v>
      </c>
      <c r="AF60" s="108" t="n">
        <f aca="false">IF(AND((INPUTS!$E$91="Yes"),AF$16=1,AF$7&gt;INPUTS!$S$91),1,0)</f>
        <v>1</v>
      </c>
      <c r="AG60" s="108" t="n">
        <f aca="false">IF(AND((INPUTS!$E$91="Yes"),AG$16=1,AG$7&gt;INPUTS!$S$91),1,0)</f>
        <v>1</v>
      </c>
      <c r="AH60" s="108" t="n">
        <f aca="false">IF(AND((INPUTS!$E$91="Yes"),AH$16=1,AH$7&gt;INPUTS!$S$91),1,0)</f>
        <v>1</v>
      </c>
      <c r="AI60" s="108" t="n">
        <f aca="false">IF(AND((INPUTS!$E$91="Yes"),AI$16=1,AI$7&gt;INPUTS!$S$91),1,0)</f>
        <v>1</v>
      </c>
      <c r="AJ60" s="108" t="n">
        <f aca="false">IF(AND((INPUTS!$E$91="Yes"),AJ$16=1,AJ$7&gt;INPUTS!$S$91),1,0)</f>
        <v>1</v>
      </c>
      <c r="AK60" s="108" t="n">
        <f aca="false">IF(AND((INPUTS!$E$91="Yes"),AK$16=1,AK$7&gt;INPUTS!$S$91),1,0)</f>
        <v>1</v>
      </c>
      <c r="AL60" s="108" t="n">
        <f aca="false">IF(AND((INPUTS!$E$91="Yes"),AL$16=1,AL$7&gt;INPUTS!$S$91),1,0)</f>
        <v>1</v>
      </c>
      <c r="AM60" s="108" t="n">
        <f aca="false">IF(AND((INPUTS!$E$91="Yes"),AM$16=1,AM$7&gt;INPUTS!$S$91),1,0)</f>
        <v>1</v>
      </c>
      <c r="AN60" s="108" t="n">
        <f aca="false">IF(AND((INPUTS!$E$91="Yes"),AN$16=1,AN$7&gt;INPUTS!$S$91),1,0)</f>
        <v>1</v>
      </c>
      <c r="AO60" s="108" t="n">
        <f aca="false">IF(AND((INPUTS!$E$91="Yes"),AO$16=1,AO$7&gt;INPUTS!$S$91),1,0)</f>
        <v>1</v>
      </c>
      <c r="AP60" s="108" t="n">
        <f aca="false">IF(AND((INPUTS!$E$91="Yes"),AP$16=1,AP$7&gt;INPUTS!$S$91),1,0)</f>
        <v>1</v>
      </c>
      <c r="AQ60" s="108" t="n">
        <f aca="false">IF(AND((INPUTS!$E$91="Yes"),AQ$16=1,AQ$7&gt;INPUTS!$S$91),1,0)</f>
        <v>1</v>
      </c>
    </row>
    <row r="61" customFormat="false" ht="15" hidden="false" customHeight="false" outlineLevel="0" collapsed="false">
      <c r="B61" s="17" t="s">
        <v>647</v>
      </c>
      <c r="C61" s="105" t="str">
        <f aca="false">IF(INPUTS!$E$91&lt;&gt;"Yes","Off",IF(OR(NOT(ISNUMBER(INPUTS!$P$91)),NOT(ISNUMBER(INPUTS!$Q$91)),NOT(ISNUMBER(INPUTS!$R$91)),NOT(ISNUMBER(INPUTS!$S$91))),"ERROR",IF(AND(C56=INPUTS!$Q$91-INPUTS!$P$91+1,C58=INPUTS!$S$91-INPUTS!$R$91+1,C60=MAX(0,INPUTS!$C$24-INPUTS!$S$91)),"OK","ERROR")))</f>
        <v>OK</v>
      </c>
    </row>
    <row r="62" customFormat="false" ht="15" hidden="false" customHeight="false" outlineLevel="0" collapsed="false">
      <c r="B62" s="110" t="str">
        <f aca="false">IF(INPUTS!$E$92="Yes",INPUTS!$B$92,"Product row 5 (off)")</f>
        <v>Product row 5 (off)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</row>
    <row r="63" customFormat="false" ht="15" hidden="false" customHeight="false" outlineLevel="0" collapsed="false">
      <c r="B63" s="3" t="s">
        <v>642</v>
      </c>
      <c r="C63" s="107" t="n">
        <f aca="false">SUM(D63:AQ63)</f>
        <v>0</v>
      </c>
      <c r="D63" s="108" t="n">
        <f aca="false">IF(AND((INPUTS!$E$92="Yes"),D$16=1,D$7&gt;=INPUTS!$P$92,D$7&lt;=INPUTS!$Q$92),1,0)</f>
        <v>0</v>
      </c>
      <c r="E63" s="108" t="n">
        <f aca="false">IF(AND((INPUTS!$E$92="Yes"),E$16=1,E$7&gt;=INPUTS!$P$92,E$7&lt;=INPUTS!$Q$92),1,0)</f>
        <v>0</v>
      </c>
      <c r="F63" s="108" t="n">
        <f aca="false">IF(AND((INPUTS!$E$92="Yes"),F$16=1,F$7&gt;=INPUTS!$P$92,F$7&lt;=INPUTS!$Q$92),1,0)</f>
        <v>0</v>
      </c>
      <c r="G63" s="108" t="n">
        <f aca="false">IF(AND((INPUTS!$E$92="Yes"),G$16=1,G$7&gt;=INPUTS!$P$92,G$7&lt;=INPUTS!$Q$92),1,0)</f>
        <v>0</v>
      </c>
      <c r="H63" s="108" t="n">
        <f aca="false">IF(AND((INPUTS!$E$92="Yes"),H$16=1,H$7&gt;=INPUTS!$P$92,H$7&lt;=INPUTS!$Q$92),1,0)</f>
        <v>0</v>
      </c>
      <c r="I63" s="108" t="n">
        <f aca="false">IF(AND((INPUTS!$E$92="Yes"),I$16=1,I$7&gt;=INPUTS!$P$92,I$7&lt;=INPUTS!$Q$92),1,0)</f>
        <v>0</v>
      </c>
      <c r="J63" s="108" t="n">
        <f aca="false">IF(AND((INPUTS!$E$92="Yes"),J$16=1,J$7&gt;=INPUTS!$P$92,J$7&lt;=INPUTS!$Q$92),1,0)</f>
        <v>0</v>
      </c>
      <c r="K63" s="108" t="n">
        <f aca="false">IF(AND((INPUTS!$E$92="Yes"),K$16=1,K$7&gt;=INPUTS!$P$92,K$7&lt;=INPUTS!$Q$92),1,0)</f>
        <v>0</v>
      </c>
      <c r="L63" s="108" t="n">
        <f aca="false">IF(AND((INPUTS!$E$92="Yes"),L$16=1,L$7&gt;=INPUTS!$P$92,L$7&lt;=INPUTS!$Q$92),1,0)</f>
        <v>0</v>
      </c>
      <c r="M63" s="108" t="n">
        <f aca="false">IF(AND((INPUTS!$E$92="Yes"),M$16=1,M$7&gt;=INPUTS!$P$92,M$7&lt;=INPUTS!$Q$92),1,0)</f>
        <v>0</v>
      </c>
      <c r="N63" s="108" t="n">
        <f aca="false">IF(AND((INPUTS!$E$92="Yes"),N$16=1,N$7&gt;=INPUTS!$P$92,N$7&lt;=INPUTS!$Q$92),1,0)</f>
        <v>0</v>
      </c>
      <c r="O63" s="108" t="n">
        <f aca="false">IF(AND((INPUTS!$E$92="Yes"),O$16=1,O$7&gt;=INPUTS!$P$92,O$7&lt;=INPUTS!$Q$92),1,0)</f>
        <v>0</v>
      </c>
      <c r="P63" s="108" t="n">
        <f aca="false">IF(AND((INPUTS!$E$92="Yes"),P$16=1,P$7&gt;=INPUTS!$P$92,P$7&lt;=INPUTS!$Q$92),1,0)</f>
        <v>0</v>
      </c>
      <c r="Q63" s="108" t="n">
        <f aca="false">IF(AND((INPUTS!$E$92="Yes"),Q$16=1,Q$7&gt;=INPUTS!$P$92,Q$7&lt;=INPUTS!$Q$92),1,0)</f>
        <v>0</v>
      </c>
      <c r="R63" s="108" t="n">
        <f aca="false">IF(AND((INPUTS!$E$92="Yes"),R$16=1,R$7&gt;=INPUTS!$P$92,R$7&lt;=INPUTS!$Q$92),1,0)</f>
        <v>0</v>
      </c>
      <c r="S63" s="108" t="n">
        <f aca="false">IF(AND((INPUTS!$E$92="Yes"),S$16=1,S$7&gt;=INPUTS!$P$92,S$7&lt;=INPUTS!$Q$92),1,0)</f>
        <v>0</v>
      </c>
      <c r="T63" s="108" t="n">
        <f aca="false">IF(AND((INPUTS!$E$92="Yes"),T$16=1,T$7&gt;=INPUTS!$P$92,T$7&lt;=INPUTS!$Q$92),1,0)</f>
        <v>0</v>
      </c>
      <c r="U63" s="108" t="n">
        <f aca="false">IF(AND((INPUTS!$E$92="Yes"),U$16=1,U$7&gt;=INPUTS!$P$92,U$7&lt;=INPUTS!$Q$92),1,0)</f>
        <v>0</v>
      </c>
      <c r="V63" s="108" t="n">
        <f aca="false">IF(AND((INPUTS!$E$92="Yes"),V$16=1,V$7&gt;=INPUTS!$P$92,V$7&lt;=INPUTS!$Q$92),1,0)</f>
        <v>0</v>
      </c>
      <c r="W63" s="108" t="n">
        <f aca="false">IF(AND((INPUTS!$E$92="Yes"),W$16=1,W$7&gt;=INPUTS!$P$92,W$7&lt;=INPUTS!$Q$92),1,0)</f>
        <v>0</v>
      </c>
      <c r="X63" s="108" t="n">
        <f aca="false">IF(AND((INPUTS!$E$92="Yes"),X$16=1,X$7&gt;=INPUTS!$P$92,X$7&lt;=INPUTS!$Q$92),1,0)</f>
        <v>0</v>
      </c>
      <c r="Y63" s="108" t="n">
        <f aca="false">IF(AND((INPUTS!$E$92="Yes"),Y$16=1,Y$7&gt;=INPUTS!$P$92,Y$7&lt;=INPUTS!$Q$92),1,0)</f>
        <v>0</v>
      </c>
      <c r="Z63" s="108" t="n">
        <f aca="false">IF(AND((INPUTS!$E$92="Yes"),Z$16=1,Z$7&gt;=INPUTS!$P$92,Z$7&lt;=INPUTS!$Q$92),1,0)</f>
        <v>0</v>
      </c>
      <c r="AA63" s="108" t="n">
        <f aca="false">IF(AND((INPUTS!$E$92="Yes"),AA$16=1,AA$7&gt;=INPUTS!$P$92,AA$7&lt;=INPUTS!$Q$92),1,0)</f>
        <v>0</v>
      </c>
      <c r="AB63" s="108" t="n">
        <f aca="false">IF(AND((INPUTS!$E$92="Yes"),AB$16=1,AB$7&gt;=INPUTS!$P$92,AB$7&lt;=INPUTS!$Q$92),1,0)</f>
        <v>0</v>
      </c>
      <c r="AC63" s="108" t="n">
        <f aca="false">IF(AND((INPUTS!$E$92="Yes"),AC$16=1,AC$7&gt;=INPUTS!$P$92,AC$7&lt;=INPUTS!$Q$92),1,0)</f>
        <v>0</v>
      </c>
      <c r="AD63" s="108" t="n">
        <f aca="false">IF(AND((INPUTS!$E$92="Yes"),AD$16=1,AD$7&gt;=INPUTS!$P$92,AD$7&lt;=INPUTS!$Q$92),1,0)</f>
        <v>0</v>
      </c>
      <c r="AE63" s="108" t="n">
        <f aca="false">IF(AND((INPUTS!$E$92="Yes"),AE$16=1,AE$7&gt;=INPUTS!$P$92,AE$7&lt;=INPUTS!$Q$92),1,0)</f>
        <v>0</v>
      </c>
      <c r="AF63" s="108" t="n">
        <f aca="false">IF(AND((INPUTS!$E$92="Yes"),AF$16=1,AF$7&gt;=INPUTS!$P$92,AF$7&lt;=INPUTS!$Q$92),1,0)</f>
        <v>0</v>
      </c>
      <c r="AG63" s="108" t="n">
        <f aca="false">IF(AND((INPUTS!$E$92="Yes"),AG$16=1,AG$7&gt;=INPUTS!$P$92,AG$7&lt;=INPUTS!$Q$92),1,0)</f>
        <v>0</v>
      </c>
      <c r="AH63" s="108" t="n">
        <f aca="false">IF(AND((INPUTS!$E$92="Yes"),AH$16=1,AH$7&gt;=INPUTS!$P$92,AH$7&lt;=INPUTS!$Q$92),1,0)</f>
        <v>0</v>
      </c>
      <c r="AI63" s="108" t="n">
        <f aca="false">IF(AND((INPUTS!$E$92="Yes"),AI$16=1,AI$7&gt;=INPUTS!$P$92,AI$7&lt;=INPUTS!$Q$92),1,0)</f>
        <v>0</v>
      </c>
      <c r="AJ63" s="108" t="n">
        <f aca="false">IF(AND((INPUTS!$E$92="Yes"),AJ$16=1,AJ$7&gt;=INPUTS!$P$92,AJ$7&lt;=INPUTS!$Q$92),1,0)</f>
        <v>0</v>
      </c>
      <c r="AK63" s="108" t="n">
        <f aca="false">IF(AND((INPUTS!$E$92="Yes"),AK$16=1,AK$7&gt;=INPUTS!$P$92,AK$7&lt;=INPUTS!$Q$92),1,0)</f>
        <v>0</v>
      </c>
      <c r="AL63" s="108" t="n">
        <f aca="false">IF(AND((INPUTS!$E$92="Yes"),AL$16=1,AL$7&gt;=INPUTS!$P$92,AL$7&lt;=INPUTS!$Q$92),1,0)</f>
        <v>0</v>
      </c>
      <c r="AM63" s="108" t="n">
        <f aca="false">IF(AND((INPUTS!$E$92="Yes"),AM$16=1,AM$7&gt;=INPUTS!$P$92,AM$7&lt;=INPUTS!$Q$92),1,0)</f>
        <v>0</v>
      </c>
      <c r="AN63" s="108" t="n">
        <f aca="false">IF(AND((INPUTS!$E$92="Yes"),AN$16=1,AN$7&gt;=INPUTS!$P$92,AN$7&lt;=INPUTS!$Q$92),1,0)</f>
        <v>0</v>
      </c>
      <c r="AO63" s="108" t="n">
        <f aca="false">IF(AND((INPUTS!$E$92="Yes"),AO$16=1,AO$7&gt;=INPUTS!$P$92,AO$7&lt;=INPUTS!$Q$92),1,0)</f>
        <v>0</v>
      </c>
      <c r="AP63" s="108" t="n">
        <f aca="false">IF(AND((INPUTS!$E$92="Yes"),AP$16=1,AP$7&gt;=INPUTS!$P$92,AP$7&lt;=INPUTS!$Q$92),1,0)</f>
        <v>0</v>
      </c>
      <c r="AQ63" s="108" t="n">
        <f aca="false">IF(AND((INPUTS!$E$92="Yes"),AQ$16=1,AQ$7&gt;=INPUTS!$P$92,AQ$7&lt;=INPUTS!$Q$92),1,0)</f>
        <v>0</v>
      </c>
    </row>
    <row r="64" customFormat="false" ht="15" hidden="false" customHeight="false" outlineLevel="0" collapsed="false">
      <c r="B64" s="3" t="s">
        <v>643</v>
      </c>
      <c r="C64" s="107" t="n">
        <f aca="false">MAX(D64:AQ64)</f>
        <v>0</v>
      </c>
      <c r="D64" s="108" t="n">
        <f aca="false">IF(D63=1,D$7-INPUTS!$P$92+1,0)</f>
        <v>0</v>
      </c>
      <c r="E64" s="108" t="n">
        <f aca="false">IF(E63=1,E$7-INPUTS!$P$92+1,0)</f>
        <v>0</v>
      </c>
      <c r="F64" s="108" t="n">
        <f aca="false">IF(F63=1,F$7-INPUTS!$P$92+1,0)</f>
        <v>0</v>
      </c>
      <c r="G64" s="108" t="n">
        <f aca="false">IF(G63=1,G$7-INPUTS!$P$92+1,0)</f>
        <v>0</v>
      </c>
      <c r="H64" s="108" t="n">
        <f aca="false">IF(H63=1,H$7-INPUTS!$P$92+1,0)</f>
        <v>0</v>
      </c>
      <c r="I64" s="108" t="n">
        <f aca="false">IF(I63=1,I$7-INPUTS!$P$92+1,0)</f>
        <v>0</v>
      </c>
      <c r="J64" s="108" t="n">
        <f aca="false">IF(J63=1,J$7-INPUTS!$P$92+1,0)</f>
        <v>0</v>
      </c>
      <c r="K64" s="108" t="n">
        <f aca="false">IF(K63=1,K$7-INPUTS!$P$92+1,0)</f>
        <v>0</v>
      </c>
      <c r="L64" s="108" t="n">
        <f aca="false">IF(L63=1,L$7-INPUTS!$P$92+1,0)</f>
        <v>0</v>
      </c>
      <c r="M64" s="108" t="n">
        <f aca="false">IF(M63=1,M$7-INPUTS!$P$92+1,0)</f>
        <v>0</v>
      </c>
      <c r="N64" s="108" t="n">
        <f aca="false">IF(N63=1,N$7-INPUTS!$P$92+1,0)</f>
        <v>0</v>
      </c>
      <c r="O64" s="108" t="n">
        <f aca="false">IF(O63=1,O$7-INPUTS!$P$92+1,0)</f>
        <v>0</v>
      </c>
      <c r="P64" s="108" t="n">
        <f aca="false">IF(P63=1,P$7-INPUTS!$P$92+1,0)</f>
        <v>0</v>
      </c>
      <c r="Q64" s="108" t="n">
        <f aca="false">IF(Q63=1,Q$7-INPUTS!$P$92+1,0)</f>
        <v>0</v>
      </c>
      <c r="R64" s="108" t="n">
        <f aca="false">IF(R63=1,R$7-INPUTS!$P$92+1,0)</f>
        <v>0</v>
      </c>
      <c r="S64" s="108" t="n">
        <f aca="false">IF(S63=1,S$7-INPUTS!$P$92+1,0)</f>
        <v>0</v>
      </c>
      <c r="T64" s="108" t="n">
        <f aca="false">IF(T63=1,T$7-INPUTS!$P$92+1,0)</f>
        <v>0</v>
      </c>
      <c r="U64" s="108" t="n">
        <f aca="false">IF(U63=1,U$7-INPUTS!$P$92+1,0)</f>
        <v>0</v>
      </c>
      <c r="V64" s="108" t="n">
        <f aca="false">IF(V63=1,V$7-INPUTS!$P$92+1,0)</f>
        <v>0</v>
      </c>
      <c r="W64" s="108" t="n">
        <f aca="false">IF(W63=1,W$7-INPUTS!$P$92+1,0)</f>
        <v>0</v>
      </c>
      <c r="X64" s="108" t="n">
        <f aca="false">IF(X63=1,X$7-INPUTS!$P$92+1,0)</f>
        <v>0</v>
      </c>
      <c r="Y64" s="108" t="n">
        <f aca="false">IF(Y63=1,Y$7-INPUTS!$P$92+1,0)</f>
        <v>0</v>
      </c>
      <c r="Z64" s="108" t="n">
        <f aca="false">IF(Z63=1,Z$7-INPUTS!$P$92+1,0)</f>
        <v>0</v>
      </c>
      <c r="AA64" s="108" t="n">
        <f aca="false">IF(AA63=1,AA$7-INPUTS!$P$92+1,0)</f>
        <v>0</v>
      </c>
      <c r="AB64" s="108" t="n">
        <f aca="false">IF(AB63=1,AB$7-INPUTS!$P$92+1,0)</f>
        <v>0</v>
      </c>
      <c r="AC64" s="108" t="n">
        <f aca="false">IF(AC63=1,AC$7-INPUTS!$P$92+1,0)</f>
        <v>0</v>
      </c>
      <c r="AD64" s="108" t="n">
        <f aca="false">IF(AD63=1,AD$7-INPUTS!$P$92+1,0)</f>
        <v>0</v>
      </c>
      <c r="AE64" s="108" t="n">
        <f aca="false">IF(AE63=1,AE$7-INPUTS!$P$92+1,0)</f>
        <v>0</v>
      </c>
      <c r="AF64" s="108" t="n">
        <f aca="false">IF(AF63=1,AF$7-INPUTS!$P$92+1,0)</f>
        <v>0</v>
      </c>
      <c r="AG64" s="108" t="n">
        <f aca="false">IF(AG63=1,AG$7-INPUTS!$P$92+1,0)</f>
        <v>0</v>
      </c>
      <c r="AH64" s="108" t="n">
        <f aca="false">IF(AH63=1,AH$7-INPUTS!$P$92+1,0)</f>
        <v>0</v>
      </c>
      <c r="AI64" s="108" t="n">
        <f aca="false">IF(AI63=1,AI$7-INPUTS!$P$92+1,0)</f>
        <v>0</v>
      </c>
      <c r="AJ64" s="108" t="n">
        <f aca="false">IF(AJ63=1,AJ$7-INPUTS!$P$92+1,0)</f>
        <v>0</v>
      </c>
      <c r="AK64" s="108" t="n">
        <f aca="false">IF(AK63=1,AK$7-INPUTS!$P$92+1,0)</f>
        <v>0</v>
      </c>
      <c r="AL64" s="108" t="n">
        <f aca="false">IF(AL63=1,AL$7-INPUTS!$P$92+1,0)</f>
        <v>0</v>
      </c>
      <c r="AM64" s="108" t="n">
        <f aca="false">IF(AM63=1,AM$7-INPUTS!$P$92+1,0)</f>
        <v>0</v>
      </c>
      <c r="AN64" s="108" t="n">
        <f aca="false">IF(AN63=1,AN$7-INPUTS!$P$92+1,0)</f>
        <v>0</v>
      </c>
      <c r="AO64" s="108" t="n">
        <f aca="false">IF(AO63=1,AO$7-INPUTS!$P$92+1,0)</f>
        <v>0</v>
      </c>
      <c r="AP64" s="108" t="n">
        <f aca="false">IF(AP63=1,AP$7-INPUTS!$P$92+1,0)</f>
        <v>0</v>
      </c>
      <c r="AQ64" s="108" t="n">
        <f aca="false">IF(AQ63=1,AQ$7-INPUTS!$P$92+1,0)</f>
        <v>0</v>
      </c>
    </row>
    <row r="65" customFormat="false" ht="15" hidden="false" customHeight="false" outlineLevel="0" collapsed="false">
      <c r="B65" s="3" t="s">
        <v>644</v>
      </c>
      <c r="C65" s="107" t="n">
        <f aca="false">SUM(D65:AQ65)</f>
        <v>0</v>
      </c>
      <c r="D65" s="108" t="n">
        <f aca="false">IF(AND((INPUTS!$E$92="Yes"),D$16=1,D$7&gt;=INPUTS!$R$92,D$7&lt;=INPUTS!$S$92),1,0)</f>
        <v>0</v>
      </c>
      <c r="E65" s="108" t="n">
        <f aca="false">IF(AND((INPUTS!$E$92="Yes"),E$16=1,E$7&gt;=INPUTS!$R$92,E$7&lt;=INPUTS!$S$92),1,0)</f>
        <v>0</v>
      </c>
      <c r="F65" s="108" t="n">
        <f aca="false">IF(AND((INPUTS!$E$92="Yes"),F$16=1,F$7&gt;=INPUTS!$R$92,F$7&lt;=INPUTS!$S$92),1,0)</f>
        <v>0</v>
      </c>
      <c r="G65" s="108" t="n">
        <f aca="false">IF(AND((INPUTS!$E$92="Yes"),G$16=1,G$7&gt;=INPUTS!$R$92,G$7&lt;=INPUTS!$S$92),1,0)</f>
        <v>0</v>
      </c>
      <c r="H65" s="108" t="n">
        <f aca="false">IF(AND((INPUTS!$E$92="Yes"),H$16=1,H$7&gt;=INPUTS!$R$92,H$7&lt;=INPUTS!$S$92),1,0)</f>
        <v>0</v>
      </c>
      <c r="I65" s="108" t="n">
        <f aca="false">IF(AND((INPUTS!$E$92="Yes"),I$16=1,I$7&gt;=INPUTS!$R$92,I$7&lt;=INPUTS!$S$92),1,0)</f>
        <v>0</v>
      </c>
      <c r="J65" s="108" t="n">
        <f aca="false">IF(AND((INPUTS!$E$92="Yes"),J$16=1,J$7&gt;=INPUTS!$R$92,J$7&lt;=INPUTS!$S$92),1,0)</f>
        <v>0</v>
      </c>
      <c r="K65" s="108" t="n">
        <f aca="false">IF(AND((INPUTS!$E$92="Yes"),K$16=1,K$7&gt;=INPUTS!$R$92,K$7&lt;=INPUTS!$S$92),1,0)</f>
        <v>0</v>
      </c>
      <c r="L65" s="108" t="n">
        <f aca="false">IF(AND((INPUTS!$E$92="Yes"),L$16=1,L$7&gt;=INPUTS!$R$92,L$7&lt;=INPUTS!$S$92),1,0)</f>
        <v>0</v>
      </c>
      <c r="M65" s="108" t="n">
        <f aca="false">IF(AND((INPUTS!$E$92="Yes"),M$16=1,M$7&gt;=INPUTS!$R$92,M$7&lt;=INPUTS!$S$92),1,0)</f>
        <v>0</v>
      </c>
      <c r="N65" s="108" t="n">
        <f aca="false">IF(AND((INPUTS!$E$92="Yes"),N$16=1,N$7&gt;=INPUTS!$R$92,N$7&lt;=INPUTS!$S$92),1,0)</f>
        <v>0</v>
      </c>
      <c r="O65" s="108" t="n">
        <f aca="false">IF(AND((INPUTS!$E$92="Yes"),O$16=1,O$7&gt;=INPUTS!$R$92,O$7&lt;=INPUTS!$S$92),1,0)</f>
        <v>0</v>
      </c>
      <c r="P65" s="108" t="n">
        <f aca="false">IF(AND((INPUTS!$E$92="Yes"),P$16=1,P$7&gt;=INPUTS!$R$92,P$7&lt;=INPUTS!$S$92),1,0)</f>
        <v>0</v>
      </c>
      <c r="Q65" s="108" t="n">
        <f aca="false">IF(AND((INPUTS!$E$92="Yes"),Q$16=1,Q$7&gt;=INPUTS!$R$92,Q$7&lt;=INPUTS!$S$92),1,0)</f>
        <v>0</v>
      </c>
      <c r="R65" s="108" t="n">
        <f aca="false">IF(AND((INPUTS!$E$92="Yes"),R$16=1,R$7&gt;=INPUTS!$R$92,R$7&lt;=INPUTS!$S$92),1,0)</f>
        <v>0</v>
      </c>
      <c r="S65" s="108" t="n">
        <f aca="false">IF(AND((INPUTS!$E$92="Yes"),S$16=1,S$7&gt;=INPUTS!$R$92,S$7&lt;=INPUTS!$S$92),1,0)</f>
        <v>0</v>
      </c>
      <c r="T65" s="108" t="n">
        <f aca="false">IF(AND((INPUTS!$E$92="Yes"),T$16=1,T$7&gt;=INPUTS!$R$92,T$7&lt;=INPUTS!$S$92),1,0)</f>
        <v>0</v>
      </c>
      <c r="U65" s="108" t="n">
        <f aca="false">IF(AND((INPUTS!$E$92="Yes"),U$16=1,U$7&gt;=INPUTS!$R$92,U$7&lt;=INPUTS!$S$92),1,0)</f>
        <v>0</v>
      </c>
      <c r="V65" s="108" t="n">
        <f aca="false">IF(AND((INPUTS!$E$92="Yes"),V$16=1,V$7&gt;=INPUTS!$R$92,V$7&lt;=INPUTS!$S$92),1,0)</f>
        <v>0</v>
      </c>
      <c r="W65" s="108" t="n">
        <f aca="false">IF(AND((INPUTS!$E$92="Yes"),W$16=1,W$7&gt;=INPUTS!$R$92,W$7&lt;=INPUTS!$S$92),1,0)</f>
        <v>0</v>
      </c>
      <c r="X65" s="108" t="n">
        <f aca="false">IF(AND((INPUTS!$E$92="Yes"),X$16=1,X$7&gt;=INPUTS!$R$92,X$7&lt;=INPUTS!$S$92),1,0)</f>
        <v>0</v>
      </c>
      <c r="Y65" s="108" t="n">
        <f aca="false">IF(AND((INPUTS!$E$92="Yes"),Y$16=1,Y$7&gt;=INPUTS!$R$92,Y$7&lt;=INPUTS!$S$92),1,0)</f>
        <v>0</v>
      </c>
      <c r="Z65" s="108" t="n">
        <f aca="false">IF(AND((INPUTS!$E$92="Yes"),Z$16=1,Z$7&gt;=INPUTS!$R$92,Z$7&lt;=INPUTS!$S$92),1,0)</f>
        <v>0</v>
      </c>
      <c r="AA65" s="108" t="n">
        <f aca="false">IF(AND((INPUTS!$E$92="Yes"),AA$16=1,AA$7&gt;=INPUTS!$R$92,AA$7&lt;=INPUTS!$S$92),1,0)</f>
        <v>0</v>
      </c>
      <c r="AB65" s="108" t="n">
        <f aca="false">IF(AND((INPUTS!$E$92="Yes"),AB$16=1,AB$7&gt;=INPUTS!$R$92,AB$7&lt;=INPUTS!$S$92),1,0)</f>
        <v>0</v>
      </c>
      <c r="AC65" s="108" t="n">
        <f aca="false">IF(AND((INPUTS!$E$92="Yes"),AC$16=1,AC$7&gt;=INPUTS!$R$92,AC$7&lt;=INPUTS!$S$92),1,0)</f>
        <v>0</v>
      </c>
      <c r="AD65" s="108" t="n">
        <f aca="false">IF(AND((INPUTS!$E$92="Yes"),AD$16=1,AD$7&gt;=INPUTS!$R$92,AD$7&lt;=INPUTS!$S$92),1,0)</f>
        <v>0</v>
      </c>
      <c r="AE65" s="108" t="n">
        <f aca="false">IF(AND((INPUTS!$E$92="Yes"),AE$16=1,AE$7&gt;=INPUTS!$R$92,AE$7&lt;=INPUTS!$S$92),1,0)</f>
        <v>0</v>
      </c>
      <c r="AF65" s="108" t="n">
        <f aca="false">IF(AND((INPUTS!$E$92="Yes"),AF$16=1,AF$7&gt;=INPUTS!$R$92,AF$7&lt;=INPUTS!$S$92),1,0)</f>
        <v>0</v>
      </c>
      <c r="AG65" s="108" t="n">
        <f aca="false">IF(AND((INPUTS!$E$92="Yes"),AG$16=1,AG$7&gt;=INPUTS!$R$92,AG$7&lt;=INPUTS!$S$92),1,0)</f>
        <v>0</v>
      </c>
      <c r="AH65" s="108" t="n">
        <f aca="false">IF(AND((INPUTS!$E$92="Yes"),AH$16=1,AH$7&gt;=INPUTS!$R$92,AH$7&lt;=INPUTS!$S$92),1,0)</f>
        <v>0</v>
      </c>
      <c r="AI65" s="108" t="n">
        <f aca="false">IF(AND((INPUTS!$E$92="Yes"),AI$16=1,AI$7&gt;=INPUTS!$R$92,AI$7&lt;=INPUTS!$S$92),1,0)</f>
        <v>0</v>
      </c>
      <c r="AJ65" s="108" t="n">
        <f aca="false">IF(AND((INPUTS!$E$92="Yes"),AJ$16=1,AJ$7&gt;=INPUTS!$R$92,AJ$7&lt;=INPUTS!$S$92),1,0)</f>
        <v>0</v>
      </c>
      <c r="AK65" s="108" t="n">
        <f aca="false">IF(AND((INPUTS!$E$92="Yes"),AK$16=1,AK$7&gt;=INPUTS!$R$92,AK$7&lt;=INPUTS!$S$92),1,0)</f>
        <v>0</v>
      </c>
      <c r="AL65" s="108" t="n">
        <f aca="false">IF(AND((INPUTS!$E$92="Yes"),AL$16=1,AL$7&gt;=INPUTS!$R$92,AL$7&lt;=INPUTS!$S$92),1,0)</f>
        <v>0</v>
      </c>
      <c r="AM65" s="108" t="n">
        <f aca="false">IF(AND((INPUTS!$E$92="Yes"),AM$16=1,AM$7&gt;=INPUTS!$R$92,AM$7&lt;=INPUTS!$S$92),1,0)</f>
        <v>0</v>
      </c>
      <c r="AN65" s="108" t="n">
        <f aca="false">IF(AND((INPUTS!$E$92="Yes"),AN$16=1,AN$7&gt;=INPUTS!$R$92,AN$7&lt;=INPUTS!$S$92),1,0)</f>
        <v>0</v>
      </c>
      <c r="AO65" s="108" t="n">
        <f aca="false">IF(AND((INPUTS!$E$92="Yes"),AO$16=1,AO$7&gt;=INPUTS!$R$92,AO$7&lt;=INPUTS!$S$92),1,0)</f>
        <v>0</v>
      </c>
      <c r="AP65" s="108" t="n">
        <f aca="false">IF(AND((INPUTS!$E$92="Yes"),AP$16=1,AP$7&gt;=INPUTS!$R$92,AP$7&lt;=INPUTS!$S$92),1,0)</f>
        <v>0</v>
      </c>
      <c r="AQ65" s="108" t="n">
        <f aca="false">IF(AND((INPUTS!$E$92="Yes"),AQ$16=1,AQ$7&gt;=INPUTS!$R$92,AQ$7&lt;=INPUTS!$S$92),1,0)</f>
        <v>0</v>
      </c>
    </row>
    <row r="66" customFormat="false" ht="15" hidden="false" customHeight="false" outlineLevel="0" collapsed="false">
      <c r="B66" s="3" t="s">
        <v>645</v>
      </c>
      <c r="C66" s="107" t="n">
        <f aca="false">MAX(D66:AQ66)</f>
        <v>0</v>
      </c>
      <c r="D66" s="108" t="n">
        <f aca="false">IF(D65=1,D$7-INPUTS!$R$92+1,0)</f>
        <v>0</v>
      </c>
      <c r="E66" s="108" t="n">
        <f aca="false">IF(E65=1,E$7-INPUTS!$R$92+1,0)</f>
        <v>0</v>
      </c>
      <c r="F66" s="108" t="n">
        <f aca="false">IF(F65=1,F$7-INPUTS!$R$92+1,0)</f>
        <v>0</v>
      </c>
      <c r="G66" s="108" t="n">
        <f aca="false">IF(G65=1,G$7-INPUTS!$R$92+1,0)</f>
        <v>0</v>
      </c>
      <c r="H66" s="108" t="n">
        <f aca="false">IF(H65=1,H$7-INPUTS!$R$92+1,0)</f>
        <v>0</v>
      </c>
      <c r="I66" s="108" t="n">
        <f aca="false">IF(I65=1,I$7-INPUTS!$R$92+1,0)</f>
        <v>0</v>
      </c>
      <c r="J66" s="108" t="n">
        <f aca="false">IF(J65=1,J$7-INPUTS!$R$92+1,0)</f>
        <v>0</v>
      </c>
      <c r="K66" s="108" t="n">
        <f aca="false">IF(K65=1,K$7-INPUTS!$R$92+1,0)</f>
        <v>0</v>
      </c>
      <c r="L66" s="108" t="n">
        <f aca="false">IF(L65=1,L$7-INPUTS!$R$92+1,0)</f>
        <v>0</v>
      </c>
      <c r="M66" s="108" t="n">
        <f aca="false">IF(M65=1,M$7-INPUTS!$R$92+1,0)</f>
        <v>0</v>
      </c>
      <c r="N66" s="108" t="n">
        <f aca="false">IF(N65=1,N$7-INPUTS!$R$92+1,0)</f>
        <v>0</v>
      </c>
      <c r="O66" s="108" t="n">
        <f aca="false">IF(O65=1,O$7-INPUTS!$R$92+1,0)</f>
        <v>0</v>
      </c>
      <c r="P66" s="108" t="n">
        <f aca="false">IF(P65=1,P$7-INPUTS!$R$92+1,0)</f>
        <v>0</v>
      </c>
      <c r="Q66" s="108" t="n">
        <f aca="false">IF(Q65=1,Q$7-INPUTS!$R$92+1,0)</f>
        <v>0</v>
      </c>
      <c r="R66" s="108" t="n">
        <f aca="false">IF(R65=1,R$7-INPUTS!$R$92+1,0)</f>
        <v>0</v>
      </c>
      <c r="S66" s="108" t="n">
        <f aca="false">IF(S65=1,S$7-INPUTS!$R$92+1,0)</f>
        <v>0</v>
      </c>
      <c r="T66" s="108" t="n">
        <f aca="false">IF(T65=1,T$7-INPUTS!$R$92+1,0)</f>
        <v>0</v>
      </c>
      <c r="U66" s="108" t="n">
        <f aca="false">IF(U65=1,U$7-INPUTS!$R$92+1,0)</f>
        <v>0</v>
      </c>
      <c r="V66" s="108" t="n">
        <f aca="false">IF(V65=1,V$7-INPUTS!$R$92+1,0)</f>
        <v>0</v>
      </c>
      <c r="W66" s="108" t="n">
        <f aca="false">IF(W65=1,W$7-INPUTS!$R$92+1,0)</f>
        <v>0</v>
      </c>
      <c r="X66" s="108" t="n">
        <f aca="false">IF(X65=1,X$7-INPUTS!$R$92+1,0)</f>
        <v>0</v>
      </c>
      <c r="Y66" s="108" t="n">
        <f aca="false">IF(Y65=1,Y$7-INPUTS!$R$92+1,0)</f>
        <v>0</v>
      </c>
      <c r="Z66" s="108" t="n">
        <f aca="false">IF(Z65=1,Z$7-INPUTS!$R$92+1,0)</f>
        <v>0</v>
      </c>
      <c r="AA66" s="108" t="n">
        <f aca="false">IF(AA65=1,AA$7-INPUTS!$R$92+1,0)</f>
        <v>0</v>
      </c>
      <c r="AB66" s="108" t="n">
        <f aca="false">IF(AB65=1,AB$7-INPUTS!$R$92+1,0)</f>
        <v>0</v>
      </c>
      <c r="AC66" s="108" t="n">
        <f aca="false">IF(AC65=1,AC$7-INPUTS!$R$92+1,0)</f>
        <v>0</v>
      </c>
      <c r="AD66" s="108" t="n">
        <f aca="false">IF(AD65=1,AD$7-INPUTS!$R$92+1,0)</f>
        <v>0</v>
      </c>
      <c r="AE66" s="108" t="n">
        <f aca="false">IF(AE65=1,AE$7-INPUTS!$R$92+1,0)</f>
        <v>0</v>
      </c>
      <c r="AF66" s="108" t="n">
        <f aca="false">IF(AF65=1,AF$7-INPUTS!$R$92+1,0)</f>
        <v>0</v>
      </c>
      <c r="AG66" s="108" t="n">
        <f aca="false">IF(AG65=1,AG$7-INPUTS!$R$92+1,0)</f>
        <v>0</v>
      </c>
      <c r="AH66" s="108" t="n">
        <f aca="false">IF(AH65=1,AH$7-INPUTS!$R$92+1,0)</f>
        <v>0</v>
      </c>
      <c r="AI66" s="108" t="n">
        <f aca="false">IF(AI65=1,AI$7-INPUTS!$R$92+1,0)</f>
        <v>0</v>
      </c>
      <c r="AJ66" s="108" t="n">
        <f aca="false">IF(AJ65=1,AJ$7-INPUTS!$R$92+1,0)</f>
        <v>0</v>
      </c>
      <c r="AK66" s="108" t="n">
        <f aca="false">IF(AK65=1,AK$7-INPUTS!$R$92+1,0)</f>
        <v>0</v>
      </c>
      <c r="AL66" s="108" t="n">
        <f aca="false">IF(AL65=1,AL$7-INPUTS!$R$92+1,0)</f>
        <v>0</v>
      </c>
      <c r="AM66" s="108" t="n">
        <f aca="false">IF(AM65=1,AM$7-INPUTS!$R$92+1,0)</f>
        <v>0</v>
      </c>
      <c r="AN66" s="108" t="n">
        <f aca="false">IF(AN65=1,AN$7-INPUTS!$R$92+1,0)</f>
        <v>0</v>
      </c>
      <c r="AO66" s="108" t="n">
        <f aca="false">IF(AO65=1,AO$7-INPUTS!$R$92+1,0)</f>
        <v>0</v>
      </c>
      <c r="AP66" s="108" t="n">
        <f aca="false">IF(AP65=1,AP$7-INPUTS!$R$92+1,0)</f>
        <v>0</v>
      </c>
      <c r="AQ66" s="108" t="n">
        <f aca="false">IF(AQ65=1,AQ$7-INPUTS!$R$92+1,0)</f>
        <v>0</v>
      </c>
    </row>
    <row r="67" customFormat="false" ht="15" hidden="false" customHeight="false" outlineLevel="0" collapsed="false">
      <c r="B67" s="3" t="s">
        <v>646</v>
      </c>
      <c r="C67" s="107" t="n">
        <f aca="false">SUM(D67:AQ67)</f>
        <v>0</v>
      </c>
      <c r="D67" s="108" t="n">
        <f aca="false">IF(AND((INPUTS!$E$92="Yes"),D$16=1,D$7&gt;INPUTS!$S$92),1,0)</f>
        <v>0</v>
      </c>
      <c r="E67" s="108" t="n">
        <f aca="false">IF(AND((INPUTS!$E$92="Yes"),E$16=1,E$7&gt;INPUTS!$S$92),1,0)</f>
        <v>0</v>
      </c>
      <c r="F67" s="108" t="n">
        <f aca="false">IF(AND((INPUTS!$E$92="Yes"),F$16=1,F$7&gt;INPUTS!$S$92),1,0)</f>
        <v>0</v>
      </c>
      <c r="G67" s="108" t="n">
        <f aca="false">IF(AND((INPUTS!$E$92="Yes"),G$16=1,G$7&gt;INPUTS!$S$92),1,0)</f>
        <v>0</v>
      </c>
      <c r="H67" s="108" t="n">
        <f aca="false">IF(AND((INPUTS!$E$92="Yes"),H$16=1,H$7&gt;INPUTS!$S$92),1,0)</f>
        <v>0</v>
      </c>
      <c r="I67" s="108" t="n">
        <f aca="false">IF(AND((INPUTS!$E$92="Yes"),I$16=1,I$7&gt;INPUTS!$S$92),1,0)</f>
        <v>0</v>
      </c>
      <c r="J67" s="108" t="n">
        <f aca="false">IF(AND((INPUTS!$E$92="Yes"),J$16=1,J$7&gt;INPUTS!$S$92),1,0)</f>
        <v>0</v>
      </c>
      <c r="K67" s="108" t="n">
        <f aca="false">IF(AND((INPUTS!$E$92="Yes"),K$16=1,K$7&gt;INPUTS!$S$92),1,0)</f>
        <v>0</v>
      </c>
      <c r="L67" s="108" t="n">
        <f aca="false">IF(AND((INPUTS!$E$92="Yes"),L$16=1,L$7&gt;INPUTS!$S$92),1,0)</f>
        <v>0</v>
      </c>
      <c r="M67" s="108" t="n">
        <f aca="false">IF(AND((INPUTS!$E$92="Yes"),M$16=1,M$7&gt;INPUTS!$S$92),1,0)</f>
        <v>0</v>
      </c>
      <c r="N67" s="108" t="n">
        <f aca="false">IF(AND((INPUTS!$E$92="Yes"),N$16=1,N$7&gt;INPUTS!$S$92),1,0)</f>
        <v>0</v>
      </c>
      <c r="O67" s="108" t="n">
        <f aca="false">IF(AND((INPUTS!$E$92="Yes"),O$16=1,O$7&gt;INPUTS!$S$92),1,0)</f>
        <v>0</v>
      </c>
      <c r="P67" s="108" t="n">
        <f aca="false">IF(AND((INPUTS!$E$92="Yes"),P$16=1,P$7&gt;INPUTS!$S$92),1,0)</f>
        <v>0</v>
      </c>
      <c r="Q67" s="108" t="n">
        <f aca="false">IF(AND((INPUTS!$E$92="Yes"),Q$16=1,Q$7&gt;INPUTS!$S$92),1,0)</f>
        <v>0</v>
      </c>
      <c r="R67" s="108" t="n">
        <f aca="false">IF(AND((INPUTS!$E$92="Yes"),R$16=1,R$7&gt;INPUTS!$S$92),1,0)</f>
        <v>0</v>
      </c>
      <c r="S67" s="108" t="n">
        <f aca="false">IF(AND((INPUTS!$E$92="Yes"),S$16=1,S$7&gt;INPUTS!$S$92),1,0)</f>
        <v>0</v>
      </c>
      <c r="T67" s="108" t="n">
        <f aca="false">IF(AND((INPUTS!$E$92="Yes"),T$16=1,T$7&gt;INPUTS!$S$92),1,0)</f>
        <v>0</v>
      </c>
      <c r="U67" s="108" t="n">
        <f aca="false">IF(AND((INPUTS!$E$92="Yes"),U$16=1,U$7&gt;INPUTS!$S$92),1,0)</f>
        <v>0</v>
      </c>
      <c r="V67" s="108" t="n">
        <f aca="false">IF(AND((INPUTS!$E$92="Yes"),V$16=1,V$7&gt;INPUTS!$S$92),1,0)</f>
        <v>0</v>
      </c>
      <c r="W67" s="108" t="n">
        <f aca="false">IF(AND((INPUTS!$E$92="Yes"),W$16=1,W$7&gt;INPUTS!$S$92),1,0)</f>
        <v>0</v>
      </c>
      <c r="X67" s="108" t="n">
        <f aca="false">IF(AND((INPUTS!$E$92="Yes"),X$16=1,X$7&gt;INPUTS!$S$92),1,0)</f>
        <v>0</v>
      </c>
      <c r="Y67" s="108" t="n">
        <f aca="false">IF(AND((INPUTS!$E$92="Yes"),Y$16=1,Y$7&gt;INPUTS!$S$92),1,0)</f>
        <v>0</v>
      </c>
      <c r="Z67" s="108" t="n">
        <f aca="false">IF(AND((INPUTS!$E$92="Yes"),Z$16=1,Z$7&gt;INPUTS!$S$92),1,0)</f>
        <v>0</v>
      </c>
      <c r="AA67" s="108" t="n">
        <f aca="false">IF(AND((INPUTS!$E$92="Yes"),AA$16=1,AA$7&gt;INPUTS!$S$92),1,0)</f>
        <v>0</v>
      </c>
      <c r="AB67" s="108" t="n">
        <f aca="false">IF(AND((INPUTS!$E$92="Yes"),AB$16=1,AB$7&gt;INPUTS!$S$92),1,0)</f>
        <v>0</v>
      </c>
      <c r="AC67" s="108" t="n">
        <f aca="false">IF(AND((INPUTS!$E$92="Yes"),AC$16=1,AC$7&gt;INPUTS!$S$92),1,0)</f>
        <v>0</v>
      </c>
      <c r="AD67" s="108" t="n">
        <f aca="false">IF(AND((INPUTS!$E$92="Yes"),AD$16=1,AD$7&gt;INPUTS!$S$92),1,0)</f>
        <v>0</v>
      </c>
      <c r="AE67" s="108" t="n">
        <f aca="false">IF(AND((INPUTS!$E$92="Yes"),AE$16=1,AE$7&gt;INPUTS!$S$92),1,0)</f>
        <v>0</v>
      </c>
      <c r="AF67" s="108" t="n">
        <f aca="false">IF(AND((INPUTS!$E$92="Yes"),AF$16=1,AF$7&gt;INPUTS!$S$92),1,0)</f>
        <v>0</v>
      </c>
      <c r="AG67" s="108" t="n">
        <f aca="false">IF(AND((INPUTS!$E$92="Yes"),AG$16=1,AG$7&gt;INPUTS!$S$92),1,0)</f>
        <v>0</v>
      </c>
      <c r="AH67" s="108" t="n">
        <f aca="false">IF(AND((INPUTS!$E$92="Yes"),AH$16=1,AH$7&gt;INPUTS!$S$92),1,0)</f>
        <v>0</v>
      </c>
      <c r="AI67" s="108" t="n">
        <f aca="false">IF(AND((INPUTS!$E$92="Yes"),AI$16=1,AI$7&gt;INPUTS!$S$92),1,0)</f>
        <v>0</v>
      </c>
      <c r="AJ67" s="108" t="n">
        <f aca="false">IF(AND((INPUTS!$E$92="Yes"),AJ$16=1,AJ$7&gt;INPUTS!$S$92),1,0)</f>
        <v>0</v>
      </c>
      <c r="AK67" s="108" t="n">
        <f aca="false">IF(AND((INPUTS!$E$92="Yes"),AK$16=1,AK$7&gt;INPUTS!$S$92),1,0)</f>
        <v>0</v>
      </c>
      <c r="AL67" s="108" t="n">
        <f aca="false">IF(AND((INPUTS!$E$92="Yes"),AL$16=1,AL$7&gt;INPUTS!$S$92),1,0)</f>
        <v>0</v>
      </c>
      <c r="AM67" s="108" t="n">
        <f aca="false">IF(AND((INPUTS!$E$92="Yes"),AM$16=1,AM$7&gt;INPUTS!$S$92),1,0)</f>
        <v>0</v>
      </c>
      <c r="AN67" s="108" t="n">
        <f aca="false">IF(AND((INPUTS!$E$92="Yes"),AN$16=1,AN$7&gt;INPUTS!$S$92),1,0)</f>
        <v>0</v>
      </c>
      <c r="AO67" s="108" t="n">
        <f aca="false">IF(AND((INPUTS!$E$92="Yes"),AO$16=1,AO$7&gt;INPUTS!$S$92),1,0)</f>
        <v>0</v>
      </c>
      <c r="AP67" s="108" t="n">
        <f aca="false">IF(AND((INPUTS!$E$92="Yes"),AP$16=1,AP$7&gt;INPUTS!$S$92),1,0)</f>
        <v>0</v>
      </c>
      <c r="AQ67" s="108" t="n">
        <f aca="false">IF(AND((INPUTS!$E$92="Yes"),AQ$16=1,AQ$7&gt;INPUTS!$S$92),1,0)</f>
        <v>0</v>
      </c>
    </row>
    <row r="68" customFormat="false" ht="15" hidden="false" customHeight="false" outlineLevel="0" collapsed="false">
      <c r="B68" s="17" t="s">
        <v>647</v>
      </c>
      <c r="C68" s="105" t="str">
        <f aca="false">IF(INPUTS!$E$92&lt;&gt;"Yes","Off",IF(OR(NOT(ISNUMBER(INPUTS!$P$92)),NOT(ISNUMBER(INPUTS!$Q$92)),NOT(ISNUMBER(INPUTS!$R$92)),NOT(ISNUMBER(INPUTS!$S$92))),"ERROR",IF(AND(C63=INPUTS!$Q$92-INPUTS!$P$92+1,C65=INPUTS!$S$92-INPUTS!$R$92+1,C67=MAX(0,INPUTS!$C$24-INPUTS!$S$92)),"OK","ERROR")))</f>
        <v>Off</v>
      </c>
    </row>
    <row r="69" customFormat="false" ht="15" hidden="false" customHeight="false" outlineLevel="0" collapsed="false">
      <c r="B69" s="110" t="str">
        <f aca="false">IF(INPUTS!$E$93="Yes",INPUTS!$B$93,"Product row 6 (off)")</f>
        <v>Product row 6 (off)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</row>
    <row r="70" customFormat="false" ht="15" hidden="false" customHeight="false" outlineLevel="0" collapsed="false">
      <c r="B70" s="3" t="s">
        <v>642</v>
      </c>
      <c r="C70" s="107" t="n">
        <f aca="false">SUM(D70:AQ70)</f>
        <v>0</v>
      </c>
      <c r="D70" s="108" t="n">
        <f aca="false">IF(AND((INPUTS!$E$93="Yes"),D$16=1,D$7&gt;=INPUTS!$P$93,D$7&lt;=INPUTS!$Q$93),1,0)</f>
        <v>0</v>
      </c>
      <c r="E70" s="108" t="n">
        <f aca="false">IF(AND((INPUTS!$E$93="Yes"),E$16=1,E$7&gt;=INPUTS!$P$93,E$7&lt;=INPUTS!$Q$93),1,0)</f>
        <v>0</v>
      </c>
      <c r="F70" s="108" t="n">
        <f aca="false">IF(AND((INPUTS!$E$93="Yes"),F$16=1,F$7&gt;=INPUTS!$P$93,F$7&lt;=INPUTS!$Q$93),1,0)</f>
        <v>0</v>
      </c>
      <c r="G70" s="108" t="n">
        <f aca="false">IF(AND((INPUTS!$E$93="Yes"),G$16=1,G$7&gt;=INPUTS!$P$93,G$7&lt;=INPUTS!$Q$93),1,0)</f>
        <v>0</v>
      </c>
      <c r="H70" s="108" t="n">
        <f aca="false">IF(AND((INPUTS!$E$93="Yes"),H$16=1,H$7&gt;=INPUTS!$P$93,H$7&lt;=INPUTS!$Q$93),1,0)</f>
        <v>0</v>
      </c>
      <c r="I70" s="108" t="n">
        <f aca="false">IF(AND((INPUTS!$E$93="Yes"),I$16=1,I$7&gt;=INPUTS!$P$93,I$7&lt;=INPUTS!$Q$93),1,0)</f>
        <v>0</v>
      </c>
      <c r="J70" s="108" t="n">
        <f aca="false">IF(AND((INPUTS!$E$93="Yes"),J$16=1,J$7&gt;=INPUTS!$P$93,J$7&lt;=INPUTS!$Q$93),1,0)</f>
        <v>0</v>
      </c>
      <c r="K70" s="108" t="n">
        <f aca="false">IF(AND((INPUTS!$E$93="Yes"),K$16=1,K$7&gt;=INPUTS!$P$93,K$7&lt;=INPUTS!$Q$93),1,0)</f>
        <v>0</v>
      </c>
      <c r="L70" s="108" t="n">
        <f aca="false">IF(AND((INPUTS!$E$93="Yes"),L$16=1,L$7&gt;=INPUTS!$P$93,L$7&lt;=INPUTS!$Q$93),1,0)</f>
        <v>0</v>
      </c>
      <c r="M70" s="108" t="n">
        <f aca="false">IF(AND((INPUTS!$E$93="Yes"),M$16=1,M$7&gt;=INPUTS!$P$93,M$7&lt;=INPUTS!$Q$93),1,0)</f>
        <v>0</v>
      </c>
      <c r="N70" s="108" t="n">
        <f aca="false">IF(AND((INPUTS!$E$93="Yes"),N$16=1,N$7&gt;=INPUTS!$P$93,N$7&lt;=INPUTS!$Q$93),1,0)</f>
        <v>0</v>
      </c>
      <c r="O70" s="108" t="n">
        <f aca="false">IF(AND((INPUTS!$E$93="Yes"),O$16=1,O$7&gt;=INPUTS!$P$93,O$7&lt;=INPUTS!$Q$93),1,0)</f>
        <v>0</v>
      </c>
      <c r="P70" s="108" t="n">
        <f aca="false">IF(AND((INPUTS!$E$93="Yes"),P$16=1,P$7&gt;=INPUTS!$P$93,P$7&lt;=INPUTS!$Q$93),1,0)</f>
        <v>0</v>
      </c>
      <c r="Q70" s="108" t="n">
        <f aca="false">IF(AND((INPUTS!$E$93="Yes"),Q$16=1,Q$7&gt;=INPUTS!$P$93,Q$7&lt;=INPUTS!$Q$93),1,0)</f>
        <v>0</v>
      </c>
      <c r="R70" s="108" t="n">
        <f aca="false">IF(AND((INPUTS!$E$93="Yes"),R$16=1,R$7&gt;=INPUTS!$P$93,R$7&lt;=INPUTS!$Q$93),1,0)</f>
        <v>0</v>
      </c>
      <c r="S70" s="108" t="n">
        <f aca="false">IF(AND((INPUTS!$E$93="Yes"),S$16=1,S$7&gt;=INPUTS!$P$93,S$7&lt;=INPUTS!$Q$93),1,0)</f>
        <v>0</v>
      </c>
      <c r="T70" s="108" t="n">
        <f aca="false">IF(AND((INPUTS!$E$93="Yes"),T$16=1,T$7&gt;=INPUTS!$P$93,T$7&lt;=INPUTS!$Q$93),1,0)</f>
        <v>0</v>
      </c>
      <c r="U70" s="108" t="n">
        <f aca="false">IF(AND((INPUTS!$E$93="Yes"),U$16=1,U$7&gt;=INPUTS!$P$93,U$7&lt;=INPUTS!$Q$93),1,0)</f>
        <v>0</v>
      </c>
      <c r="V70" s="108" t="n">
        <f aca="false">IF(AND((INPUTS!$E$93="Yes"),V$16=1,V$7&gt;=INPUTS!$P$93,V$7&lt;=INPUTS!$Q$93),1,0)</f>
        <v>0</v>
      </c>
      <c r="W70" s="108" t="n">
        <f aca="false">IF(AND((INPUTS!$E$93="Yes"),W$16=1,W$7&gt;=INPUTS!$P$93,W$7&lt;=INPUTS!$Q$93),1,0)</f>
        <v>0</v>
      </c>
      <c r="X70" s="108" t="n">
        <f aca="false">IF(AND((INPUTS!$E$93="Yes"),X$16=1,X$7&gt;=INPUTS!$P$93,X$7&lt;=INPUTS!$Q$93),1,0)</f>
        <v>0</v>
      </c>
      <c r="Y70" s="108" t="n">
        <f aca="false">IF(AND((INPUTS!$E$93="Yes"),Y$16=1,Y$7&gt;=INPUTS!$P$93,Y$7&lt;=INPUTS!$Q$93),1,0)</f>
        <v>0</v>
      </c>
      <c r="Z70" s="108" t="n">
        <f aca="false">IF(AND((INPUTS!$E$93="Yes"),Z$16=1,Z$7&gt;=INPUTS!$P$93,Z$7&lt;=INPUTS!$Q$93),1,0)</f>
        <v>0</v>
      </c>
      <c r="AA70" s="108" t="n">
        <f aca="false">IF(AND((INPUTS!$E$93="Yes"),AA$16=1,AA$7&gt;=INPUTS!$P$93,AA$7&lt;=INPUTS!$Q$93),1,0)</f>
        <v>0</v>
      </c>
      <c r="AB70" s="108" t="n">
        <f aca="false">IF(AND((INPUTS!$E$93="Yes"),AB$16=1,AB$7&gt;=INPUTS!$P$93,AB$7&lt;=INPUTS!$Q$93),1,0)</f>
        <v>0</v>
      </c>
      <c r="AC70" s="108" t="n">
        <f aca="false">IF(AND((INPUTS!$E$93="Yes"),AC$16=1,AC$7&gt;=INPUTS!$P$93,AC$7&lt;=INPUTS!$Q$93),1,0)</f>
        <v>0</v>
      </c>
      <c r="AD70" s="108" t="n">
        <f aca="false">IF(AND((INPUTS!$E$93="Yes"),AD$16=1,AD$7&gt;=INPUTS!$P$93,AD$7&lt;=INPUTS!$Q$93),1,0)</f>
        <v>0</v>
      </c>
      <c r="AE70" s="108" t="n">
        <f aca="false">IF(AND((INPUTS!$E$93="Yes"),AE$16=1,AE$7&gt;=INPUTS!$P$93,AE$7&lt;=INPUTS!$Q$93),1,0)</f>
        <v>0</v>
      </c>
      <c r="AF70" s="108" t="n">
        <f aca="false">IF(AND((INPUTS!$E$93="Yes"),AF$16=1,AF$7&gt;=INPUTS!$P$93,AF$7&lt;=INPUTS!$Q$93),1,0)</f>
        <v>0</v>
      </c>
      <c r="AG70" s="108" t="n">
        <f aca="false">IF(AND((INPUTS!$E$93="Yes"),AG$16=1,AG$7&gt;=INPUTS!$P$93,AG$7&lt;=INPUTS!$Q$93),1,0)</f>
        <v>0</v>
      </c>
      <c r="AH70" s="108" t="n">
        <f aca="false">IF(AND((INPUTS!$E$93="Yes"),AH$16=1,AH$7&gt;=INPUTS!$P$93,AH$7&lt;=INPUTS!$Q$93),1,0)</f>
        <v>0</v>
      </c>
      <c r="AI70" s="108" t="n">
        <f aca="false">IF(AND((INPUTS!$E$93="Yes"),AI$16=1,AI$7&gt;=INPUTS!$P$93,AI$7&lt;=INPUTS!$Q$93),1,0)</f>
        <v>0</v>
      </c>
      <c r="AJ70" s="108" t="n">
        <f aca="false">IF(AND((INPUTS!$E$93="Yes"),AJ$16=1,AJ$7&gt;=INPUTS!$P$93,AJ$7&lt;=INPUTS!$Q$93),1,0)</f>
        <v>0</v>
      </c>
      <c r="AK70" s="108" t="n">
        <f aca="false">IF(AND((INPUTS!$E$93="Yes"),AK$16=1,AK$7&gt;=INPUTS!$P$93,AK$7&lt;=INPUTS!$Q$93),1,0)</f>
        <v>0</v>
      </c>
      <c r="AL70" s="108" t="n">
        <f aca="false">IF(AND((INPUTS!$E$93="Yes"),AL$16=1,AL$7&gt;=INPUTS!$P$93,AL$7&lt;=INPUTS!$Q$93),1,0)</f>
        <v>0</v>
      </c>
      <c r="AM70" s="108" t="n">
        <f aca="false">IF(AND((INPUTS!$E$93="Yes"),AM$16=1,AM$7&gt;=INPUTS!$P$93,AM$7&lt;=INPUTS!$Q$93),1,0)</f>
        <v>0</v>
      </c>
      <c r="AN70" s="108" t="n">
        <f aca="false">IF(AND((INPUTS!$E$93="Yes"),AN$16=1,AN$7&gt;=INPUTS!$P$93,AN$7&lt;=INPUTS!$Q$93),1,0)</f>
        <v>0</v>
      </c>
      <c r="AO70" s="108" t="n">
        <f aca="false">IF(AND((INPUTS!$E$93="Yes"),AO$16=1,AO$7&gt;=INPUTS!$P$93,AO$7&lt;=INPUTS!$Q$93),1,0)</f>
        <v>0</v>
      </c>
      <c r="AP70" s="108" t="n">
        <f aca="false">IF(AND((INPUTS!$E$93="Yes"),AP$16=1,AP$7&gt;=INPUTS!$P$93,AP$7&lt;=INPUTS!$Q$93),1,0)</f>
        <v>0</v>
      </c>
      <c r="AQ70" s="108" t="n">
        <f aca="false">IF(AND((INPUTS!$E$93="Yes"),AQ$16=1,AQ$7&gt;=INPUTS!$P$93,AQ$7&lt;=INPUTS!$Q$93),1,0)</f>
        <v>0</v>
      </c>
    </row>
    <row r="71" customFormat="false" ht="15" hidden="false" customHeight="false" outlineLevel="0" collapsed="false">
      <c r="B71" s="3" t="s">
        <v>643</v>
      </c>
      <c r="C71" s="107" t="n">
        <f aca="false">MAX(D71:AQ71)</f>
        <v>0</v>
      </c>
      <c r="D71" s="108" t="n">
        <f aca="false">IF(D70=1,D$7-INPUTS!$P$93+1,0)</f>
        <v>0</v>
      </c>
      <c r="E71" s="108" t="n">
        <f aca="false">IF(E70=1,E$7-INPUTS!$P$93+1,0)</f>
        <v>0</v>
      </c>
      <c r="F71" s="108" t="n">
        <f aca="false">IF(F70=1,F$7-INPUTS!$P$93+1,0)</f>
        <v>0</v>
      </c>
      <c r="G71" s="108" t="n">
        <f aca="false">IF(G70=1,G$7-INPUTS!$P$93+1,0)</f>
        <v>0</v>
      </c>
      <c r="H71" s="108" t="n">
        <f aca="false">IF(H70=1,H$7-INPUTS!$P$93+1,0)</f>
        <v>0</v>
      </c>
      <c r="I71" s="108" t="n">
        <f aca="false">IF(I70=1,I$7-INPUTS!$P$93+1,0)</f>
        <v>0</v>
      </c>
      <c r="J71" s="108" t="n">
        <f aca="false">IF(J70=1,J$7-INPUTS!$P$93+1,0)</f>
        <v>0</v>
      </c>
      <c r="K71" s="108" t="n">
        <f aca="false">IF(K70=1,K$7-INPUTS!$P$93+1,0)</f>
        <v>0</v>
      </c>
      <c r="L71" s="108" t="n">
        <f aca="false">IF(L70=1,L$7-INPUTS!$P$93+1,0)</f>
        <v>0</v>
      </c>
      <c r="M71" s="108" t="n">
        <f aca="false">IF(M70=1,M$7-INPUTS!$P$93+1,0)</f>
        <v>0</v>
      </c>
      <c r="N71" s="108" t="n">
        <f aca="false">IF(N70=1,N$7-INPUTS!$P$93+1,0)</f>
        <v>0</v>
      </c>
      <c r="O71" s="108" t="n">
        <f aca="false">IF(O70=1,O$7-INPUTS!$P$93+1,0)</f>
        <v>0</v>
      </c>
      <c r="P71" s="108" t="n">
        <f aca="false">IF(P70=1,P$7-INPUTS!$P$93+1,0)</f>
        <v>0</v>
      </c>
      <c r="Q71" s="108" t="n">
        <f aca="false">IF(Q70=1,Q$7-INPUTS!$P$93+1,0)</f>
        <v>0</v>
      </c>
      <c r="R71" s="108" t="n">
        <f aca="false">IF(R70=1,R$7-INPUTS!$P$93+1,0)</f>
        <v>0</v>
      </c>
      <c r="S71" s="108" t="n">
        <f aca="false">IF(S70=1,S$7-INPUTS!$P$93+1,0)</f>
        <v>0</v>
      </c>
      <c r="T71" s="108" t="n">
        <f aca="false">IF(T70=1,T$7-INPUTS!$P$93+1,0)</f>
        <v>0</v>
      </c>
      <c r="U71" s="108" t="n">
        <f aca="false">IF(U70=1,U$7-INPUTS!$P$93+1,0)</f>
        <v>0</v>
      </c>
      <c r="V71" s="108" t="n">
        <f aca="false">IF(V70=1,V$7-INPUTS!$P$93+1,0)</f>
        <v>0</v>
      </c>
      <c r="W71" s="108" t="n">
        <f aca="false">IF(W70=1,W$7-INPUTS!$P$93+1,0)</f>
        <v>0</v>
      </c>
      <c r="X71" s="108" t="n">
        <f aca="false">IF(X70=1,X$7-INPUTS!$P$93+1,0)</f>
        <v>0</v>
      </c>
      <c r="Y71" s="108" t="n">
        <f aca="false">IF(Y70=1,Y$7-INPUTS!$P$93+1,0)</f>
        <v>0</v>
      </c>
      <c r="Z71" s="108" t="n">
        <f aca="false">IF(Z70=1,Z$7-INPUTS!$P$93+1,0)</f>
        <v>0</v>
      </c>
      <c r="AA71" s="108" t="n">
        <f aca="false">IF(AA70=1,AA$7-INPUTS!$P$93+1,0)</f>
        <v>0</v>
      </c>
      <c r="AB71" s="108" t="n">
        <f aca="false">IF(AB70=1,AB$7-INPUTS!$P$93+1,0)</f>
        <v>0</v>
      </c>
      <c r="AC71" s="108" t="n">
        <f aca="false">IF(AC70=1,AC$7-INPUTS!$P$93+1,0)</f>
        <v>0</v>
      </c>
      <c r="AD71" s="108" t="n">
        <f aca="false">IF(AD70=1,AD$7-INPUTS!$P$93+1,0)</f>
        <v>0</v>
      </c>
      <c r="AE71" s="108" t="n">
        <f aca="false">IF(AE70=1,AE$7-INPUTS!$P$93+1,0)</f>
        <v>0</v>
      </c>
      <c r="AF71" s="108" t="n">
        <f aca="false">IF(AF70=1,AF$7-INPUTS!$P$93+1,0)</f>
        <v>0</v>
      </c>
      <c r="AG71" s="108" t="n">
        <f aca="false">IF(AG70=1,AG$7-INPUTS!$P$93+1,0)</f>
        <v>0</v>
      </c>
      <c r="AH71" s="108" t="n">
        <f aca="false">IF(AH70=1,AH$7-INPUTS!$P$93+1,0)</f>
        <v>0</v>
      </c>
      <c r="AI71" s="108" t="n">
        <f aca="false">IF(AI70=1,AI$7-INPUTS!$P$93+1,0)</f>
        <v>0</v>
      </c>
      <c r="AJ71" s="108" t="n">
        <f aca="false">IF(AJ70=1,AJ$7-INPUTS!$P$93+1,0)</f>
        <v>0</v>
      </c>
      <c r="AK71" s="108" t="n">
        <f aca="false">IF(AK70=1,AK$7-INPUTS!$P$93+1,0)</f>
        <v>0</v>
      </c>
      <c r="AL71" s="108" t="n">
        <f aca="false">IF(AL70=1,AL$7-INPUTS!$P$93+1,0)</f>
        <v>0</v>
      </c>
      <c r="AM71" s="108" t="n">
        <f aca="false">IF(AM70=1,AM$7-INPUTS!$P$93+1,0)</f>
        <v>0</v>
      </c>
      <c r="AN71" s="108" t="n">
        <f aca="false">IF(AN70=1,AN$7-INPUTS!$P$93+1,0)</f>
        <v>0</v>
      </c>
      <c r="AO71" s="108" t="n">
        <f aca="false">IF(AO70=1,AO$7-INPUTS!$P$93+1,0)</f>
        <v>0</v>
      </c>
      <c r="AP71" s="108" t="n">
        <f aca="false">IF(AP70=1,AP$7-INPUTS!$P$93+1,0)</f>
        <v>0</v>
      </c>
      <c r="AQ71" s="108" t="n">
        <f aca="false">IF(AQ70=1,AQ$7-INPUTS!$P$93+1,0)</f>
        <v>0</v>
      </c>
    </row>
    <row r="72" customFormat="false" ht="15" hidden="false" customHeight="false" outlineLevel="0" collapsed="false">
      <c r="B72" s="3" t="s">
        <v>644</v>
      </c>
      <c r="C72" s="107" t="n">
        <f aca="false">SUM(D72:AQ72)</f>
        <v>0</v>
      </c>
      <c r="D72" s="108" t="n">
        <f aca="false">IF(AND((INPUTS!$E$93="Yes"),D$16=1,D$7&gt;=INPUTS!$R$93,D$7&lt;=INPUTS!$S$93),1,0)</f>
        <v>0</v>
      </c>
      <c r="E72" s="108" t="n">
        <f aca="false">IF(AND((INPUTS!$E$93="Yes"),E$16=1,E$7&gt;=INPUTS!$R$93,E$7&lt;=INPUTS!$S$93),1,0)</f>
        <v>0</v>
      </c>
      <c r="F72" s="108" t="n">
        <f aca="false">IF(AND((INPUTS!$E$93="Yes"),F$16=1,F$7&gt;=INPUTS!$R$93,F$7&lt;=INPUTS!$S$93),1,0)</f>
        <v>0</v>
      </c>
      <c r="G72" s="108" t="n">
        <f aca="false">IF(AND((INPUTS!$E$93="Yes"),G$16=1,G$7&gt;=INPUTS!$R$93,G$7&lt;=INPUTS!$S$93),1,0)</f>
        <v>0</v>
      </c>
      <c r="H72" s="108" t="n">
        <f aca="false">IF(AND((INPUTS!$E$93="Yes"),H$16=1,H$7&gt;=INPUTS!$R$93,H$7&lt;=INPUTS!$S$93),1,0)</f>
        <v>0</v>
      </c>
      <c r="I72" s="108" t="n">
        <f aca="false">IF(AND((INPUTS!$E$93="Yes"),I$16=1,I$7&gt;=INPUTS!$R$93,I$7&lt;=INPUTS!$S$93),1,0)</f>
        <v>0</v>
      </c>
      <c r="J72" s="108" t="n">
        <f aca="false">IF(AND((INPUTS!$E$93="Yes"),J$16=1,J$7&gt;=INPUTS!$R$93,J$7&lt;=INPUTS!$S$93),1,0)</f>
        <v>0</v>
      </c>
      <c r="K72" s="108" t="n">
        <f aca="false">IF(AND((INPUTS!$E$93="Yes"),K$16=1,K$7&gt;=INPUTS!$R$93,K$7&lt;=INPUTS!$S$93),1,0)</f>
        <v>0</v>
      </c>
      <c r="L72" s="108" t="n">
        <f aca="false">IF(AND((INPUTS!$E$93="Yes"),L$16=1,L$7&gt;=INPUTS!$R$93,L$7&lt;=INPUTS!$S$93),1,0)</f>
        <v>0</v>
      </c>
      <c r="M72" s="108" t="n">
        <f aca="false">IF(AND((INPUTS!$E$93="Yes"),M$16=1,M$7&gt;=INPUTS!$R$93,M$7&lt;=INPUTS!$S$93),1,0)</f>
        <v>0</v>
      </c>
      <c r="N72" s="108" t="n">
        <f aca="false">IF(AND((INPUTS!$E$93="Yes"),N$16=1,N$7&gt;=INPUTS!$R$93,N$7&lt;=INPUTS!$S$93),1,0)</f>
        <v>0</v>
      </c>
      <c r="O72" s="108" t="n">
        <f aca="false">IF(AND((INPUTS!$E$93="Yes"),O$16=1,O$7&gt;=INPUTS!$R$93,O$7&lt;=INPUTS!$S$93),1,0)</f>
        <v>0</v>
      </c>
      <c r="P72" s="108" t="n">
        <f aca="false">IF(AND((INPUTS!$E$93="Yes"),P$16=1,P$7&gt;=INPUTS!$R$93,P$7&lt;=INPUTS!$S$93),1,0)</f>
        <v>0</v>
      </c>
      <c r="Q72" s="108" t="n">
        <f aca="false">IF(AND((INPUTS!$E$93="Yes"),Q$16=1,Q$7&gt;=INPUTS!$R$93,Q$7&lt;=INPUTS!$S$93),1,0)</f>
        <v>0</v>
      </c>
      <c r="R72" s="108" t="n">
        <f aca="false">IF(AND((INPUTS!$E$93="Yes"),R$16=1,R$7&gt;=INPUTS!$R$93,R$7&lt;=INPUTS!$S$93),1,0)</f>
        <v>0</v>
      </c>
      <c r="S72" s="108" t="n">
        <f aca="false">IF(AND((INPUTS!$E$93="Yes"),S$16=1,S$7&gt;=INPUTS!$R$93,S$7&lt;=INPUTS!$S$93),1,0)</f>
        <v>0</v>
      </c>
      <c r="T72" s="108" t="n">
        <f aca="false">IF(AND((INPUTS!$E$93="Yes"),T$16=1,T$7&gt;=INPUTS!$R$93,T$7&lt;=INPUTS!$S$93),1,0)</f>
        <v>0</v>
      </c>
      <c r="U72" s="108" t="n">
        <f aca="false">IF(AND((INPUTS!$E$93="Yes"),U$16=1,U$7&gt;=INPUTS!$R$93,U$7&lt;=INPUTS!$S$93),1,0)</f>
        <v>0</v>
      </c>
      <c r="V72" s="108" t="n">
        <f aca="false">IF(AND((INPUTS!$E$93="Yes"),V$16=1,V$7&gt;=INPUTS!$R$93,V$7&lt;=INPUTS!$S$93),1,0)</f>
        <v>0</v>
      </c>
      <c r="W72" s="108" t="n">
        <f aca="false">IF(AND((INPUTS!$E$93="Yes"),W$16=1,W$7&gt;=INPUTS!$R$93,W$7&lt;=INPUTS!$S$93),1,0)</f>
        <v>0</v>
      </c>
      <c r="X72" s="108" t="n">
        <f aca="false">IF(AND((INPUTS!$E$93="Yes"),X$16=1,X$7&gt;=INPUTS!$R$93,X$7&lt;=INPUTS!$S$93),1,0)</f>
        <v>0</v>
      </c>
      <c r="Y72" s="108" t="n">
        <f aca="false">IF(AND((INPUTS!$E$93="Yes"),Y$16=1,Y$7&gt;=INPUTS!$R$93,Y$7&lt;=INPUTS!$S$93),1,0)</f>
        <v>0</v>
      </c>
      <c r="Z72" s="108" t="n">
        <f aca="false">IF(AND((INPUTS!$E$93="Yes"),Z$16=1,Z$7&gt;=INPUTS!$R$93,Z$7&lt;=INPUTS!$S$93),1,0)</f>
        <v>0</v>
      </c>
      <c r="AA72" s="108" t="n">
        <f aca="false">IF(AND((INPUTS!$E$93="Yes"),AA$16=1,AA$7&gt;=INPUTS!$R$93,AA$7&lt;=INPUTS!$S$93),1,0)</f>
        <v>0</v>
      </c>
      <c r="AB72" s="108" t="n">
        <f aca="false">IF(AND((INPUTS!$E$93="Yes"),AB$16=1,AB$7&gt;=INPUTS!$R$93,AB$7&lt;=INPUTS!$S$93),1,0)</f>
        <v>0</v>
      </c>
      <c r="AC72" s="108" t="n">
        <f aca="false">IF(AND((INPUTS!$E$93="Yes"),AC$16=1,AC$7&gt;=INPUTS!$R$93,AC$7&lt;=INPUTS!$S$93),1,0)</f>
        <v>0</v>
      </c>
      <c r="AD72" s="108" t="n">
        <f aca="false">IF(AND((INPUTS!$E$93="Yes"),AD$16=1,AD$7&gt;=INPUTS!$R$93,AD$7&lt;=INPUTS!$S$93),1,0)</f>
        <v>0</v>
      </c>
      <c r="AE72" s="108" t="n">
        <f aca="false">IF(AND((INPUTS!$E$93="Yes"),AE$16=1,AE$7&gt;=INPUTS!$R$93,AE$7&lt;=INPUTS!$S$93),1,0)</f>
        <v>0</v>
      </c>
      <c r="AF72" s="108" t="n">
        <f aca="false">IF(AND((INPUTS!$E$93="Yes"),AF$16=1,AF$7&gt;=INPUTS!$R$93,AF$7&lt;=INPUTS!$S$93),1,0)</f>
        <v>0</v>
      </c>
      <c r="AG72" s="108" t="n">
        <f aca="false">IF(AND((INPUTS!$E$93="Yes"),AG$16=1,AG$7&gt;=INPUTS!$R$93,AG$7&lt;=INPUTS!$S$93),1,0)</f>
        <v>0</v>
      </c>
      <c r="AH72" s="108" t="n">
        <f aca="false">IF(AND((INPUTS!$E$93="Yes"),AH$16=1,AH$7&gt;=INPUTS!$R$93,AH$7&lt;=INPUTS!$S$93),1,0)</f>
        <v>0</v>
      </c>
      <c r="AI72" s="108" t="n">
        <f aca="false">IF(AND((INPUTS!$E$93="Yes"),AI$16=1,AI$7&gt;=INPUTS!$R$93,AI$7&lt;=INPUTS!$S$93),1,0)</f>
        <v>0</v>
      </c>
      <c r="AJ72" s="108" t="n">
        <f aca="false">IF(AND((INPUTS!$E$93="Yes"),AJ$16=1,AJ$7&gt;=INPUTS!$R$93,AJ$7&lt;=INPUTS!$S$93),1,0)</f>
        <v>0</v>
      </c>
      <c r="AK72" s="108" t="n">
        <f aca="false">IF(AND((INPUTS!$E$93="Yes"),AK$16=1,AK$7&gt;=INPUTS!$R$93,AK$7&lt;=INPUTS!$S$93),1,0)</f>
        <v>0</v>
      </c>
      <c r="AL72" s="108" t="n">
        <f aca="false">IF(AND((INPUTS!$E$93="Yes"),AL$16=1,AL$7&gt;=INPUTS!$R$93,AL$7&lt;=INPUTS!$S$93),1,0)</f>
        <v>0</v>
      </c>
      <c r="AM72" s="108" t="n">
        <f aca="false">IF(AND((INPUTS!$E$93="Yes"),AM$16=1,AM$7&gt;=INPUTS!$R$93,AM$7&lt;=INPUTS!$S$93),1,0)</f>
        <v>0</v>
      </c>
      <c r="AN72" s="108" t="n">
        <f aca="false">IF(AND((INPUTS!$E$93="Yes"),AN$16=1,AN$7&gt;=INPUTS!$R$93,AN$7&lt;=INPUTS!$S$93),1,0)</f>
        <v>0</v>
      </c>
      <c r="AO72" s="108" t="n">
        <f aca="false">IF(AND((INPUTS!$E$93="Yes"),AO$16=1,AO$7&gt;=INPUTS!$R$93,AO$7&lt;=INPUTS!$S$93),1,0)</f>
        <v>0</v>
      </c>
      <c r="AP72" s="108" t="n">
        <f aca="false">IF(AND((INPUTS!$E$93="Yes"),AP$16=1,AP$7&gt;=INPUTS!$R$93,AP$7&lt;=INPUTS!$S$93),1,0)</f>
        <v>0</v>
      </c>
      <c r="AQ72" s="108" t="n">
        <f aca="false">IF(AND((INPUTS!$E$93="Yes"),AQ$16=1,AQ$7&gt;=INPUTS!$R$93,AQ$7&lt;=INPUTS!$S$93),1,0)</f>
        <v>0</v>
      </c>
    </row>
    <row r="73" customFormat="false" ht="15" hidden="false" customHeight="false" outlineLevel="0" collapsed="false">
      <c r="B73" s="3" t="s">
        <v>645</v>
      </c>
      <c r="C73" s="107" t="n">
        <f aca="false">MAX(D73:AQ73)</f>
        <v>0</v>
      </c>
      <c r="D73" s="108" t="n">
        <f aca="false">IF(D72=1,D$7-INPUTS!$R$93+1,0)</f>
        <v>0</v>
      </c>
      <c r="E73" s="108" t="n">
        <f aca="false">IF(E72=1,E$7-INPUTS!$R$93+1,0)</f>
        <v>0</v>
      </c>
      <c r="F73" s="108" t="n">
        <f aca="false">IF(F72=1,F$7-INPUTS!$R$93+1,0)</f>
        <v>0</v>
      </c>
      <c r="G73" s="108" t="n">
        <f aca="false">IF(G72=1,G$7-INPUTS!$R$93+1,0)</f>
        <v>0</v>
      </c>
      <c r="H73" s="108" t="n">
        <f aca="false">IF(H72=1,H$7-INPUTS!$R$93+1,0)</f>
        <v>0</v>
      </c>
      <c r="I73" s="108" t="n">
        <f aca="false">IF(I72=1,I$7-INPUTS!$R$93+1,0)</f>
        <v>0</v>
      </c>
      <c r="J73" s="108" t="n">
        <f aca="false">IF(J72=1,J$7-INPUTS!$R$93+1,0)</f>
        <v>0</v>
      </c>
      <c r="K73" s="108" t="n">
        <f aca="false">IF(K72=1,K$7-INPUTS!$R$93+1,0)</f>
        <v>0</v>
      </c>
      <c r="L73" s="108" t="n">
        <f aca="false">IF(L72=1,L$7-INPUTS!$R$93+1,0)</f>
        <v>0</v>
      </c>
      <c r="M73" s="108" t="n">
        <f aca="false">IF(M72=1,M$7-INPUTS!$R$93+1,0)</f>
        <v>0</v>
      </c>
      <c r="N73" s="108" t="n">
        <f aca="false">IF(N72=1,N$7-INPUTS!$R$93+1,0)</f>
        <v>0</v>
      </c>
      <c r="O73" s="108" t="n">
        <f aca="false">IF(O72=1,O$7-INPUTS!$R$93+1,0)</f>
        <v>0</v>
      </c>
      <c r="P73" s="108" t="n">
        <f aca="false">IF(P72=1,P$7-INPUTS!$R$93+1,0)</f>
        <v>0</v>
      </c>
      <c r="Q73" s="108" t="n">
        <f aca="false">IF(Q72=1,Q$7-INPUTS!$R$93+1,0)</f>
        <v>0</v>
      </c>
      <c r="R73" s="108" t="n">
        <f aca="false">IF(R72=1,R$7-INPUTS!$R$93+1,0)</f>
        <v>0</v>
      </c>
      <c r="S73" s="108" t="n">
        <f aca="false">IF(S72=1,S$7-INPUTS!$R$93+1,0)</f>
        <v>0</v>
      </c>
      <c r="T73" s="108" t="n">
        <f aca="false">IF(T72=1,T$7-INPUTS!$R$93+1,0)</f>
        <v>0</v>
      </c>
      <c r="U73" s="108" t="n">
        <f aca="false">IF(U72=1,U$7-INPUTS!$R$93+1,0)</f>
        <v>0</v>
      </c>
      <c r="V73" s="108" t="n">
        <f aca="false">IF(V72=1,V$7-INPUTS!$R$93+1,0)</f>
        <v>0</v>
      </c>
      <c r="W73" s="108" t="n">
        <f aca="false">IF(W72=1,W$7-INPUTS!$R$93+1,0)</f>
        <v>0</v>
      </c>
      <c r="X73" s="108" t="n">
        <f aca="false">IF(X72=1,X$7-INPUTS!$R$93+1,0)</f>
        <v>0</v>
      </c>
      <c r="Y73" s="108" t="n">
        <f aca="false">IF(Y72=1,Y$7-INPUTS!$R$93+1,0)</f>
        <v>0</v>
      </c>
      <c r="Z73" s="108" t="n">
        <f aca="false">IF(Z72=1,Z$7-INPUTS!$R$93+1,0)</f>
        <v>0</v>
      </c>
      <c r="AA73" s="108" t="n">
        <f aca="false">IF(AA72=1,AA$7-INPUTS!$R$93+1,0)</f>
        <v>0</v>
      </c>
      <c r="AB73" s="108" t="n">
        <f aca="false">IF(AB72=1,AB$7-INPUTS!$R$93+1,0)</f>
        <v>0</v>
      </c>
      <c r="AC73" s="108" t="n">
        <f aca="false">IF(AC72=1,AC$7-INPUTS!$R$93+1,0)</f>
        <v>0</v>
      </c>
      <c r="AD73" s="108" t="n">
        <f aca="false">IF(AD72=1,AD$7-INPUTS!$R$93+1,0)</f>
        <v>0</v>
      </c>
      <c r="AE73" s="108" t="n">
        <f aca="false">IF(AE72=1,AE$7-INPUTS!$R$93+1,0)</f>
        <v>0</v>
      </c>
      <c r="AF73" s="108" t="n">
        <f aca="false">IF(AF72=1,AF$7-INPUTS!$R$93+1,0)</f>
        <v>0</v>
      </c>
      <c r="AG73" s="108" t="n">
        <f aca="false">IF(AG72=1,AG$7-INPUTS!$R$93+1,0)</f>
        <v>0</v>
      </c>
      <c r="AH73" s="108" t="n">
        <f aca="false">IF(AH72=1,AH$7-INPUTS!$R$93+1,0)</f>
        <v>0</v>
      </c>
      <c r="AI73" s="108" t="n">
        <f aca="false">IF(AI72=1,AI$7-INPUTS!$R$93+1,0)</f>
        <v>0</v>
      </c>
      <c r="AJ73" s="108" t="n">
        <f aca="false">IF(AJ72=1,AJ$7-INPUTS!$R$93+1,0)</f>
        <v>0</v>
      </c>
      <c r="AK73" s="108" t="n">
        <f aca="false">IF(AK72=1,AK$7-INPUTS!$R$93+1,0)</f>
        <v>0</v>
      </c>
      <c r="AL73" s="108" t="n">
        <f aca="false">IF(AL72=1,AL$7-INPUTS!$R$93+1,0)</f>
        <v>0</v>
      </c>
      <c r="AM73" s="108" t="n">
        <f aca="false">IF(AM72=1,AM$7-INPUTS!$R$93+1,0)</f>
        <v>0</v>
      </c>
      <c r="AN73" s="108" t="n">
        <f aca="false">IF(AN72=1,AN$7-INPUTS!$R$93+1,0)</f>
        <v>0</v>
      </c>
      <c r="AO73" s="108" t="n">
        <f aca="false">IF(AO72=1,AO$7-INPUTS!$R$93+1,0)</f>
        <v>0</v>
      </c>
      <c r="AP73" s="108" t="n">
        <f aca="false">IF(AP72=1,AP$7-INPUTS!$R$93+1,0)</f>
        <v>0</v>
      </c>
      <c r="AQ73" s="108" t="n">
        <f aca="false">IF(AQ72=1,AQ$7-INPUTS!$R$93+1,0)</f>
        <v>0</v>
      </c>
    </row>
    <row r="74" customFormat="false" ht="15" hidden="false" customHeight="false" outlineLevel="0" collapsed="false">
      <c r="B74" s="3" t="s">
        <v>646</v>
      </c>
      <c r="C74" s="107" t="n">
        <f aca="false">SUM(D74:AQ74)</f>
        <v>0</v>
      </c>
      <c r="D74" s="108" t="n">
        <f aca="false">IF(AND((INPUTS!$E$93="Yes"),D$16=1,D$7&gt;INPUTS!$S$93),1,0)</f>
        <v>0</v>
      </c>
      <c r="E74" s="108" t="n">
        <f aca="false">IF(AND((INPUTS!$E$93="Yes"),E$16=1,E$7&gt;INPUTS!$S$93),1,0)</f>
        <v>0</v>
      </c>
      <c r="F74" s="108" t="n">
        <f aca="false">IF(AND((INPUTS!$E$93="Yes"),F$16=1,F$7&gt;INPUTS!$S$93),1,0)</f>
        <v>0</v>
      </c>
      <c r="G74" s="108" t="n">
        <f aca="false">IF(AND((INPUTS!$E$93="Yes"),G$16=1,G$7&gt;INPUTS!$S$93),1,0)</f>
        <v>0</v>
      </c>
      <c r="H74" s="108" t="n">
        <f aca="false">IF(AND((INPUTS!$E$93="Yes"),H$16=1,H$7&gt;INPUTS!$S$93),1,0)</f>
        <v>0</v>
      </c>
      <c r="I74" s="108" t="n">
        <f aca="false">IF(AND((INPUTS!$E$93="Yes"),I$16=1,I$7&gt;INPUTS!$S$93),1,0)</f>
        <v>0</v>
      </c>
      <c r="J74" s="108" t="n">
        <f aca="false">IF(AND((INPUTS!$E$93="Yes"),J$16=1,J$7&gt;INPUTS!$S$93),1,0)</f>
        <v>0</v>
      </c>
      <c r="K74" s="108" t="n">
        <f aca="false">IF(AND((INPUTS!$E$93="Yes"),K$16=1,K$7&gt;INPUTS!$S$93),1,0)</f>
        <v>0</v>
      </c>
      <c r="L74" s="108" t="n">
        <f aca="false">IF(AND((INPUTS!$E$93="Yes"),L$16=1,L$7&gt;INPUTS!$S$93),1,0)</f>
        <v>0</v>
      </c>
      <c r="M74" s="108" t="n">
        <f aca="false">IF(AND((INPUTS!$E$93="Yes"),M$16=1,M$7&gt;INPUTS!$S$93),1,0)</f>
        <v>0</v>
      </c>
      <c r="N74" s="108" t="n">
        <f aca="false">IF(AND((INPUTS!$E$93="Yes"),N$16=1,N$7&gt;INPUTS!$S$93),1,0)</f>
        <v>0</v>
      </c>
      <c r="O74" s="108" t="n">
        <f aca="false">IF(AND((INPUTS!$E$93="Yes"),O$16=1,O$7&gt;INPUTS!$S$93),1,0)</f>
        <v>0</v>
      </c>
      <c r="P74" s="108" t="n">
        <f aca="false">IF(AND((INPUTS!$E$93="Yes"),P$16=1,P$7&gt;INPUTS!$S$93),1,0)</f>
        <v>0</v>
      </c>
      <c r="Q74" s="108" t="n">
        <f aca="false">IF(AND((INPUTS!$E$93="Yes"),Q$16=1,Q$7&gt;INPUTS!$S$93),1,0)</f>
        <v>0</v>
      </c>
      <c r="R74" s="108" t="n">
        <f aca="false">IF(AND((INPUTS!$E$93="Yes"),R$16=1,R$7&gt;INPUTS!$S$93),1,0)</f>
        <v>0</v>
      </c>
      <c r="S74" s="108" t="n">
        <f aca="false">IF(AND((INPUTS!$E$93="Yes"),S$16=1,S$7&gt;INPUTS!$S$93),1,0)</f>
        <v>0</v>
      </c>
      <c r="T74" s="108" t="n">
        <f aca="false">IF(AND((INPUTS!$E$93="Yes"),T$16=1,T$7&gt;INPUTS!$S$93),1,0)</f>
        <v>0</v>
      </c>
      <c r="U74" s="108" t="n">
        <f aca="false">IF(AND((INPUTS!$E$93="Yes"),U$16=1,U$7&gt;INPUTS!$S$93),1,0)</f>
        <v>0</v>
      </c>
      <c r="V74" s="108" t="n">
        <f aca="false">IF(AND((INPUTS!$E$93="Yes"),V$16=1,V$7&gt;INPUTS!$S$93),1,0)</f>
        <v>0</v>
      </c>
      <c r="W74" s="108" t="n">
        <f aca="false">IF(AND((INPUTS!$E$93="Yes"),W$16=1,W$7&gt;INPUTS!$S$93),1,0)</f>
        <v>0</v>
      </c>
      <c r="X74" s="108" t="n">
        <f aca="false">IF(AND((INPUTS!$E$93="Yes"),X$16=1,X$7&gt;INPUTS!$S$93),1,0)</f>
        <v>0</v>
      </c>
      <c r="Y74" s="108" t="n">
        <f aca="false">IF(AND((INPUTS!$E$93="Yes"),Y$16=1,Y$7&gt;INPUTS!$S$93),1,0)</f>
        <v>0</v>
      </c>
      <c r="Z74" s="108" t="n">
        <f aca="false">IF(AND((INPUTS!$E$93="Yes"),Z$16=1,Z$7&gt;INPUTS!$S$93),1,0)</f>
        <v>0</v>
      </c>
      <c r="AA74" s="108" t="n">
        <f aca="false">IF(AND((INPUTS!$E$93="Yes"),AA$16=1,AA$7&gt;INPUTS!$S$93),1,0)</f>
        <v>0</v>
      </c>
      <c r="AB74" s="108" t="n">
        <f aca="false">IF(AND((INPUTS!$E$93="Yes"),AB$16=1,AB$7&gt;INPUTS!$S$93),1,0)</f>
        <v>0</v>
      </c>
      <c r="AC74" s="108" t="n">
        <f aca="false">IF(AND((INPUTS!$E$93="Yes"),AC$16=1,AC$7&gt;INPUTS!$S$93),1,0)</f>
        <v>0</v>
      </c>
      <c r="AD74" s="108" t="n">
        <f aca="false">IF(AND((INPUTS!$E$93="Yes"),AD$16=1,AD$7&gt;INPUTS!$S$93),1,0)</f>
        <v>0</v>
      </c>
      <c r="AE74" s="108" t="n">
        <f aca="false">IF(AND((INPUTS!$E$93="Yes"),AE$16=1,AE$7&gt;INPUTS!$S$93),1,0)</f>
        <v>0</v>
      </c>
      <c r="AF74" s="108" t="n">
        <f aca="false">IF(AND((INPUTS!$E$93="Yes"),AF$16=1,AF$7&gt;INPUTS!$S$93),1,0)</f>
        <v>0</v>
      </c>
      <c r="AG74" s="108" t="n">
        <f aca="false">IF(AND((INPUTS!$E$93="Yes"),AG$16=1,AG$7&gt;INPUTS!$S$93),1,0)</f>
        <v>0</v>
      </c>
      <c r="AH74" s="108" t="n">
        <f aca="false">IF(AND((INPUTS!$E$93="Yes"),AH$16=1,AH$7&gt;INPUTS!$S$93),1,0)</f>
        <v>0</v>
      </c>
      <c r="AI74" s="108" t="n">
        <f aca="false">IF(AND((INPUTS!$E$93="Yes"),AI$16=1,AI$7&gt;INPUTS!$S$93),1,0)</f>
        <v>0</v>
      </c>
      <c r="AJ74" s="108" t="n">
        <f aca="false">IF(AND((INPUTS!$E$93="Yes"),AJ$16=1,AJ$7&gt;INPUTS!$S$93),1,0)</f>
        <v>0</v>
      </c>
      <c r="AK74" s="108" t="n">
        <f aca="false">IF(AND((INPUTS!$E$93="Yes"),AK$16=1,AK$7&gt;INPUTS!$S$93),1,0)</f>
        <v>0</v>
      </c>
      <c r="AL74" s="108" t="n">
        <f aca="false">IF(AND((INPUTS!$E$93="Yes"),AL$16=1,AL$7&gt;INPUTS!$S$93),1,0)</f>
        <v>0</v>
      </c>
      <c r="AM74" s="108" t="n">
        <f aca="false">IF(AND((INPUTS!$E$93="Yes"),AM$16=1,AM$7&gt;INPUTS!$S$93),1,0)</f>
        <v>0</v>
      </c>
      <c r="AN74" s="108" t="n">
        <f aca="false">IF(AND((INPUTS!$E$93="Yes"),AN$16=1,AN$7&gt;INPUTS!$S$93),1,0)</f>
        <v>0</v>
      </c>
      <c r="AO74" s="108" t="n">
        <f aca="false">IF(AND((INPUTS!$E$93="Yes"),AO$16=1,AO$7&gt;INPUTS!$S$93),1,0)</f>
        <v>0</v>
      </c>
      <c r="AP74" s="108" t="n">
        <f aca="false">IF(AND((INPUTS!$E$93="Yes"),AP$16=1,AP$7&gt;INPUTS!$S$93),1,0)</f>
        <v>0</v>
      </c>
      <c r="AQ74" s="108" t="n">
        <f aca="false">IF(AND((INPUTS!$E$93="Yes"),AQ$16=1,AQ$7&gt;INPUTS!$S$93),1,0)</f>
        <v>0</v>
      </c>
    </row>
    <row r="75" customFormat="false" ht="15" hidden="false" customHeight="false" outlineLevel="0" collapsed="false">
      <c r="B75" s="17" t="s">
        <v>647</v>
      </c>
      <c r="C75" s="105" t="str">
        <f aca="false">IF(INPUTS!$E$93&lt;&gt;"Yes","Off",IF(OR(NOT(ISNUMBER(INPUTS!$P$93)),NOT(ISNUMBER(INPUTS!$Q$93)),NOT(ISNUMBER(INPUTS!$R$93)),NOT(ISNUMBER(INPUTS!$S$93))),"ERROR",IF(AND(C70=INPUTS!$Q$93-INPUTS!$P$93+1,C72=INPUTS!$S$93-INPUTS!$R$93+1,C74=MAX(0,INPUTS!$C$24-INPUTS!$S$93)),"OK","ERROR")))</f>
        <v>Off</v>
      </c>
    </row>
    <row r="76" customFormat="false" ht="15" hidden="false" customHeight="false" outlineLevel="0" collapsed="false">
      <c r="B76" s="110" t="str">
        <f aca="false">IF(INPUTS!$E$94="Yes",INPUTS!$B$94,"Product row 7 (off)")</f>
        <v>Product row 7 (off)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</row>
    <row r="77" customFormat="false" ht="15" hidden="false" customHeight="false" outlineLevel="0" collapsed="false">
      <c r="B77" s="3" t="s">
        <v>642</v>
      </c>
      <c r="C77" s="107" t="n">
        <f aca="false">SUM(D77:AQ77)</f>
        <v>0</v>
      </c>
      <c r="D77" s="108" t="n">
        <f aca="false">IF(AND((INPUTS!$E$94="Yes"),D$16=1,D$7&gt;=INPUTS!$P$94,D$7&lt;=INPUTS!$Q$94),1,0)</f>
        <v>0</v>
      </c>
      <c r="E77" s="108" t="n">
        <f aca="false">IF(AND((INPUTS!$E$94="Yes"),E$16=1,E$7&gt;=INPUTS!$P$94,E$7&lt;=INPUTS!$Q$94),1,0)</f>
        <v>0</v>
      </c>
      <c r="F77" s="108" t="n">
        <f aca="false">IF(AND((INPUTS!$E$94="Yes"),F$16=1,F$7&gt;=INPUTS!$P$94,F$7&lt;=INPUTS!$Q$94),1,0)</f>
        <v>0</v>
      </c>
      <c r="G77" s="108" t="n">
        <f aca="false">IF(AND((INPUTS!$E$94="Yes"),G$16=1,G$7&gt;=INPUTS!$P$94,G$7&lt;=INPUTS!$Q$94),1,0)</f>
        <v>0</v>
      </c>
      <c r="H77" s="108" t="n">
        <f aca="false">IF(AND((INPUTS!$E$94="Yes"),H$16=1,H$7&gt;=INPUTS!$P$94,H$7&lt;=INPUTS!$Q$94),1,0)</f>
        <v>0</v>
      </c>
      <c r="I77" s="108" t="n">
        <f aca="false">IF(AND((INPUTS!$E$94="Yes"),I$16=1,I$7&gt;=INPUTS!$P$94,I$7&lt;=INPUTS!$Q$94),1,0)</f>
        <v>0</v>
      </c>
      <c r="J77" s="108" t="n">
        <f aca="false">IF(AND((INPUTS!$E$94="Yes"),J$16=1,J$7&gt;=INPUTS!$P$94,J$7&lt;=INPUTS!$Q$94),1,0)</f>
        <v>0</v>
      </c>
      <c r="K77" s="108" t="n">
        <f aca="false">IF(AND((INPUTS!$E$94="Yes"),K$16=1,K$7&gt;=INPUTS!$P$94,K$7&lt;=INPUTS!$Q$94),1,0)</f>
        <v>0</v>
      </c>
      <c r="L77" s="108" t="n">
        <f aca="false">IF(AND((INPUTS!$E$94="Yes"),L$16=1,L$7&gt;=INPUTS!$P$94,L$7&lt;=INPUTS!$Q$94),1,0)</f>
        <v>0</v>
      </c>
      <c r="M77" s="108" t="n">
        <f aca="false">IF(AND((INPUTS!$E$94="Yes"),M$16=1,M$7&gt;=INPUTS!$P$94,M$7&lt;=INPUTS!$Q$94),1,0)</f>
        <v>0</v>
      </c>
      <c r="N77" s="108" t="n">
        <f aca="false">IF(AND((INPUTS!$E$94="Yes"),N$16=1,N$7&gt;=INPUTS!$P$94,N$7&lt;=INPUTS!$Q$94),1,0)</f>
        <v>0</v>
      </c>
      <c r="O77" s="108" t="n">
        <f aca="false">IF(AND((INPUTS!$E$94="Yes"),O$16=1,O$7&gt;=INPUTS!$P$94,O$7&lt;=INPUTS!$Q$94),1,0)</f>
        <v>0</v>
      </c>
      <c r="P77" s="108" t="n">
        <f aca="false">IF(AND((INPUTS!$E$94="Yes"),P$16=1,P$7&gt;=INPUTS!$P$94,P$7&lt;=INPUTS!$Q$94),1,0)</f>
        <v>0</v>
      </c>
      <c r="Q77" s="108" t="n">
        <f aca="false">IF(AND((INPUTS!$E$94="Yes"),Q$16=1,Q$7&gt;=INPUTS!$P$94,Q$7&lt;=INPUTS!$Q$94),1,0)</f>
        <v>0</v>
      </c>
      <c r="R77" s="108" t="n">
        <f aca="false">IF(AND((INPUTS!$E$94="Yes"),R$16=1,R$7&gt;=INPUTS!$P$94,R$7&lt;=INPUTS!$Q$94),1,0)</f>
        <v>0</v>
      </c>
      <c r="S77" s="108" t="n">
        <f aca="false">IF(AND((INPUTS!$E$94="Yes"),S$16=1,S$7&gt;=INPUTS!$P$94,S$7&lt;=INPUTS!$Q$94),1,0)</f>
        <v>0</v>
      </c>
      <c r="T77" s="108" t="n">
        <f aca="false">IF(AND((INPUTS!$E$94="Yes"),T$16=1,T$7&gt;=INPUTS!$P$94,T$7&lt;=INPUTS!$Q$94),1,0)</f>
        <v>0</v>
      </c>
      <c r="U77" s="108" t="n">
        <f aca="false">IF(AND((INPUTS!$E$94="Yes"),U$16=1,U$7&gt;=INPUTS!$P$94,U$7&lt;=INPUTS!$Q$94),1,0)</f>
        <v>0</v>
      </c>
      <c r="V77" s="108" t="n">
        <f aca="false">IF(AND((INPUTS!$E$94="Yes"),V$16=1,V$7&gt;=INPUTS!$P$94,V$7&lt;=INPUTS!$Q$94),1,0)</f>
        <v>0</v>
      </c>
      <c r="W77" s="108" t="n">
        <f aca="false">IF(AND((INPUTS!$E$94="Yes"),W$16=1,W$7&gt;=INPUTS!$P$94,W$7&lt;=INPUTS!$Q$94),1,0)</f>
        <v>0</v>
      </c>
      <c r="X77" s="108" t="n">
        <f aca="false">IF(AND((INPUTS!$E$94="Yes"),X$16=1,X$7&gt;=INPUTS!$P$94,X$7&lt;=INPUTS!$Q$94),1,0)</f>
        <v>0</v>
      </c>
      <c r="Y77" s="108" t="n">
        <f aca="false">IF(AND((INPUTS!$E$94="Yes"),Y$16=1,Y$7&gt;=INPUTS!$P$94,Y$7&lt;=INPUTS!$Q$94),1,0)</f>
        <v>0</v>
      </c>
      <c r="Z77" s="108" t="n">
        <f aca="false">IF(AND((INPUTS!$E$94="Yes"),Z$16=1,Z$7&gt;=INPUTS!$P$94,Z$7&lt;=INPUTS!$Q$94),1,0)</f>
        <v>0</v>
      </c>
      <c r="AA77" s="108" t="n">
        <f aca="false">IF(AND((INPUTS!$E$94="Yes"),AA$16=1,AA$7&gt;=INPUTS!$P$94,AA$7&lt;=INPUTS!$Q$94),1,0)</f>
        <v>0</v>
      </c>
      <c r="AB77" s="108" t="n">
        <f aca="false">IF(AND((INPUTS!$E$94="Yes"),AB$16=1,AB$7&gt;=INPUTS!$P$94,AB$7&lt;=INPUTS!$Q$94),1,0)</f>
        <v>0</v>
      </c>
      <c r="AC77" s="108" t="n">
        <f aca="false">IF(AND((INPUTS!$E$94="Yes"),AC$16=1,AC$7&gt;=INPUTS!$P$94,AC$7&lt;=INPUTS!$Q$94),1,0)</f>
        <v>0</v>
      </c>
      <c r="AD77" s="108" t="n">
        <f aca="false">IF(AND((INPUTS!$E$94="Yes"),AD$16=1,AD$7&gt;=INPUTS!$P$94,AD$7&lt;=INPUTS!$Q$94),1,0)</f>
        <v>0</v>
      </c>
      <c r="AE77" s="108" t="n">
        <f aca="false">IF(AND((INPUTS!$E$94="Yes"),AE$16=1,AE$7&gt;=INPUTS!$P$94,AE$7&lt;=INPUTS!$Q$94),1,0)</f>
        <v>0</v>
      </c>
      <c r="AF77" s="108" t="n">
        <f aca="false">IF(AND((INPUTS!$E$94="Yes"),AF$16=1,AF$7&gt;=INPUTS!$P$94,AF$7&lt;=INPUTS!$Q$94),1,0)</f>
        <v>0</v>
      </c>
      <c r="AG77" s="108" t="n">
        <f aca="false">IF(AND((INPUTS!$E$94="Yes"),AG$16=1,AG$7&gt;=INPUTS!$P$94,AG$7&lt;=INPUTS!$Q$94),1,0)</f>
        <v>0</v>
      </c>
      <c r="AH77" s="108" t="n">
        <f aca="false">IF(AND((INPUTS!$E$94="Yes"),AH$16=1,AH$7&gt;=INPUTS!$P$94,AH$7&lt;=INPUTS!$Q$94),1,0)</f>
        <v>0</v>
      </c>
      <c r="AI77" s="108" t="n">
        <f aca="false">IF(AND((INPUTS!$E$94="Yes"),AI$16=1,AI$7&gt;=INPUTS!$P$94,AI$7&lt;=INPUTS!$Q$94),1,0)</f>
        <v>0</v>
      </c>
      <c r="AJ77" s="108" t="n">
        <f aca="false">IF(AND((INPUTS!$E$94="Yes"),AJ$16=1,AJ$7&gt;=INPUTS!$P$94,AJ$7&lt;=INPUTS!$Q$94),1,0)</f>
        <v>0</v>
      </c>
      <c r="AK77" s="108" t="n">
        <f aca="false">IF(AND((INPUTS!$E$94="Yes"),AK$16=1,AK$7&gt;=INPUTS!$P$94,AK$7&lt;=INPUTS!$Q$94),1,0)</f>
        <v>0</v>
      </c>
      <c r="AL77" s="108" t="n">
        <f aca="false">IF(AND((INPUTS!$E$94="Yes"),AL$16=1,AL$7&gt;=INPUTS!$P$94,AL$7&lt;=INPUTS!$Q$94),1,0)</f>
        <v>0</v>
      </c>
      <c r="AM77" s="108" t="n">
        <f aca="false">IF(AND((INPUTS!$E$94="Yes"),AM$16=1,AM$7&gt;=INPUTS!$P$94,AM$7&lt;=INPUTS!$Q$94),1,0)</f>
        <v>0</v>
      </c>
      <c r="AN77" s="108" t="n">
        <f aca="false">IF(AND((INPUTS!$E$94="Yes"),AN$16=1,AN$7&gt;=INPUTS!$P$94,AN$7&lt;=INPUTS!$Q$94),1,0)</f>
        <v>0</v>
      </c>
      <c r="AO77" s="108" t="n">
        <f aca="false">IF(AND((INPUTS!$E$94="Yes"),AO$16=1,AO$7&gt;=INPUTS!$P$94,AO$7&lt;=INPUTS!$Q$94),1,0)</f>
        <v>0</v>
      </c>
      <c r="AP77" s="108" t="n">
        <f aca="false">IF(AND((INPUTS!$E$94="Yes"),AP$16=1,AP$7&gt;=INPUTS!$P$94,AP$7&lt;=INPUTS!$Q$94),1,0)</f>
        <v>0</v>
      </c>
      <c r="AQ77" s="108" t="n">
        <f aca="false">IF(AND((INPUTS!$E$94="Yes"),AQ$16=1,AQ$7&gt;=INPUTS!$P$94,AQ$7&lt;=INPUTS!$Q$94),1,0)</f>
        <v>0</v>
      </c>
    </row>
    <row r="78" customFormat="false" ht="15" hidden="false" customHeight="false" outlineLevel="0" collapsed="false">
      <c r="B78" s="3" t="s">
        <v>643</v>
      </c>
      <c r="C78" s="107" t="n">
        <f aca="false">MAX(D78:AQ78)</f>
        <v>0</v>
      </c>
      <c r="D78" s="108" t="n">
        <f aca="false">IF(D77=1,D$7-INPUTS!$P$94+1,0)</f>
        <v>0</v>
      </c>
      <c r="E78" s="108" t="n">
        <f aca="false">IF(E77=1,E$7-INPUTS!$P$94+1,0)</f>
        <v>0</v>
      </c>
      <c r="F78" s="108" t="n">
        <f aca="false">IF(F77=1,F$7-INPUTS!$P$94+1,0)</f>
        <v>0</v>
      </c>
      <c r="G78" s="108" t="n">
        <f aca="false">IF(G77=1,G$7-INPUTS!$P$94+1,0)</f>
        <v>0</v>
      </c>
      <c r="H78" s="108" t="n">
        <f aca="false">IF(H77=1,H$7-INPUTS!$P$94+1,0)</f>
        <v>0</v>
      </c>
      <c r="I78" s="108" t="n">
        <f aca="false">IF(I77=1,I$7-INPUTS!$P$94+1,0)</f>
        <v>0</v>
      </c>
      <c r="J78" s="108" t="n">
        <f aca="false">IF(J77=1,J$7-INPUTS!$P$94+1,0)</f>
        <v>0</v>
      </c>
      <c r="K78" s="108" t="n">
        <f aca="false">IF(K77=1,K$7-INPUTS!$P$94+1,0)</f>
        <v>0</v>
      </c>
      <c r="L78" s="108" t="n">
        <f aca="false">IF(L77=1,L$7-INPUTS!$P$94+1,0)</f>
        <v>0</v>
      </c>
      <c r="M78" s="108" t="n">
        <f aca="false">IF(M77=1,M$7-INPUTS!$P$94+1,0)</f>
        <v>0</v>
      </c>
      <c r="N78" s="108" t="n">
        <f aca="false">IF(N77=1,N$7-INPUTS!$P$94+1,0)</f>
        <v>0</v>
      </c>
      <c r="O78" s="108" t="n">
        <f aca="false">IF(O77=1,O$7-INPUTS!$P$94+1,0)</f>
        <v>0</v>
      </c>
      <c r="P78" s="108" t="n">
        <f aca="false">IF(P77=1,P$7-INPUTS!$P$94+1,0)</f>
        <v>0</v>
      </c>
      <c r="Q78" s="108" t="n">
        <f aca="false">IF(Q77=1,Q$7-INPUTS!$P$94+1,0)</f>
        <v>0</v>
      </c>
      <c r="R78" s="108" t="n">
        <f aca="false">IF(R77=1,R$7-INPUTS!$P$94+1,0)</f>
        <v>0</v>
      </c>
      <c r="S78" s="108" t="n">
        <f aca="false">IF(S77=1,S$7-INPUTS!$P$94+1,0)</f>
        <v>0</v>
      </c>
      <c r="T78" s="108" t="n">
        <f aca="false">IF(T77=1,T$7-INPUTS!$P$94+1,0)</f>
        <v>0</v>
      </c>
      <c r="U78" s="108" t="n">
        <f aca="false">IF(U77=1,U$7-INPUTS!$P$94+1,0)</f>
        <v>0</v>
      </c>
      <c r="V78" s="108" t="n">
        <f aca="false">IF(V77=1,V$7-INPUTS!$P$94+1,0)</f>
        <v>0</v>
      </c>
      <c r="W78" s="108" t="n">
        <f aca="false">IF(W77=1,W$7-INPUTS!$P$94+1,0)</f>
        <v>0</v>
      </c>
      <c r="X78" s="108" t="n">
        <f aca="false">IF(X77=1,X$7-INPUTS!$P$94+1,0)</f>
        <v>0</v>
      </c>
      <c r="Y78" s="108" t="n">
        <f aca="false">IF(Y77=1,Y$7-INPUTS!$P$94+1,0)</f>
        <v>0</v>
      </c>
      <c r="Z78" s="108" t="n">
        <f aca="false">IF(Z77=1,Z$7-INPUTS!$P$94+1,0)</f>
        <v>0</v>
      </c>
      <c r="AA78" s="108" t="n">
        <f aca="false">IF(AA77=1,AA$7-INPUTS!$P$94+1,0)</f>
        <v>0</v>
      </c>
      <c r="AB78" s="108" t="n">
        <f aca="false">IF(AB77=1,AB$7-INPUTS!$P$94+1,0)</f>
        <v>0</v>
      </c>
      <c r="AC78" s="108" t="n">
        <f aca="false">IF(AC77=1,AC$7-INPUTS!$P$94+1,0)</f>
        <v>0</v>
      </c>
      <c r="AD78" s="108" t="n">
        <f aca="false">IF(AD77=1,AD$7-INPUTS!$P$94+1,0)</f>
        <v>0</v>
      </c>
      <c r="AE78" s="108" t="n">
        <f aca="false">IF(AE77=1,AE$7-INPUTS!$P$94+1,0)</f>
        <v>0</v>
      </c>
      <c r="AF78" s="108" t="n">
        <f aca="false">IF(AF77=1,AF$7-INPUTS!$P$94+1,0)</f>
        <v>0</v>
      </c>
      <c r="AG78" s="108" t="n">
        <f aca="false">IF(AG77=1,AG$7-INPUTS!$P$94+1,0)</f>
        <v>0</v>
      </c>
      <c r="AH78" s="108" t="n">
        <f aca="false">IF(AH77=1,AH$7-INPUTS!$P$94+1,0)</f>
        <v>0</v>
      </c>
      <c r="AI78" s="108" t="n">
        <f aca="false">IF(AI77=1,AI$7-INPUTS!$P$94+1,0)</f>
        <v>0</v>
      </c>
      <c r="AJ78" s="108" t="n">
        <f aca="false">IF(AJ77=1,AJ$7-INPUTS!$P$94+1,0)</f>
        <v>0</v>
      </c>
      <c r="AK78" s="108" t="n">
        <f aca="false">IF(AK77=1,AK$7-INPUTS!$P$94+1,0)</f>
        <v>0</v>
      </c>
      <c r="AL78" s="108" t="n">
        <f aca="false">IF(AL77=1,AL$7-INPUTS!$P$94+1,0)</f>
        <v>0</v>
      </c>
      <c r="AM78" s="108" t="n">
        <f aca="false">IF(AM77=1,AM$7-INPUTS!$P$94+1,0)</f>
        <v>0</v>
      </c>
      <c r="AN78" s="108" t="n">
        <f aca="false">IF(AN77=1,AN$7-INPUTS!$P$94+1,0)</f>
        <v>0</v>
      </c>
      <c r="AO78" s="108" t="n">
        <f aca="false">IF(AO77=1,AO$7-INPUTS!$P$94+1,0)</f>
        <v>0</v>
      </c>
      <c r="AP78" s="108" t="n">
        <f aca="false">IF(AP77=1,AP$7-INPUTS!$P$94+1,0)</f>
        <v>0</v>
      </c>
      <c r="AQ78" s="108" t="n">
        <f aca="false">IF(AQ77=1,AQ$7-INPUTS!$P$94+1,0)</f>
        <v>0</v>
      </c>
    </row>
    <row r="79" customFormat="false" ht="15" hidden="false" customHeight="false" outlineLevel="0" collapsed="false">
      <c r="B79" s="3" t="s">
        <v>644</v>
      </c>
      <c r="C79" s="107" t="n">
        <f aca="false">SUM(D79:AQ79)</f>
        <v>0</v>
      </c>
      <c r="D79" s="108" t="n">
        <f aca="false">IF(AND((INPUTS!$E$94="Yes"),D$16=1,D$7&gt;=INPUTS!$R$94,D$7&lt;=INPUTS!$S$94),1,0)</f>
        <v>0</v>
      </c>
      <c r="E79" s="108" t="n">
        <f aca="false">IF(AND((INPUTS!$E$94="Yes"),E$16=1,E$7&gt;=INPUTS!$R$94,E$7&lt;=INPUTS!$S$94),1,0)</f>
        <v>0</v>
      </c>
      <c r="F79" s="108" t="n">
        <f aca="false">IF(AND((INPUTS!$E$94="Yes"),F$16=1,F$7&gt;=INPUTS!$R$94,F$7&lt;=INPUTS!$S$94),1,0)</f>
        <v>0</v>
      </c>
      <c r="G79" s="108" t="n">
        <f aca="false">IF(AND((INPUTS!$E$94="Yes"),G$16=1,G$7&gt;=INPUTS!$R$94,G$7&lt;=INPUTS!$S$94),1,0)</f>
        <v>0</v>
      </c>
      <c r="H79" s="108" t="n">
        <f aca="false">IF(AND((INPUTS!$E$94="Yes"),H$16=1,H$7&gt;=INPUTS!$R$94,H$7&lt;=INPUTS!$S$94),1,0)</f>
        <v>0</v>
      </c>
      <c r="I79" s="108" t="n">
        <f aca="false">IF(AND((INPUTS!$E$94="Yes"),I$16=1,I$7&gt;=INPUTS!$R$94,I$7&lt;=INPUTS!$S$94),1,0)</f>
        <v>0</v>
      </c>
      <c r="J79" s="108" t="n">
        <f aca="false">IF(AND((INPUTS!$E$94="Yes"),J$16=1,J$7&gt;=INPUTS!$R$94,J$7&lt;=INPUTS!$S$94),1,0)</f>
        <v>0</v>
      </c>
      <c r="K79" s="108" t="n">
        <f aca="false">IF(AND((INPUTS!$E$94="Yes"),K$16=1,K$7&gt;=INPUTS!$R$94,K$7&lt;=INPUTS!$S$94),1,0)</f>
        <v>0</v>
      </c>
      <c r="L79" s="108" t="n">
        <f aca="false">IF(AND((INPUTS!$E$94="Yes"),L$16=1,L$7&gt;=INPUTS!$R$94,L$7&lt;=INPUTS!$S$94),1,0)</f>
        <v>0</v>
      </c>
      <c r="M79" s="108" t="n">
        <f aca="false">IF(AND((INPUTS!$E$94="Yes"),M$16=1,M$7&gt;=INPUTS!$R$94,M$7&lt;=INPUTS!$S$94),1,0)</f>
        <v>0</v>
      </c>
      <c r="N79" s="108" t="n">
        <f aca="false">IF(AND((INPUTS!$E$94="Yes"),N$16=1,N$7&gt;=INPUTS!$R$94,N$7&lt;=INPUTS!$S$94),1,0)</f>
        <v>0</v>
      </c>
      <c r="O79" s="108" t="n">
        <f aca="false">IF(AND((INPUTS!$E$94="Yes"),O$16=1,O$7&gt;=INPUTS!$R$94,O$7&lt;=INPUTS!$S$94),1,0)</f>
        <v>0</v>
      </c>
      <c r="P79" s="108" t="n">
        <f aca="false">IF(AND((INPUTS!$E$94="Yes"),P$16=1,P$7&gt;=INPUTS!$R$94,P$7&lt;=INPUTS!$S$94),1,0)</f>
        <v>0</v>
      </c>
      <c r="Q79" s="108" t="n">
        <f aca="false">IF(AND((INPUTS!$E$94="Yes"),Q$16=1,Q$7&gt;=INPUTS!$R$94,Q$7&lt;=INPUTS!$S$94),1,0)</f>
        <v>0</v>
      </c>
      <c r="R79" s="108" t="n">
        <f aca="false">IF(AND((INPUTS!$E$94="Yes"),R$16=1,R$7&gt;=INPUTS!$R$94,R$7&lt;=INPUTS!$S$94),1,0)</f>
        <v>0</v>
      </c>
      <c r="S79" s="108" t="n">
        <f aca="false">IF(AND((INPUTS!$E$94="Yes"),S$16=1,S$7&gt;=INPUTS!$R$94,S$7&lt;=INPUTS!$S$94),1,0)</f>
        <v>0</v>
      </c>
      <c r="T79" s="108" t="n">
        <f aca="false">IF(AND((INPUTS!$E$94="Yes"),T$16=1,T$7&gt;=INPUTS!$R$94,T$7&lt;=INPUTS!$S$94),1,0)</f>
        <v>0</v>
      </c>
      <c r="U79" s="108" t="n">
        <f aca="false">IF(AND((INPUTS!$E$94="Yes"),U$16=1,U$7&gt;=INPUTS!$R$94,U$7&lt;=INPUTS!$S$94),1,0)</f>
        <v>0</v>
      </c>
      <c r="V79" s="108" t="n">
        <f aca="false">IF(AND((INPUTS!$E$94="Yes"),V$16=1,V$7&gt;=INPUTS!$R$94,V$7&lt;=INPUTS!$S$94),1,0)</f>
        <v>0</v>
      </c>
      <c r="W79" s="108" t="n">
        <f aca="false">IF(AND((INPUTS!$E$94="Yes"),W$16=1,W$7&gt;=INPUTS!$R$94,W$7&lt;=INPUTS!$S$94),1,0)</f>
        <v>0</v>
      </c>
      <c r="X79" s="108" t="n">
        <f aca="false">IF(AND((INPUTS!$E$94="Yes"),X$16=1,X$7&gt;=INPUTS!$R$94,X$7&lt;=INPUTS!$S$94),1,0)</f>
        <v>0</v>
      </c>
      <c r="Y79" s="108" t="n">
        <f aca="false">IF(AND((INPUTS!$E$94="Yes"),Y$16=1,Y$7&gt;=INPUTS!$R$94,Y$7&lt;=INPUTS!$S$94),1,0)</f>
        <v>0</v>
      </c>
      <c r="Z79" s="108" t="n">
        <f aca="false">IF(AND((INPUTS!$E$94="Yes"),Z$16=1,Z$7&gt;=INPUTS!$R$94,Z$7&lt;=INPUTS!$S$94),1,0)</f>
        <v>0</v>
      </c>
      <c r="AA79" s="108" t="n">
        <f aca="false">IF(AND((INPUTS!$E$94="Yes"),AA$16=1,AA$7&gt;=INPUTS!$R$94,AA$7&lt;=INPUTS!$S$94),1,0)</f>
        <v>0</v>
      </c>
      <c r="AB79" s="108" t="n">
        <f aca="false">IF(AND((INPUTS!$E$94="Yes"),AB$16=1,AB$7&gt;=INPUTS!$R$94,AB$7&lt;=INPUTS!$S$94),1,0)</f>
        <v>0</v>
      </c>
      <c r="AC79" s="108" t="n">
        <f aca="false">IF(AND((INPUTS!$E$94="Yes"),AC$16=1,AC$7&gt;=INPUTS!$R$94,AC$7&lt;=INPUTS!$S$94),1,0)</f>
        <v>0</v>
      </c>
      <c r="AD79" s="108" t="n">
        <f aca="false">IF(AND((INPUTS!$E$94="Yes"),AD$16=1,AD$7&gt;=INPUTS!$R$94,AD$7&lt;=INPUTS!$S$94),1,0)</f>
        <v>0</v>
      </c>
      <c r="AE79" s="108" t="n">
        <f aca="false">IF(AND((INPUTS!$E$94="Yes"),AE$16=1,AE$7&gt;=INPUTS!$R$94,AE$7&lt;=INPUTS!$S$94),1,0)</f>
        <v>0</v>
      </c>
      <c r="AF79" s="108" t="n">
        <f aca="false">IF(AND((INPUTS!$E$94="Yes"),AF$16=1,AF$7&gt;=INPUTS!$R$94,AF$7&lt;=INPUTS!$S$94),1,0)</f>
        <v>0</v>
      </c>
      <c r="AG79" s="108" t="n">
        <f aca="false">IF(AND((INPUTS!$E$94="Yes"),AG$16=1,AG$7&gt;=INPUTS!$R$94,AG$7&lt;=INPUTS!$S$94),1,0)</f>
        <v>0</v>
      </c>
      <c r="AH79" s="108" t="n">
        <f aca="false">IF(AND((INPUTS!$E$94="Yes"),AH$16=1,AH$7&gt;=INPUTS!$R$94,AH$7&lt;=INPUTS!$S$94),1,0)</f>
        <v>0</v>
      </c>
      <c r="AI79" s="108" t="n">
        <f aca="false">IF(AND((INPUTS!$E$94="Yes"),AI$16=1,AI$7&gt;=INPUTS!$R$94,AI$7&lt;=INPUTS!$S$94),1,0)</f>
        <v>0</v>
      </c>
      <c r="AJ79" s="108" t="n">
        <f aca="false">IF(AND((INPUTS!$E$94="Yes"),AJ$16=1,AJ$7&gt;=INPUTS!$R$94,AJ$7&lt;=INPUTS!$S$94),1,0)</f>
        <v>0</v>
      </c>
      <c r="AK79" s="108" t="n">
        <f aca="false">IF(AND((INPUTS!$E$94="Yes"),AK$16=1,AK$7&gt;=INPUTS!$R$94,AK$7&lt;=INPUTS!$S$94),1,0)</f>
        <v>0</v>
      </c>
      <c r="AL79" s="108" t="n">
        <f aca="false">IF(AND((INPUTS!$E$94="Yes"),AL$16=1,AL$7&gt;=INPUTS!$R$94,AL$7&lt;=INPUTS!$S$94),1,0)</f>
        <v>0</v>
      </c>
      <c r="AM79" s="108" t="n">
        <f aca="false">IF(AND((INPUTS!$E$94="Yes"),AM$16=1,AM$7&gt;=INPUTS!$R$94,AM$7&lt;=INPUTS!$S$94),1,0)</f>
        <v>0</v>
      </c>
      <c r="AN79" s="108" t="n">
        <f aca="false">IF(AND((INPUTS!$E$94="Yes"),AN$16=1,AN$7&gt;=INPUTS!$R$94,AN$7&lt;=INPUTS!$S$94),1,0)</f>
        <v>0</v>
      </c>
      <c r="AO79" s="108" t="n">
        <f aca="false">IF(AND((INPUTS!$E$94="Yes"),AO$16=1,AO$7&gt;=INPUTS!$R$94,AO$7&lt;=INPUTS!$S$94),1,0)</f>
        <v>0</v>
      </c>
      <c r="AP79" s="108" t="n">
        <f aca="false">IF(AND((INPUTS!$E$94="Yes"),AP$16=1,AP$7&gt;=INPUTS!$R$94,AP$7&lt;=INPUTS!$S$94),1,0)</f>
        <v>0</v>
      </c>
      <c r="AQ79" s="108" t="n">
        <f aca="false">IF(AND((INPUTS!$E$94="Yes"),AQ$16=1,AQ$7&gt;=INPUTS!$R$94,AQ$7&lt;=INPUTS!$S$94),1,0)</f>
        <v>0</v>
      </c>
    </row>
    <row r="80" customFormat="false" ht="15" hidden="false" customHeight="false" outlineLevel="0" collapsed="false">
      <c r="B80" s="3" t="s">
        <v>645</v>
      </c>
      <c r="C80" s="107" t="n">
        <f aca="false">MAX(D80:AQ80)</f>
        <v>0</v>
      </c>
      <c r="D80" s="108" t="n">
        <f aca="false">IF(D79=1,D$7-INPUTS!$R$94+1,0)</f>
        <v>0</v>
      </c>
      <c r="E80" s="108" t="n">
        <f aca="false">IF(E79=1,E$7-INPUTS!$R$94+1,0)</f>
        <v>0</v>
      </c>
      <c r="F80" s="108" t="n">
        <f aca="false">IF(F79=1,F$7-INPUTS!$R$94+1,0)</f>
        <v>0</v>
      </c>
      <c r="G80" s="108" t="n">
        <f aca="false">IF(G79=1,G$7-INPUTS!$R$94+1,0)</f>
        <v>0</v>
      </c>
      <c r="H80" s="108" t="n">
        <f aca="false">IF(H79=1,H$7-INPUTS!$R$94+1,0)</f>
        <v>0</v>
      </c>
      <c r="I80" s="108" t="n">
        <f aca="false">IF(I79=1,I$7-INPUTS!$R$94+1,0)</f>
        <v>0</v>
      </c>
      <c r="J80" s="108" t="n">
        <f aca="false">IF(J79=1,J$7-INPUTS!$R$94+1,0)</f>
        <v>0</v>
      </c>
      <c r="K80" s="108" t="n">
        <f aca="false">IF(K79=1,K$7-INPUTS!$R$94+1,0)</f>
        <v>0</v>
      </c>
      <c r="L80" s="108" t="n">
        <f aca="false">IF(L79=1,L$7-INPUTS!$R$94+1,0)</f>
        <v>0</v>
      </c>
      <c r="M80" s="108" t="n">
        <f aca="false">IF(M79=1,M$7-INPUTS!$R$94+1,0)</f>
        <v>0</v>
      </c>
      <c r="N80" s="108" t="n">
        <f aca="false">IF(N79=1,N$7-INPUTS!$R$94+1,0)</f>
        <v>0</v>
      </c>
      <c r="O80" s="108" t="n">
        <f aca="false">IF(O79=1,O$7-INPUTS!$R$94+1,0)</f>
        <v>0</v>
      </c>
      <c r="P80" s="108" t="n">
        <f aca="false">IF(P79=1,P$7-INPUTS!$R$94+1,0)</f>
        <v>0</v>
      </c>
      <c r="Q80" s="108" t="n">
        <f aca="false">IF(Q79=1,Q$7-INPUTS!$R$94+1,0)</f>
        <v>0</v>
      </c>
      <c r="R80" s="108" t="n">
        <f aca="false">IF(R79=1,R$7-INPUTS!$R$94+1,0)</f>
        <v>0</v>
      </c>
      <c r="S80" s="108" t="n">
        <f aca="false">IF(S79=1,S$7-INPUTS!$R$94+1,0)</f>
        <v>0</v>
      </c>
      <c r="T80" s="108" t="n">
        <f aca="false">IF(T79=1,T$7-INPUTS!$R$94+1,0)</f>
        <v>0</v>
      </c>
      <c r="U80" s="108" t="n">
        <f aca="false">IF(U79=1,U$7-INPUTS!$R$94+1,0)</f>
        <v>0</v>
      </c>
      <c r="V80" s="108" t="n">
        <f aca="false">IF(V79=1,V$7-INPUTS!$R$94+1,0)</f>
        <v>0</v>
      </c>
      <c r="W80" s="108" t="n">
        <f aca="false">IF(W79=1,W$7-INPUTS!$R$94+1,0)</f>
        <v>0</v>
      </c>
      <c r="X80" s="108" t="n">
        <f aca="false">IF(X79=1,X$7-INPUTS!$R$94+1,0)</f>
        <v>0</v>
      </c>
      <c r="Y80" s="108" t="n">
        <f aca="false">IF(Y79=1,Y$7-INPUTS!$R$94+1,0)</f>
        <v>0</v>
      </c>
      <c r="Z80" s="108" t="n">
        <f aca="false">IF(Z79=1,Z$7-INPUTS!$R$94+1,0)</f>
        <v>0</v>
      </c>
      <c r="AA80" s="108" t="n">
        <f aca="false">IF(AA79=1,AA$7-INPUTS!$R$94+1,0)</f>
        <v>0</v>
      </c>
      <c r="AB80" s="108" t="n">
        <f aca="false">IF(AB79=1,AB$7-INPUTS!$R$94+1,0)</f>
        <v>0</v>
      </c>
      <c r="AC80" s="108" t="n">
        <f aca="false">IF(AC79=1,AC$7-INPUTS!$R$94+1,0)</f>
        <v>0</v>
      </c>
      <c r="AD80" s="108" t="n">
        <f aca="false">IF(AD79=1,AD$7-INPUTS!$R$94+1,0)</f>
        <v>0</v>
      </c>
      <c r="AE80" s="108" t="n">
        <f aca="false">IF(AE79=1,AE$7-INPUTS!$R$94+1,0)</f>
        <v>0</v>
      </c>
      <c r="AF80" s="108" t="n">
        <f aca="false">IF(AF79=1,AF$7-INPUTS!$R$94+1,0)</f>
        <v>0</v>
      </c>
      <c r="AG80" s="108" t="n">
        <f aca="false">IF(AG79=1,AG$7-INPUTS!$R$94+1,0)</f>
        <v>0</v>
      </c>
      <c r="AH80" s="108" t="n">
        <f aca="false">IF(AH79=1,AH$7-INPUTS!$R$94+1,0)</f>
        <v>0</v>
      </c>
      <c r="AI80" s="108" t="n">
        <f aca="false">IF(AI79=1,AI$7-INPUTS!$R$94+1,0)</f>
        <v>0</v>
      </c>
      <c r="AJ80" s="108" t="n">
        <f aca="false">IF(AJ79=1,AJ$7-INPUTS!$R$94+1,0)</f>
        <v>0</v>
      </c>
      <c r="AK80" s="108" t="n">
        <f aca="false">IF(AK79=1,AK$7-INPUTS!$R$94+1,0)</f>
        <v>0</v>
      </c>
      <c r="AL80" s="108" t="n">
        <f aca="false">IF(AL79=1,AL$7-INPUTS!$R$94+1,0)</f>
        <v>0</v>
      </c>
      <c r="AM80" s="108" t="n">
        <f aca="false">IF(AM79=1,AM$7-INPUTS!$R$94+1,0)</f>
        <v>0</v>
      </c>
      <c r="AN80" s="108" t="n">
        <f aca="false">IF(AN79=1,AN$7-INPUTS!$R$94+1,0)</f>
        <v>0</v>
      </c>
      <c r="AO80" s="108" t="n">
        <f aca="false">IF(AO79=1,AO$7-INPUTS!$R$94+1,0)</f>
        <v>0</v>
      </c>
      <c r="AP80" s="108" t="n">
        <f aca="false">IF(AP79=1,AP$7-INPUTS!$R$94+1,0)</f>
        <v>0</v>
      </c>
      <c r="AQ80" s="108" t="n">
        <f aca="false">IF(AQ79=1,AQ$7-INPUTS!$R$94+1,0)</f>
        <v>0</v>
      </c>
    </row>
    <row r="81" customFormat="false" ht="15" hidden="false" customHeight="false" outlineLevel="0" collapsed="false">
      <c r="B81" s="3" t="s">
        <v>646</v>
      </c>
      <c r="C81" s="107" t="n">
        <f aca="false">SUM(D81:AQ81)</f>
        <v>0</v>
      </c>
      <c r="D81" s="108" t="n">
        <f aca="false">IF(AND((INPUTS!$E$94="Yes"),D$16=1,D$7&gt;INPUTS!$S$94),1,0)</f>
        <v>0</v>
      </c>
      <c r="E81" s="108" t="n">
        <f aca="false">IF(AND((INPUTS!$E$94="Yes"),E$16=1,E$7&gt;INPUTS!$S$94),1,0)</f>
        <v>0</v>
      </c>
      <c r="F81" s="108" t="n">
        <f aca="false">IF(AND((INPUTS!$E$94="Yes"),F$16=1,F$7&gt;INPUTS!$S$94),1,0)</f>
        <v>0</v>
      </c>
      <c r="G81" s="108" t="n">
        <f aca="false">IF(AND((INPUTS!$E$94="Yes"),G$16=1,G$7&gt;INPUTS!$S$94),1,0)</f>
        <v>0</v>
      </c>
      <c r="H81" s="108" t="n">
        <f aca="false">IF(AND((INPUTS!$E$94="Yes"),H$16=1,H$7&gt;INPUTS!$S$94),1,0)</f>
        <v>0</v>
      </c>
      <c r="I81" s="108" t="n">
        <f aca="false">IF(AND((INPUTS!$E$94="Yes"),I$16=1,I$7&gt;INPUTS!$S$94),1,0)</f>
        <v>0</v>
      </c>
      <c r="J81" s="108" t="n">
        <f aca="false">IF(AND((INPUTS!$E$94="Yes"),J$16=1,J$7&gt;INPUTS!$S$94),1,0)</f>
        <v>0</v>
      </c>
      <c r="K81" s="108" t="n">
        <f aca="false">IF(AND((INPUTS!$E$94="Yes"),K$16=1,K$7&gt;INPUTS!$S$94),1,0)</f>
        <v>0</v>
      </c>
      <c r="L81" s="108" t="n">
        <f aca="false">IF(AND((INPUTS!$E$94="Yes"),L$16=1,L$7&gt;INPUTS!$S$94),1,0)</f>
        <v>0</v>
      </c>
      <c r="M81" s="108" t="n">
        <f aca="false">IF(AND((INPUTS!$E$94="Yes"),M$16=1,M$7&gt;INPUTS!$S$94),1,0)</f>
        <v>0</v>
      </c>
      <c r="N81" s="108" t="n">
        <f aca="false">IF(AND((INPUTS!$E$94="Yes"),N$16=1,N$7&gt;INPUTS!$S$94),1,0)</f>
        <v>0</v>
      </c>
      <c r="O81" s="108" t="n">
        <f aca="false">IF(AND((INPUTS!$E$94="Yes"),O$16=1,O$7&gt;INPUTS!$S$94),1,0)</f>
        <v>0</v>
      </c>
      <c r="P81" s="108" t="n">
        <f aca="false">IF(AND((INPUTS!$E$94="Yes"),P$16=1,P$7&gt;INPUTS!$S$94),1,0)</f>
        <v>0</v>
      </c>
      <c r="Q81" s="108" t="n">
        <f aca="false">IF(AND((INPUTS!$E$94="Yes"),Q$16=1,Q$7&gt;INPUTS!$S$94),1,0)</f>
        <v>0</v>
      </c>
      <c r="R81" s="108" t="n">
        <f aca="false">IF(AND((INPUTS!$E$94="Yes"),R$16=1,R$7&gt;INPUTS!$S$94),1,0)</f>
        <v>0</v>
      </c>
      <c r="S81" s="108" t="n">
        <f aca="false">IF(AND((INPUTS!$E$94="Yes"),S$16=1,S$7&gt;INPUTS!$S$94),1,0)</f>
        <v>0</v>
      </c>
      <c r="T81" s="108" t="n">
        <f aca="false">IF(AND((INPUTS!$E$94="Yes"),T$16=1,T$7&gt;INPUTS!$S$94),1,0)</f>
        <v>0</v>
      </c>
      <c r="U81" s="108" t="n">
        <f aca="false">IF(AND((INPUTS!$E$94="Yes"),U$16=1,U$7&gt;INPUTS!$S$94),1,0)</f>
        <v>0</v>
      </c>
      <c r="V81" s="108" t="n">
        <f aca="false">IF(AND((INPUTS!$E$94="Yes"),V$16=1,V$7&gt;INPUTS!$S$94),1,0)</f>
        <v>0</v>
      </c>
      <c r="W81" s="108" t="n">
        <f aca="false">IF(AND((INPUTS!$E$94="Yes"),W$16=1,W$7&gt;INPUTS!$S$94),1,0)</f>
        <v>0</v>
      </c>
      <c r="X81" s="108" t="n">
        <f aca="false">IF(AND((INPUTS!$E$94="Yes"),X$16=1,X$7&gt;INPUTS!$S$94),1,0)</f>
        <v>0</v>
      </c>
      <c r="Y81" s="108" t="n">
        <f aca="false">IF(AND((INPUTS!$E$94="Yes"),Y$16=1,Y$7&gt;INPUTS!$S$94),1,0)</f>
        <v>0</v>
      </c>
      <c r="Z81" s="108" t="n">
        <f aca="false">IF(AND((INPUTS!$E$94="Yes"),Z$16=1,Z$7&gt;INPUTS!$S$94),1,0)</f>
        <v>0</v>
      </c>
      <c r="AA81" s="108" t="n">
        <f aca="false">IF(AND((INPUTS!$E$94="Yes"),AA$16=1,AA$7&gt;INPUTS!$S$94),1,0)</f>
        <v>0</v>
      </c>
      <c r="AB81" s="108" t="n">
        <f aca="false">IF(AND((INPUTS!$E$94="Yes"),AB$16=1,AB$7&gt;INPUTS!$S$94),1,0)</f>
        <v>0</v>
      </c>
      <c r="AC81" s="108" t="n">
        <f aca="false">IF(AND((INPUTS!$E$94="Yes"),AC$16=1,AC$7&gt;INPUTS!$S$94),1,0)</f>
        <v>0</v>
      </c>
      <c r="AD81" s="108" t="n">
        <f aca="false">IF(AND((INPUTS!$E$94="Yes"),AD$16=1,AD$7&gt;INPUTS!$S$94),1,0)</f>
        <v>0</v>
      </c>
      <c r="AE81" s="108" t="n">
        <f aca="false">IF(AND((INPUTS!$E$94="Yes"),AE$16=1,AE$7&gt;INPUTS!$S$94),1,0)</f>
        <v>0</v>
      </c>
      <c r="AF81" s="108" t="n">
        <f aca="false">IF(AND((INPUTS!$E$94="Yes"),AF$16=1,AF$7&gt;INPUTS!$S$94),1,0)</f>
        <v>0</v>
      </c>
      <c r="AG81" s="108" t="n">
        <f aca="false">IF(AND((INPUTS!$E$94="Yes"),AG$16=1,AG$7&gt;INPUTS!$S$94),1,0)</f>
        <v>0</v>
      </c>
      <c r="AH81" s="108" t="n">
        <f aca="false">IF(AND((INPUTS!$E$94="Yes"),AH$16=1,AH$7&gt;INPUTS!$S$94),1,0)</f>
        <v>0</v>
      </c>
      <c r="AI81" s="108" t="n">
        <f aca="false">IF(AND((INPUTS!$E$94="Yes"),AI$16=1,AI$7&gt;INPUTS!$S$94),1,0)</f>
        <v>0</v>
      </c>
      <c r="AJ81" s="108" t="n">
        <f aca="false">IF(AND((INPUTS!$E$94="Yes"),AJ$16=1,AJ$7&gt;INPUTS!$S$94),1,0)</f>
        <v>0</v>
      </c>
      <c r="AK81" s="108" t="n">
        <f aca="false">IF(AND((INPUTS!$E$94="Yes"),AK$16=1,AK$7&gt;INPUTS!$S$94),1,0)</f>
        <v>0</v>
      </c>
      <c r="AL81" s="108" t="n">
        <f aca="false">IF(AND((INPUTS!$E$94="Yes"),AL$16=1,AL$7&gt;INPUTS!$S$94),1,0)</f>
        <v>0</v>
      </c>
      <c r="AM81" s="108" t="n">
        <f aca="false">IF(AND((INPUTS!$E$94="Yes"),AM$16=1,AM$7&gt;INPUTS!$S$94),1,0)</f>
        <v>0</v>
      </c>
      <c r="AN81" s="108" t="n">
        <f aca="false">IF(AND((INPUTS!$E$94="Yes"),AN$16=1,AN$7&gt;INPUTS!$S$94),1,0)</f>
        <v>0</v>
      </c>
      <c r="AO81" s="108" t="n">
        <f aca="false">IF(AND((INPUTS!$E$94="Yes"),AO$16=1,AO$7&gt;INPUTS!$S$94),1,0)</f>
        <v>0</v>
      </c>
      <c r="AP81" s="108" t="n">
        <f aca="false">IF(AND((INPUTS!$E$94="Yes"),AP$16=1,AP$7&gt;INPUTS!$S$94),1,0)</f>
        <v>0</v>
      </c>
      <c r="AQ81" s="108" t="n">
        <f aca="false">IF(AND((INPUTS!$E$94="Yes"),AQ$16=1,AQ$7&gt;INPUTS!$S$94),1,0)</f>
        <v>0</v>
      </c>
    </row>
    <row r="82" customFormat="false" ht="15" hidden="false" customHeight="false" outlineLevel="0" collapsed="false">
      <c r="B82" s="17" t="s">
        <v>647</v>
      </c>
      <c r="C82" s="105" t="str">
        <f aca="false">IF(INPUTS!$E$94&lt;&gt;"Yes","Off",IF(OR(NOT(ISNUMBER(INPUTS!$P$94)),NOT(ISNUMBER(INPUTS!$Q$94)),NOT(ISNUMBER(INPUTS!$R$94)),NOT(ISNUMBER(INPUTS!$S$94))),"ERROR",IF(AND(C77=INPUTS!$Q$94-INPUTS!$P$94+1,C79=INPUTS!$S$94-INPUTS!$R$94+1,C81=MAX(0,INPUTS!$C$24-INPUTS!$S$94)),"OK","ERROR")))</f>
        <v>Off</v>
      </c>
    </row>
    <row r="83" customFormat="false" ht="15" hidden="false" customHeight="false" outlineLevel="0" collapsed="false">
      <c r="B83" s="110" t="str">
        <f aca="false">IF(INPUTS!$E$95="Yes",INPUTS!$B$95,"Product row 8 (off)")</f>
        <v>Product row 8 (off)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</row>
    <row r="84" customFormat="false" ht="15" hidden="false" customHeight="false" outlineLevel="0" collapsed="false">
      <c r="B84" s="3" t="s">
        <v>642</v>
      </c>
      <c r="C84" s="107" t="n">
        <f aca="false">SUM(D84:AQ84)</f>
        <v>0</v>
      </c>
      <c r="D84" s="108" t="n">
        <f aca="false">IF(AND((INPUTS!$E$95="Yes"),D$16=1,D$7&gt;=INPUTS!$P$95,D$7&lt;=INPUTS!$Q$95),1,0)</f>
        <v>0</v>
      </c>
      <c r="E84" s="108" t="n">
        <f aca="false">IF(AND((INPUTS!$E$95="Yes"),E$16=1,E$7&gt;=INPUTS!$P$95,E$7&lt;=INPUTS!$Q$95),1,0)</f>
        <v>0</v>
      </c>
      <c r="F84" s="108" t="n">
        <f aca="false">IF(AND((INPUTS!$E$95="Yes"),F$16=1,F$7&gt;=INPUTS!$P$95,F$7&lt;=INPUTS!$Q$95),1,0)</f>
        <v>0</v>
      </c>
      <c r="G84" s="108" t="n">
        <f aca="false">IF(AND((INPUTS!$E$95="Yes"),G$16=1,G$7&gt;=INPUTS!$P$95,G$7&lt;=INPUTS!$Q$95),1,0)</f>
        <v>0</v>
      </c>
      <c r="H84" s="108" t="n">
        <f aca="false">IF(AND((INPUTS!$E$95="Yes"),H$16=1,H$7&gt;=INPUTS!$P$95,H$7&lt;=INPUTS!$Q$95),1,0)</f>
        <v>0</v>
      </c>
      <c r="I84" s="108" t="n">
        <f aca="false">IF(AND((INPUTS!$E$95="Yes"),I$16=1,I$7&gt;=INPUTS!$P$95,I$7&lt;=INPUTS!$Q$95),1,0)</f>
        <v>0</v>
      </c>
      <c r="J84" s="108" t="n">
        <f aca="false">IF(AND((INPUTS!$E$95="Yes"),J$16=1,J$7&gt;=INPUTS!$P$95,J$7&lt;=INPUTS!$Q$95),1,0)</f>
        <v>0</v>
      </c>
      <c r="K84" s="108" t="n">
        <f aca="false">IF(AND((INPUTS!$E$95="Yes"),K$16=1,K$7&gt;=INPUTS!$P$95,K$7&lt;=INPUTS!$Q$95),1,0)</f>
        <v>0</v>
      </c>
      <c r="L84" s="108" t="n">
        <f aca="false">IF(AND((INPUTS!$E$95="Yes"),L$16=1,L$7&gt;=INPUTS!$P$95,L$7&lt;=INPUTS!$Q$95),1,0)</f>
        <v>0</v>
      </c>
      <c r="M84" s="108" t="n">
        <f aca="false">IF(AND((INPUTS!$E$95="Yes"),M$16=1,M$7&gt;=INPUTS!$P$95,M$7&lt;=INPUTS!$Q$95),1,0)</f>
        <v>0</v>
      </c>
      <c r="N84" s="108" t="n">
        <f aca="false">IF(AND((INPUTS!$E$95="Yes"),N$16=1,N$7&gt;=INPUTS!$P$95,N$7&lt;=INPUTS!$Q$95),1,0)</f>
        <v>0</v>
      </c>
      <c r="O84" s="108" t="n">
        <f aca="false">IF(AND((INPUTS!$E$95="Yes"),O$16=1,O$7&gt;=INPUTS!$P$95,O$7&lt;=INPUTS!$Q$95),1,0)</f>
        <v>0</v>
      </c>
      <c r="P84" s="108" t="n">
        <f aca="false">IF(AND((INPUTS!$E$95="Yes"),P$16=1,P$7&gt;=INPUTS!$P$95,P$7&lt;=INPUTS!$Q$95),1,0)</f>
        <v>0</v>
      </c>
      <c r="Q84" s="108" t="n">
        <f aca="false">IF(AND((INPUTS!$E$95="Yes"),Q$16=1,Q$7&gt;=INPUTS!$P$95,Q$7&lt;=INPUTS!$Q$95),1,0)</f>
        <v>0</v>
      </c>
      <c r="R84" s="108" t="n">
        <f aca="false">IF(AND((INPUTS!$E$95="Yes"),R$16=1,R$7&gt;=INPUTS!$P$95,R$7&lt;=INPUTS!$Q$95),1,0)</f>
        <v>0</v>
      </c>
      <c r="S84" s="108" t="n">
        <f aca="false">IF(AND((INPUTS!$E$95="Yes"),S$16=1,S$7&gt;=INPUTS!$P$95,S$7&lt;=INPUTS!$Q$95),1,0)</f>
        <v>0</v>
      </c>
      <c r="T84" s="108" t="n">
        <f aca="false">IF(AND((INPUTS!$E$95="Yes"),T$16=1,T$7&gt;=INPUTS!$P$95,T$7&lt;=INPUTS!$Q$95),1,0)</f>
        <v>0</v>
      </c>
      <c r="U84" s="108" t="n">
        <f aca="false">IF(AND((INPUTS!$E$95="Yes"),U$16=1,U$7&gt;=INPUTS!$P$95,U$7&lt;=INPUTS!$Q$95),1,0)</f>
        <v>0</v>
      </c>
      <c r="V84" s="108" t="n">
        <f aca="false">IF(AND((INPUTS!$E$95="Yes"),V$16=1,V$7&gt;=INPUTS!$P$95,V$7&lt;=INPUTS!$Q$95),1,0)</f>
        <v>0</v>
      </c>
      <c r="W84" s="108" t="n">
        <f aca="false">IF(AND((INPUTS!$E$95="Yes"),W$16=1,W$7&gt;=INPUTS!$P$95,W$7&lt;=INPUTS!$Q$95),1,0)</f>
        <v>0</v>
      </c>
      <c r="X84" s="108" t="n">
        <f aca="false">IF(AND((INPUTS!$E$95="Yes"),X$16=1,X$7&gt;=INPUTS!$P$95,X$7&lt;=INPUTS!$Q$95),1,0)</f>
        <v>0</v>
      </c>
      <c r="Y84" s="108" t="n">
        <f aca="false">IF(AND((INPUTS!$E$95="Yes"),Y$16=1,Y$7&gt;=INPUTS!$P$95,Y$7&lt;=INPUTS!$Q$95),1,0)</f>
        <v>0</v>
      </c>
      <c r="Z84" s="108" t="n">
        <f aca="false">IF(AND((INPUTS!$E$95="Yes"),Z$16=1,Z$7&gt;=INPUTS!$P$95,Z$7&lt;=INPUTS!$Q$95),1,0)</f>
        <v>0</v>
      </c>
      <c r="AA84" s="108" t="n">
        <f aca="false">IF(AND((INPUTS!$E$95="Yes"),AA$16=1,AA$7&gt;=INPUTS!$P$95,AA$7&lt;=INPUTS!$Q$95),1,0)</f>
        <v>0</v>
      </c>
      <c r="AB84" s="108" t="n">
        <f aca="false">IF(AND((INPUTS!$E$95="Yes"),AB$16=1,AB$7&gt;=INPUTS!$P$95,AB$7&lt;=INPUTS!$Q$95),1,0)</f>
        <v>0</v>
      </c>
      <c r="AC84" s="108" t="n">
        <f aca="false">IF(AND((INPUTS!$E$95="Yes"),AC$16=1,AC$7&gt;=INPUTS!$P$95,AC$7&lt;=INPUTS!$Q$95),1,0)</f>
        <v>0</v>
      </c>
      <c r="AD84" s="108" t="n">
        <f aca="false">IF(AND((INPUTS!$E$95="Yes"),AD$16=1,AD$7&gt;=INPUTS!$P$95,AD$7&lt;=INPUTS!$Q$95),1,0)</f>
        <v>0</v>
      </c>
      <c r="AE84" s="108" t="n">
        <f aca="false">IF(AND((INPUTS!$E$95="Yes"),AE$16=1,AE$7&gt;=INPUTS!$P$95,AE$7&lt;=INPUTS!$Q$95),1,0)</f>
        <v>0</v>
      </c>
      <c r="AF84" s="108" t="n">
        <f aca="false">IF(AND((INPUTS!$E$95="Yes"),AF$16=1,AF$7&gt;=INPUTS!$P$95,AF$7&lt;=INPUTS!$Q$95),1,0)</f>
        <v>0</v>
      </c>
      <c r="AG84" s="108" t="n">
        <f aca="false">IF(AND((INPUTS!$E$95="Yes"),AG$16=1,AG$7&gt;=INPUTS!$P$95,AG$7&lt;=INPUTS!$Q$95),1,0)</f>
        <v>0</v>
      </c>
      <c r="AH84" s="108" t="n">
        <f aca="false">IF(AND((INPUTS!$E$95="Yes"),AH$16=1,AH$7&gt;=INPUTS!$P$95,AH$7&lt;=INPUTS!$Q$95),1,0)</f>
        <v>0</v>
      </c>
      <c r="AI84" s="108" t="n">
        <f aca="false">IF(AND((INPUTS!$E$95="Yes"),AI$16=1,AI$7&gt;=INPUTS!$P$95,AI$7&lt;=INPUTS!$Q$95),1,0)</f>
        <v>0</v>
      </c>
      <c r="AJ84" s="108" t="n">
        <f aca="false">IF(AND((INPUTS!$E$95="Yes"),AJ$16=1,AJ$7&gt;=INPUTS!$P$95,AJ$7&lt;=INPUTS!$Q$95),1,0)</f>
        <v>0</v>
      </c>
      <c r="AK84" s="108" t="n">
        <f aca="false">IF(AND((INPUTS!$E$95="Yes"),AK$16=1,AK$7&gt;=INPUTS!$P$95,AK$7&lt;=INPUTS!$Q$95),1,0)</f>
        <v>0</v>
      </c>
      <c r="AL84" s="108" t="n">
        <f aca="false">IF(AND((INPUTS!$E$95="Yes"),AL$16=1,AL$7&gt;=INPUTS!$P$95,AL$7&lt;=INPUTS!$Q$95),1,0)</f>
        <v>0</v>
      </c>
      <c r="AM84" s="108" t="n">
        <f aca="false">IF(AND((INPUTS!$E$95="Yes"),AM$16=1,AM$7&gt;=INPUTS!$P$95,AM$7&lt;=INPUTS!$Q$95),1,0)</f>
        <v>0</v>
      </c>
      <c r="AN84" s="108" t="n">
        <f aca="false">IF(AND((INPUTS!$E$95="Yes"),AN$16=1,AN$7&gt;=INPUTS!$P$95,AN$7&lt;=INPUTS!$Q$95),1,0)</f>
        <v>0</v>
      </c>
      <c r="AO84" s="108" t="n">
        <f aca="false">IF(AND((INPUTS!$E$95="Yes"),AO$16=1,AO$7&gt;=INPUTS!$P$95,AO$7&lt;=INPUTS!$Q$95),1,0)</f>
        <v>0</v>
      </c>
      <c r="AP84" s="108" t="n">
        <f aca="false">IF(AND((INPUTS!$E$95="Yes"),AP$16=1,AP$7&gt;=INPUTS!$P$95,AP$7&lt;=INPUTS!$Q$95),1,0)</f>
        <v>0</v>
      </c>
      <c r="AQ84" s="108" t="n">
        <f aca="false">IF(AND((INPUTS!$E$95="Yes"),AQ$16=1,AQ$7&gt;=INPUTS!$P$95,AQ$7&lt;=INPUTS!$Q$95),1,0)</f>
        <v>0</v>
      </c>
    </row>
    <row r="85" customFormat="false" ht="15" hidden="false" customHeight="false" outlineLevel="0" collapsed="false">
      <c r="B85" s="3" t="s">
        <v>643</v>
      </c>
      <c r="C85" s="107" t="n">
        <f aca="false">MAX(D85:AQ85)</f>
        <v>0</v>
      </c>
      <c r="D85" s="108" t="n">
        <f aca="false">IF(D84=1,D$7-INPUTS!$P$95+1,0)</f>
        <v>0</v>
      </c>
      <c r="E85" s="108" t="n">
        <f aca="false">IF(E84=1,E$7-INPUTS!$P$95+1,0)</f>
        <v>0</v>
      </c>
      <c r="F85" s="108" t="n">
        <f aca="false">IF(F84=1,F$7-INPUTS!$P$95+1,0)</f>
        <v>0</v>
      </c>
      <c r="G85" s="108" t="n">
        <f aca="false">IF(G84=1,G$7-INPUTS!$P$95+1,0)</f>
        <v>0</v>
      </c>
      <c r="H85" s="108" t="n">
        <f aca="false">IF(H84=1,H$7-INPUTS!$P$95+1,0)</f>
        <v>0</v>
      </c>
      <c r="I85" s="108" t="n">
        <f aca="false">IF(I84=1,I$7-INPUTS!$P$95+1,0)</f>
        <v>0</v>
      </c>
      <c r="J85" s="108" t="n">
        <f aca="false">IF(J84=1,J$7-INPUTS!$P$95+1,0)</f>
        <v>0</v>
      </c>
      <c r="K85" s="108" t="n">
        <f aca="false">IF(K84=1,K$7-INPUTS!$P$95+1,0)</f>
        <v>0</v>
      </c>
      <c r="L85" s="108" t="n">
        <f aca="false">IF(L84=1,L$7-INPUTS!$P$95+1,0)</f>
        <v>0</v>
      </c>
      <c r="M85" s="108" t="n">
        <f aca="false">IF(M84=1,M$7-INPUTS!$P$95+1,0)</f>
        <v>0</v>
      </c>
      <c r="N85" s="108" t="n">
        <f aca="false">IF(N84=1,N$7-INPUTS!$P$95+1,0)</f>
        <v>0</v>
      </c>
      <c r="O85" s="108" t="n">
        <f aca="false">IF(O84=1,O$7-INPUTS!$P$95+1,0)</f>
        <v>0</v>
      </c>
      <c r="P85" s="108" t="n">
        <f aca="false">IF(P84=1,P$7-INPUTS!$P$95+1,0)</f>
        <v>0</v>
      </c>
      <c r="Q85" s="108" t="n">
        <f aca="false">IF(Q84=1,Q$7-INPUTS!$P$95+1,0)</f>
        <v>0</v>
      </c>
      <c r="R85" s="108" t="n">
        <f aca="false">IF(R84=1,R$7-INPUTS!$P$95+1,0)</f>
        <v>0</v>
      </c>
      <c r="S85" s="108" t="n">
        <f aca="false">IF(S84=1,S$7-INPUTS!$P$95+1,0)</f>
        <v>0</v>
      </c>
      <c r="T85" s="108" t="n">
        <f aca="false">IF(T84=1,T$7-INPUTS!$P$95+1,0)</f>
        <v>0</v>
      </c>
      <c r="U85" s="108" t="n">
        <f aca="false">IF(U84=1,U$7-INPUTS!$P$95+1,0)</f>
        <v>0</v>
      </c>
      <c r="V85" s="108" t="n">
        <f aca="false">IF(V84=1,V$7-INPUTS!$P$95+1,0)</f>
        <v>0</v>
      </c>
      <c r="W85" s="108" t="n">
        <f aca="false">IF(W84=1,W$7-INPUTS!$P$95+1,0)</f>
        <v>0</v>
      </c>
      <c r="X85" s="108" t="n">
        <f aca="false">IF(X84=1,X$7-INPUTS!$P$95+1,0)</f>
        <v>0</v>
      </c>
      <c r="Y85" s="108" t="n">
        <f aca="false">IF(Y84=1,Y$7-INPUTS!$P$95+1,0)</f>
        <v>0</v>
      </c>
      <c r="Z85" s="108" t="n">
        <f aca="false">IF(Z84=1,Z$7-INPUTS!$P$95+1,0)</f>
        <v>0</v>
      </c>
      <c r="AA85" s="108" t="n">
        <f aca="false">IF(AA84=1,AA$7-INPUTS!$P$95+1,0)</f>
        <v>0</v>
      </c>
      <c r="AB85" s="108" t="n">
        <f aca="false">IF(AB84=1,AB$7-INPUTS!$P$95+1,0)</f>
        <v>0</v>
      </c>
      <c r="AC85" s="108" t="n">
        <f aca="false">IF(AC84=1,AC$7-INPUTS!$P$95+1,0)</f>
        <v>0</v>
      </c>
      <c r="AD85" s="108" t="n">
        <f aca="false">IF(AD84=1,AD$7-INPUTS!$P$95+1,0)</f>
        <v>0</v>
      </c>
      <c r="AE85" s="108" t="n">
        <f aca="false">IF(AE84=1,AE$7-INPUTS!$P$95+1,0)</f>
        <v>0</v>
      </c>
      <c r="AF85" s="108" t="n">
        <f aca="false">IF(AF84=1,AF$7-INPUTS!$P$95+1,0)</f>
        <v>0</v>
      </c>
      <c r="AG85" s="108" t="n">
        <f aca="false">IF(AG84=1,AG$7-INPUTS!$P$95+1,0)</f>
        <v>0</v>
      </c>
      <c r="AH85" s="108" t="n">
        <f aca="false">IF(AH84=1,AH$7-INPUTS!$P$95+1,0)</f>
        <v>0</v>
      </c>
      <c r="AI85" s="108" t="n">
        <f aca="false">IF(AI84=1,AI$7-INPUTS!$P$95+1,0)</f>
        <v>0</v>
      </c>
      <c r="AJ85" s="108" t="n">
        <f aca="false">IF(AJ84=1,AJ$7-INPUTS!$P$95+1,0)</f>
        <v>0</v>
      </c>
      <c r="AK85" s="108" t="n">
        <f aca="false">IF(AK84=1,AK$7-INPUTS!$P$95+1,0)</f>
        <v>0</v>
      </c>
      <c r="AL85" s="108" t="n">
        <f aca="false">IF(AL84=1,AL$7-INPUTS!$P$95+1,0)</f>
        <v>0</v>
      </c>
      <c r="AM85" s="108" t="n">
        <f aca="false">IF(AM84=1,AM$7-INPUTS!$P$95+1,0)</f>
        <v>0</v>
      </c>
      <c r="AN85" s="108" t="n">
        <f aca="false">IF(AN84=1,AN$7-INPUTS!$P$95+1,0)</f>
        <v>0</v>
      </c>
      <c r="AO85" s="108" t="n">
        <f aca="false">IF(AO84=1,AO$7-INPUTS!$P$95+1,0)</f>
        <v>0</v>
      </c>
      <c r="AP85" s="108" t="n">
        <f aca="false">IF(AP84=1,AP$7-INPUTS!$P$95+1,0)</f>
        <v>0</v>
      </c>
      <c r="AQ85" s="108" t="n">
        <f aca="false">IF(AQ84=1,AQ$7-INPUTS!$P$95+1,0)</f>
        <v>0</v>
      </c>
    </row>
    <row r="86" customFormat="false" ht="15" hidden="false" customHeight="false" outlineLevel="0" collapsed="false">
      <c r="B86" s="3" t="s">
        <v>644</v>
      </c>
      <c r="C86" s="107" t="n">
        <f aca="false">SUM(D86:AQ86)</f>
        <v>0</v>
      </c>
      <c r="D86" s="108" t="n">
        <f aca="false">IF(AND((INPUTS!$E$95="Yes"),D$16=1,D$7&gt;=INPUTS!$R$95,D$7&lt;=INPUTS!$S$95),1,0)</f>
        <v>0</v>
      </c>
      <c r="E86" s="108" t="n">
        <f aca="false">IF(AND((INPUTS!$E$95="Yes"),E$16=1,E$7&gt;=INPUTS!$R$95,E$7&lt;=INPUTS!$S$95),1,0)</f>
        <v>0</v>
      </c>
      <c r="F86" s="108" t="n">
        <f aca="false">IF(AND((INPUTS!$E$95="Yes"),F$16=1,F$7&gt;=INPUTS!$R$95,F$7&lt;=INPUTS!$S$95),1,0)</f>
        <v>0</v>
      </c>
      <c r="G86" s="108" t="n">
        <f aca="false">IF(AND((INPUTS!$E$95="Yes"),G$16=1,G$7&gt;=INPUTS!$R$95,G$7&lt;=INPUTS!$S$95),1,0)</f>
        <v>0</v>
      </c>
      <c r="H86" s="108" t="n">
        <f aca="false">IF(AND((INPUTS!$E$95="Yes"),H$16=1,H$7&gt;=INPUTS!$R$95,H$7&lt;=INPUTS!$S$95),1,0)</f>
        <v>0</v>
      </c>
      <c r="I86" s="108" t="n">
        <f aca="false">IF(AND((INPUTS!$E$95="Yes"),I$16=1,I$7&gt;=INPUTS!$R$95,I$7&lt;=INPUTS!$S$95),1,0)</f>
        <v>0</v>
      </c>
      <c r="J86" s="108" t="n">
        <f aca="false">IF(AND((INPUTS!$E$95="Yes"),J$16=1,J$7&gt;=INPUTS!$R$95,J$7&lt;=INPUTS!$S$95),1,0)</f>
        <v>0</v>
      </c>
      <c r="K86" s="108" t="n">
        <f aca="false">IF(AND((INPUTS!$E$95="Yes"),K$16=1,K$7&gt;=INPUTS!$R$95,K$7&lt;=INPUTS!$S$95),1,0)</f>
        <v>0</v>
      </c>
      <c r="L86" s="108" t="n">
        <f aca="false">IF(AND((INPUTS!$E$95="Yes"),L$16=1,L$7&gt;=INPUTS!$R$95,L$7&lt;=INPUTS!$S$95),1,0)</f>
        <v>0</v>
      </c>
      <c r="M86" s="108" t="n">
        <f aca="false">IF(AND((INPUTS!$E$95="Yes"),M$16=1,M$7&gt;=INPUTS!$R$95,M$7&lt;=INPUTS!$S$95),1,0)</f>
        <v>0</v>
      </c>
      <c r="N86" s="108" t="n">
        <f aca="false">IF(AND((INPUTS!$E$95="Yes"),N$16=1,N$7&gt;=INPUTS!$R$95,N$7&lt;=INPUTS!$S$95),1,0)</f>
        <v>0</v>
      </c>
      <c r="O86" s="108" t="n">
        <f aca="false">IF(AND((INPUTS!$E$95="Yes"),O$16=1,O$7&gt;=INPUTS!$R$95,O$7&lt;=INPUTS!$S$95),1,0)</f>
        <v>0</v>
      </c>
      <c r="P86" s="108" t="n">
        <f aca="false">IF(AND((INPUTS!$E$95="Yes"),P$16=1,P$7&gt;=INPUTS!$R$95,P$7&lt;=INPUTS!$S$95),1,0)</f>
        <v>0</v>
      </c>
      <c r="Q86" s="108" t="n">
        <f aca="false">IF(AND((INPUTS!$E$95="Yes"),Q$16=1,Q$7&gt;=INPUTS!$R$95,Q$7&lt;=INPUTS!$S$95),1,0)</f>
        <v>0</v>
      </c>
      <c r="R86" s="108" t="n">
        <f aca="false">IF(AND((INPUTS!$E$95="Yes"),R$16=1,R$7&gt;=INPUTS!$R$95,R$7&lt;=INPUTS!$S$95),1,0)</f>
        <v>0</v>
      </c>
      <c r="S86" s="108" t="n">
        <f aca="false">IF(AND((INPUTS!$E$95="Yes"),S$16=1,S$7&gt;=INPUTS!$R$95,S$7&lt;=INPUTS!$S$95),1,0)</f>
        <v>0</v>
      </c>
      <c r="T86" s="108" t="n">
        <f aca="false">IF(AND((INPUTS!$E$95="Yes"),T$16=1,T$7&gt;=INPUTS!$R$95,T$7&lt;=INPUTS!$S$95),1,0)</f>
        <v>0</v>
      </c>
      <c r="U86" s="108" t="n">
        <f aca="false">IF(AND((INPUTS!$E$95="Yes"),U$16=1,U$7&gt;=INPUTS!$R$95,U$7&lt;=INPUTS!$S$95),1,0)</f>
        <v>0</v>
      </c>
      <c r="V86" s="108" t="n">
        <f aca="false">IF(AND((INPUTS!$E$95="Yes"),V$16=1,V$7&gt;=INPUTS!$R$95,V$7&lt;=INPUTS!$S$95),1,0)</f>
        <v>0</v>
      </c>
      <c r="W86" s="108" t="n">
        <f aca="false">IF(AND((INPUTS!$E$95="Yes"),W$16=1,W$7&gt;=INPUTS!$R$95,W$7&lt;=INPUTS!$S$95),1,0)</f>
        <v>0</v>
      </c>
      <c r="X86" s="108" t="n">
        <f aca="false">IF(AND((INPUTS!$E$95="Yes"),X$16=1,X$7&gt;=INPUTS!$R$95,X$7&lt;=INPUTS!$S$95),1,0)</f>
        <v>0</v>
      </c>
      <c r="Y86" s="108" t="n">
        <f aca="false">IF(AND((INPUTS!$E$95="Yes"),Y$16=1,Y$7&gt;=INPUTS!$R$95,Y$7&lt;=INPUTS!$S$95),1,0)</f>
        <v>0</v>
      </c>
      <c r="Z86" s="108" t="n">
        <f aca="false">IF(AND((INPUTS!$E$95="Yes"),Z$16=1,Z$7&gt;=INPUTS!$R$95,Z$7&lt;=INPUTS!$S$95),1,0)</f>
        <v>0</v>
      </c>
      <c r="AA86" s="108" t="n">
        <f aca="false">IF(AND((INPUTS!$E$95="Yes"),AA$16=1,AA$7&gt;=INPUTS!$R$95,AA$7&lt;=INPUTS!$S$95),1,0)</f>
        <v>0</v>
      </c>
      <c r="AB86" s="108" t="n">
        <f aca="false">IF(AND((INPUTS!$E$95="Yes"),AB$16=1,AB$7&gt;=INPUTS!$R$95,AB$7&lt;=INPUTS!$S$95),1,0)</f>
        <v>0</v>
      </c>
      <c r="AC86" s="108" t="n">
        <f aca="false">IF(AND((INPUTS!$E$95="Yes"),AC$16=1,AC$7&gt;=INPUTS!$R$95,AC$7&lt;=INPUTS!$S$95),1,0)</f>
        <v>0</v>
      </c>
      <c r="AD86" s="108" t="n">
        <f aca="false">IF(AND((INPUTS!$E$95="Yes"),AD$16=1,AD$7&gt;=INPUTS!$R$95,AD$7&lt;=INPUTS!$S$95),1,0)</f>
        <v>0</v>
      </c>
      <c r="AE86" s="108" t="n">
        <f aca="false">IF(AND((INPUTS!$E$95="Yes"),AE$16=1,AE$7&gt;=INPUTS!$R$95,AE$7&lt;=INPUTS!$S$95),1,0)</f>
        <v>0</v>
      </c>
      <c r="AF86" s="108" t="n">
        <f aca="false">IF(AND((INPUTS!$E$95="Yes"),AF$16=1,AF$7&gt;=INPUTS!$R$95,AF$7&lt;=INPUTS!$S$95),1,0)</f>
        <v>0</v>
      </c>
      <c r="AG86" s="108" t="n">
        <f aca="false">IF(AND((INPUTS!$E$95="Yes"),AG$16=1,AG$7&gt;=INPUTS!$R$95,AG$7&lt;=INPUTS!$S$95),1,0)</f>
        <v>0</v>
      </c>
      <c r="AH86" s="108" t="n">
        <f aca="false">IF(AND((INPUTS!$E$95="Yes"),AH$16=1,AH$7&gt;=INPUTS!$R$95,AH$7&lt;=INPUTS!$S$95),1,0)</f>
        <v>0</v>
      </c>
      <c r="AI86" s="108" t="n">
        <f aca="false">IF(AND((INPUTS!$E$95="Yes"),AI$16=1,AI$7&gt;=INPUTS!$R$95,AI$7&lt;=INPUTS!$S$95),1,0)</f>
        <v>0</v>
      </c>
      <c r="AJ86" s="108" t="n">
        <f aca="false">IF(AND((INPUTS!$E$95="Yes"),AJ$16=1,AJ$7&gt;=INPUTS!$R$95,AJ$7&lt;=INPUTS!$S$95),1,0)</f>
        <v>0</v>
      </c>
      <c r="AK86" s="108" t="n">
        <f aca="false">IF(AND((INPUTS!$E$95="Yes"),AK$16=1,AK$7&gt;=INPUTS!$R$95,AK$7&lt;=INPUTS!$S$95),1,0)</f>
        <v>0</v>
      </c>
      <c r="AL86" s="108" t="n">
        <f aca="false">IF(AND((INPUTS!$E$95="Yes"),AL$16=1,AL$7&gt;=INPUTS!$R$95,AL$7&lt;=INPUTS!$S$95),1,0)</f>
        <v>0</v>
      </c>
      <c r="AM86" s="108" t="n">
        <f aca="false">IF(AND((INPUTS!$E$95="Yes"),AM$16=1,AM$7&gt;=INPUTS!$R$95,AM$7&lt;=INPUTS!$S$95),1,0)</f>
        <v>0</v>
      </c>
      <c r="AN86" s="108" t="n">
        <f aca="false">IF(AND((INPUTS!$E$95="Yes"),AN$16=1,AN$7&gt;=INPUTS!$R$95,AN$7&lt;=INPUTS!$S$95),1,0)</f>
        <v>0</v>
      </c>
      <c r="AO86" s="108" t="n">
        <f aca="false">IF(AND((INPUTS!$E$95="Yes"),AO$16=1,AO$7&gt;=INPUTS!$R$95,AO$7&lt;=INPUTS!$S$95),1,0)</f>
        <v>0</v>
      </c>
      <c r="AP86" s="108" t="n">
        <f aca="false">IF(AND((INPUTS!$E$95="Yes"),AP$16=1,AP$7&gt;=INPUTS!$R$95,AP$7&lt;=INPUTS!$S$95),1,0)</f>
        <v>0</v>
      </c>
      <c r="AQ86" s="108" t="n">
        <f aca="false">IF(AND((INPUTS!$E$95="Yes"),AQ$16=1,AQ$7&gt;=INPUTS!$R$95,AQ$7&lt;=INPUTS!$S$95),1,0)</f>
        <v>0</v>
      </c>
    </row>
    <row r="87" customFormat="false" ht="15" hidden="false" customHeight="false" outlineLevel="0" collapsed="false">
      <c r="B87" s="3" t="s">
        <v>645</v>
      </c>
      <c r="C87" s="107" t="n">
        <f aca="false">MAX(D87:AQ87)</f>
        <v>0</v>
      </c>
      <c r="D87" s="108" t="n">
        <f aca="false">IF(D86=1,D$7-INPUTS!$R$95+1,0)</f>
        <v>0</v>
      </c>
      <c r="E87" s="108" t="n">
        <f aca="false">IF(E86=1,E$7-INPUTS!$R$95+1,0)</f>
        <v>0</v>
      </c>
      <c r="F87" s="108" t="n">
        <f aca="false">IF(F86=1,F$7-INPUTS!$R$95+1,0)</f>
        <v>0</v>
      </c>
      <c r="G87" s="108" t="n">
        <f aca="false">IF(G86=1,G$7-INPUTS!$R$95+1,0)</f>
        <v>0</v>
      </c>
      <c r="H87" s="108" t="n">
        <f aca="false">IF(H86=1,H$7-INPUTS!$R$95+1,0)</f>
        <v>0</v>
      </c>
      <c r="I87" s="108" t="n">
        <f aca="false">IF(I86=1,I$7-INPUTS!$R$95+1,0)</f>
        <v>0</v>
      </c>
      <c r="J87" s="108" t="n">
        <f aca="false">IF(J86=1,J$7-INPUTS!$R$95+1,0)</f>
        <v>0</v>
      </c>
      <c r="K87" s="108" t="n">
        <f aca="false">IF(K86=1,K$7-INPUTS!$R$95+1,0)</f>
        <v>0</v>
      </c>
      <c r="L87" s="108" t="n">
        <f aca="false">IF(L86=1,L$7-INPUTS!$R$95+1,0)</f>
        <v>0</v>
      </c>
      <c r="M87" s="108" t="n">
        <f aca="false">IF(M86=1,M$7-INPUTS!$R$95+1,0)</f>
        <v>0</v>
      </c>
      <c r="N87" s="108" t="n">
        <f aca="false">IF(N86=1,N$7-INPUTS!$R$95+1,0)</f>
        <v>0</v>
      </c>
      <c r="O87" s="108" t="n">
        <f aca="false">IF(O86=1,O$7-INPUTS!$R$95+1,0)</f>
        <v>0</v>
      </c>
      <c r="P87" s="108" t="n">
        <f aca="false">IF(P86=1,P$7-INPUTS!$R$95+1,0)</f>
        <v>0</v>
      </c>
      <c r="Q87" s="108" t="n">
        <f aca="false">IF(Q86=1,Q$7-INPUTS!$R$95+1,0)</f>
        <v>0</v>
      </c>
      <c r="R87" s="108" t="n">
        <f aca="false">IF(R86=1,R$7-INPUTS!$R$95+1,0)</f>
        <v>0</v>
      </c>
      <c r="S87" s="108" t="n">
        <f aca="false">IF(S86=1,S$7-INPUTS!$R$95+1,0)</f>
        <v>0</v>
      </c>
      <c r="T87" s="108" t="n">
        <f aca="false">IF(T86=1,T$7-INPUTS!$R$95+1,0)</f>
        <v>0</v>
      </c>
      <c r="U87" s="108" t="n">
        <f aca="false">IF(U86=1,U$7-INPUTS!$R$95+1,0)</f>
        <v>0</v>
      </c>
      <c r="V87" s="108" t="n">
        <f aca="false">IF(V86=1,V$7-INPUTS!$R$95+1,0)</f>
        <v>0</v>
      </c>
      <c r="W87" s="108" t="n">
        <f aca="false">IF(W86=1,W$7-INPUTS!$R$95+1,0)</f>
        <v>0</v>
      </c>
      <c r="X87" s="108" t="n">
        <f aca="false">IF(X86=1,X$7-INPUTS!$R$95+1,0)</f>
        <v>0</v>
      </c>
      <c r="Y87" s="108" t="n">
        <f aca="false">IF(Y86=1,Y$7-INPUTS!$R$95+1,0)</f>
        <v>0</v>
      </c>
      <c r="Z87" s="108" t="n">
        <f aca="false">IF(Z86=1,Z$7-INPUTS!$R$95+1,0)</f>
        <v>0</v>
      </c>
      <c r="AA87" s="108" t="n">
        <f aca="false">IF(AA86=1,AA$7-INPUTS!$R$95+1,0)</f>
        <v>0</v>
      </c>
      <c r="AB87" s="108" t="n">
        <f aca="false">IF(AB86=1,AB$7-INPUTS!$R$95+1,0)</f>
        <v>0</v>
      </c>
      <c r="AC87" s="108" t="n">
        <f aca="false">IF(AC86=1,AC$7-INPUTS!$R$95+1,0)</f>
        <v>0</v>
      </c>
      <c r="AD87" s="108" t="n">
        <f aca="false">IF(AD86=1,AD$7-INPUTS!$R$95+1,0)</f>
        <v>0</v>
      </c>
      <c r="AE87" s="108" t="n">
        <f aca="false">IF(AE86=1,AE$7-INPUTS!$R$95+1,0)</f>
        <v>0</v>
      </c>
      <c r="AF87" s="108" t="n">
        <f aca="false">IF(AF86=1,AF$7-INPUTS!$R$95+1,0)</f>
        <v>0</v>
      </c>
      <c r="AG87" s="108" t="n">
        <f aca="false">IF(AG86=1,AG$7-INPUTS!$R$95+1,0)</f>
        <v>0</v>
      </c>
      <c r="AH87" s="108" t="n">
        <f aca="false">IF(AH86=1,AH$7-INPUTS!$R$95+1,0)</f>
        <v>0</v>
      </c>
      <c r="AI87" s="108" t="n">
        <f aca="false">IF(AI86=1,AI$7-INPUTS!$R$95+1,0)</f>
        <v>0</v>
      </c>
      <c r="AJ87" s="108" t="n">
        <f aca="false">IF(AJ86=1,AJ$7-INPUTS!$R$95+1,0)</f>
        <v>0</v>
      </c>
      <c r="AK87" s="108" t="n">
        <f aca="false">IF(AK86=1,AK$7-INPUTS!$R$95+1,0)</f>
        <v>0</v>
      </c>
      <c r="AL87" s="108" t="n">
        <f aca="false">IF(AL86=1,AL$7-INPUTS!$R$95+1,0)</f>
        <v>0</v>
      </c>
      <c r="AM87" s="108" t="n">
        <f aca="false">IF(AM86=1,AM$7-INPUTS!$R$95+1,0)</f>
        <v>0</v>
      </c>
      <c r="AN87" s="108" t="n">
        <f aca="false">IF(AN86=1,AN$7-INPUTS!$R$95+1,0)</f>
        <v>0</v>
      </c>
      <c r="AO87" s="108" t="n">
        <f aca="false">IF(AO86=1,AO$7-INPUTS!$R$95+1,0)</f>
        <v>0</v>
      </c>
      <c r="AP87" s="108" t="n">
        <f aca="false">IF(AP86=1,AP$7-INPUTS!$R$95+1,0)</f>
        <v>0</v>
      </c>
      <c r="AQ87" s="108" t="n">
        <f aca="false">IF(AQ86=1,AQ$7-INPUTS!$R$95+1,0)</f>
        <v>0</v>
      </c>
    </row>
    <row r="88" customFormat="false" ht="15" hidden="false" customHeight="false" outlineLevel="0" collapsed="false">
      <c r="B88" s="3" t="s">
        <v>646</v>
      </c>
      <c r="C88" s="107" t="n">
        <f aca="false">SUM(D88:AQ88)</f>
        <v>0</v>
      </c>
      <c r="D88" s="108" t="n">
        <f aca="false">IF(AND((INPUTS!$E$95="Yes"),D$16=1,D$7&gt;INPUTS!$S$95),1,0)</f>
        <v>0</v>
      </c>
      <c r="E88" s="108" t="n">
        <f aca="false">IF(AND((INPUTS!$E$95="Yes"),E$16=1,E$7&gt;INPUTS!$S$95),1,0)</f>
        <v>0</v>
      </c>
      <c r="F88" s="108" t="n">
        <f aca="false">IF(AND((INPUTS!$E$95="Yes"),F$16=1,F$7&gt;INPUTS!$S$95),1,0)</f>
        <v>0</v>
      </c>
      <c r="G88" s="108" t="n">
        <f aca="false">IF(AND((INPUTS!$E$95="Yes"),G$16=1,G$7&gt;INPUTS!$S$95),1,0)</f>
        <v>0</v>
      </c>
      <c r="H88" s="108" t="n">
        <f aca="false">IF(AND((INPUTS!$E$95="Yes"),H$16=1,H$7&gt;INPUTS!$S$95),1,0)</f>
        <v>0</v>
      </c>
      <c r="I88" s="108" t="n">
        <f aca="false">IF(AND((INPUTS!$E$95="Yes"),I$16=1,I$7&gt;INPUTS!$S$95),1,0)</f>
        <v>0</v>
      </c>
      <c r="J88" s="108" t="n">
        <f aca="false">IF(AND((INPUTS!$E$95="Yes"),J$16=1,J$7&gt;INPUTS!$S$95),1,0)</f>
        <v>0</v>
      </c>
      <c r="K88" s="108" t="n">
        <f aca="false">IF(AND((INPUTS!$E$95="Yes"),K$16=1,K$7&gt;INPUTS!$S$95),1,0)</f>
        <v>0</v>
      </c>
      <c r="L88" s="108" t="n">
        <f aca="false">IF(AND((INPUTS!$E$95="Yes"),L$16=1,L$7&gt;INPUTS!$S$95),1,0)</f>
        <v>0</v>
      </c>
      <c r="M88" s="108" t="n">
        <f aca="false">IF(AND((INPUTS!$E$95="Yes"),M$16=1,M$7&gt;INPUTS!$S$95),1,0)</f>
        <v>0</v>
      </c>
      <c r="N88" s="108" t="n">
        <f aca="false">IF(AND((INPUTS!$E$95="Yes"),N$16=1,N$7&gt;INPUTS!$S$95),1,0)</f>
        <v>0</v>
      </c>
      <c r="O88" s="108" t="n">
        <f aca="false">IF(AND((INPUTS!$E$95="Yes"),O$16=1,O$7&gt;INPUTS!$S$95),1,0)</f>
        <v>0</v>
      </c>
      <c r="P88" s="108" t="n">
        <f aca="false">IF(AND((INPUTS!$E$95="Yes"),P$16=1,P$7&gt;INPUTS!$S$95),1,0)</f>
        <v>0</v>
      </c>
      <c r="Q88" s="108" t="n">
        <f aca="false">IF(AND((INPUTS!$E$95="Yes"),Q$16=1,Q$7&gt;INPUTS!$S$95),1,0)</f>
        <v>0</v>
      </c>
      <c r="R88" s="108" t="n">
        <f aca="false">IF(AND((INPUTS!$E$95="Yes"),R$16=1,R$7&gt;INPUTS!$S$95),1,0)</f>
        <v>0</v>
      </c>
      <c r="S88" s="108" t="n">
        <f aca="false">IF(AND((INPUTS!$E$95="Yes"),S$16=1,S$7&gt;INPUTS!$S$95),1,0)</f>
        <v>0</v>
      </c>
      <c r="T88" s="108" t="n">
        <f aca="false">IF(AND((INPUTS!$E$95="Yes"),T$16=1,T$7&gt;INPUTS!$S$95),1,0)</f>
        <v>0</v>
      </c>
      <c r="U88" s="108" t="n">
        <f aca="false">IF(AND((INPUTS!$E$95="Yes"),U$16=1,U$7&gt;INPUTS!$S$95),1,0)</f>
        <v>0</v>
      </c>
      <c r="V88" s="108" t="n">
        <f aca="false">IF(AND((INPUTS!$E$95="Yes"),V$16=1,V$7&gt;INPUTS!$S$95),1,0)</f>
        <v>0</v>
      </c>
      <c r="W88" s="108" t="n">
        <f aca="false">IF(AND((INPUTS!$E$95="Yes"),W$16=1,W$7&gt;INPUTS!$S$95),1,0)</f>
        <v>0</v>
      </c>
      <c r="X88" s="108" t="n">
        <f aca="false">IF(AND((INPUTS!$E$95="Yes"),X$16=1,X$7&gt;INPUTS!$S$95),1,0)</f>
        <v>0</v>
      </c>
      <c r="Y88" s="108" t="n">
        <f aca="false">IF(AND((INPUTS!$E$95="Yes"),Y$16=1,Y$7&gt;INPUTS!$S$95),1,0)</f>
        <v>0</v>
      </c>
      <c r="Z88" s="108" t="n">
        <f aca="false">IF(AND((INPUTS!$E$95="Yes"),Z$16=1,Z$7&gt;INPUTS!$S$95),1,0)</f>
        <v>0</v>
      </c>
      <c r="AA88" s="108" t="n">
        <f aca="false">IF(AND((INPUTS!$E$95="Yes"),AA$16=1,AA$7&gt;INPUTS!$S$95),1,0)</f>
        <v>0</v>
      </c>
      <c r="AB88" s="108" t="n">
        <f aca="false">IF(AND((INPUTS!$E$95="Yes"),AB$16=1,AB$7&gt;INPUTS!$S$95),1,0)</f>
        <v>0</v>
      </c>
      <c r="AC88" s="108" t="n">
        <f aca="false">IF(AND((INPUTS!$E$95="Yes"),AC$16=1,AC$7&gt;INPUTS!$S$95),1,0)</f>
        <v>0</v>
      </c>
      <c r="AD88" s="108" t="n">
        <f aca="false">IF(AND((INPUTS!$E$95="Yes"),AD$16=1,AD$7&gt;INPUTS!$S$95),1,0)</f>
        <v>0</v>
      </c>
      <c r="AE88" s="108" t="n">
        <f aca="false">IF(AND((INPUTS!$E$95="Yes"),AE$16=1,AE$7&gt;INPUTS!$S$95),1,0)</f>
        <v>0</v>
      </c>
      <c r="AF88" s="108" t="n">
        <f aca="false">IF(AND((INPUTS!$E$95="Yes"),AF$16=1,AF$7&gt;INPUTS!$S$95),1,0)</f>
        <v>0</v>
      </c>
      <c r="AG88" s="108" t="n">
        <f aca="false">IF(AND((INPUTS!$E$95="Yes"),AG$16=1,AG$7&gt;INPUTS!$S$95),1,0)</f>
        <v>0</v>
      </c>
      <c r="AH88" s="108" t="n">
        <f aca="false">IF(AND((INPUTS!$E$95="Yes"),AH$16=1,AH$7&gt;INPUTS!$S$95),1,0)</f>
        <v>0</v>
      </c>
      <c r="AI88" s="108" t="n">
        <f aca="false">IF(AND((INPUTS!$E$95="Yes"),AI$16=1,AI$7&gt;INPUTS!$S$95),1,0)</f>
        <v>0</v>
      </c>
      <c r="AJ88" s="108" t="n">
        <f aca="false">IF(AND((INPUTS!$E$95="Yes"),AJ$16=1,AJ$7&gt;INPUTS!$S$95),1,0)</f>
        <v>0</v>
      </c>
      <c r="AK88" s="108" t="n">
        <f aca="false">IF(AND((INPUTS!$E$95="Yes"),AK$16=1,AK$7&gt;INPUTS!$S$95),1,0)</f>
        <v>0</v>
      </c>
      <c r="AL88" s="108" t="n">
        <f aca="false">IF(AND((INPUTS!$E$95="Yes"),AL$16=1,AL$7&gt;INPUTS!$S$95),1,0)</f>
        <v>0</v>
      </c>
      <c r="AM88" s="108" t="n">
        <f aca="false">IF(AND((INPUTS!$E$95="Yes"),AM$16=1,AM$7&gt;INPUTS!$S$95),1,0)</f>
        <v>0</v>
      </c>
      <c r="AN88" s="108" t="n">
        <f aca="false">IF(AND((INPUTS!$E$95="Yes"),AN$16=1,AN$7&gt;INPUTS!$S$95),1,0)</f>
        <v>0</v>
      </c>
      <c r="AO88" s="108" t="n">
        <f aca="false">IF(AND((INPUTS!$E$95="Yes"),AO$16=1,AO$7&gt;INPUTS!$S$95),1,0)</f>
        <v>0</v>
      </c>
      <c r="AP88" s="108" t="n">
        <f aca="false">IF(AND((INPUTS!$E$95="Yes"),AP$16=1,AP$7&gt;INPUTS!$S$95),1,0)</f>
        <v>0</v>
      </c>
      <c r="AQ88" s="108" t="n">
        <f aca="false">IF(AND((INPUTS!$E$95="Yes"),AQ$16=1,AQ$7&gt;INPUTS!$S$95),1,0)</f>
        <v>0</v>
      </c>
    </row>
    <row r="89" customFormat="false" ht="15" hidden="false" customHeight="false" outlineLevel="0" collapsed="false">
      <c r="B89" s="17" t="s">
        <v>647</v>
      </c>
      <c r="C89" s="105" t="str">
        <f aca="false">IF(INPUTS!$E$95&lt;&gt;"Yes","Off",IF(OR(NOT(ISNUMBER(INPUTS!$P$95)),NOT(ISNUMBER(INPUTS!$Q$95)),NOT(ISNUMBER(INPUTS!$R$95)),NOT(ISNUMBER(INPUTS!$S$95))),"ERROR",IF(AND(C84=INPUTS!$Q$95-INPUTS!$P$95+1,C86=INPUTS!$S$95-INPUTS!$R$95+1,C88=MAX(0,INPUTS!$C$24-INPUTS!$S$95)),"OK","ERROR")))</f>
        <v>Off</v>
      </c>
    </row>
    <row r="90" customFormat="false" ht="15" hidden="false" customHeight="false" outlineLevel="0" collapsed="false">
      <c r="B90" s="110" t="str">
        <f aca="false">IF(INPUTS!$E$96="Yes",INPUTS!$B$96,"Product row 9 (off)")</f>
        <v>Product row 9 (off)</v>
      </c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</row>
    <row r="91" customFormat="false" ht="15" hidden="false" customHeight="false" outlineLevel="0" collapsed="false">
      <c r="B91" s="3" t="s">
        <v>642</v>
      </c>
      <c r="C91" s="107" t="n">
        <f aca="false">SUM(D91:AQ91)</f>
        <v>0</v>
      </c>
      <c r="D91" s="108" t="n">
        <f aca="false">IF(AND((INPUTS!$E$96="Yes"),D$16=1,D$7&gt;=INPUTS!$P$96,D$7&lt;=INPUTS!$Q$96),1,0)</f>
        <v>0</v>
      </c>
      <c r="E91" s="108" t="n">
        <f aca="false">IF(AND((INPUTS!$E$96="Yes"),E$16=1,E$7&gt;=INPUTS!$P$96,E$7&lt;=INPUTS!$Q$96),1,0)</f>
        <v>0</v>
      </c>
      <c r="F91" s="108" t="n">
        <f aca="false">IF(AND((INPUTS!$E$96="Yes"),F$16=1,F$7&gt;=INPUTS!$P$96,F$7&lt;=INPUTS!$Q$96),1,0)</f>
        <v>0</v>
      </c>
      <c r="G91" s="108" t="n">
        <f aca="false">IF(AND((INPUTS!$E$96="Yes"),G$16=1,G$7&gt;=INPUTS!$P$96,G$7&lt;=INPUTS!$Q$96),1,0)</f>
        <v>0</v>
      </c>
      <c r="H91" s="108" t="n">
        <f aca="false">IF(AND((INPUTS!$E$96="Yes"),H$16=1,H$7&gt;=INPUTS!$P$96,H$7&lt;=INPUTS!$Q$96),1,0)</f>
        <v>0</v>
      </c>
      <c r="I91" s="108" t="n">
        <f aca="false">IF(AND((INPUTS!$E$96="Yes"),I$16=1,I$7&gt;=INPUTS!$P$96,I$7&lt;=INPUTS!$Q$96),1,0)</f>
        <v>0</v>
      </c>
      <c r="J91" s="108" t="n">
        <f aca="false">IF(AND((INPUTS!$E$96="Yes"),J$16=1,J$7&gt;=INPUTS!$P$96,J$7&lt;=INPUTS!$Q$96),1,0)</f>
        <v>0</v>
      </c>
      <c r="K91" s="108" t="n">
        <f aca="false">IF(AND((INPUTS!$E$96="Yes"),K$16=1,K$7&gt;=INPUTS!$P$96,K$7&lt;=INPUTS!$Q$96),1,0)</f>
        <v>0</v>
      </c>
      <c r="L91" s="108" t="n">
        <f aca="false">IF(AND((INPUTS!$E$96="Yes"),L$16=1,L$7&gt;=INPUTS!$P$96,L$7&lt;=INPUTS!$Q$96),1,0)</f>
        <v>0</v>
      </c>
      <c r="M91" s="108" t="n">
        <f aca="false">IF(AND((INPUTS!$E$96="Yes"),M$16=1,M$7&gt;=INPUTS!$P$96,M$7&lt;=INPUTS!$Q$96),1,0)</f>
        <v>0</v>
      </c>
      <c r="N91" s="108" t="n">
        <f aca="false">IF(AND((INPUTS!$E$96="Yes"),N$16=1,N$7&gt;=INPUTS!$P$96,N$7&lt;=INPUTS!$Q$96),1,0)</f>
        <v>0</v>
      </c>
      <c r="O91" s="108" t="n">
        <f aca="false">IF(AND((INPUTS!$E$96="Yes"),O$16=1,O$7&gt;=INPUTS!$P$96,O$7&lt;=INPUTS!$Q$96),1,0)</f>
        <v>0</v>
      </c>
      <c r="P91" s="108" t="n">
        <f aca="false">IF(AND((INPUTS!$E$96="Yes"),P$16=1,P$7&gt;=INPUTS!$P$96,P$7&lt;=INPUTS!$Q$96),1,0)</f>
        <v>0</v>
      </c>
      <c r="Q91" s="108" t="n">
        <f aca="false">IF(AND((INPUTS!$E$96="Yes"),Q$16=1,Q$7&gt;=INPUTS!$P$96,Q$7&lt;=INPUTS!$Q$96),1,0)</f>
        <v>0</v>
      </c>
      <c r="R91" s="108" t="n">
        <f aca="false">IF(AND((INPUTS!$E$96="Yes"),R$16=1,R$7&gt;=INPUTS!$P$96,R$7&lt;=INPUTS!$Q$96),1,0)</f>
        <v>0</v>
      </c>
      <c r="S91" s="108" t="n">
        <f aca="false">IF(AND((INPUTS!$E$96="Yes"),S$16=1,S$7&gt;=INPUTS!$P$96,S$7&lt;=INPUTS!$Q$96),1,0)</f>
        <v>0</v>
      </c>
      <c r="T91" s="108" t="n">
        <f aca="false">IF(AND((INPUTS!$E$96="Yes"),T$16=1,T$7&gt;=INPUTS!$P$96,T$7&lt;=INPUTS!$Q$96),1,0)</f>
        <v>0</v>
      </c>
      <c r="U91" s="108" t="n">
        <f aca="false">IF(AND((INPUTS!$E$96="Yes"),U$16=1,U$7&gt;=INPUTS!$P$96,U$7&lt;=INPUTS!$Q$96),1,0)</f>
        <v>0</v>
      </c>
      <c r="V91" s="108" t="n">
        <f aca="false">IF(AND((INPUTS!$E$96="Yes"),V$16=1,V$7&gt;=INPUTS!$P$96,V$7&lt;=INPUTS!$Q$96),1,0)</f>
        <v>0</v>
      </c>
      <c r="W91" s="108" t="n">
        <f aca="false">IF(AND((INPUTS!$E$96="Yes"),W$16=1,W$7&gt;=INPUTS!$P$96,W$7&lt;=INPUTS!$Q$96),1,0)</f>
        <v>0</v>
      </c>
      <c r="X91" s="108" t="n">
        <f aca="false">IF(AND((INPUTS!$E$96="Yes"),X$16=1,X$7&gt;=INPUTS!$P$96,X$7&lt;=INPUTS!$Q$96),1,0)</f>
        <v>0</v>
      </c>
      <c r="Y91" s="108" t="n">
        <f aca="false">IF(AND((INPUTS!$E$96="Yes"),Y$16=1,Y$7&gt;=INPUTS!$P$96,Y$7&lt;=INPUTS!$Q$96),1,0)</f>
        <v>0</v>
      </c>
      <c r="Z91" s="108" t="n">
        <f aca="false">IF(AND((INPUTS!$E$96="Yes"),Z$16=1,Z$7&gt;=INPUTS!$P$96,Z$7&lt;=INPUTS!$Q$96),1,0)</f>
        <v>0</v>
      </c>
      <c r="AA91" s="108" t="n">
        <f aca="false">IF(AND((INPUTS!$E$96="Yes"),AA$16=1,AA$7&gt;=INPUTS!$P$96,AA$7&lt;=INPUTS!$Q$96),1,0)</f>
        <v>0</v>
      </c>
      <c r="AB91" s="108" t="n">
        <f aca="false">IF(AND((INPUTS!$E$96="Yes"),AB$16=1,AB$7&gt;=INPUTS!$P$96,AB$7&lt;=INPUTS!$Q$96),1,0)</f>
        <v>0</v>
      </c>
      <c r="AC91" s="108" t="n">
        <f aca="false">IF(AND((INPUTS!$E$96="Yes"),AC$16=1,AC$7&gt;=INPUTS!$P$96,AC$7&lt;=INPUTS!$Q$96),1,0)</f>
        <v>0</v>
      </c>
      <c r="AD91" s="108" t="n">
        <f aca="false">IF(AND((INPUTS!$E$96="Yes"),AD$16=1,AD$7&gt;=INPUTS!$P$96,AD$7&lt;=INPUTS!$Q$96),1,0)</f>
        <v>0</v>
      </c>
      <c r="AE91" s="108" t="n">
        <f aca="false">IF(AND((INPUTS!$E$96="Yes"),AE$16=1,AE$7&gt;=INPUTS!$P$96,AE$7&lt;=INPUTS!$Q$96),1,0)</f>
        <v>0</v>
      </c>
      <c r="AF91" s="108" t="n">
        <f aca="false">IF(AND((INPUTS!$E$96="Yes"),AF$16=1,AF$7&gt;=INPUTS!$P$96,AF$7&lt;=INPUTS!$Q$96),1,0)</f>
        <v>0</v>
      </c>
      <c r="AG91" s="108" t="n">
        <f aca="false">IF(AND((INPUTS!$E$96="Yes"),AG$16=1,AG$7&gt;=INPUTS!$P$96,AG$7&lt;=INPUTS!$Q$96),1,0)</f>
        <v>0</v>
      </c>
      <c r="AH91" s="108" t="n">
        <f aca="false">IF(AND((INPUTS!$E$96="Yes"),AH$16=1,AH$7&gt;=INPUTS!$P$96,AH$7&lt;=INPUTS!$Q$96),1,0)</f>
        <v>0</v>
      </c>
      <c r="AI91" s="108" t="n">
        <f aca="false">IF(AND((INPUTS!$E$96="Yes"),AI$16=1,AI$7&gt;=INPUTS!$P$96,AI$7&lt;=INPUTS!$Q$96),1,0)</f>
        <v>0</v>
      </c>
      <c r="AJ91" s="108" t="n">
        <f aca="false">IF(AND((INPUTS!$E$96="Yes"),AJ$16=1,AJ$7&gt;=INPUTS!$P$96,AJ$7&lt;=INPUTS!$Q$96),1,0)</f>
        <v>0</v>
      </c>
      <c r="AK91" s="108" t="n">
        <f aca="false">IF(AND((INPUTS!$E$96="Yes"),AK$16=1,AK$7&gt;=INPUTS!$P$96,AK$7&lt;=INPUTS!$Q$96),1,0)</f>
        <v>0</v>
      </c>
      <c r="AL91" s="108" t="n">
        <f aca="false">IF(AND((INPUTS!$E$96="Yes"),AL$16=1,AL$7&gt;=INPUTS!$P$96,AL$7&lt;=INPUTS!$Q$96),1,0)</f>
        <v>0</v>
      </c>
      <c r="AM91" s="108" t="n">
        <f aca="false">IF(AND((INPUTS!$E$96="Yes"),AM$16=1,AM$7&gt;=INPUTS!$P$96,AM$7&lt;=INPUTS!$Q$96),1,0)</f>
        <v>0</v>
      </c>
      <c r="AN91" s="108" t="n">
        <f aca="false">IF(AND((INPUTS!$E$96="Yes"),AN$16=1,AN$7&gt;=INPUTS!$P$96,AN$7&lt;=INPUTS!$Q$96),1,0)</f>
        <v>0</v>
      </c>
      <c r="AO91" s="108" t="n">
        <f aca="false">IF(AND((INPUTS!$E$96="Yes"),AO$16=1,AO$7&gt;=INPUTS!$P$96,AO$7&lt;=INPUTS!$Q$96),1,0)</f>
        <v>0</v>
      </c>
      <c r="AP91" s="108" t="n">
        <f aca="false">IF(AND((INPUTS!$E$96="Yes"),AP$16=1,AP$7&gt;=INPUTS!$P$96,AP$7&lt;=INPUTS!$Q$96),1,0)</f>
        <v>0</v>
      </c>
      <c r="AQ91" s="108" t="n">
        <f aca="false">IF(AND((INPUTS!$E$96="Yes"),AQ$16=1,AQ$7&gt;=INPUTS!$P$96,AQ$7&lt;=INPUTS!$Q$96),1,0)</f>
        <v>0</v>
      </c>
    </row>
    <row r="92" customFormat="false" ht="15" hidden="false" customHeight="false" outlineLevel="0" collapsed="false">
      <c r="B92" s="3" t="s">
        <v>643</v>
      </c>
      <c r="C92" s="107" t="n">
        <f aca="false">MAX(D92:AQ92)</f>
        <v>0</v>
      </c>
      <c r="D92" s="108" t="n">
        <f aca="false">IF(D91=1,D$7-INPUTS!$P$96+1,0)</f>
        <v>0</v>
      </c>
      <c r="E92" s="108" t="n">
        <f aca="false">IF(E91=1,E$7-INPUTS!$P$96+1,0)</f>
        <v>0</v>
      </c>
      <c r="F92" s="108" t="n">
        <f aca="false">IF(F91=1,F$7-INPUTS!$P$96+1,0)</f>
        <v>0</v>
      </c>
      <c r="G92" s="108" t="n">
        <f aca="false">IF(G91=1,G$7-INPUTS!$P$96+1,0)</f>
        <v>0</v>
      </c>
      <c r="H92" s="108" t="n">
        <f aca="false">IF(H91=1,H$7-INPUTS!$P$96+1,0)</f>
        <v>0</v>
      </c>
      <c r="I92" s="108" t="n">
        <f aca="false">IF(I91=1,I$7-INPUTS!$P$96+1,0)</f>
        <v>0</v>
      </c>
      <c r="J92" s="108" t="n">
        <f aca="false">IF(J91=1,J$7-INPUTS!$P$96+1,0)</f>
        <v>0</v>
      </c>
      <c r="K92" s="108" t="n">
        <f aca="false">IF(K91=1,K$7-INPUTS!$P$96+1,0)</f>
        <v>0</v>
      </c>
      <c r="L92" s="108" t="n">
        <f aca="false">IF(L91=1,L$7-INPUTS!$P$96+1,0)</f>
        <v>0</v>
      </c>
      <c r="M92" s="108" t="n">
        <f aca="false">IF(M91=1,M$7-INPUTS!$P$96+1,0)</f>
        <v>0</v>
      </c>
      <c r="N92" s="108" t="n">
        <f aca="false">IF(N91=1,N$7-INPUTS!$P$96+1,0)</f>
        <v>0</v>
      </c>
      <c r="O92" s="108" t="n">
        <f aca="false">IF(O91=1,O$7-INPUTS!$P$96+1,0)</f>
        <v>0</v>
      </c>
      <c r="P92" s="108" t="n">
        <f aca="false">IF(P91=1,P$7-INPUTS!$P$96+1,0)</f>
        <v>0</v>
      </c>
      <c r="Q92" s="108" t="n">
        <f aca="false">IF(Q91=1,Q$7-INPUTS!$P$96+1,0)</f>
        <v>0</v>
      </c>
      <c r="R92" s="108" t="n">
        <f aca="false">IF(R91=1,R$7-INPUTS!$P$96+1,0)</f>
        <v>0</v>
      </c>
      <c r="S92" s="108" t="n">
        <f aca="false">IF(S91=1,S$7-INPUTS!$P$96+1,0)</f>
        <v>0</v>
      </c>
      <c r="T92" s="108" t="n">
        <f aca="false">IF(T91=1,T$7-INPUTS!$P$96+1,0)</f>
        <v>0</v>
      </c>
      <c r="U92" s="108" t="n">
        <f aca="false">IF(U91=1,U$7-INPUTS!$P$96+1,0)</f>
        <v>0</v>
      </c>
      <c r="V92" s="108" t="n">
        <f aca="false">IF(V91=1,V$7-INPUTS!$P$96+1,0)</f>
        <v>0</v>
      </c>
      <c r="W92" s="108" t="n">
        <f aca="false">IF(W91=1,W$7-INPUTS!$P$96+1,0)</f>
        <v>0</v>
      </c>
      <c r="X92" s="108" t="n">
        <f aca="false">IF(X91=1,X$7-INPUTS!$P$96+1,0)</f>
        <v>0</v>
      </c>
      <c r="Y92" s="108" t="n">
        <f aca="false">IF(Y91=1,Y$7-INPUTS!$P$96+1,0)</f>
        <v>0</v>
      </c>
      <c r="Z92" s="108" t="n">
        <f aca="false">IF(Z91=1,Z$7-INPUTS!$P$96+1,0)</f>
        <v>0</v>
      </c>
      <c r="AA92" s="108" t="n">
        <f aca="false">IF(AA91=1,AA$7-INPUTS!$P$96+1,0)</f>
        <v>0</v>
      </c>
      <c r="AB92" s="108" t="n">
        <f aca="false">IF(AB91=1,AB$7-INPUTS!$P$96+1,0)</f>
        <v>0</v>
      </c>
      <c r="AC92" s="108" t="n">
        <f aca="false">IF(AC91=1,AC$7-INPUTS!$P$96+1,0)</f>
        <v>0</v>
      </c>
      <c r="AD92" s="108" t="n">
        <f aca="false">IF(AD91=1,AD$7-INPUTS!$P$96+1,0)</f>
        <v>0</v>
      </c>
      <c r="AE92" s="108" t="n">
        <f aca="false">IF(AE91=1,AE$7-INPUTS!$P$96+1,0)</f>
        <v>0</v>
      </c>
      <c r="AF92" s="108" t="n">
        <f aca="false">IF(AF91=1,AF$7-INPUTS!$P$96+1,0)</f>
        <v>0</v>
      </c>
      <c r="AG92" s="108" t="n">
        <f aca="false">IF(AG91=1,AG$7-INPUTS!$P$96+1,0)</f>
        <v>0</v>
      </c>
      <c r="AH92" s="108" t="n">
        <f aca="false">IF(AH91=1,AH$7-INPUTS!$P$96+1,0)</f>
        <v>0</v>
      </c>
      <c r="AI92" s="108" t="n">
        <f aca="false">IF(AI91=1,AI$7-INPUTS!$P$96+1,0)</f>
        <v>0</v>
      </c>
      <c r="AJ92" s="108" t="n">
        <f aca="false">IF(AJ91=1,AJ$7-INPUTS!$P$96+1,0)</f>
        <v>0</v>
      </c>
      <c r="AK92" s="108" t="n">
        <f aca="false">IF(AK91=1,AK$7-INPUTS!$P$96+1,0)</f>
        <v>0</v>
      </c>
      <c r="AL92" s="108" t="n">
        <f aca="false">IF(AL91=1,AL$7-INPUTS!$P$96+1,0)</f>
        <v>0</v>
      </c>
      <c r="AM92" s="108" t="n">
        <f aca="false">IF(AM91=1,AM$7-INPUTS!$P$96+1,0)</f>
        <v>0</v>
      </c>
      <c r="AN92" s="108" t="n">
        <f aca="false">IF(AN91=1,AN$7-INPUTS!$P$96+1,0)</f>
        <v>0</v>
      </c>
      <c r="AO92" s="108" t="n">
        <f aca="false">IF(AO91=1,AO$7-INPUTS!$P$96+1,0)</f>
        <v>0</v>
      </c>
      <c r="AP92" s="108" t="n">
        <f aca="false">IF(AP91=1,AP$7-INPUTS!$P$96+1,0)</f>
        <v>0</v>
      </c>
      <c r="AQ92" s="108" t="n">
        <f aca="false">IF(AQ91=1,AQ$7-INPUTS!$P$96+1,0)</f>
        <v>0</v>
      </c>
    </row>
    <row r="93" customFormat="false" ht="15" hidden="false" customHeight="false" outlineLevel="0" collapsed="false">
      <c r="B93" s="3" t="s">
        <v>644</v>
      </c>
      <c r="C93" s="107" t="n">
        <f aca="false">SUM(D93:AQ93)</f>
        <v>0</v>
      </c>
      <c r="D93" s="108" t="n">
        <f aca="false">IF(AND((INPUTS!$E$96="Yes"),D$16=1,D$7&gt;=INPUTS!$R$96,D$7&lt;=INPUTS!$S$96),1,0)</f>
        <v>0</v>
      </c>
      <c r="E93" s="108" t="n">
        <f aca="false">IF(AND((INPUTS!$E$96="Yes"),E$16=1,E$7&gt;=INPUTS!$R$96,E$7&lt;=INPUTS!$S$96),1,0)</f>
        <v>0</v>
      </c>
      <c r="F93" s="108" t="n">
        <f aca="false">IF(AND((INPUTS!$E$96="Yes"),F$16=1,F$7&gt;=INPUTS!$R$96,F$7&lt;=INPUTS!$S$96),1,0)</f>
        <v>0</v>
      </c>
      <c r="G93" s="108" t="n">
        <f aca="false">IF(AND((INPUTS!$E$96="Yes"),G$16=1,G$7&gt;=INPUTS!$R$96,G$7&lt;=INPUTS!$S$96),1,0)</f>
        <v>0</v>
      </c>
      <c r="H93" s="108" t="n">
        <f aca="false">IF(AND((INPUTS!$E$96="Yes"),H$16=1,H$7&gt;=INPUTS!$R$96,H$7&lt;=INPUTS!$S$96),1,0)</f>
        <v>0</v>
      </c>
      <c r="I93" s="108" t="n">
        <f aca="false">IF(AND((INPUTS!$E$96="Yes"),I$16=1,I$7&gt;=INPUTS!$R$96,I$7&lt;=INPUTS!$S$96),1,0)</f>
        <v>0</v>
      </c>
      <c r="J93" s="108" t="n">
        <f aca="false">IF(AND((INPUTS!$E$96="Yes"),J$16=1,J$7&gt;=INPUTS!$R$96,J$7&lt;=INPUTS!$S$96),1,0)</f>
        <v>0</v>
      </c>
      <c r="K93" s="108" t="n">
        <f aca="false">IF(AND((INPUTS!$E$96="Yes"),K$16=1,K$7&gt;=INPUTS!$R$96,K$7&lt;=INPUTS!$S$96),1,0)</f>
        <v>0</v>
      </c>
      <c r="L93" s="108" t="n">
        <f aca="false">IF(AND((INPUTS!$E$96="Yes"),L$16=1,L$7&gt;=INPUTS!$R$96,L$7&lt;=INPUTS!$S$96),1,0)</f>
        <v>0</v>
      </c>
      <c r="M93" s="108" t="n">
        <f aca="false">IF(AND((INPUTS!$E$96="Yes"),M$16=1,M$7&gt;=INPUTS!$R$96,M$7&lt;=INPUTS!$S$96),1,0)</f>
        <v>0</v>
      </c>
      <c r="N93" s="108" t="n">
        <f aca="false">IF(AND((INPUTS!$E$96="Yes"),N$16=1,N$7&gt;=INPUTS!$R$96,N$7&lt;=INPUTS!$S$96),1,0)</f>
        <v>0</v>
      </c>
      <c r="O93" s="108" t="n">
        <f aca="false">IF(AND((INPUTS!$E$96="Yes"),O$16=1,O$7&gt;=INPUTS!$R$96,O$7&lt;=INPUTS!$S$96),1,0)</f>
        <v>0</v>
      </c>
      <c r="P93" s="108" t="n">
        <f aca="false">IF(AND((INPUTS!$E$96="Yes"),P$16=1,P$7&gt;=INPUTS!$R$96,P$7&lt;=INPUTS!$S$96),1,0)</f>
        <v>0</v>
      </c>
      <c r="Q93" s="108" t="n">
        <f aca="false">IF(AND((INPUTS!$E$96="Yes"),Q$16=1,Q$7&gt;=INPUTS!$R$96,Q$7&lt;=INPUTS!$S$96),1,0)</f>
        <v>0</v>
      </c>
      <c r="R93" s="108" t="n">
        <f aca="false">IF(AND((INPUTS!$E$96="Yes"),R$16=1,R$7&gt;=INPUTS!$R$96,R$7&lt;=INPUTS!$S$96),1,0)</f>
        <v>0</v>
      </c>
      <c r="S93" s="108" t="n">
        <f aca="false">IF(AND((INPUTS!$E$96="Yes"),S$16=1,S$7&gt;=INPUTS!$R$96,S$7&lt;=INPUTS!$S$96),1,0)</f>
        <v>0</v>
      </c>
      <c r="T93" s="108" t="n">
        <f aca="false">IF(AND((INPUTS!$E$96="Yes"),T$16=1,T$7&gt;=INPUTS!$R$96,T$7&lt;=INPUTS!$S$96),1,0)</f>
        <v>0</v>
      </c>
      <c r="U93" s="108" t="n">
        <f aca="false">IF(AND((INPUTS!$E$96="Yes"),U$16=1,U$7&gt;=INPUTS!$R$96,U$7&lt;=INPUTS!$S$96),1,0)</f>
        <v>0</v>
      </c>
      <c r="V93" s="108" t="n">
        <f aca="false">IF(AND((INPUTS!$E$96="Yes"),V$16=1,V$7&gt;=INPUTS!$R$96,V$7&lt;=INPUTS!$S$96),1,0)</f>
        <v>0</v>
      </c>
      <c r="W93" s="108" t="n">
        <f aca="false">IF(AND((INPUTS!$E$96="Yes"),W$16=1,W$7&gt;=INPUTS!$R$96,W$7&lt;=INPUTS!$S$96),1,0)</f>
        <v>0</v>
      </c>
      <c r="X93" s="108" t="n">
        <f aca="false">IF(AND((INPUTS!$E$96="Yes"),X$16=1,X$7&gt;=INPUTS!$R$96,X$7&lt;=INPUTS!$S$96),1,0)</f>
        <v>0</v>
      </c>
      <c r="Y93" s="108" t="n">
        <f aca="false">IF(AND((INPUTS!$E$96="Yes"),Y$16=1,Y$7&gt;=INPUTS!$R$96,Y$7&lt;=INPUTS!$S$96),1,0)</f>
        <v>0</v>
      </c>
      <c r="Z93" s="108" t="n">
        <f aca="false">IF(AND((INPUTS!$E$96="Yes"),Z$16=1,Z$7&gt;=INPUTS!$R$96,Z$7&lt;=INPUTS!$S$96),1,0)</f>
        <v>0</v>
      </c>
      <c r="AA93" s="108" t="n">
        <f aca="false">IF(AND((INPUTS!$E$96="Yes"),AA$16=1,AA$7&gt;=INPUTS!$R$96,AA$7&lt;=INPUTS!$S$96),1,0)</f>
        <v>0</v>
      </c>
      <c r="AB93" s="108" t="n">
        <f aca="false">IF(AND((INPUTS!$E$96="Yes"),AB$16=1,AB$7&gt;=INPUTS!$R$96,AB$7&lt;=INPUTS!$S$96),1,0)</f>
        <v>0</v>
      </c>
      <c r="AC93" s="108" t="n">
        <f aca="false">IF(AND((INPUTS!$E$96="Yes"),AC$16=1,AC$7&gt;=INPUTS!$R$96,AC$7&lt;=INPUTS!$S$96),1,0)</f>
        <v>0</v>
      </c>
      <c r="AD93" s="108" t="n">
        <f aca="false">IF(AND((INPUTS!$E$96="Yes"),AD$16=1,AD$7&gt;=INPUTS!$R$96,AD$7&lt;=INPUTS!$S$96),1,0)</f>
        <v>0</v>
      </c>
      <c r="AE93" s="108" t="n">
        <f aca="false">IF(AND((INPUTS!$E$96="Yes"),AE$16=1,AE$7&gt;=INPUTS!$R$96,AE$7&lt;=INPUTS!$S$96),1,0)</f>
        <v>0</v>
      </c>
      <c r="AF93" s="108" t="n">
        <f aca="false">IF(AND((INPUTS!$E$96="Yes"),AF$16=1,AF$7&gt;=INPUTS!$R$96,AF$7&lt;=INPUTS!$S$96),1,0)</f>
        <v>0</v>
      </c>
      <c r="AG93" s="108" t="n">
        <f aca="false">IF(AND((INPUTS!$E$96="Yes"),AG$16=1,AG$7&gt;=INPUTS!$R$96,AG$7&lt;=INPUTS!$S$96),1,0)</f>
        <v>0</v>
      </c>
      <c r="AH93" s="108" t="n">
        <f aca="false">IF(AND((INPUTS!$E$96="Yes"),AH$16=1,AH$7&gt;=INPUTS!$R$96,AH$7&lt;=INPUTS!$S$96),1,0)</f>
        <v>0</v>
      </c>
      <c r="AI93" s="108" t="n">
        <f aca="false">IF(AND((INPUTS!$E$96="Yes"),AI$16=1,AI$7&gt;=INPUTS!$R$96,AI$7&lt;=INPUTS!$S$96),1,0)</f>
        <v>0</v>
      </c>
      <c r="AJ93" s="108" t="n">
        <f aca="false">IF(AND((INPUTS!$E$96="Yes"),AJ$16=1,AJ$7&gt;=INPUTS!$R$96,AJ$7&lt;=INPUTS!$S$96),1,0)</f>
        <v>0</v>
      </c>
      <c r="AK93" s="108" t="n">
        <f aca="false">IF(AND((INPUTS!$E$96="Yes"),AK$16=1,AK$7&gt;=INPUTS!$R$96,AK$7&lt;=INPUTS!$S$96),1,0)</f>
        <v>0</v>
      </c>
      <c r="AL93" s="108" t="n">
        <f aca="false">IF(AND((INPUTS!$E$96="Yes"),AL$16=1,AL$7&gt;=INPUTS!$R$96,AL$7&lt;=INPUTS!$S$96),1,0)</f>
        <v>0</v>
      </c>
      <c r="AM93" s="108" t="n">
        <f aca="false">IF(AND((INPUTS!$E$96="Yes"),AM$16=1,AM$7&gt;=INPUTS!$R$96,AM$7&lt;=INPUTS!$S$96),1,0)</f>
        <v>0</v>
      </c>
      <c r="AN93" s="108" t="n">
        <f aca="false">IF(AND((INPUTS!$E$96="Yes"),AN$16=1,AN$7&gt;=INPUTS!$R$96,AN$7&lt;=INPUTS!$S$96),1,0)</f>
        <v>0</v>
      </c>
      <c r="AO93" s="108" t="n">
        <f aca="false">IF(AND((INPUTS!$E$96="Yes"),AO$16=1,AO$7&gt;=INPUTS!$R$96,AO$7&lt;=INPUTS!$S$96),1,0)</f>
        <v>0</v>
      </c>
      <c r="AP93" s="108" t="n">
        <f aca="false">IF(AND((INPUTS!$E$96="Yes"),AP$16=1,AP$7&gt;=INPUTS!$R$96,AP$7&lt;=INPUTS!$S$96),1,0)</f>
        <v>0</v>
      </c>
      <c r="AQ93" s="108" t="n">
        <f aca="false">IF(AND((INPUTS!$E$96="Yes"),AQ$16=1,AQ$7&gt;=INPUTS!$R$96,AQ$7&lt;=INPUTS!$S$96),1,0)</f>
        <v>0</v>
      </c>
    </row>
    <row r="94" customFormat="false" ht="15" hidden="false" customHeight="false" outlineLevel="0" collapsed="false">
      <c r="B94" s="3" t="s">
        <v>645</v>
      </c>
      <c r="C94" s="107" t="n">
        <f aca="false">MAX(D94:AQ94)</f>
        <v>0</v>
      </c>
      <c r="D94" s="108" t="n">
        <f aca="false">IF(D93=1,D$7-INPUTS!$R$96+1,0)</f>
        <v>0</v>
      </c>
      <c r="E94" s="108" t="n">
        <f aca="false">IF(E93=1,E$7-INPUTS!$R$96+1,0)</f>
        <v>0</v>
      </c>
      <c r="F94" s="108" t="n">
        <f aca="false">IF(F93=1,F$7-INPUTS!$R$96+1,0)</f>
        <v>0</v>
      </c>
      <c r="G94" s="108" t="n">
        <f aca="false">IF(G93=1,G$7-INPUTS!$R$96+1,0)</f>
        <v>0</v>
      </c>
      <c r="H94" s="108" t="n">
        <f aca="false">IF(H93=1,H$7-INPUTS!$R$96+1,0)</f>
        <v>0</v>
      </c>
      <c r="I94" s="108" t="n">
        <f aca="false">IF(I93=1,I$7-INPUTS!$R$96+1,0)</f>
        <v>0</v>
      </c>
      <c r="J94" s="108" t="n">
        <f aca="false">IF(J93=1,J$7-INPUTS!$R$96+1,0)</f>
        <v>0</v>
      </c>
      <c r="K94" s="108" t="n">
        <f aca="false">IF(K93=1,K$7-INPUTS!$R$96+1,0)</f>
        <v>0</v>
      </c>
      <c r="L94" s="108" t="n">
        <f aca="false">IF(L93=1,L$7-INPUTS!$R$96+1,0)</f>
        <v>0</v>
      </c>
      <c r="M94" s="108" t="n">
        <f aca="false">IF(M93=1,M$7-INPUTS!$R$96+1,0)</f>
        <v>0</v>
      </c>
      <c r="N94" s="108" t="n">
        <f aca="false">IF(N93=1,N$7-INPUTS!$R$96+1,0)</f>
        <v>0</v>
      </c>
      <c r="O94" s="108" t="n">
        <f aca="false">IF(O93=1,O$7-INPUTS!$R$96+1,0)</f>
        <v>0</v>
      </c>
      <c r="P94" s="108" t="n">
        <f aca="false">IF(P93=1,P$7-INPUTS!$R$96+1,0)</f>
        <v>0</v>
      </c>
      <c r="Q94" s="108" t="n">
        <f aca="false">IF(Q93=1,Q$7-INPUTS!$R$96+1,0)</f>
        <v>0</v>
      </c>
      <c r="R94" s="108" t="n">
        <f aca="false">IF(R93=1,R$7-INPUTS!$R$96+1,0)</f>
        <v>0</v>
      </c>
      <c r="S94" s="108" t="n">
        <f aca="false">IF(S93=1,S$7-INPUTS!$R$96+1,0)</f>
        <v>0</v>
      </c>
      <c r="T94" s="108" t="n">
        <f aca="false">IF(T93=1,T$7-INPUTS!$R$96+1,0)</f>
        <v>0</v>
      </c>
      <c r="U94" s="108" t="n">
        <f aca="false">IF(U93=1,U$7-INPUTS!$R$96+1,0)</f>
        <v>0</v>
      </c>
      <c r="V94" s="108" t="n">
        <f aca="false">IF(V93=1,V$7-INPUTS!$R$96+1,0)</f>
        <v>0</v>
      </c>
      <c r="W94" s="108" t="n">
        <f aca="false">IF(W93=1,W$7-INPUTS!$R$96+1,0)</f>
        <v>0</v>
      </c>
      <c r="X94" s="108" t="n">
        <f aca="false">IF(X93=1,X$7-INPUTS!$R$96+1,0)</f>
        <v>0</v>
      </c>
      <c r="Y94" s="108" t="n">
        <f aca="false">IF(Y93=1,Y$7-INPUTS!$R$96+1,0)</f>
        <v>0</v>
      </c>
      <c r="Z94" s="108" t="n">
        <f aca="false">IF(Z93=1,Z$7-INPUTS!$R$96+1,0)</f>
        <v>0</v>
      </c>
      <c r="AA94" s="108" t="n">
        <f aca="false">IF(AA93=1,AA$7-INPUTS!$R$96+1,0)</f>
        <v>0</v>
      </c>
      <c r="AB94" s="108" t="n">
        <f aca="false">IF(AB93=1,AB$7-INPUTS!$R$96+1,0)</f>
        <v>0</v>
      </c>
      <c r="AC94" s="108" t="n">
        <f aca="false">IF(AC93=1,AC$7-INPUTS!$R$96+1,0)</f>
        <v>0</v>
      </c>
      <c r="AD94" s="108" t="n">
        <f aca="false">IF(AD93=1,AD$7-INPUTS!$R$96+1,0)</f>
        <v>0</v>
      </c>
      <c r="AE94" s="108" t="n">
        <f aca="false">IF(AE93=1,AE$7-INPUTS!$R$96+1,0)</f>
        <v>0</v>
      </c>
      <c r="AF94" s="108" t="n">
        <f aca="false">IF(AF93=1,AF$7-INPUTS!$R$96+1,0)</f>
        <v>0</v>
      </c>
      <c r="AG94" s="108" t="n">
        <f aca="false">IF(AG93=1,AG$7-INPUTS!$R$96+1,0)</f>
        <v>0</v>
      </c>
      <c r="AH94" s="108" t="n">
        <f aca="false">IF(AH93=1,AH$7-INPUTS!$R$96+1,0)</f>
        <v>0</v>
      </c>
      <c r="AI94" s="108" t="n">
        <f aca="false">IF(AI93=1,AI$7-INPUTS!$R$96+1,0)</f>
        <v>0</v>
      </c>
      <c r="AJ94" s="108" t="n">
        <f aca="false">IF(AJ93=1,AJ$7-INPUTS!$R$96+1,0)</f>
        <v>0</v>
      </c>
      <c r="AK94" s="108" t="n">
        <f aca="false">IF(AK93=1,AK$7-INPUTS!$R$96+1,0)</f>
        <v>0</v>
      </c>
      <c r="AL94" s="108" t="n">
        <f aca="false">IF(AL93=1,AL$7-INPUTS!$R$96+1,0)</f>
        <v>0</v>
      </c>
      <c r="AM94" s="108" t="n">
        <f aca="false">IF(AM93=1,AM$7-INPUTS!$R$96+1,0)</f>
        <v>0</v>
      </c>
      <c r="AN94" s="108" t="n">
        <f aca="false">IF(AN93=1,AN$7-INPUTS!$R$96+1,0)</f>
        <v>0</v>
      </c>
      <c r="AO94" s="108" t="n">
        <f aca="false">IF(AO93=1,AO$7-INPUTS!$R$96+1,0)</f>
        <v>0</v>
      </c>
      <c r="AP94" s="108" t="n">
        <f aca="false">IF(AP93=1,AP$7-INPUTS!$R$96+1,0)</f>
        <v>0</v>
      </c>
      <c r="AQ94" s="108" t="n">
        <f aca="false">IF(AQ93=1,AQ$7-INPUTS!$R$96+1,0)</f>
        <v>0</v>
      </c>
    </row>
    <row r="95" customFormat="false" ht="15" hidden="false" customHeight="false" outlineLevel="0" collapsed="false">
      <c r="B95" s="3" t="s">
        <v>646</v>
      </c>
      <c r="C95" s="107" t="n">
        <f aca="false">SUM(D95:AQ95)</f>
        <v>0</v>
      </c>
      <c r="D95" s="108" t="n">
        <f aca="false">IF(AND((INPUTS!$E$96="Yes"),D$16=1,D$7&gt;INPUTS!$S$96),1,0)</f>
        <v>0</v>
      </c>
      <c r="E95" s="108" t="n">
        <f aca="false">IF(AND((INPUTS!$E$96="Yes"),E$16=1,E$7&gt;INPUTS!$S$96),1,0)</f>
        <v>0</v>
      </c>
      <c r="F95" s="108" t="n">
        <f aca="false">IF(AND((INPUTS!$E$96="Yes"),F$16=1,F$7&gt;INPUTS!$S$96),1,0)</f>
        <v>0</v>
      </c>
      <c r="G95" s="108" t="n">
        <f aca="false">IF(AND((INPUTS!$E$96="Yes"),G$16=1,G$7&gt;INPUTS!$S$96),1,0)</f>
        <v>0</v>
      </c>
      <c r="H95" s="108" t="n">
        <f aca="false">IF(AND((INPUTS!$E$96="Yes"),H$16=1,H$7&gt;INPUTS!$S$96),1,0)</f>
        <v>0</v>
      </c>
      <c r="I95" s="108" t="n">
        <f aca="false">IF(AND((INPUTS!$E$96="Yes"),I$16=1,I$7&gt;INPUTS!$S$96),1,0)</f>
        <v>0</v>
      </c>
      <c r="J95" s="108" t="n">
        <f aca="false">IF(AND((INPUTS!$E$96="Yes"),J$16=1,J$7&gt;INPUTS!$S$96),1,0)</f>
        <v>0</v>
      </c>
      <c r="K95" s="108" t="n">
        <f aca="false">IF(AND((INPUTS!$E$96="Yes"),K$16=1,K$7&gt;INPUTS!$S$96),1,0)</f>
        <v>0</v>
      </c>
      <c r="L95" s="108" t="n">
        <f aca="false">IF(AND((INPUTS!$E$96="Yes"),L$16=1,L$7&gt;INPUTS!$S$96),1,0)</f>
        <v>0</v>
      </c>
      <c r="M95" s="108" t="n">
        <f aca="false">IF(AND((INPUTS!$E$96="Yes"),M$16=1,M$7&gt;INPUTS!$S$96),1,0)</f>
        <v>0</v>
      </c>
      <c r="N95" s="108" t="n">
        <f aca="false">IF(AND((INPUTS!$E$96="Yes"),N$16=1,N$7&gt;INPUTS!$S$96),1,0)</f>
        <v>0</v>
      </c>
      <c r="O95" s="108" t="n">
        <f aca="false">IF(AND((INPUTS!$E$96="Yes"),O$16=1,O$7&gt;INPUTS!$S$96),1,0)</f>
        <v>0</v>
      </c>
      <c r="P95" s="108" t="n">
        <f aca="false">IF(AND((INPUTS!$E$96="Yes"),P$16=1,P$7&gt;INPUTS!$S$96),1,0)</f>
        <v>0</v>
      </c>
      <c r="Q95" s="108" t="n">
        <f aca="false">IF(AND((INPUTS!$E$96="Yes"),Q$16=1,Q$7&gt;INPUTS!$S$96),1,0)</f>
        <v>0</v>
      </c>
      <c r="R95" s="108" t="n">
        <f aca="false">IF(AND((INPUTS!$E$96="Yes"),R$16=1,R$7&gt;INPUTS!$S$96),1,0)</f>
        <v>0</v>
      </c>
      <c r="S95" s="108" t="n">
        <f aca="false">IF(AND((INPUTS!$E$96="Yes"),S$16=1,S$7&gt;INPUTS!$S$96),1,0)</f>
        <v>0</v>
      </c>
      <c r="T95" s="108" t="n">
        <f aca="false">IF(AND((INPUTS!$E$96="Yes"),T$16=1,T$7&gt;INPUTS!$S$96),1,0)</f>
        <v>0</v>
      </c>
      <c r="U95" s="108" t="n">
        <f aca="false">IF(AND((INPUTS!$E$96="Yes"),U$16=1,U$7&gt;INPUTS!$S$96),1,0)</f>
        <v>0</v>
      </c>
      <c r="V95" s="108" t="n">
        <f aca="false">IF(AND((INPUTS!$E$96="Yes"),V$16=1,V$7&gt;INPUTS!$S$96),1,0)</f>
        <v>0</v>
      </c>
      <c r="W95" s="108" t="n">
        <f aca="false">IF(AND((INPUTS!$E$96="Yes"),W$16=1,W$7&gt;INPUTS!$S$96),1,0)</f>
        <v>0</v>
      </c>
      <c r="X95" s="108" t="n">
        <f aca="false">IF(AND((INPUTS!$E$96="Yes"),X$16=1,X$7&gt;INPUTS!$S$96),1,0)</f>
        <v>0</v>
      </c>
      <c r="Y95" s="108" t="n">
        <f aca="false">IF(AND((INPUTS!$E$96="Yes"),Y$16=1,Y$7&gt;INPUTS!$S$96),1,0)</f>
        <v>0</v>
      </c>
      <c r="Z95" s="108" t="n">
        <f aca="false">IF(AND((INPUTS!$E$96="Yes"),Z$16=1,Z$7&gt;INPUTS!$S$96),1,0)</f>
        <v>0</v>
      </c>
      <c r="AA95" s="108" t="n">
        <f aca="false">IF(AND((INPUTS!$E$96="Yes"),AA$16=1,AA$7&gt;INPUTS!$S$96),1,0)</f>
        <v>0</v>
      </c>
      <c r="AB95" s="108" t="n">
        <f aca="false">IF(AND((INPUTS!$E$96="Yes"),AB$16=1,AB$7&gt;INPUTS!$S$96),1,0)</f>
        <v>0</v>
      </c>
      <c r="AC95" s="108" t="n">
        <f aca="false">IF(AND((INPUTS!$E$96="Yes"),AC$16=1,AC$7&gt;INPUTS!$S$96),1,0)</f>
        <v>0</v>
      </c>
      <c r="AD95" s="108" t="n">
        <f aca="false">IF(AND((INPUTS!$E$96="Yes"),AD$16=1,AD$7&gt;INPUTS!$S$96),1,0)</f>
        <v>0</v>
      </c>
      <c r="AE95" s="108" t="n">
        <f aca="false">IF(AND((INPUTS!$E$96="Yes"),AE$16=1,AE$7&gt;INPUTS!$S$96),1,0)</f>
        <v>0</v>
      </c>
      <c r="AF95" s="108" t="n">
        <f aca="false">IF(AND((INPUTS!$E$96="Yes"),AF$16=1,AF$7&gt;INPUTS!$S$96),1,0)</f>
        <v>0</v>
      </c>
      <c r="AG95" s="108" t="n">
        <f aca="false">IF(AND((INPUTS!$E$96="Yes"),AG$16=1,AG$7&gt;INPUTS!$S$96),1,0)</f>
        <v>0</v>
      </c>
      <c r="AH95" s="108" t="n">
        <f aca="false">IF(AND((INPUTS!$E$96="Yes"),AH$16=1,AH$7&gt;INPUTS!$S$96),1,0)</f>
        <v>0</v>
      </c>
      <c r="AI95" s="108" t="n">
        <f aca="false">IF(AND((INPUTS!$E$96="Yes"),AI$16=1,AI$7&gt;INPUTS!$S$96),1,0)</f>
        <v>0</v>
      </c>
      <c r="AJ95" s="108" t="n">
        <f aca="false">IF(AND((INPUTS!$E$96="Yes"),AJ$16=1,AJ$7&gt;INPUTS!$S$96),1,0)</f>
        <v>0</v>
      </c>
      <c r="AK95" s="108" t="n">
        <f aca="false">IF(AND((INPUTS!$E$96="Yes"),AK$16=1,AK$7&gt;INPUTS!$S$96),1,0)</f>
        <v>0</v>
      </c>
      <c r="AL95" s="108" t="n">
        <f aca="false">IF(AND((INPUTS!$E$96="Yes"),AL$16=1,AL$7&gt;INPUTS!$S$96),1,0)</f>
        <v>0</v>
      </c>
      <c r="AM95" s="108" t="n">
        <f aca="false">IF(AND((INPUTS!$E$96="Yes"),AM$16=1,AM$7&gt;INPUTS!$S$96),1,0)</f>
        <v>0</v>
      </c>
      <c r="AN95" s="108" t="n">
        <f aca="false">IF(AND((INPUTS!$E$96="Yes"),AN$16=1,AN$7&gt;INPUTS!$S$96),1,0)</f>
        <v>0</v>
      </c>
      <c r="AO95" s="108" t="n">
        <f aca="false">IF(AND((INPUTS!$E$96="Yes"),AO$16=1,AO$7&gt;INPUTS!$S$96),1,0)</f>
        <v>0</v>
      </c>
      <c r="AP95" s="108" t="n">
        <f aca="false">IF(AND((INPUTS!$E$96="Yes"),AP$16=1,AP$7&gt;INPUTS!$S$96),1,0)</f>
        <v>0</v>
      </c>
      <c r="AQ95" s="108" t="n">
        <f aca="false">IF(AND((INPUTS!$E$96="Yes"),AQ$16=1,AQ$7&gt;INPUTS!$S$96),1,0)</f>
        <v>0</v>
      </c>
    </row>
    <row r="96" customFormat="false" ht="15" hidden="false" customHeight="false" outlineLevel="0" collapsed="false">
      <c r="B96" s="17" t="s">
        <v>647</v>
      </c>
      <c r="C96" s="105" t="str">
        <f aca="false">IF(INPUTS!$E$96&lt;&gt;"Yes","Off",IF(OR(NOT(ISNUMBER(INPUTS!$P$96)),NOT(ISNUMBER(INPUTS!$Q$96)),NOT(ISNUMBER(INPUTS!$R$96)),NOT(ISNUMBER(INPUTS!$S$96))),"ERROR",IF(AND(C91=INPUTS!$Q$96-INPUTS!$P$96+1,C93=INPUTS!$S$96-INPUTS!$R$96+1,C95=MAX(0,INPUTS!$C$24-INPUTS!$S$96)),"OK","ERROR")))</f>
        <v>Off</v>
      </c>
    </row>
    <row r="97" customFormat="false" ht="15" hidden="false" customHeight="false" outlineLevel="0" collapsed="false">
      <c r="B97" s="110" t="str">
        <f aca="false">IF(INPUTS!$E$97="Yes",INPUTS!$B$97,"Product row 10 (off)")</f>
        <v>Product row 10 (off)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</row>
    <row r="98" customFormat="false" ht="15" hidden="false" customHeight="false" outlineLevel="0" collapsed="false">
      <c r="B98" s="3" t="s">
        <v>642</v>
      </c>
      <c r="C98" s="107" t="n">
        <f aca="false">SUM(D98:AQ98)</f>
        <v>0</v>
      </c>
      <c r="D98" s="108" t="n">
        <f aca="false">IF(AND((INPUTS!$E$97="Yes"),D$16=1,D$7&gt;=INPUTS!$P$97,D$7&lt;=INPUTS!$Q$97),1,0)</f>
        <v>0</v>
      </c>
      <c r="E98" s="108" t="n">
        <f aca="false">IF(AND((INPUTS!$E$97="Yes"),E$16=1,E$7&gt;=INPUTS!$P$97,E$7&lt;=INPUTS!$Q$97),1,0)</f>
        <v>0</v>
      </c>
      <c r="F98" s="108" t="n">
        <f aca="false">IF(AND((INPUTS!$E$97="Yes"),F$16=1,F$7&gt;=INPUTS!$P$97,F$7&lt;=INPUTS!$Q$97),1,0)</f>
        <v>0</v>
      </c>
      <c r="G98" s="108" t="n">
        <f aca="false">IF(AND((INPUTS!$E$97="Yes"),G$16=1,G$7&gt;=INPUTS!$P$97,G$7&lt;=INPUTS!$Q$97),1,0)</f>
        <v>0</v>
      </c>
      <c r="H98" s="108" t="n">
        <f aca="false">IF(AND((INPUTS!$E$97="Yes"),H$16=1,H$7&gt;=INPUTS!$P$97,H$7&lt;=INPUTS!$Q$97),1,0)</f>
        <v>0</v>
      </c>
      <c r="I98" s="108" t="n">
        <f aca="false">IF(AND((INPUTS!$E$97="Yes"),I$16=1,I$7&gt;=INPUTS!$P$97,I$7&lt;=INPUTS!$Q$97),1,0)</f>
        <v>0</v>
      </c>
      <c r="J98" s="108" t="n">
        <f aca="false">IF(AND((INPUTS!$E$97="Yes"),J$16=1,J$7&gt;=INPUTS!$P$97,J$7&lt;=INPUTS!$Q$97),1,0)</f>
        <v>0</v>
      </c>
      <c r="K98" s="108" t="n">
        <f aca="false">IF(AND((INPUTS!$E$97="Yes"),K$16=1,K$7&gt;=INPUTS!$P$97,K$7&lt;=INPUTS!$Q$97),1,0)</f>
        <v>0</v>
      </c>
      <c r="L98" s="108" t="n">
        <f aca="false">IF(AND((INPUTS!$E$97="Yes"),L$16=1,L$7&gt;=INPUTS!$P$97,L$7&lt;=INPUTS!$Q$97),1,0)</f>
        <v>0</v>
      </c>
      <c r="M98" s="108" t="n">
        <f aca="false">IF(AND((INPUTS!$E$97="Yes"),M$16=1,M$7&gt;=INPUTS!$P$97,M$7&lt;=INPUTS!$Q$97),1,0)</f>
        <v>0</v>
      </c>
      <c r="N98" s="108" t="n">
        <f aca="false">IF(AND((INPUTS!$E$97="Yes"),N$16=1,N$7&gt;=INPUTS!$P$97,N$7&lt;=INPUTS!$Q$97),1,0)</f>
        <v>0</v>
      </c>
      <c r="O98" s="108" t="n">
        <f aca="false">IF(AND((INPUTS!$E$97="Yes"),O$16=1,O$7&gt;=INPUTS!$P$97,O$7&lt;=INPUTS!$Q$97),1,0)</f>
        <v>0</v>
      </c>
      <c r="P98" s="108" t="n">
        <f aca="false">IF(AND((INPUTS!$E$97="Yes"),P$16=1,P$7&gt;=INPUTS!$P$97,P$7&lt;=INPUTS!$Q$97),1,0)</f>
        <v>0</v>
      </c>
      <c r="Q98" s="108" t="n">
        <f aca="false">IF(AND((INPUTS!$E$97="Yes"),Q$16=1,Q$7&gt;=INPUTS!$P$97,Q$7&lt;=INPUTS!$Q$97),1,0)</f>
        <v>0</v>
      </c>
      <c r="R98" s="108" t="n">
        <f aca="false">IF(AND((INPUTS!$E$97="Yes"),R$16=1,R$7&gt;=INPUTS!$P$97,R$7&lt;=INPUTS!$Q$97),1,0)</f>
        <v>0</v>
      </c>
      <c r="S98" s="108" t="n">
        <f aca="false">IF(AND((INPUTS!$E$97="Yes"),S$16=1,S$7&gt;=INPUTS!$P$97,S$7&lt;=INPUTS!$Q$97),1,0)</f>
        <v>0</v>
      </c>
      <c r="T98" s="108" t="n">
        <f aca="false">IF(AND((INPUTS!$E$97="Yes"),T$16=1,T$7&gt;=INPUTS!$P$97,T$7&lt;=INPUTS!$Q$97),1,0)</f>
        <v>0</v>
      </c>
      <c r="U98" s="108" t="n">
        <f aca="false">IF(AND((INPUTS!$E$97="Yes"),U$16=1,U$7&gt;=INPUTS!$P$97,U$7&lt;=INPUTS!$Q$97),1,0)</f>
        <v>0</v>
      </c>
      <c r="V98" s="108" t="n">
        <f aca="false">IF(AND((INPUTS!$E$97="Yes"),V$16=1,V$7&gt;=INPUTS!$P$97,V$7&lt;=INPUTS!$Q$97),1,0)</f>
        <v>0</v>
      </c>
      <c r="W98" s="108" t="n">
        <f aca="false">IF(AND((INPUTS!$E$97="Yes"),W$16=1,W$7&gt;=INPUTS!$P$97,W$7&lt;=INPUTS!$Q$97),1,0)</f>
        <v>0</v>
      </c>
      <c r="X98" s="108" t="n">
        <f aca="false">IF(AND((INPUTS!$E$97="Yes"),X$16=1,X$7&gt;=INPUTS!$P$97,X$7&lt;=INPUTS!$Q$97),1,0)</f>
        <v>0</v>
      </c>
      <c r="Y98" s="108" t="n">
        <f aca="false">IF(AND((INPUTS!$E$97="Yes"),Y$16=1,Y$7&gt;=INPUTS!$P$97,Y$7&lt;=INPUTS!$Q$97),1,0)</f>
        <v>0</v>
      </c>
      <c r="Z98" s="108" t="n">
        <f aca="false">IF(AND((INPUTS!$E$97="Yes"),Z$16=1,Z$7&gt;=INPUTS!$P$97,Z$7&lt;=INPUTS!$Q$97),1,0)</f>
        <v>0</v>
      </c>
      <c r="AA98" s="108" t="n">
        <f aca="false">IF(AND((INPUTS!$E$97="Yes"),AA$16=1,AA$7&gt;=INPUTS!$P$97,AA$7&lt;=INPUTS!$Q$97),1,0)</f>
        <v>0</v>
      </c>
      <c r="AB98" s="108" t="n">
        <f aca="false">IF(AND((INPUTS!$E$97="Yes"),AB$16=1,AB$7&gt;=INPUTS!$P$97,AB$7&lt;=INPUTS!$Q$97),1,0)</f>
        <v>0</v>
      </c>
      <c r="AC98" s="108" t="n">
        <f aca="false">IF(AND((INPUTS!$E$97="Yes"),AC$16=1,AC$7&gt;=INPUTS!$P$97,AC$7&lt;=INPUTS!$Q$97),1,0)</f>
        <v>0</v>
      </c>
      <c r="AD98" s="108" t="n">
        <f aca="false">IF(AND((INPUTS!$E$97="Yes"),AD$16=1,AD$7&gt;=INPUTS!$P$97,AD$7&lt;=INPUTS!$Q$97),1,0)</f>
        <v>0</v>
      </c>
      <c r="AE98" s="108" t="n">
        <f aca="false">IF(AND((INPUTS!$E$97="Yes"),AE$16=1,AE$7&gt;=INPUTS!$P$97,AE$7&lt;=INPUTS!$Q$97),1,0)</f>
        <v>0</v>
      </c>
      <c r="AF98" s="108" t="n">
        <f aca="false">IF(AND((INPUTS!$E$97="Yes"),AF$16=1,AF$7&gt;=INPUTS!$P$97,AF$7&lt;=INPUTS!$Q$97),1,0)</f>
        <v>0</v>
      </c>
      <c r="AG98" s="108" t="n">
        <f aca="false">IF(AND((INPUTS!$E$97="Yes"),AG$16=1,AG$7&gt;=INPUTS!$P$97,AG$7&lt;=INPUTS!$Q$97),1,0)</f>
        <v>0</v>
      </c>
      <c r="AH98" s="108" t="n">
        <f aca="false">IF(AND((INPUTS!$E$97="Yes"),AH$16=1,AH$7&gt;=INPUTS!$P$97,AH$7&lt;=INPUTS!$Q$97),1,0)</f>
        <v>0</v>
      </c>
      <c r="AI98" s="108" t="n">
        <f aca="false">IF(AND((INPUTS!$E$97="Yes"),AI$16=1,AI$7&gt;=INPUTS!$P$97,AI$7&lt;=INPUTS!$Q$97),1,0)</f>
        <v>0</v>
      </c>
      <c r="AJ98" s="108" t="n">
        <f aca="false">IF(AND((INPUTS!$E$97="Yes"),AJ$16=1,AJ$7&gt;=INPUTS!$P$97,AJ$7&lt;=INPUTS!$Q$97),1,0)</f>
        <v>0</v>
      </c>
      <c r="AK98" s="108" t="n">
        <f aca="false">IF(AND((INPUTS!$E$97="Yes"),AK$16=1,AK$7&gt;=INPUTS!$P$97,AK$7&lt;=INPUTS!$Q$97),1,0)</f>
        <v>0</v>
      </c>
      <c r="AL98" s="108" t="n">
        <f aca="false">IF(AND((INPUTS!$E$97="Yes"),AL$16=1,AL$7&gt;=INPUTS!$P$97,AL$7&lt;=INPUTS!$Q$97),1,0)</f>
        <v>0</v>
      </c>
      <c r="AM98" s="108" t="n">
        <f aca="false">IF(AND((INPUTS!$E$97="Yes"),AM$16=1,AM$7&gt;=INPUTS!$P$97,AM$7&lt;=INPUTS!$Q$97),1,0)</f>
        <v>0</v>
      </c>
      <c r="AN98" s="108" t="n">
        <f aca="false">IF(AND((INPUTS!$E$97="Yes"),AN$16=1,AN$7&gt;=INPUTS!$P$97,AN$7&lt;=INPUTS!$Q$97),1,0)</f>
        <v>0</v>
      </c>
      <c r="AO98" s="108" t="n">
        <f aca="false">IF(AND((INPUTS!$E$97="Yes"),AO$16=1,AO$7&gt;=INPUTS!$P$97,AO$7&lt;=INPUTS!$Q$97),1,0)</f>
        <v>0</v>
      </c>
      <c r="AP98" s="108" t="n">
        <f aca="false">IF(AND((INPUTS!$E$97="Yes"),AP$16=1,AP$7&gt;=INPUTS!$P$97,AP$7&lt;=INPUTS!$Q$97),1,0)</f>
        <v>0</v>
      </c>
      <c r="AQ98" s="108" t="n">
        <f aca="false">IF(AND((INPUTS!$E$97="Yes"),AQ$16=1,AQ$7&gt;=INPUTS!$P$97,AQ$7&lt;=INPUTS!$Q$97),1,0)</f>
        <v>0</v>
      </c>
    </row>
    <row r="99" customFormat="false" ht="15" hidden="false" customHeight="false" outlineLevel="0" collapsed="false">
      <c r="B99" s="3" t="s">
        <v>643</v>
      </c>
      <c r="C99" s="107" t="n">
        <f aca="false">MAX(D99:AQ99)</f>
        <v>0</v>
      </c>
      <c r="D99" s="108" t="n">
        <f aca="false">IF(D98=1,D$7-INPUTS!$P$97+1,0)</f>
        <v>0</v>
      </c>
      <c r="E99" s="108" t="n">
        <f aca="false">IF(E98=1,E$7-INPUTS!$P$97+1,0)</f>
        <v>0</v>
      </c>
      <c r="F99" s="108" t="n">
        <f aca="false">IF(F98=1,F$7-INPUTS!$P$97+1,0)</f>
        <v>0</v>
      </c>
      <c r="G99" s="108" t="n">
        <f aca="false">IF(G98=1,G$7-INPUTS!$P$97+1,0)</f>
        <v>0</v>
      </c>
      <c r="H99" s="108" t="n">
        <f aca="false">IF(H98=1,H$7-INPUTS!$P$97+1,0)</f>
        <v>0</v>
      </c>
      <c r="I99" s="108" t="n">
        <f aca="false">IF(I98=1,I$7-INPUTS!$P$97+1,0)</f>
        <v>0</v>
      </c>
      <c r="J99" s="108" t="n">
        <f aca="false">IF(J98=1,J$7-INPUTS!$P$97+1,0)</f>
        <v>0</v>
      </c>
      <c r="K99" s="108" t="n">
        <f aca="false">IF(K98=1,K$7-INPUTS!$P$97+1,0)</f>
        <v>0</v>
      </c>
      <c r="L99" s="108" t="n">
        <f aca="false">IF(L98=1,L$7-INPUTS!$P$97+1,0)</f>
        <v>0</v>
      </c>
      <c r="M99" s="108" t="n">
        <f aca="false">IF(M98=1,M$7-INPUTS!$P$97+1,0)</f>
        <v>0</v>
      </c>
      <c r="N99" s="108" t="n">
        <f aca="false">IF(N98=1,N$7-INPUTS!$P$97+1,0)</f>
        <v>0</v>
      </c>
      <c r="O99" s="108" t="n">
        <f aca="false">IF(O98=1,O$7-INPUTS!$P$97+1,0)</f>
        <v>0</v>
      </c>
      <c r="P99" s="108" t="n">
        <f aca="false">IF(P98=1,P$7-INPUTS!$P$97+1,0)</f>
        <v>0</v>
      </c>
      <c r="Q99" s="108" t="n">
        <f aca="false">IF(Q98=1,Q$7-INPUTS!$P$97+1,0)</f>
        <v>0</v>
      </c>
      <c r="R99" s="108" t="n">
        <f aca="false">IF(R98=1,R$7-INPUTS!$P$97+1,0)</f>
        <v>0</v>
      </c>
      <c r="S99" s="108" t="n">
        <f aca="false">IF(S98=1,S$7-INPUTS!$P$97+1,0)</f>
        <v>0</v>
      </c>
      <c r="T99" s="108" t="n">
        <f aca="false">IF(T98=1,T$7-INPUTS!$P$97+1,0)</f>
        <v>0</v>
      </c>
      <c r="U99" s="108" t="n">
        <f aca="false">IF(U98=1,U$7-INPUTS!$P$97+1,0)</f>
        <v>0</v>
      </c>
      <c r="V99" s="108" t="n">
        <f aca="false">IF(V98=1,V$7-INPUTS!$P$97+1,0)</f>
        <v>0</v>
      </c>
      <c r="W99" s="108" t="n">
        <f aca="false">IF(W98=1,W$7-INPUTS!$P$97+1,0)</f>
        <v>0</v>
      </c>
      <c r="X99" s="108" t="n">
        <f aca="false">IF(X98=1,X$7-INPUTS!$P$97+1,0)</f>
        <v>0</v>
      </c>
      <c r="Y99" s="108" t="n">
        <f aca="false">IF(Y98=1,Y$7-INPUTS!$P$97+1,0)</f>
        <v>0</v>
      </c>
      <c r="Z99" s="108" t="n">
        <f aca="false">IF(Z98=1,Z$7-INPUTS!$P$97+1,0)</f>
        <v>0</v>
      </c>
      <c r="AA99" s="108" t="n">
        <f aca="false">IF(AA98=1,AA$7-INPUTS!$P$97+1,0)</f>
        <v>0</v>
      </c>
      <c r="AB99" s="108" t="n">
        <f aca="false">IF(AB98=1,AB$7-INPUTS!$P$97+1,0)</f>
        <v>0</v>
      </c>
      <c r="AC99" s="108" t="n">
        <f aca="false">IF(AC98=1,AC$7-INPUTS!$P$97+1,0)</f>
        <v>0</v>
      </c>
      <c r="AD99" s="108" t="n">
        <f aca="false">IF(AD98=1,AD$7-INPUTS!$P$97+1,0)</f>
        <v>0</v>
      </c>
      <c r="AE99" s="108" t="n">
        <f aca="false">IF(AE98=1,AE$7-INPUTS!$P$97+1,0)</f>
        <v>0</v>
      </c>
      <c r="AF99" s="108" t="n">
        <f aca="false">IF(AF98=1,AF$7-INPUTS!$P$97+1,0)</f>
        <v>0</v>
      </c>
      <c r="AG99" s="108" t="n">
        <f aca="false">IF(AG98=1,AG$7-INPUTS!$P$97+1,0)</f>
        <v>0</v>
      </c>
      <c r="AH99" s="108" t="n">
        <f aca="false">IF(AH98=1,AH$7-INPUTS!$P$97+1,0)</f>
        <v>0</v>
      </c>
      <c r="AI99" s="108" t="n">
        <f aca="false">IF(AI98=1,AI$7-INPUTS!$P$97+1,0)</f>
        <v>0</v>
      </c>
      <c r="AJ99" s="108" t="n">
        <f aca="false">IF(AJ98=1,AJ$7-INPUTS!$P$97+1,0)</f>
        <v>0</v>
      </c>
      <c r="AK99" s="108" t="n">
        <f aca="false">IF(AK98=1,AK$7-INPUTS!$P$97+1,0)</f>
        <v>0</v>
      </c>
      <c r="AL99" s="108" t="n">
        <f aca="false">IF(AL98=1,AL$7-INPUTS!$P$97+1,0)</f>
        <v>0</v>
      </c>
      <c r="AM99" s="108" t="n">
        <f aca="false">IF(AM98=1,AM$7-INPUTS!$P$97+1,0)</f>
        <v>0</v>
      </c>
      <c r="AN99" s="108" t="n">
        <f aca="false">IF(AN98=1,AN$7-INPUTS!$P$97+1,0)</f>
        <v>0</v>
      </c>
      <c r="AO99" s="108" t="n">
        <f aca="false">IF(AO98=1,AO$7-INPUTS!$P$97+1,0)</f>
        <v>0</v>
      </c>
      <c r="AP99" s="108" t="n">
        <f aca="false">IF(AP98=1,AP$7-INPUTS!$P$97+1,0)</f>
        <v>0</v>
      </c>
      <c r="AQ99" s="108" t="n">
        <f aca="false">IF(AQ98=1,AQ$7-INPUTS!$P$97+1,0)</f>
        <v>0</v>
      </c>
    </row>
    <row r="100" customFormat="false" ht="15" hidden="false" customHeight="false" outlineLevel="0" collapsed="false">
      <c r="B100" s="3" t="s">
        <v>644</v>
      </c>
      <c r="C100" s="107" t="n">
        <f aca="false">SUM(D100:AQ100)</f>
        <v>0</v>
      </c>
      <c r="D100" s="108" t="n">
        <f aca="false">IF(AND((INPUTS!$E$97="Yes"),D$16=1,D$7&gt;=INPUTS!$R$97,D$7&lt;=INPUTS!$S$97),1,0)</f>
        <v>0</v>
      </c>
      <c r="E100" s="108" t="n">
        <f aca="false">IF(AND((INPUTS!$E$97="Yes"),E$16=1,E$7&gt;=INPUTS!$R$97,E$7&lt;=INPUTS!$S$97),1,0)</f>
        <v>0</v>
      </c>
      <c r="F100" s="108" t="n">
        <f aca="false">IF(AND((INPUTS!$E$97="Yes"),F$16=1,F$7&gt;=INPUTS!$R$97,F$7&lt;=INPUTS!$S$97),1,0)</f>
        <v>0</v>
      </c>
      <c r="G100" s="108" t="n">
        <f aca="false">IF(AND((INPUTS!$E$97="Yes"),G$16=1,G$7&gt;=INPUTS!$R$97,G$7&lt;=INPUTS!$S$97),1,0)</f>
        <v>0</v>
      </c>
      <c r="H100" s="108" t="n">
        <f aca="false">IF(AND((INPUTS!$E$97="Yes"),H$16=1,H$7&gt;=INPUTS!$R$97,H$7&lt;=INPUTS!$S$97),1,0)</f>
        <v>0</v>
      </c>
      <c r="I100" s="108" t="n">
        <f aca="false">IF(AND((INPUTS!$E$97="Yes"),I$16=1,I$7&gt;=INPUTS!$R$97,I$7&lt;=INPUTS!$S$97),1,0)</f>
        <v>0</v>
      </c>
      <c r="J100" s="108" t="n">
        <f aca="false">IF(AND((INPUTS!$E$97="Yes"),J$16=1,J$7&gt;=INPUTS!$R$97,J$7&lt;=INPUTS!$S$97),1,0)</f>
        <v>0</v>
      </c>
      <c r="K100" s="108" t="n">
        <f aca="false">IF(AND((INPUTS!$E$97="Yes"),K$16=1,K$7&gt;=INPUTS!$R$97,K$7&lt;=INPUTS!$S$97),1,0)</f>
        <v>0</v>
      </c>
      <c r="L100" s="108" t="n">
        <f aca="false">IF(AND((INPUTS!$E$97="Yes"),L$16=1,L$7&gt;=INPUTS!$R$97,L$7&lt;=INPUTS!$S$97),1,0)</f>
        <v>0</v>
      </c>
      <c r="M100" s="108" t="n">
        <f aca="false">IF(AND((INPUTS!$E$97="Yes"),M$16=1,M$7&gt;=INPUTS!$R$97,M$7&lt;=INPUTS!$S$97),1,0)</f>
        <v>0</v>
      </c>
      <c r="N100" s="108" t="n">
        <f aca="false">IF(AND((INPUTS!$E$97="Yes"),N$16=1,N$7&gt;=INPUTS!$R$97,N$7&lt;=INPUTS!$S$97),1,0)</f>
        <v>0</v>
      </c>
      <c r="O100" s="108" t="n">
        <f aca="false">IF(AND((INPUTS!$E$97="Yes"),O$16=1,O$7&gt;=INPUTS!$R$97,O$7&lt;=INPUTS!$S$97),1,0)</f>
        <v>0</v>
      </c>
      <c r="P100" s="108" t="n">
        <f aca="false">IF(AND((INPUTS!$E$97="Yes"),P$16=1,P$7&gt;=INPUTS!$R$97,P$7&lt;=INPUTS!$S$97),1,0)</f>
        <v>0</v>
      </c>
      <c r="Q100" s="108" t="n">
        <f aca="false">IF(AND((INPUTS!$E$97="Yes"),Q$16=1,Q$7&gt;=INPUTS!$R$97,Q$7&lt;=INPUTS!$S$97),1,0)</f>
        <v>0</v>
      </c>
      <c r="R100" s="108" t="n">
        <f aca="false">IF(AND((INPUTS!$E$97="Yes"),R$16=1,R$7&gt;=INPUTS!$R$97,R$7&lt;=INPUTS!$S$97),1,0)</f>
        <v>0</v>
      </c>
      <c r="S100" s="108" t="n">
        <f aca="false">IF(AND((INPUTS!$E$97="Yes"),S$16=1,S$7&gt;=INPUTS!$R$97,S$7&lt;=INPUTS!$S$97),1,0)</f>
        <v>0</v>
      </c>
      <c r="T100" s="108" t="n">
        <f aca="false">IF(AND((INPUTS!$E$97="Yes"),T$16=1,T$7&gt;=INPUTS!$R$97,T$7&lt;=INPUTS!$S$97),1,0)</f>
        <v>0</v>
      </c>
      <c r="U100" s="108" t="n">
        <f aca="false">IF(AND((INPUTS!$E$97="Yes"),U$16=1,U$7&gt;=INPUTS!$R$97,U$7&lt;=INPUTS!$S$97),1,0)</f>
        <v>0</v>
      </c>
      <c r="V100" s="108" t="n">
        <f aca="false">IF(AND((INPUTS!$E$97="Yes"),V$16=1,V$7&gt;=INPUTS!$R$97,V$7&lt;=INPUTS!$S$97),1,0)</f>
        <v>0</v>
      </c>
      <c r="W100" s="108" t="n">
        <f aca="false">IF(AND((INPUTS!$E$97="Yes"),W$16=1,W$7&gt;=INPUTS!$R$97,W$7&lt;=INPUTS!$S$97),1,0)</f>
        <v>0</v>
      </c>
      <c r="X100" s="108" t="n">
        <f aca="false">IF(AND((INPUTS!$E$97="Yes"),X$16=1,X$7&gt;=INPUTS!$R$97,X$7&lt;=INPUTS!$S$97),1,0)</f>
        <v>0</v>
      </c>
      <c r="Y100" s="108" t="n">
        <f aca="false">IF(AND((INPUTS!$E$97="Yes"),Y$16=1,Y$7&gt;=INPUTS!$R$97,Y$7&lt;=INPUTS!$S$97),1,0)</f>
        <v>0</v>
      </c>
      <c r="Z100" s="108" t="n">
        <f aca="false">IF(AND((INPUTS!$E$97="Yes"),Z$16=1,Z$7&gt;=INPUTS!$R$97,Z$7&lt;=INPUTS!$S$97),1,0)</f>
        <v>0</v>
      </c>
      <c r="AA100" s="108" t="n">
        <f aca="false">IF(AND((INPUTS!$E$97="Yes"),AA$16=1,AA$7&gt;=INPUTS!$R$97,AA$7&lt;=INPUTS!$S$97),1,0)</f>
        <v>0</v>
      </c>
      <c r="AB100" s="108" t="n">
        <f aca="false">IF(AND((INPUTS!$E$97="Yes"),AB$16=1,AB$7&gt;=INPUTS!$R$97,AB$7&lt;=INPUTS!$S$97),1,0)</f>
        <v>0</v>
      </c>
      <c r="AC100" s="108" t="n">
        <f aca="false">IF(AND((INPUTS!$E$97="Yes"),AC$16=1,AC$7&gt;=INPUTS!$R$97,AC$7&lt;=INPUTS!$S$97),1,0)</f>
        <v>0</v>
      </c>
      <c r="AD100" s="108" t="n">
        <f aca="false">IF(AND((INPUTS!$E$97="Yes"),AD$16=1,AD$7&gt;=INPUTS!$R$97,AD$7&lt;=INPUTS!$S$97),1,0)</f>
        <v>0</v>
      </c>
      <c r="AE100" s="108" t="n">
        <f aca="false">IF(AND((INPUTS!$E$97="Yes"),AE$16=1,AE$7&gt;=INPUTS!$R$97,AE$7&lt;=INPUTS!$S$97),1,0)</f>
        <v>0</v>
      </c>
      <c r="AF100" s="108" t="n">
        <f aca="false">IF(AND((INPUTS!$E$97="Yes"),AF$16=1,AF$7&gt;=INPUTS!$R$97,AF$7&lt;=INPUTS!$S$97),1,0)</f>
        <v>0</v>
      </c>
      <c r="AG100" s="108" t="n">
        <f aca="false">IF(AND((INPUTS!$E$97="Yes"),AG$16=1,AG$7&gt;=INPUTS!$R$97,AG$7&lt;=INPUTS!$S$97),1,0)</f>
        <v>0</v>
      </c>
      <c r="AH100" s="108" t="n">
        <f aca="false">IF(AND((INPUTS!$E$97="Yes"),AH$16=1,AH$7&gt;=INPUTS!$R$97,AH$7&lt;=INPUTS!$S$97),1,0)</f>
        <v>0</v>
      </c>
      <c r="AI100" s="108" t="n">
        <f aca="false">IF(AND((INPUTS!$E$97="Yes"),AI$16=1,AI$7&gt;=INPUTS!$R$97,AI$7&lt;=INPUTS!$S$97),1,0)</f>
        <v>0</v>
      </c>
      <c r="AJ100" s="108" t="n">
        <f aca="false">IF(AND((INPUTS!$E$97="Yes"),AJ$16=1,AJ$7&gt;=INPUTS!$R$97,AJ$7&lt;=INPUTS!$S$97),1,0)</f>
        <v>0</v>
      </c>
      <c r="AK100" s="108" t="n">
        <f aca="false">IF(AND((INPUTS!$E$97="Yes"),AK$16=1,AK$7&gt;=INPUTS!$R$97,AK$7&lt;=INPUTS!$S$97),1,0)</f>
        <v>0</v>
      </c>
      <c r="AL100" s="108" t="n">
        <f aca="false">IF(AND((INPUTS!$E$97="Yes"),AL$16=1,AL$7&gt;=INPUTS!$R$97,AL$7&lt;=INPUTS!$S$97),1,0)</f>
        <v>0</v>
      </c>
      <c r="AM100" s="108" t="n">
        <f aca="false">IF(AND((INPUTS!$E$97="Yes"),AM$16=1,AM$7&gt;=INPUTS!$R$97,AM$7&lt;=INPUTS!$S$97),1,0)</f>
        <v>0</v>
      </c>
      <c r="AN100" s="108" t="n">
        <f aca="false">IF(AND((INPUTS!$E$97="Yes"),AN$16=1,AN$7&gt;=INPUTS!$R$97,AN$7&lt;=INPUTS!$S$97),1,0)</f>
        <v>0</v>
      </c>
      <c r="AO100" s="108" t="n">
        <f aca="false">IF(AND((INPUTS!$E$97="Yes"),AO$16=1,AO$7&gt;=INPUTS!$R$97,AO$7&lt;=INPUTS!$S$97),1,0)</f>
        <v>0</v>
      </c>
      <c r="AP100" s="108" t="n">
        <f aca="false">IF(AND((INPUTS!$E$97="Yes"),AP$16=1,AP$7&gt;=INPUTS!$R$97,AP$7&lt;=INPUTS!$S$97),1,0)</f>
        <v>0</v>
      </c>
      <c r="AQ100" s="108" t="n">
        <f aca="false">IF(AND((INPUTS!$E$97="Yes"),AQ$16=1,AQ$7&gt;=INPUTS!$R$97,AQ$7&lt;=INPUTS!$S$97),1,0)</f>
        <v>0</v>
      </c>
    </row>
    <row r="101" customFormat="false" ht="15" hidden="false" customHeight="false" outlineLevel="0" collapsed="false">
      <c r="B101" s="3" t="s">
        <v>645</v>
      </c>
      <c r="C101" s="107" t="n">
        <f aca="false">MAX(D101:AQ101)</f>
        <v>0</v>
      </c>
      <c r="D101" s="108" t="n">
        <f aca="false">IF(D100=1,D$7-INPUTS!$R$97+1,0)</f>
        <v>0</v>
      </c>
      <c r="E101" s="108" t="n">
        <f aca="false">IF(E100=1,E$7-INPUTS!$R$97+1,0)</f>
        <v>0</v>
      </c>
      <c r="F101" s="108" t="n">
        <f aca="false">IF(F100=1,F$7-INPUTS!$R$97+1,0)</f>
        <v>0</v>
      </c>
      <c r="G101" s="108" t="n">
        <f aca="false">IF(G100=1,G$7-INPUTS!$R$97+1,0)</f>
        <v>0</v>
      </c>
      <c r="H101" s="108" t="n">
        <f aca="false">IF(H100=1,H$7-INPUTS!$R$97+1,0)</f>
        <v>0</v>
      </c>
      <c r="I101" s="108" t="n">
        <f aca="false">IF(I100=1,I$7-INPUTS!$R$97+1,0)</f>
        <v>0</v>
      </c>
      <c r="J101" s="108" t="n">
        <f aca="false">IF(J100=1,J$7-INPUTS!$R$97+1,0)</f>
        <v>0</v>
      </c>
      <c r="K101" s="108" t="n">
        <f aca="false">IF(K100=1,K$7-INPUTS!$R$97+1,0)</f>
        <v>0</v>
      </c>
      <c r="L101" s="108" t="n">
        <f aca="false">IF(L100=1,L$7-INPUTS!$R$97+1,0)</f>
        <v>0</v>
      </c>
      <c r="M101" s="108" t="n">
        <f aca="false">IF(M100=1,M$7-INPUTS!$R$97+1,0)</f>
        <v>0</v>
      </c>
      <c r="N101" s="108" t="n">
        <f aca="false">IF(N100=1,N$7-INPUTS!$R$97+1,0)</f>
        <v>0</v>
      </c>
      <c r="O101" s="108" t="n">
        <f aca="false">IF(O100=1,O$7-INPUTS!$R$97+1,0)</f>
        <v>0</v>
      </c>
      <c r="P101" s="108" t="n">
        <f aca="false">IF(P100=1,P$7-INPUTS!$R$97+1,0)</f>
        <v>0</v>
      </c>
      <c r="Q101" s="108" t="n">
        <f aca="false">IF(Q100=1,Q$7-INPUTS!$R$97+1,0)</f>
        <v>0</v>
      </c>
      <c r="R101" s="108" t="n">
        <f aca="false">IF(R100=1,R$7-INPUTS!$R$97+1,0)</f>
        <v>0</v>
      </c>
      <c r="S101" s="108" t="n">
        <f aca="false">IF(S100=1,S$7-INPUTS!$R$97+1,0)</f>
        <v>0</v>
      </c>
      <c r="T101" s="108" t="n">
        <f aca="false">IF(T100=1,T$7-INPUTS!$R$97+1,0)</f>
        <v>0</v>
      </c>
      <c r="U101" s="108" t="n">
        <f aca="false">IF(U100=1,U$7-INPUTS!$R$97+1,0)</f>
        <v>0</v>
      </c>
      <c r="V101" s="108" t="n">
        <f aca="false">IF(V100=1,V$7-INPUTS!$R$97+1,0)</f>
        <v>0</v>
      </c>
      <c r="W101" s="108" t="n">
        <f aca="false">IF(W100=1,W$7-INPUTS!$R$97+1,0)</f>
        <v>0</v>
      </c>
      <c r="X101" s="108" t="n">
        <f aca="false">IF(X100=1,X$7-INPUTS!$R$97+1,0)</f>
        <v>0</v>
      </c>
      <c r="Y101" s="108" t="n">
        <f aca="false">IF(Y100=1,Y$7-INPUTS!$R$97+1,0)</f>
        <v>0</v>
      </c>
      <c r="Z101" s="108" t="n">
        <f aca="false">IF(Z100=1,Z$7-INPUTS!$R$97+1,0)</f>
        <v>0</v>
      </c>
      <c r="AA101" s="108" t="n">
        <f aca="false">IF(AA100=1,AA$7-INPUTS!$R$97+1,0)</f>
        <v>0</v>
      </c>
      <c r="AB101" s="108" t="n">
        <f aca="false">IF(AB100=1,AB$7-INPUTS!$R$97+1,0)</f>
        <v>0</v>
      </c>
      <c r="AC101" s="108" t="n">
        <f aca="false">IF(AC100=1,AC$7-INPUTS!$R$97+1,0)</f>
        <v>0</v>
      </c>
      <c r="AD101" s="108" t="n">
        <f aca="false">IF(AD100=1,AD$7-INPUTS!$R$97+1,0)</f>
        <v>0</v>
      </c>
      <c r="AE101" s="108" t="n">
        <f aca="false">IF(AE100=1,AE$7-INPUTS!$R$97+1,0)</f>
        <v>0</v>
      </c>
      <c r="AF101" s="108" t="n">
        <f aca="false">IF(AF100=1,AF$7-INPUTS!$R$97+1,0)</f>
        <v>0</v>
      </c>
      <c r="AG101" s="108" t="n">
        <f aca="false">IF(AG100=1,AG$7-INPUTS!$R$97+1,0)</f>
        <v>0</v>
      </c>
      <c r="AH101" s="108" t="n">
        <f aca="false">IF(AH100=1,AH$7-INPUTS!$R$97+1,0)</f>
        <v>0</v>
      </c>
      <c r="AI101" s="108" t="n">
        <f aca="false">IF(AI100=1,AI$7-INPUTS!$R$97+1,0)</f>
        <v>0</v>
      </c>
      <c r="AJ101" s="108" t="n">
        <f aca="false">IF(AJ100=1,AJ$7-INPUTS!$R$97+1,0)</f>
        <v>0</v>
      </c>
      <c r="AK101" s="108" t="n">
        <f aca="false">IF(AK100=1,AK$7-INPUTS!$R$97+1,0)</f>
        <v>0</v>
      </c>
      <c r="AL101" s="108" t="n">
        <f aca="false">IF(AL100=1,AL$7-INPUTS!$R$97+1,0)</f>
        <v>0</v>
      </c>
      <c r="AM101" s="108" t="n">
        <f aca="false">IF(AM100=1,AM$7-INPUTS!$R$97+1,0)</f>
        <v>0</v>
      </c>
      <c r="AN101" s="108" t="n">
        <f aca="false">IF(AN100=1,AN$7-INPUTS!$R$97+1,0)</f>
        <v>0</v>
      </c>
      <c r="AO101" s="108" t="n">
        <f aca="false">IF(AO100=1,AO$7-INPUTS!$R$97+1,0)</f>
        <v>0</v>
      </c>
      <c r="AP101" s="108" t="n">
        <f aca="false">IF(AP100=1,AP$7-INPUTS!$R$97+1,0)</f>
        <v>0</v>
      </c>
      <c r="AQ101" s="108" t="n">
        <f aca="false">IF(AQ100=1,AQ$7-INPUTS!$R$97+1,0)</f>
        <v>0</v>
      </c>
    </row>
    <row r="102" customFormat="false" ht="15" hidden="false" customHeight="false" outlineLevel="0" collapsed="false">
      <c r="B102" s="3" t="s">
        <v>646</v>
      </c>
      <c r="C102" s="107" t="n">
        <f aca="false">SUM(D102:AQ102)</f>
        <v>0</v>
      </c>
      <c r="D102" s="108" t="n">
        <f aca="false">IF(AND((INPUTS!$E$97="Yes"),D$16=1,D$7&gt;INPUTS!$S$97),1,0)</f>
        <v>0</v>
      </c>
      <c r="E102" s="108" t="n">
        <f aca="false">IF(AND((INPUTS!$E$97="Yes"),E$16=1,E$7&gt;INPUTS!$S$97),1,0)</f>
        <v>0</v>
      </c>
      <c r="F102" s="108" t="n">
        <f aca="false">IF(AND((INPUTS!$E$97="Yes"),F$16=1,F$7&gt;INPUTS!$S$97),1,0)</f>
        <v>0</v>
      </c>
      <c r="G102" s="108" t="n">
        <f aca="false">IF(AND((INPUTS!$E$97="Yes"),G$16=1,G$7&gt;INPUTS!$S$97),1,0)</f>
        <v>0</v>
      </c>
      <c r="H102" s="108" t="n">
        <f aca="false">IF(AND((INPUTS!$E$97="Yes"),H$16=1,H$7&gt;INPUTS!$S$97),1,0)</f>
        <v>0</v>
      </c>
      <c r="I102" s="108" t="n">
        <f aca="false">IF(AND((INPUTS!$E$97="Yes"),I$16=1,I$7&gt;INPUTS!$S$97),1,0)</f>
        <v>0</v>
      </c>
      <c r="J102" s="108" t="n">
        <f aca="false">IF(AND((INPUTS!$E$97="Yes"),J$16=1,J$7&gt;INPUTS!$S$97),1,0)</f>
        <v>0</v>
      </c>
      <c r="K102" s="108" t="n">
        <f aca="false">IF(AND((INPUTS!$E$97="Yes"),K$16=1,K$7&gt;INPUTS!$S$97),1,0)</f>
        <v>0</v>
      </c>
      <c r="L102" s="108" t="n">
        <f aca="false">IF(AND((INPUTS!$E$97="Yes"),L$16=1,L$7&gt;INPUTS!$S$97),1,0)</f>
        <v>0</v>
      </c>
      <c r="M102" s="108" t="n">
        <f aca="false">IF(AND((INPUTS!$E$97="Yes"),M$16=1,M$7&gt;INPUTS!$S$97),1,0)</f>
        <v>0</v>
      </c>
      <c r="N102" s="108" t="n">
        <f aca="false">IF(AND((INPUTS!$E$97="Yes"),N$16=1,N$7&gt;INPUTS!$S$97),1,0)</f>
        <v>0</v>
      </c>
      <c r="O102" s="108" t="n">
        <f aca="false">IF(AND((INPUTS!$E$97="Yes"),O$16=1,O$7&gt;INPUTS!$S$97),1,0)</f>
        <v>0</v>
      </c>
      <c r="P102" s="108" t="n">
        <f aca="false">IF(AND((INPUTS!$E$97="Yes"),P$16=1,P$7&gt;INPUTS!$S$97),1,0)</f>
        <v>0</v>
      </c>
      <c r="Q102" s="108" t="n">
        <f aca="false">IF(AND((INPUTS!$E$97="Yes"),Q$16=1,Q$7&gt;INPUTS!$S$97),1,0)</f>
        <v>0</v>
      </c>
      <c r="R102" s="108" t="n">
        <f aca="false">IF(AND((INPUTS!$E$97="Yes"),R$16=1,R$7&gt;INPUTS!$S$97),1,0)</f>
        <v>0</v>
      </c>
      <c r="S102" s="108" t="n">
        <f aca="false">IF(AND((INPUTS!$E$97="Yes"),S$16=1,S$7&gt;INPUTS!$S$97),1,0)</f>
        <v>0</v>
      </c>
      <c r="T102" s="108" t="n">
        <f aca="false">IF(AND((INPUTS!$E$97="Yes"),T$16=1,T$7&gt;INPUTS!$S$97),1,0)</f>
        <v>0</v>
      </c>
      <c r="U102" s="108" t="n">
        <f aca="false">IF(AND((INPUTS!$E$97="Yes"),U$16=1,U$7&gt;INPUTS!$S$97),1,0)</f>
        <v>0</v>
      </c>
      <c r="V102" s="108" t="n">
        <f aca="false">IF(AND((INPUTS!$E$97="Yes"),V$16=1,V$7&gt;INPUTS!$S$97),1,0)</f>
        <v>0</v>
      </c>
      <c r="W102" s="108" t="n">
        <f aca="false">IF(AND((INPUTS!$E$97="Yes"),W$16=1,W$7&gt;INPUTS!$S$97),1,0)</f>
        <v>0</v>
      </c>
      <c r="X102" s="108" t="n">
        <f aca="false">IF(AND((INPUTS!$E$97="Yes"),X$16=1,X$7&gt;INPUTS!$S$97),1,0)</f>
        <v>0</v>
      </c>
      <c r="Y102" s="108" t="n">
        <f aca="false">IF(AND((INPUTS!$E$97="Yes"),Y$16=1,Y$7&gt;INPUTS!$S$97),1,0)</f>
        <v>0</v>
      </c>
      <c r="Z102" s="108" t="n">
        <f aca="false">IF(AND((INPUTS!$E$97="Yes"),Z$16=1,Z$7&gt;INPUTS!$S$97),1,0)</f>
        <v>0</v>
      </c>
      <c r="AA102" s="108" t="n">
        <f aca="false">IF(AND((INPUTS!$E$97="Yes"),AA$16=1,AA$7&gt;INPUTS!$S$97),1,0)</f>
        <v>0</v>
      </c>
      <c r="AB102" s="108" t="n">
        <f aca="false">IF(AND((INPUTS!$E$97="Yes"),AB$16=1,AB$7&gt;INPUTS!$S$97),1,0)</f>
        <v>0</v>
      </c>
      <c r="AC102" s="108" t="n">
        <f aca="false">IF(AND((INPUTS!$E$97="Yes"),AC$16=1,AC$7&gt;INPUTS!$S$97),1,0)</f>
        <v>0</v>
      </c>
      <c r="AD102" s="108" t="n">
        <f aca="false">IF(AND((INPUTS!$E$97="Yes"),AD$16=1,AD$7&gt;INPUTS!$S$97),1,0)</f>
        <v>0</v>
      </c>
      <c r="AE102" s="108" t="n">
        <f aca="false">IF(AND((INPUTS!$E$97="Yes"),AE$16=1,AE$7&gt;INPUTS!$S$97),1,0)</f>
        <v>0</v>
      </c>
      <c r="AF102" s="108" t="n">
        <f aca="false">IF(AND((INPUTS!$E$97="Yes"),AF$16=1,AF$7&gt;INPUTS!$S$97),1,0)</f>
        <v>0</v>
      </c>
      <c r="AG102" s="108" t="n">
        <f aca="false">IF(AND((INPUTS!$E$97="Yes"),AG$16=1,AG$7&gt;INPUTS!$S$97),1,0)</f>
        <v>0</v>
      </c>
      <c r="AH102" s="108" t="n">
        <f aca="false">IF(AND((INPUTS!$E$97="Yes"),AH$16=1,AH$7&gt;INPUTS!$S$97),1,0)</f>
        <v>0</v>
      </c>
      <c r="AI102" s="108" t="n">
        <f aca="false">IF(AND((INPUTS!$E$97="Yes"),AI$16=1,AI$7&gt;INPUTS!$S$97),1,0)</f>
        <v>0</v>
      </c>
      <c r="AJ102" s="108" t="n">
        <f aca="false">IF(AND((INPUTS!$E$97="Yes"),AJ$16=1,AJ$7&gt;INPUTS!$S$97),1,0)</f>
        <v>0</v>
      </c>
      <c r="AK102" s="108" t="n">
        <f aca="false">IF(AND((INPUTS!$E$97="Yes"),AK$16=1,AK$7&gt;INPUTS!$S$97),1,0)</f>
        <v>0</v>
      </c>
      <c r="AL102" s="108" t="n">
        <f aca="false">IF(AND((INPUTS!$E$97="Yes"),AL$16=1,AL$7&gt;INPUTS!$S$97),1,0)</f>
        <v>0</v>
      </c>
      <c r="AM102" s="108" t="n">
        <f aca="false">IF(AND((INPUTS!$E$97="Yes"),AM$16=1,AM$7&gt;INPUTS!$S$97),1,0)</f>
        <v>0</v>
      </c>
      <c r="AN102" s="108" t="n">
        <f aca="false">IF(AND((INPUTS!$E$97="Yes"),AN$16=1,AN$7&gt;INPUTS!$S$97),1,0)</f>
        <v>0</v>
      </c>
      <c r="AO102" s="108" t="n">
        <f aca="false">IF(AND((INPUTS!$E$97="Yes"),AO$16=1,AO$7&gt;INPUTS!$S$97),1,0)</f>
        <v>0</v>
      </c>
      <c r="AP102" s="108" t="n">
        <f aca="false">IF(AND((INPUTS!$E$97="Yes"),AP$16=1,AP$7&gt;INPUTS!$S$97),1,0)</f>
        <v>0</v>
      </c>
      <c r="AQ102" s="108" t="n">
        <f aca="false">IF(AND((INPUTS!$E$97="Yes"),AQ$16=1,AQ$7&gt;INPUTS!$S$97),1,0)</f>
        <v>0</v>
      </c>
    </row>
    <row r="103" customFormat="false" ht="15" hidden="false" customHeight="false" outlineLevel="0" collapsed="false">
      <c r="B103" s="17" t="s">
        <v>647</v>
      </c>
      <c r="C103" s="105" t="str">
        <f aca="false">IF(INPUTS!$E$97&lt;&gt;"Yes","Off",IF(OR(NOT(ISNUMBER(INPUTS!$P$97)),NOT(ISNUMBER(INPUTS!$Q$97)),NOT(ISNUMBER(INPUTS!$R$97)),NOT(ISNUMBER(INPUTS!$S$97))),"ERROR",IF(AND(C98=INPUTS!$Q$97-INPUTS!$P$97+1,C100=INPUTS!$S$97-INPUTS!$R$97+1,C102=MAX(0,INPUTS!$C$24-INPUTS!$S$97)),"OK","ERROR")))</f>
        <v>Off</v>
      </c>
    </row>
    <row r="105" customFormat="false" ht="19.5" hidden="false" customHeight="true" outlineLevel="0" collapsed="false">
      <c r="B105" s="4" t="s">
        <v>648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customFormat="false" ht="15" hidden="false" customHeight="false" outlineLevel="0" collapsed="false">
      <c r="C106" s="102" t="s">
        <v>641</v>
      </c>
    </row>
    <row r="107" customFormat="false" ht="15" hidden="false" customHeight="false" outlineLevel="0" collapsed="false">
      <c r="B107" s="110" t="str">
        <f aca="false">IF(INPUTS!$B$128="","Spare cost row",INPUTS!$B$128)</f>
        <v>Land Cost</v>
      </c>
      <c r="C107" s="111" t="str">
        <f aca="false">IF(INPUTS!$J$128="","",INPUTS!$J$128)</f>
        <v>Follow Collections</v>
      </c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</row>
    <row r="108" customFormat="false" ht="15" hidden="false" customHeight="false" outlineLevel="0" collapsed="false">
      <c r="B108" s="3" t="s">
        <v>649</v>
      </c>
      <c r="C108" s="107" t="n">
        <f aca="false">SUM(D108:AQ108)</f>
        <v>0</v>
      </c>
      <c r="D108" s="108" t="n">
        <f aca="false">IF(OR(INPUTS!$F$128&lt;&gt;"Yes",D$16=0),0,IF(OR(INPUTS!$J$128="Upfront",INPUTS!$J$128="Even",INPUTS!$J$128="Front-loaded",INPUTS!$J$128="Back-loaded",INPUTS!$J$128="S-curve"),IF(AND(ISNUMBER(INPUTS!$K$128),D$7&gt;=INPUTS!$K$128,D$7&lt;=IF(INPUTS!$J$128="Upfront",INPUTS!$K$128,INPUTS!$L$128)),1,0),IF(INPUTS!$J$128="Follow Project Life",D$17,IF(INPUTS!$J$128="At Project End",--(D$7=INPUTS!$C$29),0))))</f>
        <v>0</v>
      </c>
      <c r="E108" s="108" t="n">
        <f aca="false">IF(OR(INPUTS!$F$128&lt;&gt;"Yes",E$16=0),0,IF(OR(INPUTS!$J$128="Upfront",INPUTS!$J$128="Even",INPUTS!$J$128="Front-loaded",INPUTS!$J$128="Back-loaded",INPUTS!$J$128="S-curve"),IF(AND(ISNUMBER(INPUTS!$K$128),E$7&gt;=INPUTS!$K$128,E$7&lt;=IF(INPUTS!$J$128="Upfront",INPUTS!$K$128,INPUTS!$L$128)),1,0),IF(INPUTS!$J$128="Follow Project Life",E$17,IF(INPUTS!$J$128="At Project End",--(E$7=INPUTS!$C$29),0))))</f>
        <v>0</v>
      </c>
      <c r="F108" s="108" t="n">
        <f aca="false">IF(OR(INPUTS!$F$128&lt;&gt;"Yes",F$16=0),0,IF(OR(INPUTS!$J$128="Upfront",INPUTS!$J$128="Even",INPUTS!$J$128="Front-loaded",INPUTS!$J$128="Back-loaded",INPUTS!$J$128="S-curve"),IF(AND(ISNUMBER(INPUTS!$K$128),F$7&gt;=INPUTS!$K$128,F$7&lt;=IF(INPUTS!$J$128="Upfront",INPUTS!$K$128,INPUTS!$L$128)),1,0),IF(INPUTS!$J$128="Follow Project Life",F$17,IF(INPUTS!$J$128="At Project End",--(F$7=INPUTS!$C$29),0))))</f>
        <v>0</v>
      </c>
      <c r="G108" s="108" t="n">
        <f aca="false">IF(OR(INPUTS!$F$128&lt;&gt;"Yes",G$16=0),0,IF(OR(INPUTS!$J$128="Upfront",INPUTS!$J$128="Even",INPUTS!$J$128="Front-loaded",INPUTS!$J$128="Back-loaded",INPUTS!$J$128="S-curve"),IF(AND(ISNUMBER(INPUTS!$K$128),G$7&gt;=INPUTS!$K$128,G$7&lt;=IF(INPUTS!$J$128="Upfront",INPUTS!$K$128,INPUTS!$L$128)),1,0),IF(INPUTS!$J$128="Follow Project Life",G$17,IF(INPUTS!$J$128="At Project End",--(G$7=INPUTS!$C$29),0))))</f>
        <v>0</v>
      </c>
      <c r="H108" s="108" t="n">
        <f aca="false">IF(OR(INPUTS!$F$128&lt;&gt;"Yes",H$16=0),0,IF(OR(INPUTS!$J$128="Upfront",INPUTS!$J$128="Even",INPUTS!$J$128="Front-loaded",INPUTS!$J$128="Back-loaded",INPUTS!$J$128="S-curve"),IF(AND(ISNUMBER(INPUTS!$K$128),H$7&gt;=INPUTS!$K$128,H$7&lt;=IF(INPUTS!$J$128="Upfront",INPUTS!$K$128,INPUTS!$L$128)),1,0),IF(INPUTS!$J$128="Follow Project Life",H$17,IF(INPUTS!$J$128="At Project End",--(H$7=INPUTS!$C$29),0))))</f>
        <v>0</v>
      </c>
      <c r="I108" s="108" t="n">
        <f aca="false">IF(OR(INPUTS!$F$128&lt;&gt;"Yes",I$16=0),0,IF(OR(INPUTS!$J$128="Upfront",INPUTS!$J$128="Even",INPUTS!$J$128="Front-loaded",INPUTS!$J$128="Back-loaded",INPUTS!$J$128="S-curve"),IF(AND(ISNUMBER(INPUTS!$K$128),I$7&gt;=INPUTS!$K$128,I$7&lt;=IF(INPUTS!$J$128="Upfront",INPUTS!$K$128,INPUTS!$L$128)),1,0),IF(INPUTS!$J$128="Follow Project Life",I$17,IF(INPUTS!$J$128="At Project End",--(I$7=INPUTS!$C$29),0))))</f>
        <v>0</v>
      </c>
      <c r="J108" s="108" t="n">
        <f aca="false">IF(OR(INPUTS!$F$128&lt;&gt;"Yes",J$16=0),0,IF(OR(INPUTS!$J$128="Upfront",INPUTS!$J$128="Even",INPUTS!$J$128="Front-loaded",INPUTS!$J$128="Back-loaded",INPUTS!$J$128="S-curve"),IF(AND(ISNUMBER(INPUTS!$K$128),J$7&gt;=INPUTS!$K$128,J$7&lt;=IF(INPUTS!$J$128="Upfront",INPUTS!$K$128,INPUTS!$L$128)),1,0),IF(INPUTS!$J$128="Follow Project Life",J$17,IF(INPUTS!$J$128="At Project End",--(J$7=INPUTS!$C$29),0))))</f>
        <v>0</v>
      </c>
      <c r="K108" s="108" t="n">
        <f aca="false">IF(OR(INPUTS!$F$128&lt;&gt;"Yes",K$16=0),0,IF(OR(INPUTS!$J$128="Upfront",INPUTS!$J$128="Even",INPUTS!$J$128="Front-loaded",INPUTS!$J$128="Back-loaded",INPUTS!$J$128="S-curve"),IF(AND(ISNUMBER(INPUTS!$K$128),K$7&gt;=INPUTS!$K$128,K$7&lt;=IF(INPUTS!$J$128="Upfront",INPUTS!$K$128,INPUTS!$L$128)),1,0),IF(INPUTS!$J$128="Follow Project Life",K$17,IF(INPUTS!$J$128="At Project End",--(K$7=INPUTS!$C$29),0))))</f>
        <v>0</v>
      </c>
      <c r="L108" s="108" t="n">
        <f aca="false">IF(OR(INPUTS!$F$128&lt;&gt;"Yes",L$16=0),0,IF(OR(INPUTS!$J$128="Upfront",INPUTS!$J$128="Even",INPUTS!$J$128="Front-loaded",INPUTS!$J$128="Back-loaded",INPUTS!$J$128="S-curve"),IF(AND(ISNUMBER(INPUTS!$K$128),L$7&gt;=INPUTS!$K$128,L$7&lt;=IF(INPUTS!$J$128="Upfront",INPUTS!$K$128,INPUTS!$L$128)),1,0),IF(INPUTS!$J$128="Follow Project Life",L$17,IF(INPUTS!$J$128="At Project End",--(L$7=INPUTS!$C$29),0))))</f>
        <v>0</v>
      </c>
      <c r="M108" s="108" t="n">
        <f aca="false">IF(OR(INPUTS!$F$128&lt;&gt;"Yes",M$16=0),0,IF(OR(INPUTS!$J$128="Upfront",INPUTS!$J$128="Even",INPUTS!$J$128="Front-loaded",INPUTS!$J$128="Back-loaded",INPUTS!$J$128="S-curve"),IF(AND(ISNUMBER(INPUTS!$K$128),M$7&gt;=INPUTS!$K$128,M$7&lt;=IF(INPUTS!$J$128="Upfront",INPUTS!$K$128,INPUTS!$L$128)),1,0),IF(INPUTS!$J$128="Follow Project Life",M$17,IF(INPUTS!$J$128="At Project End",--(M$7=INPUTS!$C$29),0))))</f>
        <v>0</v>
      </c>
      <c r="N108" s="108" t="n">
        <f aca="false">IF(OR(INPUTS!$F$128&lt;&gt;"Yes",N$16=0),0,IF(OR(INPUTS!$J$128="Upfront",INPUTS!$J$128="Even",INPUTS!$J$128="Front-loaded",INPUTS!$J$128="Back-loaded",INPUTS!$J$128="S-curve"),IF(AND(ISNUMBER(INPUTS!$K$128),N$7&gt;=INPUTS!$K$128,N$7&lt;=IF(INPUTS!$J$128="Upfront",INPUTS!$K$128,INPUTS!$L$128)),1,0),IF(INPUTS!$J$128="Follow Project Life",N$17,IF(INPUTS!$J$128="At Project End",--(N$7=INPUTS!$C$29),0))))</f>
        <v>0</v>
      </c>
      <c r="O108" s="108" t="n">
        <f aca="false">IF(OR(INPUTS!$F$128&lt;&gt;"Yes",O$16=0),0,IF(OR(INPUTS!$J$128="Upfront",INPUTS!$J$128="Even",INPUTS!$J$128="Front-loaded",INPUTS!$J$128="Back-loaded",INPUTS!$J$128="S-curve"),IF(AND(ISNUMBER(INPUTS!$K$128),O$7&gt;=INPUTS!$K$128,O$7&lt;=IF(INPUTS!$J$128="Upfront",INPUTS!$K$128,INPUTS!$L$128)),1,0),IF(INPUTS!$J$128="Follow Project Life",O$17,IF(INPUTS!$J$128="At Project End",--(O$7=INPUTS!$C$29),0))))</f>
        <v>0</v>
      </c>
      <c r="P108" s="108" t="n">
        <f aca="false">IF(OR(INPUTS!$F$128&lt;&gt;"Yes",P$16=0),0,IF(OR(INPUTS!$J$128="Upfront",INPUTS!$J$128="Even",INPUTS!$J$128="Front-loaded",INPUTS!$J$128="Back-loaded",INPUTS!$J$128="S-curve"),IF(AND(ISNUMBER(INPUTS!$K$128),P$7&gt;=INPUTS!$K$128,P$7&lt;=IF(INPUTS!$J$128="Upfront",INPUTS!$K$128,INPUTS!$L$128)),1,0),IF(INPUTS!$J$128="Follow Project Life",P$17,IF(INPUTS!$J$128="At Project End",--(P$7=INPUTS!$C$29),0))))</f>
        <v>0</v>
      </c>
      <c r="Q108" s="108" t="n">
        <f aca="false">IF(OR(INPUTS!$F$128&lt;&gt;"Yes",Q$16=0),0,IF(OR(INPUTS!$J$128="Upfront",INPUTS!$J$128="Even",INPUTS!$J$128="Front-loaded",INPUTS!$J$128="Back-loaded",INPUTS!$J$128="S-curve"),IF(AND(ISNUMBER(INPUTS!$K$128),Q$7&gt;=INPUTS!$K$128,Q$7&lt;=IF(INPUTS!$J$128="Upfront",INPUTS!$K$128,INPUTS!$L$128)),1,0),IF(INPUTS!$J$128="Follow Project Life",Q$17,IF(INPUTS!$J$128="At Project End",--(Q$7=INPUTS!$C$29),0))))</f>
        <v>0</v>
      </c>
      <c r="R108" s="108" t="n">
        <f aca="false">IF(OR(INPUTS!$F$128&lt;&gt;"Yes",R$16=0),0,IF(OR(INPUTS!$J$128="Upfront",INPUTS!$J$128="Even",INPUTS!$J$128="Front-loaded",INPUTS!$J$128="Back-loaded",INPUTS!$J$128="S-curve"),IF(AND(ISNUMBER(INPUTS!$K$128),R$7&gt;=INPUTS!$K$128,R$7&lt;=IF(INPUTS!$J$128="Upfront",INPUTS!$K$128,INPUTS!$L$128)),1,0),IF(INPUTS!$J$128="Follow Project Life",R$17,IF(INPUTS!$J$128="At Project End",--(R$7=INPUTS!$C$29),0))))</f>
        <v>0</v>
      </c>
      <c r="S108" s="108" t="n">
        <f aca="false">IF(OR(INPUTS!$F$128&lt;&gt;"Yes",S$16=0),0,IF(OR(INPUTS!$J$128="Upfront",INPUTS!$J$128="Even",INPUTS!$J$128="Front-loaded",INPUTS!$J$128="Back-loaded",INPUTS!$J$128="S-curve"),IF(AND(ISNUMBER(INPUTS!$K$128),S$7&gt;=INPUTS!$K$128,S$7&lt;=IF(INPUTS!$J$128="Upfront",INPUTS!$K$128,INPUTS!$L$128)),1,0),IF(INPUTS!$J$128="Follow Project Life",S$17,IF(INPUTS!$J$128="At Project End",--(S$7=INPUTS!$C$29),0))))</f>
        <v>0</v>
      </c>
      <c r="T108" s="108" t="n">
        <f aca="false">IF(OR(INPUTS!$F$128&lt;&gt;"Yes",T$16=0),0,IF(OR(INPUTS!$J$128="Upfront",INPUTS!$J$128="Even",INPUTS!$J$128="Front-loaded",INPUTS!$J$128="Back-loaded",INPUTS!$J$128="S-curve"),IF(AND(ISNUMBER(INPUTS!$K$128),T$7&gt;=INPUTS!$K$128,T$7&lt;=IF(INPUTS!$J$128="Upfront",INPUTS!$K$128,INPUTS!$L$128)),1,0),IF(INPUTS!$J$128="Follow Project Life",T$17,IF(INPUTS!$J$128="At Project End",--(T$7=INPUTS!$C$29),0))))</f>
        <v>0</v>
      </c>
      <c r="U108" s="108" t="n">
        <f aca="false">IF(OR(INPUTS!$F$128&lt;&gt;"Yes",U$16=0),0,IF(OR(INPUTS!$J$128="Upfront",INPUTS!$J$128="Even",INPUTS!$J$128="Front-loaded",INPUTS!$J$128="Back-loaded",INPUTS!$J$128="S-curve"),IF(AND(ISNUMBER(INPUTS!$K$128),U$7&gt;=INPUTS!$K$128,U$7&lt;=IF(INPUTS!$J$128="Upfront",INPUTS!$K$128,INPUTS!$L$128)),1,0),IF(INPUTS!$J$128="Follow Project Life",U$17,IF(INPUTS!$J$128="At Project End",--(U$7=INPUTS!$C$29),0))))</f>
        <v>0</v>
      </c>
      <c r="V108" s="108" t="n">
        <f aca="false">IF(OR(INPUTS!$F$128&lt;&gt;"Yes",V$16=0),0,IF(OR(INPUTS!$J$128="Upfront",INPUTS!$J$128="Even",INPUTS!$J$128="Front-loaded",INPUTS!$J$128="Back-loaded",INPUTS!$J$128="S-curve"),IF(AND(ISNUMBER(INPUTS!$K$128),V$7&gt;=INPUTS!$K$128,V$7&lt;=IF(INPUTS!$J$128="Upfront",INPUTS!$K$128,INPUTS!$L$128)),1,0),IF(INPUTS!$J$128="Follow Project Life",V$17,IF(INPUTS!$J$128="At Project End",--(V$7=INPUTS!$C$29),0))))</f>
        <v>0</v>
      </c>
      <c r="W108" s="108" t="n">
        <f aca="false">IF(OR(INPUTS!$F$128&lt;&gt;"Yes",W$16=0),0,IF(OR(INPUTS!$J$128="Upfront",INPUTS!$J$128="Even",INPUTS!$J$128="Front-loaded",INPUTS!$J$128="Back-loaded",INPUTS!$J$128="S-curve"),IF(AND(ISNUMBER(INPUTS!$K$128),W$7&gt;=INPUTS!$K$128,W$7&lt;=IF(INPUTS!$J$128="Upfront",INPUTS!$K$128,INPUTS!$L$128)),1,0),IF(INPUTS!$J$128="Follow Project Life",W$17,IF(INPUTS!$J$128="At Project End",--(W$7=INPUTS!$C$29),0))))</f>
        <v>0</v>
      </c>
      <c r="X108" s="108" t="n">
        <f aca="false">IF(OR(INPUTS!$F$128&lt;&gt;"Yes",X$16=0),0,IF(OR(INPUTS!$J$128="Upfront",INPUTS!$J$128="Even",INPUTS!$J$128="Front-loaded",INPUTS!$J$128="Back-loaded",INPUTS!$J$128="S-curve"),IF(AND(ISNUMBER(INPUTS!$K$128),X$7&gt;=INPUTS!$K$128,X$7&lt;=IF(INPUTS!$J$128="Upfront",INPUTS!$K$128,INPUTS!$L$128)),1,0),IF(INPUTS!$J$128="Follow Project Life",X$17,IF(INPUTS!$J$128="At Project End",--(X$7=INPUTS!$C$29),0))))</f>
        <v>0</v>
      </c>
      <c r="Y108" s="108" t="n">
        <f aca="false">IF(OR(INPUTS!$F$128&lt;&gt;"Yes",Y$16=0),0,IF(OR(INPUTS!$J$128="Upfront",INPUTS!$J$128="Even",INPUTS!$J$128="Front-loaded",INPUTS!$J$128="Back-loaded",INPUTS!$J$128="S-curve"),IF(AND(ISNUMBER(INPUTS!$K$128),Y$7&gt;=INPUTS!$K$128,Y$7&lt;=IF(INPUTS!$J$128="Upfront",INPUTS!$K$128,INPUTS!$L$128)),1,0),IF(INPUTS!$J$128="Follow Project Life",Y$17,IF(INPUTS!$J$128="At Project End",--(Y$7=INPUTS!$C$29),0))))</f>
        <v>0</v>
      </c>
      <c r="Z108" s="108" t="n">
        <f aca="false">IF(OR(INPUTS!$F$128&lt;&gt;"Yes",Z$16=0),0,IF(OR(INPUTS!$J$128="Upfront",INPUTS!$J$128="Even",INPUTS!$J$128="Front-loaded",INPUTS!$J$128="Back-loaded",INPUTS!$J$128="S-curve"),IF(AND(ISNUMBER(INPUTS!$K$128),Z$7&gt;=INPUTS!$K$128,Z$7&lt;=IF(INPUTS!$J$128="Upfront",INPUTS!$K$128,INPUTS!$L$128)),1,0),IF(INPUTS!$J$128="Follow Project Life",Z$17,IF(INPUTS!$J$128="At Project End",--(Z$7=INPUTS!$C$29),0))))</f>
        <v>0</v>
      </c>
      <c r="AA108" s="108" t="n">
        <f aca="false">IF(OR(INPUTS!$F$128&lt;&gt;"Yes",AA$16=0),0,IF(OR(INPUTS!$J$128="Upfront",INPUTS!$J$128="Even",INPUTS!$J$128="Front-loaded",INPUTS!$J$128="Back-loaded",INPUTS!$J$128="S-curve"),IF(AND(ISNUMBER(INPUTS!$K$128),AA$7&gt;=INPUTS!$K$128,AA$7&lt;=IF(INPUTS!$J$128="Upfront",INPUTS!$K$128,INPUTS!$L$128)),1,0),IF(INPUTS!$J$128="Follow Project Life",AA$17,IF(INPUTS!$J$128="At Project End",--(AA$7=INPUTS!$C$29),0))))</f>
        <v>0</v>
      </c>
      <c r="AB108" s="108" t="n">
        <f aca="false">IF(OR(INPUTS!$F$128&lt;&gt;"Yes",AB$16=0),0,IF(OR(INPUTS!$J$128="Upfront",INPUTS!$J$128="Even",INPUTS!$J$128="Front-loaded",INPUTS!$J$128="Back-loaded",INPUTS!$J$128="S-curve"),IF(AND(ISNUMBER(INPUTS!$K$128),AB$7&gt;=INPUTS!$K$128,AB$7&lt;=IF(INPUTS!$J$128="Upfront",INPUTS!$K$128,INPUTS!$L$128)),1,0),IF(INPUTS!$J$128="Follow Project Life",AB$17,IF(INPUTS!$J$128="At Project End",--(AB$7=INPUTS!$C$29),0))))</f>
        <v>0</v>
      </c>
      <c r="AC108" s="108" t="n">
        <f aca="false">IF(OR(INPUTS!$F$128&lt;&gt;"Yes",AC$16=0),0,IF(OR(INPUTS!$J$128="Upfront",INPUTS!$J$128="Even",INPUTS!$J$128="Front-loaded",INPUTS!$J$128="Back-loaded",INPUTS!$J$128="S-curve"),IF(AND(ISNUMBER(INPUTS!$K$128),AC$7&gt;=INPUTS!$K$128,AC$7&lt;=IF(INPUTS!$J$128="Upfront",INPUTS!$K$128,INPUTS!$L$128)),1,0),IF(INPUTS!$J$128="Follow Project Life",AC$17,IF(INPUTS!$J$128="At Project End",--(AC$7=INPUTS!$C$29),0))))</f>
        <v>0</v>
      </c>
      <c r="AD108" s="108" t="n">
        <f aca="false">IF(OR(INPUTS!$F$128&lt;&gt;"Yes",AD$16=0),0,IF(OR(INPUTS!$J$128="Upfront",INPUTS!$J$128="Even",INPUTS!$J$128="Front-loaded",INPUTS!$J$128="Back-loaded",INPUTS!$J$128="S-curve"),IF(AND(ISNUMBER(INPUTS!$K$128),AD$7&gt;=INPUTS!$K$128,AD$7&lt;=IF(INPUTS!$J$128="Upfront",INPUTS!$K$128,INPUTS!$L$128)),1,0),IF(INPUTS!$J$128="Follow Project Life",AD$17,IF(INPUTS!$J$128="At Project End",--(AD$7=INPUTS!$C$29),0))))</f>
        <v>0</v>
      </c>
      <c r="AE108" s="108" t="n">
        <f aca="false">IF(OR(INPUTS!$F$128&lt;&gt;"Yes",AE$16=0),0,IF(OR(INPUTS!$J$128="Upfront",INPUTS!$J$128="Even",INPUTS!$J$128="Front-loaded",INPUTS!$J$128="Back-loaded",INPUTS!$J$128="S-curve"),IF(AND(ISNUMBER(INPUTS!$K$128),AE$7&gt;=INPUTS!$K$128,AE$7&lt;=IF(INPUTS!$J$128="Upfront",INPUTS!$K$128,INPUTS!$L$128)),1,0),IF(INPUTS!$J$128="Follow Project Life",AE$17,IF(INPUTS!$J$128="At Project End",--(AE$7=INPUTS!$C$29),0))))</f>
        <v>0</v>
      </c>
      <c r="AF108" s="108" t="n">
        <f aca="false">IF(OR(INPUTS!$F$128&lt;&gt;"Yes",AF$16=0),0,IF(OR(INPUTS!$J$128="Upfront",INPUTS!$J$128="Even",INPUTS!$J$128="Front-loaded",INPUTS!$J$128="Back-loaded",INPUTS!$J$128="S-curve"),IF(AND(ISNUMBER(INPUTS!$K$128),AF$7&gt;=INPUTS!$K$128,AF$7&lt;=IF(INPUTS!$J$128="Upfront",INPUTS!$K$128,INPUTS!$L$128)),1,0),IF(INPUTS!$J$128="Follow Project Life",AF$17,IF(INPUTS!$J$128="At Project End",--(AF$7=INPUTS!$C$29),0))))</f>
        <v>0</v>
      </c>
      <c r="AG108" s="108" t="n">
        <f aca="false">IF(OR(INPUTS!$F$128&lt;&gt;"Yes",AG$16=0),0,IF(OR(INPUTS!$J$128="Upfront",INPUTS!$J$128="Even",INPUTS!$J$128="Front-loaded",INPUTS!$J$128="Back-loaded",INPUTS!$J$128="S-curve"),IF(AND(ISNUMBER(INPUTS!$K$128),AG$7&gt;=INPUTS!$K$128,AG$7&lt;=IF(INPUTS!$J$128="Upfront",INPUTS!$K$128,INPUTS!$L$128)),1,0),IF(INPUTS!$J$128="Follow Project Life",AG$17,IF(INPUTS!$J$128="At Project End",--(AG$7=INPUTS!$C$29),0))))</f>
        <v>0</v>
      </c>
      <c r="AH108" s="108" t="n">
        <f aca="false">IF(OR(INPUTS!$F$128&lt;&gt;"Yes",AH$16=0),0,IF(OR(INPUTS!$J$128="Upfront",INPUTS!$J$128="Even",INPUTS!$J$128="Front-loaded",INPUTS!$J$128="Back-loaded",INPUTS!$J$128="S-curve"),IF(AND(ISNUMBER(INPUTS!$K$128),AH$7&gt;=INPUTS!$K$128,AH$7&lt;=IF(INPUTS!$J$128="Upfront",INPUTS!$K$128,INPUTS!$L$128)),1,0),IF(INPUTS!$J$128="Follow Project Life",AH$17,IF(INPUTS!$J$128="At Project End",--(AH$7=INPUTS!$C$29),0))))</f>
        <v>0</v>
      </c>
      <c r="AI108" s="108" t="n">
        <f aca="false">IF(OR(INPUTS!$F$128&lt;&gt;"Yes",AI$16=0),0,IF(OR(INPUTS!$J$128="Upfront",INPUTS!$J$128="Even",INPUTS!$J$128="Front-loaded",INPUTS!$J$128="Back-loaded",INPUTS!$J$128="S-curve"),IF(AND(ISNUMBER(INPUTS!$K$128),AI$7&gt;=INPUTS!$K$128,AI$7&lt;=IF(INPUTS!$J$128="Upfront",INPUTS!$K$128,INPUTS!$L$128)),1,0),IF(INPUTS!$J$128="Follow Project Life",AI$17,IF(INPUTS!$J$128="At Project End",--(AI$7=INPUTS!$C$29),0))))</f>
        <v>0</v>
      </c>
      <c r="AJ108" s="108" t="n">
        <f aca="false">IF(OR(INPUTS!$F$128&lt;&gt;"Yes",AJ$16=0),0,IF(OR(INPUTS!$J$128="Upfront",INPUTS!$J$128="Even",INPUTS!$J$128="Front-loaded",INPUTS!$J$128="Back-loaded",INPUTS!$J$128="S-curve"),IF(AND(ISNUMBER(INPUTS!$K$128),AJ$7&gt;=INPUTS!$K$128,AJ$7&lt;=IF(INPUTS!$J$128="Upfront",INPUTS!$K$128,INPUTS!$L$128)),1,0),IF(INPUTS!$J$128="Follow Project Life",AJ$17,IF(INPUTS!$J$128="At Project End",--(AJ$7=INPUTS!$C$29),0))))</f>
        <v>0</v>
      </c>
      <c r="AK108" s="108" t="n">
        <f aca="false">IF(OR(INPUTS!$F$128&lt;&gt;"Yes",AK$16=0),0,IF(OR(INPUTS!$J$128="Upfront",INPUTS!$J$128="Even",INPUTS!$J$128="Front-loaded",INPUTS!$J$128="Back-loaded",INPUTS!$J$128="S-curve"),IF(AND(ISNUMBER(INPUTS!$K$128),AK$7&gt;=INPUTS!$K$128,AK$7&lt;=IF(INPUTS!$J$128="Upfront",INPUTS!$K$128,INPUTS!$L$128)),1,0),IF(INPUTS!$J$128="Follow Project Life",AK$17,IF(INPUTS!$J$128="At Project End",--(AK$7=INPUTS!$C$29),0))))</f>
        <v>0</v>
      </c>
      <c r="AL108" s="108" t="n">
        <f aca="false">IF(OR(INPUTS!$F$128&lt;&gt;"Yes",AL$16=0),0,IF(OR(INPUTS!$J$128="Upfront",INPUTS!$J$128="Even",INPUTS!$J$128="Front-loaded",INPUTS!$J$128="Back-loaded",INPUTS!$J$128="S-curve"),IF(AND(ISNUMBER(INPUTS!$K$128),AL$7&gt;=INPUTS!$K$128,AL$7&lt;=IF(INPUTS!$J$128="Upfront",INPUTS!$K$128,INPUTS!$L$128)),1,0),IF(INPUTS!$J$128="Follow Project Life",AL$17,IF(INPUTS!$J$128="At Project End",--(AL$7=INPUTS!$C$29),0))))</f>
        <v>0</v>
      </c>
      <c r="AM108" s="108" t="n">
        <f aca="false">IF(OR(INPUTS!$F$128&lt;&gt;"Yes",AM$16=0),0,IF(OR(INPUTS!$J$128="Upfront",INPUTS!$J$128="Even",INPUTS!$J$128="Front-loaded",INPUTS!$J$128="Back-loaded",INPUTS!$J$128="S-curve"),IF(AND(ISNUMBER(INPUTS!$K$128),AM$7&gt;=INPUTS!$K$128,AM$7&lt;=IF(INPUTS!$J$128="Upfront",INPUTS!$K$128,INPUTS!$L$128)),1,0),IF(INPUTS!$J$128="Follow Project Life",AM$17,IF(INPUTS!$J$128="At Project End",--(AM$7=INPUTS!$C$29),0))))</f>
        <v>0</v>
      </c>
      <c r="AN108" s="108" t="n">
        <f aca="false">IF(OR(INPUTS!$F$128&lt;&gt;"Yes",AN$16=0),0,IF(OR(INPUTS!$J$128="Upfront",INPUTS!$J$128="Even",INPUTS!$J$128="Front-loaded",INPUTS!$J$128="Back-loaded",INPUTS!$J$128="S-curve"),IF(AND(ISNUMBER(INPUTS!$K$128),AN$7&gt;=INPUTS!$K$128,AN$7&lt;=IF(INPUTS!$J$128="Upfront",INPUTS!$K$128,INPUTS!$L$128)),1,0),IF(INPUTS!$J$128="Follow Project Life",AN$17,IF(INPUTS!$J$128="At Project End",--(AN$7=INPUTS!$C$29),0))))</f>
        <v>0</v>
      </c>
      <c r="AO108" s="108" t="n">
        <f aca="false">IF(OR(INPUTS!$F$128&lt;&gt;"Yes",AO$16=0),0,IF(OR(INPUTS!$J$128="Upfront",INPUTS!$J$128="Even",INPUTS!$J$128="Front-loaded",INPUTS!$J$128="Back-loaded",INPUTS!$J$128="S-curve"),IF(AND(ISNUMBER(INPUTS!$K$128),AO$7&gt;=INPUTS!$K$128,AO$7&lt;=IF(INPUTS!$J$128="Upfront",INPUTS!$K$128,INPUTS!$L$128)),1,0),IF(INPUTS!$J$128="Follow Project Life",AO$17,IF(INPUTS!$J$128="At Project End",--(AO$7=INPUTS!$C$29),0))))</f>
        <v>0</v>
      </c>
      <c r="AP108" s="108" t="n">
        <f aca="false">IF(OR(INPUTS!$F$128&lt;&gt;"Yes",AP$16=0),0,IF(OR(INPUTS!$J$128="Upfront",INPUTS!$J$128="Even",INPUTS!$J$128="Front-loaded",INPUTS!$J$128="Back-loaded",INPUTS!$J$128="S-curve"),IF(AND(ISNUMBER(INPUTS!$K$128),AP$7&gt;=INPUTS!$K$128,AP$7&lt;=IF(INPUTS!$J$128="Upfront",INPUTS!$K$128,INPUTS!$L$128)),1,0),IF(INPUTS!$J$128="Follow Project Life",AP$17,IF(INPUTS!$J$128="At Project End",--(AP$7=INPUTS!$C$29),0))))</f>
        <v>0</v>
      </c>
      <c r="AQ108" s="108" t="n">
        <f aca="false">IF(OR(INPUTS!$F$128&lt;&gt;"Yes",AQ$16=0),0,IF(OR(INPUTS!$J$128="Upfront",INPUTS!$J$128="Even",INPUTS!$J$128="Front-loaded",INPUTS!$J$128="Back-loaded",INPUTS!$J$128="S-curve"),IF(AND(ISNUMBER(INPUTS!$K$128),AQ$7&gt;=INPUTS!$K$128,AQ$7&lt;=IF(INPUTS!$J$128="Upfront",INPUTS!$K$128,INPUTS!$L$128)),1,0),IF(INPUTS!$J$128="Follow Project Life",AQ$17,IF(INPUTS!$J$128="At Project End",--(AQ$7=INPUTS!$C$29),0))))</f>
        <v>0</v>
      </c>
    </row>
    <row r="109" customFormat="false" ht="15" hidden="false" customHeight="false" outlineLevel="0" collapsed="false">
      <c r="B109" s="3" t="s">
        <v>650</v>
      </c>
      <c r="C109" s="107" t="n">
        <f aca="false">MAX(D109:AQ109)</f>
        <v>0</v>
      </c>
      <c r="D109" s="108" t="n">
        <f aca="false">IF(D108=1,COUNTIF($D108:D108,1),0)</f>
        <v>0</v>
      </c>
      <c r="E109" s="108" t="n">
        <f aca="false">IF(E108=1,COUNTIF($D108:E108,1),0)</f>
        <v>0</v>
      </c>
      <c r="F109" s="108" t="n">
        <f aca="false">IF(F108=1,COUNTIF($D108:F108,1),0)</f>
        <v>0</v>
      </c>
      <c r="G109" s="108" t="n">
        <f aca="false">IF(G108=1,COUNTIF($D108:G108,1),0)</f>
        <v>0</v>
      </c>
      <c r="H109" s="108" t="n">
        <f aca="false">IF(H108=1,COUNTIF($D108:H108,1),0)</f>
        <v>0</v>
      </c>
      <c r="I109" s="108" t="n">
        <f aca="false">IF(I108=1,COUNTIF($D108:I108,1),0)</f>
        <v>0</v>
      </c>
      <c r="J109" s="108" t="n">
        <f aca="false">IF(J108=1,COUNTIF($D108:J108,1),0)</f>
        <v>0</v>
      </c>
      <c r="K109" s="108" t="n">
        <f aca="false">IF(K108=1,COUNTIF($D108:K108,1),0)</f>
        <v>0</v>
      </c>
      <c r="L109" s="108" t="n">
        <f aca="false">IF(L108=1,COUNTIF($D108:L108,1),0)</f>
        <v>0</v>
      </c>
      <c r="M109" s="108" t="n">
        <f aca="false">IF(M108=1,COUNTIF($D108:M108,1),0)</f>
        <v>0</v>
      </c>
      <c r="N109" s="108" t="n">
        <f aca="false">IF(N108=1,COUNTIF($D108:N108,1),0)</f>
        <v>0</v>
      </c>
      <c r="O109" s="108" t="n">
        <f aca="false">IF(O108=1,COUNTIF($D108:O108,1),0)</f>
        <v>0</v>
      </c>
      <c r="P109" s="108" t="n">
        <f aca="false">IF(P108=1,COUNTIF($D108:P108,1),0)</f>
        <v>0</v>
      </c>
      <c r="Q109" s="108" t="n">
        <f aca="false">IF(Q108=1,COUNTIF($D108:Q108,1),0)</f>
        <v>0</v>
      </c>
      <c r="R109" s="108" t="n">
        <f aca="false">IF(R108=1,COUNTIF($D108:R108,1),0)</f>
        <v>0</v>
      </c>
      <c r="S109" s="108" t="n">
        <f aca="false">IF(S108=1,COUNTIF($D108:S108,1),0)</f>
        <v>0</v>
      </c>
      <c r="T109" s="108" t="n">
        <f aca="false">IF(T108=1,COUNTIF($D108:T108,1),0)</f>
        <v>0</v>
      </c>
      <c r="U109" s="108" t="n">
        <f aca="false">IF(U108=1,COUNTIF($D108:U108,1),0)</f>
        <v>0</v>
      </c>
      <c r="V109" s="108" t="n">
        <f aca="false">IF(V108=1,COUNTIF($D108:V108,1),0)</f>
        <v>0</v>
      </c>
      <c r="W109" s="108" t="n">
        <f aca="false">IF(W108=1,COUNTIF($D108:W108,1),0)</f>
        <v>0</v>
      </c>
      <c r="X109" s="108" t="n">
        <f aca="false">IF(X108=1,COUNTIF($D108:X108,1),0)</f>
        <v>0</v>
      </c>
      <c r="Y109" s="108" t="n">
        <f aca="false">IF(Y108=1,COUNTIF($D108:Y108,1),0)</f>
        <v>0</v>
      </c>
      <c r="Z109" s="108" t="n">
        <f aca="false">IF(Z108=1,COUNTIF($D108:Z108,1),0)</f>
        <v>0</v>
      </c>
      <c r="AA109" s="108" t="n">
        <f aca="false">IF(AA108=1,COUNTIF($D108:AA108,1),0)</f>
        <v>0</v>
      </c>
      <c r="AB109" s="108" t="n">
        <f aca="false">IF(AB108=1,COUNTIF($D108:AB108,1),0)</f>
        <v>0</v>
      </c>
      <c r="AC109" s="108" t="n">
        <f aca="false">IF(AC108=1,COUNTIF($D108:AC108,1),0)</f>
        <v>0</v>
      </c>
      <c r="AD109" s="108" t="n">
        <f aca="false">IF(AD108=1,COUNTIF($D108:AD108,1),0)</f>
        <v>0</v>
      </c>
      <c r="AE109" s="108" t="n">
        <f aca="false">IF(AE108=1,COUNTIF($D108:AE108,1),0)</f>
        <v>0</v>
      </c>
      <c r="AF109" s="108" t="n">
        <f aca="false">IF(AF108=1,COUNTIF($D108:AF108,1),0)</f>
        <v>0</v>
      </c>
      <c r="AG109" s="108" t="n">
        <f aca="false">IF(AG108=1,COUNTIF($D108:AG108,1),0)</f>
        <v>0</v>
      </c>
      <c r="AH109" s="108" t="n">
        <f aca="false">IF(AH108=1,COUNTIF($D108:AH108,1),0)</f>
        <v>0</v>
      </c>
      <c r="AI109" s="108" t="n">
        <f aca="false">IF(AI108=1,COUNTIF($D108:AI108,1),0)</f>
        <v>0</v>
      </c>
      <c r="AJ109" s="108" t="n">
        <f aca="false">IF(AJ108=1,COUNTIF($D108:AJ108,1),0)</f>
        <v>0</v>
      </c>
      <c r="AK109" s="108" t="n">
        <f aca="false">IF(AK108=1,COUNTIF($D108:AK108,1),0)</f>
        <v>0</v>
      </c>
      <c r="AL109" s="108" t="n">
        <f aca="false">IF(AL108=1,COUNTIF($D108:AL108,1),0)</f>
        <v>0</v>
      </c>
      <c r="AM109" s="108" t="n">
        <f aca="false">IF(AM108=1,COUNTIF($D108:AM108,1),0)</f>
        <v>0</v>
      </c>
      <c r="AN109" s="108" t="n">
        <f aca="false">IF(AN108=1,COUNTIF($D108:AN108,1),0)</f>
        <v>0</v>
      </c>
      <c r="AO109" s="108" t="n">
        <f aca="false">IF(AO108=1,COUNTIF($D108:AO108,1),0)</f>
        <v>0</v>
      </c>
      <c r="AP109" s="108" t="n">
        <f aca="false">IF(AP108=1,COUNTIF($D108:AP108,1),0)</f>
        <v>0</v>
      </c>
      <c r="AQ109" s="108" t="n">
        <f aca="false">IF(AQ108=1,COUNTIF($D108:AQ108,1),0)</f>
        <v>0</v>
      </c>
    </row>
    <row r="110" customFormat="false" ht="15" hidden="false" customHeight="false" outlineLevel="0" collapsed="false">
      <c r="B110" s="17" t="s">
        <v>651</v>
      </c>
      <c r="C110" s="105" t="str">
        <f aca="false">IF(INPUTS!$M$128="","",IF(INPUTS!$M$128&lt;&gt;"OK","ERROR",IF(C108=IF(INPUTS!$F$128&lt;&gt;"Yes",0,IF(OR(INPUTS!$J$128="Upfront",INPUTS!$J$128="Even",INPUTS!$J$128="Front-loaded",INPUTS!$J$128="Back-loaded",INPUTS!$J$128="S-curve"),IF(ISNUMBER(INPUTS!$K$128),IF(INPUTS!$J$128="Upfront",INPUTS!$K$128,INPUTS!$L$128)-INPUTS!$K$128+1,0),IF(INPUTS!$J$128="Follow Project Life",INPUTS!$C$29,IF(INPUTS!$J$128="At Project End",1,0)))),"OK","ERROR")))</f>
        <v>OK</v>
      </c>
    </row>
    <row r="111" customFormat="false" ht="15" hidden="false" customHeight="false" outlineLevel="0" collapsed="false">
      <c r="B111" s="110" t="str">
        <f aca="false">IF(INPUTS!$B$129="","Spare cost row",INPUTS!$B$129)</f>
        <v>Stamp Duty</v>
      </c>
      <c r="C111" s="111" t="str">
        <f aca="false">IF(INPUTS!$J$129="","",INPUTS!$J$129)</f>
        <v>Upfront</v>
      </c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</row>
    <row r="112" customFormat="false" ht="15" hidden="false" customHeight="false" outlineLevel="0" collapsed="false">
      <c r="B112" s="3" t="s">
        <v>649</v>
      </c>
      <c r="C112" s="107" t="n">
        <f aca="false">SUM(D112:AQ112)</f>
        <v>1</v>
      </c>
      <c r="D112" s="108" t="n">
        <f aca="false">IF(OR(INPUTS!$F$129&lt;&gt;"Yes",D$16=0),0,IF(OR(INPUTS!$J$129="Upfront",INPUTS!$J$129="Even",INPUTS!$J$129="Front-loaded",INPUTS!$J$129="Back-loaded",INPUTS!$J$129="S-curve"),IF(AND(ISNUMBER(INPUTS!$K$129),D$7&gt;=INPUTS!$K$129,D$7&lt;=IF(INPUTS!$J$129="Upfront",INPUTS!$K$129,INPUTS!$L$129)),1,0),IF(INPUTS!$J$129="Follow Project Life",D$17,IF(INPUTS!$J$129="At Project End",--(D$7=INPUTS!$C$29),0))))</f>
        <v>1</v>
      </c>
      <c r="E112" s="108" t="n">
        <f aca="false">IF(OR(INPUTS!$F$129&lt;&gt;"Yes",E$16=0),0,IF(OR(INPUTS!$J$129="Upfront",INPUTS!$J$129="Even",INPUTS!$J$129="Front-loaded",INPUTS!$J$129="Back-loaded",INPUTS!$J$129="S-curve"),IF(AND(ISNUMBER(INPUTS!$K$129),E$7&gt;=INPUTS!$K$129,E$7&lt;=IF(INPUTS!$J$129="Upfront",INPUTS!$K$129,INPUTS!$L$129)),1,0),IF(INPUTS!$J$129="Follow Project Life",E$17,IF(INPUTS!$J$129="At Project End",--(E$7=INPUTS!$C$29),0))))</f>
        <v>0</v>
      </c>
      <c r="F112" s="108" t="n">
        <f aca="false">IF(OR(INPUTS!$F$129&lt;&gt;"Yes",F$16=0),0,IF(OR(INPUTS!$J$129="Upfront",INPUTS!$J$129="Even",INPUTS!$J$129="Front-loaded",INPUTS!$J$129="Back-loaded",INPUTS!$J$129="S-curve"),IF(AND(ISNUMBER(INPUTS!$K$129),F$7&gt;=INPUTS!$K$129,F$7&lt;=IF(INPUTS!$J$129="Upfront",INPUTS!$K$129,INPUTS!$L$129)),1,0),IF(INPUTS!$J$129="Follow Project Life",F$17,IF(INPUTS!$J$129="At Project End",--(F$7=INPUTS!$C$29),0))))</f>
        <v>0</v>
      </c>
      <c r="G112" s="108" t="n">
        <f aca="false">IF(OR(INPUTS!$F$129&lt;&gt;"Yes",G$16=0),0,IF(OR(INPUTS!$J$129="Upfront",INPUTS!$J$129="Even",INPUTS!$J$129="Front-loaded",INPUTS!$J$129="Back-loaded",INPUTS!$J$129="S-curve"),IF(AND(ISNUMBER(INPUTS!$K$129),G$7&gt;=INPUTS!$K$129,G$7&lt;=IF(INPUTS!$J$129="Upfront",INPUTS!$K$129,INPUTS!$L$129)),1,0),IF(INPUTS!$J$129="Follow Project Life",G$17,IF(INPUTS!$J$129="At Project End",--(G$7=INPUTS!$C$29),0))))</f>
        <v>0</v>
      </c>
      <c r="H112" s="108" t="n">
        <f aca="false">IF(OR(INPUTS!$F$129&lt;&gt;"Yes",H$16=0),0,IF(OR(INPUTS!$J$129="Upfront",INPUTS!$J$129="Even",INPUTS!$J$129="Front-loaded",INPUTS!$J$129="Back-loaded",INPUTS!$J$129="S-curve"),IF(AND(ISNUMBER(INPUTS!$K$129),H$7&gt;=INPUTS!$K$129,H$7&lt;=IF(INPUTS!$J$129="Upfront",INPUTS!$K$129,INPUTS!$L$129)),1,0),IF(INPUTS!$J$129="Follow Project Life",H$17,IF(INPUTS!$J$129="At Project End",--(H$7=INPUTS!$C$29),0))))</f>
        <v>0</v>
      </c>
      <c r="I112" s="108" t="n">
        <f aca="false">IF(OR(INPUTS!$F$129&lt;&gt;"Yes",I$16=0),0,IF(OR(INPUTS!$J$129="Upfront",INPUTS!$J$129="Even",INPUTS!$J$129="Front-loaded",INPUTS!$J$129="Back-loaded",INPUTS!$J$129="S-curve"),IF(AND(ISNUMBER(INPUTS!$K$129),I$7&gt;=INPUTS!$K$129,I$7&lt;=IF(INPUTS!$J$129="Upfront",INPUTS!$K$129,INPUTS!$L$129)),1,0),IF(INPUTS!$J$129="Follow Project Life",I$17,IF(INPUTS!$J$129="At Project End",--(I$7=INPUTS!$C$29),0))))</f>
        <v>0</v>
      </c>
      <c r="J112" s="108" t="n">
        <f aca="false">IF(OR(INPUTS!$F$129&lt;&gt;"Yes",J$16=0),0,IF(OR(INPUTS!$J$129="Upfront",INPUTS!$J$129="Even",INPUTS!$J$129="Front-loaded",INPUTS!$J$129="Back-loaded",INPUTS!$J$129="S-curve"),IF(AND(ISNUMBER(INPUTS!$K$129),J$7&gt;=INPUTS!$K$129,J$7&lt;=IF(INPUTS!$J$129="Upfront",INPUTS!$K$129,INPUTS!$L$129)),1,0),IF(INPUTS!$J$129="Follow Project Life",J$17,IF(INPUTS!$J$129="At Project End",--(J$7=INPUTS!$C$29),0))))</f>
        <v>0</v>
      </c>
      <c r="K112" s="108" t="n">
        <f aca="false">IF(OR(INPUTS!$F$129&lt;&gt;"Yes",K$16=0),0,IF(OR(INPUTS!$J$129="Upfront",INPUTS!$J$129="Even",INPUTS!$J$129="Front-loaded",INPUTS!$J$129="Back-loaded",INPUTS!$J$129="S-curve"),IF(AND(ISNUMBER(INPUTS!$K$129),K$7&gt;=INPUTS!$K$129,K$7&lt;=IF(INPUTS!$J$129="Upfront",INPUTS!$K$129,INPUTS!$L$129)),1,0),IF(INPUTS!$J$129="Follow Project Life",K$17,IF(INPUTS!$J$129="At Project End",--(K$7=INPUTS!$C$29),0))))</f>
        <v>0</v>
      </c>
      <c r="L112" s="108" t="n">
        <f aca="false">IF(OR(INPUTS!$F$129&lt;&gt;"Yes",L$16=0),0,IF(OR(INPUTS!$J$129="Upfront",INPUTS!$J$129="Even",INPUTS!$J$129="Front-loaded",INPUTS!$J$129="Back-loaded",INPUTS!$J$129="S-curve"),IF(AND(ISNUMBER(INPUTS!$K$129),L$7&gt;=INPUTS!$K$129,L$7&lt;=IF(INPUTS!$J$129="Upfront",INPUTS!$K$129,INPUTS!$L$129)),1,0),IF(INPUTS!$J$129="Follow Project Life",L$17,IF(INPUTS!$J$129="At Project End",--(L$7=INPUTS!$C$29),0))))</f>
        <v>0</v>
      </c>
      <c r="M112" s="108" t="n">
        <f aca="false">IF(OR(INPUTS!$F$129&lt;&gt;"Yes",M$16=0),0,IF(OR(INPUTS!$J$129="Upfront",INPUTS!$J$129="Even",INPUTS!$J$129="Front-loaded",INPUTS!$J$129="Back-loaded",INPUTS!$J$129="S-curve"),IF(AND(ISNUMBER(INPUTS!$K$129),M$7&gt;=INPUTS!$K$129,M$7&lt;=IF(INPUTS!$J$129="Upfront",INPUTS!$K$129,INPUTS!$L$129)),1,0),IF(INPUTS!$J$129="Follow Project Life",M$17,IF(INPUTS!$J$129="At Project End",--(M$7=INPUTS!$C$29),0))))</f>
        <v>0</v>
      </c>
      <c r="N112" s="108" t="n">
        <f aca="false">IF(OR(INPUTS!$F$129&lt;&gt;"Yes",N$16=0),0,IF(OR(INPUTS!$J$129="Upfront",INPUTS!$J$129="Even",INPUTS!$J$129="Front-loaded",INPUTS!$J$129="Back-loaded",INPUTS!$J$129="S-curve"),IF(AND(ISNUMBER(INPUTS!$K$129),N$7&gt;=INPUTS!$K$129,N$7&lt;=IF(INPUTS!$J$129="Upfront",INPUTS!$K$129,INPUTS!$L$129)),1,0),IF(INPUTS!$J$129="Follow Project Life",N$17,IF(INPUTS!$J$129="At Project End",--(N$7=INPUTS!$C$29),0))))</f>
        <v>0</v>
      </c>
      <c r="O112" s="108" t="n">
        <f aca="false">IF(OR(INPUTS!$F$129&lt;&gt;"Yes",O$16=0),0,IF(OR(INPUTS!$J$129="Upfront",INPUTS!$J$129="Even",INPUTS!$J$129="Front-loaded",INPUTS!$J$129="Back-loaded",INPUTS!$J$129="S-curve"),IF(AND(ISNUMBER(INPUTS!$K$129),O$7&gt;=INPUTS!$K$129,O$7&lt;=IF(INPUTS!$J$129="Upfront",INPUTS!$K$129,INPUTS!$L$129)),1,0),IF(INPUTS!$J$129="Follow Project Life",O$17,IF(INPUTS!$J$129="At Project End",--(O$7=INPUTS!$C$29),0))))</f>
        <v>0</v>
      </c>
      <c r="P112" s="108" t="n">
        <f aca="false">IF(OR(INPUTS!$F$129&lt;&gt;"Yes",P$16=0),0,IF(OR(INPUTS!$J$129="Upfront",INPUTS!$J$129="Even",INPUTS!$J$129="Front-loaded",INPUTS!$J$129="Back-loaded",INPUTS!$J$129="S-curve"),IF(AND(ISNUMBER(INPUTS!$K$129),P$7&gt;=INPUTS!$K$129,P$7&lt;=IF(INPUTS!$J$129="Upfront",INPUTS!$K$129,INPUTS!$L$129)),1,0),IF(INPUTS!$J$129="Follow Project Life",P$17,IF(INPUTS!$J$129="At Project End",--(P$7=INPUTS!$C$29),0))))</f>
        <v>0</v>
      </c>
      <c r="Q112" s="108" t="n">
        <f aca="false">IF(OR(INPUTS!$F$129&lt;&gt;"Yes",Q$16=0),0,IF(OR(INPUTS!$J$129="Upfront",INPUTS!$J$129="Even",INPUTS!$J$129="Front-loaded",INPUTS!$J$129="Back-loaded",INPUTS!$J$129="S-curve"),IF(AND(ISNUMBER(INPUTS!$K$129),Q$7&gt;=INPUTS!$K$129,Q$7&lt;=IF(INPUTS!$J$129="Upfront",INPUTS!$K$129,INPUTS!$L$129)),1,0),IF(INPUTS!$J$129="Follow Project Life",Q$17,IF(INPUTS!$J$129="At Project End",--(Q$7=INPUTS!$C$29),0))))</f>
        <v>0</v>
      </c>
      <c r="R112" s="108" t="n">
        <f aca="false">IF(OR(INPUTS!$F$129&lt;&gt;"Yes",R$16=0),0,IF(OR(INPUTS!$J$129="Upfront",INPUTS!$J$129="Even",INPUTS!$J$129="Front-loaded",INPUTS!$J$129="Back-loaded",INPUTS!$J$129="S-curve"),IF(AND(ISNUMBER(INPUTS!$K$129),R$7&gt;=INPUTS!$K$129,R$7&lt;=IF(INPUTS!$J$129="Upfront",INPUTS!$K$129,INPUTS!$L$129)),1,0),IF(INPUTS!$J$129="Follow Project Life",R$17,IF(INPUTS!$J$129="At Project End",--(R$7=INPUTS!$C$29),0))))</f>
        <v>0</v>
      </c>
      <c r="S112" s="108" t="n">
        <f aca="false">IF(OR(INPUTS!$F$129&lt;&gt;"Yes",S$16=0),0,IF(OR(INPUTS!$J$129="Upfront",INPUTS!$J$129="Even",INPUTS!$J$129="Front-loaded",INPUTS!$J$129="Back-loaded",INPUTS!$J$129="S-curve"),IF(AND(ISNUMBER(INPUTS!$K$129),S$7&gt;=INPUTS!$K$129,S$7&lt;=IF(INPUTS!$J$129="Upfront",INPUTS!$K$129,INPUTS!$L$129)),1,0),IF(INPUTS!$J$129="Follow Project Life",S$17,IF(INPUTS!$J$129="At Project End",--(S$7=INPUTS!$C$29),0))))</f>
        <v>0</v>
      </c>
      <c r="T112" s="108" t="n">
        <f aca="false">IF(OR(INPUTS!$F$129&lt;&gt;"Yes",T$16=0),0,IF(OR(INPUTS!$J$129="Upfront",INPUTS!$J$129="Even",INPUTS!$J$129="Front-loaded",INPUTS!$J$129="Back-loaded",INPUTS!$J$129="S-curve"),IF(AND(ISNUMBER(INPUTS!$K$129),T$7&gt;=INPUTS!$K$129,T$7&lt;=IF(INPUTS!$J$129="Upfront",INPUTS!$K$129,INPUTS!$L$129)),1,0),IF(INPUTS!$J$129="Follow Project Life",T$17,IF(INPUTS!$J$129="At Project End",--(T$7=INPUTS!$C$29),0))))</f>
        <v>0</v>
      </c>
      <c r="U112" s="108" t="n">
        <f aca="false">IF(OR(INPUTS!$F$129&lt;&gt;"Yes",U$16=0),0,IF(OR(INPUTS!$J$129="Upfront",INPUTS!$J$129="Even",INPUTS!$J$129="Front-loaded",INPUTS!$J$129="Back-loaded",INPUTS!$J$129="S-curve"),IF(AND(ISNUMBER(INPUTS!$K$129),U$7&gt;=INPUTS!$K$129,U$7&lt;=IF(INPUTS!$J$129="Upfront",INPUTS!$K$129,INPUTS!$L$129)),1,0),IF(INPUTS!$J$129="Follow Project Life",U$17,IF(INPUTS!$J$129="At Project End",--(U$7=INPUTS!$C$29),0))))</f>
        <v>0</v>
      </c>
      <c r="V112" s="108" t="n">
        <f aca="false">IF(OR(INPUTS!$F$129&lt;&gt;"Yes",V$16=0),0,IF(OR(INPUTS!$J$129="Upfront",INPUTS!$J$129="Even",INPUTS!$J$129="Front-loaded",INPUTS!$J$129="Back-loaded",INPUTS!$J$129="S-curve"),IF(AND(ISNUMBER(INPUTS!$K$129),V$7&gt;=INPUTS!$K$129,V$7&lt;=IF(INPUTS!$J$129="Upfront",INPUTS!$K$129,INPUTS!$L$129)),1,0),IF(INPUTS!$J$129="Follow Project Life",V$17,IF(INPUTS!$J$129="At Project End",--(V$7=INPUTS!$C$29),0))))</f>
        <v>0</v>
      </c>
      <c r="W112" s="108" t="n">
        <f aca="false">IF(OR(INPUTS!$F$129&lt;&gt;"Yes",W$16=0),0,IF(OR(INPUTS!$J$129="Upfront",INPUTS!$J$129="Even",INPUTS!$J$129="Front-loaded",INPUTS!$J$129="Back-loaded",INPUTS!$J$129="S-curve"),IF(AND(ISNUMBER(INPUTS!$K$129),W$7&gt;=INPUTS!$K$129,W$7&lt;=IF(INPUTS!$J$129="Upfront",INPUTS!$K$129,INPUTS!$L$129)),1,0),IF(INPUTS!$J$129="Follow Project Life",W$17,IF(INPUTS!$J$129="At Project End",--(W$7=INPUTS!$C$29),0))))</f>
        <v>0</v>
      </c>
      <c r="X112" s="108" t="n">
        <f aca="false">IF(OR(INPUTS!$F$129&lt;&gt;"Yes",X$16=0),0,IF(OR(INPUTS!$J$129="Upfront",INPUTS!$J$129="Even",INPUTS!$J$129="Front-loaded",INPUTS!$J$129="Back-loaded",INPUTS!$J$129="S-curve"),IF(AND(ISNUMBER(INPUTS!$K$129),X$7&gt;=INPUTS!$K$129,X$7&lt;=IF(INPUTS!$J$129="Upfront",INPUTS!$K$129,INPUTS!$L$129)),1,0),IF(INPUTS!$J$129="Follow Project Life",X$17,IF(INPUTS!$J$129="At Project End",--(X$7=INPUTS!$C$29),0))))</f>
        <v>0</v>
      </c>
      <c r="Y112" s="108" t="n">
        <f aca="false">IF(OR(INPUTS!$F$129&lt;&gt;"Yes",Y$16=0),0,IF(OR(INPUTS!$J$129="Upfront",INPUTS!$J$129="Even",INPUTS!$J$129="Front-loaded",INPUTS!$J$129="Back-loaded",INPUTS!$J$129="S-curve"),IF(AND(ISNUMBER(INPUTS!$K$129),Y$7&gt;=INPUTS!$K$129,Y$7&lt;=IF(INPUTS!$J$129="Upfront",INPUTS!$K$129,INPUTS!$L$129)),1,0),IF(INPUTS!$J$129="Follow Project Life",Y$17,IF(INPUTS!$J$129="At Project End",--(Y$7=INPUTS!$C$29),0))))</f>
        <v>0</v>
      </c>
      <c r="Z112" s="108" t="n">
        <f aca="false">IF(OR(INPUTS!$F$129&lt;&gt;"Yes",Z$16=0),0,IF(OR(INPUTS!$J$129="Upfront",INPUTS!$J$129="Even",INPUTS!$J$129="Front-loaded",INPUTS!$J$129="Back-loaded",INPUTS!$J$129="S-curve"),IF(AND(ISNUMBER(INPUTS!$K$129),Z$7&gt;=INPUTS!$K$129,Z$7&lt;=IF(INPUTS!$J$129="Upfront",INPUTS!$K$129,INPUTS!$L$129)),1,0),IF(INPUTS!$J$129="Follow Project Life",Z$17,IF(INPUTS!$J$129="At Project End",--(Z$7=INPUTS!$C$29),0))))</f>
        <v>0</v>
      </c>
      <c r="AA112" s="108" t="n">
        <f aca="false">IF(OR(INPUTS!$F$129&lt;&gt;"Yes",AA$16=0),0,IF(OR(INPUTS!$J$129="Upfront",INPUTS!$J$129="Even",INPUTS!$J$129="Front-loaded",INPUTS!$J$129="Back-loaded",INPUTS!$J$129="S-curve"),IF(AND(ISNUMBER(INPUTS!$K$129),AA$7&gt;=INPUTS!$K$129,AA$7&lt;=IF(INPUTS!$J$129="Upfront",INPUTS!$K$129,INPUTS!$L$129)),1,0),IF(INPUTS!$J$129="Follow Project Life",AA$17,IF(INPUTS!$J$129="At Project End",--(AA$7=INPUTS!$C$29),0))))</f>
        <v>0</v>
      </c>
      <c r="AB112" s="108" t="n">
        <f aca="false">IF(OR(INPUTS!$F$129&lt;&gt;"Yes",AB$16=0),0,IF(OR(INPUTS!$J$129="Upfront",INPUTS!$J$129="Even",INPUTS!$J$129="Front-loaded",INPUTS!$J$129="Back-loaded",INPUTS!$J$129="S-curve"),IF(AND(ISNUMBER(INPUTS!$K$129),AB$7&gt;=INPUTS!$K$129,AB$7&lt;=IF(INPUTS!$J$129="Upfront",INPUTS!$K$129,INPUTS!$L$129)),1,0),IF(INPUTS!$J$129="Follow Project Life",AB$17,IF(INPUTS!$J$129="At Project End",--(AB$7=INPUTS!$C$29),0))))</f>
        <v>0</v>
      </c>
      <c r="AC112" s="108" t="n">
        <f aca="false">IF(OR(INPUTS!$F$129&lt;&gt;"Yes",AC$16=0),0,IF(OR(INPUTS!$J$129="Upfront",INPUTS!$J$129="Even",INPUTS!$J$129="Front-loaded",INPUTS!$J$129="Back-loaded",INPUTS!$J$129="S-curve"),IF(AND(ISNUMBER(INPUTS!$K$129),AC$7&gt;=INPUTS!$K$129,AC$7&lt;=IF(INPUTS!$J$129="Upfront",INPUTS!$K$129,INPUTS!$L$129)),1,0),IF(INPUTS!$J$129="Follow Project Life",AC$17,IF(INPUTS!$J$129="At Project End",--(AC$7=INPUTS!$C$29),0))))</f>
        <v>0</v>
      </c>
      <c r="AD112" s="108" t="n">
        <f aca="false">IF(OR(INPUTS!$F$129&lt;&gt;"Yes",AD$16=0),0,IF(OR(INPUTS!$J$129="Upfront",INPUTS!$J$129="Even",INPUTS!$J$129="Front-loaded",INPUTS!$J$129="Back-loaded",INPUTS!$J$129="S-curve"),IF(AND(ISNUMBER(INPUTS!$K$129),AD$7&gt;=INPUTS!$K$129,AD$7&lt;=IF(INPUTS!$J$129="Upfront",INPUTS!$K$129,INPUTS!$L$129)),1,0),IF(INPUTS!$J$129="Follow Project Life",AD$17,IF(INPUTS!$J$129="At Project End",--(AD$7=INPUTS!$C$29),0))))</f>
        <v>0</v>
      </c>
      <c r="AE112" s="108" t="n">
        <f aca="false">IF(OR(INPUTS!$F$129&lt;&gt;"Yes",AE$16=0),0,IF(OR(INPUTS!$J$129="Upfront",INPUTS!$J$129="Even",INPUTS!$J$129="Front-loaded",INPUTS!$J$129="Back-loaded",INPUTS!$J$129="S-curve"),IF(AND(ISNUMBER(INPUTS!$K$129),AE$7&gt;=INPUTS!$K$129,AE$7&lt;=IF(INPUTS!$J$129="Upfront",INPUTS!$K$129,INPUTS!$L$129)),1,0),IF(INPUTS!$J$129="Follow Project Life",AE$17,IF(INPUTS!$J$129="At Project End",--(AE$7=INPUTS!$C$29),0))))</f>
        <v>0</v>
      </c>
      <c r="AF112" s="108" t="n">
        <f aca="false">IF(OR(INPUTS!$F$129&lt;&gt;"Yes",AF$16=0),0,IF(OR(INPUTS!$J$129="Upfront",INPUTS!$J$129="Even",INPUTS!$J$129="Front-loaded",INPUTS!$J$129="Back-loaded",INPUTS!$J$129="S-curve"),IF(AND(ISNUMBER(INPUTS!$K$129),AF$7&gt;=INPUTS!$K$129,AF$7&lt;=IF(INPUTS!$J$129="Upfront",INPUTS!$K$129,INPUTS!$L$129)),1,0),IF(INPUTS!$J$129="Follow Project Life",AF$17,IF(INPUTS!$J$129="At Project End",--(AF$7=INPUTS!$C$29),0))))</f>
        <v>0</v>
      </c>
      <c r="AG112" s="108" t="n">
        <f aca="false">IF(OR(INPUTS!$F$129&lt;&gt;"Yes",AG$16=0),0,IF(OR(INPUTS!$J$129="Upfront",INPUTS!$J$129="Even",INPUTS!$J$129="Front-loaded",INPUTS!$J$129="Back-loaded",INPUTS!$J$129="S-curve"),IF(AND(ISNUMBER(INPUTS!$K$129),AG$7&gt;=INPUTS!$K$129,AG$7&lt;=IF(INPUTS!$J$129="Upfront",INPUTS!$K$129,INPUTS!$L$129)),1,0),IF(INPUTS!$J$129="Follow Project Life",AG$17,IF(INPUTS!$J$129="At Project End",--(AG$7=INPUTS!$C$29),0))))</f>
        <v>0</v>
      </c>
      <c r="AH112" s="108" t="n">
        <f aca="false">IF(OR(INPUTS!$F$129&lt;&gt;"Yes",AH$16=0),0,IF(OR(INPUTS!$J$129="Upfront",INPUTS!$J$129="Even",INPUTS!$J$129="Front-loaded",INPUTS!$J$129="Back-loaded",INPUTS!$J$129="S-curve"),IF(AND(ISNUMBER(INPUTS!$K$129),AH$7&gt;=INPUTS!$K$129,AH$7&lt;=IF(INPUTS!$J$129="Upfront",INPUTS!$K$129,INPUTS!$L$129)),1,0),IF(INPUTS!$J$129="Follow Project Life",AH$17,IF(INPUTS!$J$129="At Project End",--(AH$7=INPUTS!$C$29),0))))</f>
        <v>0</v>
      </c>
      <c r="AI112" s="108" t="n">
        <f aca="false">IF(OR(INPUTS!$F$129&lt;&gt;"Yes",AI$16=0),0,IF(OR(INPUTS!$J$129="Upfront",INPUTS!$J$129="Even",INPUTS!$J$129="Front-loaded",INPUTS!$J$129="Back-loaded",INPUTS!$J$129="S-curve"),IF(AND(ISNUMBER(INPUTS!$K$129),AI$7&gt;=INPUTS!$K$129,AI$7&lt;=IF(INPUTS!$J$129="Upfront",INPUTS!$K$129,INPUTS!$L$129)),1,0),IF(INPUTS!$J$129="Follow Project Life",AI$17,IF(INPUTS!$J$129="At Project End",--(AI$7=INPUTS!$C$29),0))))</f>
        <v>0</v>
      </c>
      <c r="AJ112" s="108" t="n">
        <f aca="false">IF(OR(INPUTS!$F$129&lt;&gt;"Yes",AJ$16=0),0,IF(OR(INPUTS!$J$129="Upfront",INPUTS!$J$129="Even",INPUTS!$J$129="Front-loaded",INPUTS!$J$129="Back-loaded",INPUTS!$J$129="S-curve"),IF(AND(ISNUMBER(INPUTS!$K$129),AJ$7&gt;=INPUTS!$K$129,AJ$7&lt;=IF(INPUTS!$J$129="Upfront",INPUTS!$K$129,INPUTS!$L$129)),1,0),IF(INPUTS!$J$129="Follow Project Life",AJ$17,IF(INPUTS!$J$129="At Project End",--(AJ$7=INPUTS!$C$29),0))))</f>
        <v>0</v>
      </c>
      <c r="AK112" s="108" t="n">
        <f aca="false">IF(OR(INPUTS!$F$129&lt;&gt;"Yes",AK$16=0),0,IF(OR(INPUTS!$J$129="Upfront",INPUTS!$J$129="Even",INPUTS!$J$129="Front-loaded",INPUTS!$J$129="Back-loaded",INPUTS!$J$129="S-curve"),IF(AND(ISNUMBER(INPUTS!$K$129),AK$7&gt;=INPUTS!$K$129,AK$7&lt;=IF(INPUTS!$J$129="Upfront",INPUTS!$K$129,INPUTS!$L$129)),1,0),IF(INPUTS!$J$129="Follow Project Life",AK$17,IF(INPUTS!$J$129="At Project End",--(AK$7=INPUTS!$C$29),0))))</f>
        <v>0</v>
      </c>
      <c r="AL112" s="108" t="n">
        <f aca="false">IF(OR(INPUTS!$F$129&lt;&gt;"Yes",AL$16=0),0,IF(OR(INPUTS!$J$129="Upfront",INPUTS!$J$129="Even",INPUTS!$J$129="Front-loaded",INPUTS!$J$129="Back-loaded",INPUTS!$J$129="S-curve"),IF(AND(ISNUMBER(INPUTS!$K$129),AL$7&gt;=INPUTS!$K$129,AL$7&lt;=IF(INPUTS!$J$129="Upfront",INPUTS!$K$129,INPUTS!$L$129)),1,0),IF(INPUTS!$J$129="Follow Project Life",AL$17,IF(INPUTS!$J$129="At Project End",--(AL$7=INPUTS!$C$29),0))))</f>
        <v>0</v>
      </c>
      <c r="AM112" s="108" t="n">
        <f aca="false">IF(OR(INPUTS!$F$129&lt;&gt;"Yes",AM$16=0),0,IF(OR(INPUTS!$J$129="Upfront",INPUTS!$J$129="Even",INPUTS!$J$129="Front-loaded",INPUTS!$J$129="Back-loaded",INPUTS!$J$129="S-curve"),IF(AND(ISNUMBER(INPUTS!$K$129),AM$7&gt;=INPUTS!$K$129,AM$7&lt;=IF(INPUTS!$J$129="Upfront",INPUTS!$K$129,INPUTS!$L$129)),1,0),IF(INPUTS!$J$129="Follow Project Life",AM$17,IF(INPUTS!$J$129="At Project End",--(AM$7=INPUTS!$C$29),0))))</f>
        <v>0</v>
      </c>
      <c r="AN112" s="108" t="n">
        <f aca="false">IF(OR(INPUTS!$F$129&lt;&gt;"Yes",AN$16=0),0,IF(OR(INPUTS!$J$129="Upfront",INPUTS!$J$129="Even",INPUTS!$J$129="Front-loaded",INPUTS!$J$129="Back-loaded",INPUTS!$J$129="S-curve"),IF(AND(ISNUMBER(INPUTS!$K$129),AN$7&gt;=INPUTS!$K$129,AN$7&lt;=IF(INPUTS!$J$129="Upfront",INPUTS!$K$129,INPUTS!$L$129)),1,0),IF(INPUTS!$J$129="Follow Project Life",AN$17,IF(INPUTS!$J$129="At Project End",--(AN$7=INPUTS!$C$29),0))))</f>
        <v>0</v>
      </c>
      <c r="AO112" s="108" t="n">
        <f aca="false">IF(OR(INPUTS!$F$129&lt;&gt;"Yes",AO$16=0),0,IF(OR(INPUTS!$J$129="Upfront",INPUTS!$J$129="Even",INPUTS!$J$129="Front-loaded",INPUTS!$J$129="Back-loaded",INPUTS!$J$129="S-curve"),IF(AND(ISNUMBER(INPUTS!$K$129),AO$7&gt;=INPUTS!$K$129,AO$7&lt;=IF(INPUTS!$J$129="Upfront",INPUTS!$K$129,INPUTS!$L$129)),1,0),IF(INPUTS!$J$129="Follow Project Life",AO$17,IF(INPUTS!$J$129="At Project End",--(AO$7=INPUTS!$C$29),0))))</f>
        <v>0</v>
      </c>
      <c r="AP112" s="108" t="n">
        <f aca="false">IF(OR(INPUTS!$F$129&lt;&gt;"Yes",AP$16=0),0,IF(OR(INPUTS!$J$129="Upfront",INPUTS!$J$129="Even",INPUTS!$J$129="Front-loaded",INPUTS!$J$129="Back-loaded",INPUTS!$J$129="S-curve"),IF(AND(ISNUMBER(INPUTS!$K$129),AP$7&gt;=INPUTS!$K$129,AP$7&lt;=IF(INPUTS!$J$129="Upfront",INPUTS!$K$129,INPUTS!$L$129)),1,0),IF(INPUTS!$J$129="Follow Project Life",AP$17,IF(INPUTS!$J$129="At Project End",--(AP$7=INPUTS!$C$29),0))))</f>
        <v>0</v>
      </c>
      <c r="AQ112" s="108" t="n">
        <f aca="false">IF(OR(INPUTS!$F$129&lt;&gt;"Yes",AQ$16=0),0,IF(OR(INPUTS!$J$129="Upfront",INPUTS!$J$129="Even",INPUTS!$J$129="Front-loaded",INPUTS!$J$129="Back-loaded",INPUTS!$J$129="S-curve"),IF(AND(ISNUMBER(INPUTS!$K$129),AQ$7&gt;=INPUTS!$K$129,AQ$7&lt;=IF(INPUTS!$J$129="Upfront",INPUTS!$K$129,INPUTS!$L$129)),1,0),IF(INPUTS!$J$129="Follow Project Life",AQ$17,IF(INPUTS!$J$129="At Project End",--(AQ$7=INPUTS!$C$29),0))))</f>
        <v>0</v>
      </c>
    </row>
    <row r="113" customFormat="false" ht="15" hidden="false" customHeight="false" outlineLevel="0" collapsed="false">
      <c r="B113" s="3" t="s">
        <v>650</v>
      </c>
      <c r="C113" s="107" t="n">
        <f aca="false">MAX(D113:AQ113)</f>
        <v>1</v>
      </c>
      <c r="D113" s="108" t="n">
        <f aca="false">IF(D112=1,COUNTIF($D112:D112,1),0)</f>
        <v>1</v>
      </c>
      <c r="E113" s="108" t="n">
        <f aca="false">IF(E112=1,COUNTIF($D112:E112,1),0)</f>
        <v>0</v>
      </c>
      <c r="F113" s="108" t="n">
        <f aca="false">IF(F112=1,COUNTIF($D112:F112,1),0)</f>
        <v>0</v>
      </c>
      <c r="G113" s="108" t="n">
        <f aca="false">IF(G112=1,COUNTIF($D112:G112,1),0)</f>
        <v>0</v>
      </c>
      <c r="H113" s="108" t="n">
        <f aca="false">IF(H112=1,COUNTIF($D112:H112,1),0)</f>
        <v>0</v>
      </c>
      <c r="I113" s="108" t="n">
        <f aca="false">IF(I112=1,COUNTIF($D112:I112,1),0)</f>
        <v>0</v>
      </c>
      <c r="J113" s="108" t="n">
        <f aca="false">IF(J112=1,COUNTIF($D112:J112,1),0)</f>
        <v>0</v>
      </c>
      <c r="K113" s="108" t="n">
        <f aca="false">IF(K112=1,COUNTIF($D112:K112,1),0)</f>
        <v>0</v>
      </c>
      <c r="L113" s="108" t="n">
        <f aca="false">IF(L112=1,COUNTIF($D112:L112,1),0)</f>
        <v>0</v>
      </c>
      <c r="M113" s="108" t="n">
        <f aca="false">IF(M112=1,COUNTIF($D112:M112,1),0)</f>
        <v>0</v>
      </c>
      <c r="N113" s="108" t="n">
        <f aca="false">IF(N112=1,COUNTIF($D112:N112,1),0)</f>
        <v>0</v>
      </c>
      <c r="O113" s="108" t="n">
        <f aca="false">IF(O112=1,COUNTIF($D112:O112,1),0)</f>
        <v>0</v>
      </c>
      <c r="P113" s="108" t="n">
        <f aca="false">IF(P112=1,COUNTIF($D112:P112,1),0)</f>
        <v>0</v>
      </c>
      <c r="Q113" s="108" t="n">
        <f aca="false">IF(Q112=1,COUNTIF($D112:Q112,1),0)</f>
        <v>0</v>
      </c>
      <c r="R113" s="108" t="n">
        <f aca="false">IF(R112=1,COUNTIF($D112:R112,1),0)</f>
        <v>0</v>
      </c>
      <c r="S113" s="108" t="n">
        <f aca="false">IF(S112=1,COUNTIF($D112:S112,1),0)</f>
        <v>0</v>
      </c>
      <c r="T113" s="108" t="n">
        <f aca="false">IF(T112=1,COUNTIF($D112:T112,1),0)</f>
        <v>0</v>
      </c>
      <c r="U113" s="108" t="n">
        <f aca="false">IF(U112=1,COUNTIF($D112:U112,1),0)</f>
        <v>0</v>
      </c>
      <c r="V113" s="108" t="n">
        <f aca="false">IF(V112=1,COUNTIF($D112:V112,1),0)</f>
        <v>0</v>
      </c>
      <c r="W113" s="108" t="n">
        <f aca="false">IF(W112=1,COUNTIF($D112:W112,1),0)</f>
        <v>0</v>
      </c>
      <c r="X113" s="108" t="n">
        <f aca="false">IF(X112=1,COUNTIF($D112:X112,1),0)</f>
        <v>0</v>
      </c>
      <c r="Y113" s="108" t="n">
        <f aca="false">IF(Y112=1,COUNTIF($D112:Y112,1),0)</f>
        <v>0</v>
      </c>
      <c r="Z113" s="108" t="n">
        <f aca="false">IF(Z112=1,COUNTIF($D112:Z112,1),0)</f>
        <v>0</v>
      </c>
      <c r="AA113" s="108" t="n">
        <f aca="false">IF(AA112=1,COUNTIF($D112:AA112,1),0)</f>
        <v>0</v>
      </c>
      <c r="AB113" s="108" t="n">
        <f aca="false">IF(AB112=1,COUNTIF($D112:AB112,1),0)</f>
        <v>0</v>
      </c>
      <c r="AC113" s="108" t="n">
        <f aca="false">IF(AC112=1,COUNTIF($D112:AC112,1),0)</f>
        <v>0</v>
      </c>
      <c r="AD113" s="108" t="n">
        <f aca="false">IF(AD112=1,COUNTIF($D112:AD112,1),0)</f>
        <v>0</v>
      </c>
      <c r="AE113" s="108" t="n">
        <f aca="false">IF(AE112=1,COUNTIF($D112:AE112,1),0)</f>
        <v>0</v>
      </c>
      <c r="AF113" s="108" t="n">
        <f aca="false">IF(AF112=1,COUNTIF($D112:AF112,1),0)</f>
        <v>0</v>
      </c>
      <c r="AG113" s="108" t="n">
        <f aca="false">IF(AG112=1,COUNTIF($D112:AG112,1),0)</f>
        <v>0</v>
      </c>
      <c r="AH113" s="108" t="n">
        <f aca="false">IF(AH112=1,COUNTIF($D112:AH112,1),0)</f>
        <v>0</v>
      </c>
      <c r="AI113" s="108" t="n">
        <f aca="false">IF(AI112=1,COUNTIF($D112:AI112,1),0)</f>
        <v>0</v>
      </c>
      <c r="AJ113" s="108" t="n">
        <f aca="false">IF(AJ112=1,COUNTIF($D112:AJ112,1),0)</f>
        <v>0</v>
      </c>
      <c r="AK113" s="108" t="n">
        <f aca="false">IF(AK112=1,COUNTIF($D112:AK112,1),0)</f>
        <v>0</v>
      </c>
      <c r="AL113" s="108" t="n">
        <f aca="false">IF(AL112=1,COUNTIF($D112:AL112,1),0)</f>
        <v>0</v>
      </c>
      <c r="AM113" s="108" t="n">
        <f aca="false">IF(AM112=1,COUNTIF($D112:AM112,1),0)</f>
        <v>0</v>
      </c>
      <c r="AN113" s="108" t="n">
        <f aca="false">IF(AN112=1,COUNTIF($D112:AN112,1),0)</f>
        <v>0</v>
      </c>
      <c r="AO113" s="108" t="n">
        <f aca="false">IF(AO112=1,COUNTIF($D112:AO112,1),0)</f>
        <v>0</v>
      </c>
      <c r="AP113" s="108" t="n">
        <f aca="false">IF(AP112=1,COUNTIF($D112:AP112,1),0)</f>
        <v>0</v>
      </c>
      <c r="AQ113" s="108" t="n">
        <f aca="false">IF(AQ112=1,COUNTIF($D112:AQ112,1),0)</f>
        <v>0</v>
      </c>
    </row>
    <row r="114" customFormat="false" ht="15" hidden="false" customHeight="false" outlineLevel="0" collapsed="false">
      <c r="B114" s="17" t="s">
        <v>651</v>
      </c>
      <c r="C114" s="105" t="str">
        <f aca="false">IF(INPUTS!$M$129="","",IF(INPUTS!$M$129&lt;&gt;"OK","ERROR",IF(C112=IF(INPUTS!$F$129&lt;&gt;"Yes",0,IF(OR(INPUTS!$J$129="Upfront",INPUTS!$J$129="Even",INPUTS!$J$129="Front-loaded",INPUTS!$J$129="Back-loaded",INPUTS!$J$129="S-curve"),IF(ISNUMBER(INPUTS!$K$129),IF(INPUTS!$J$129="Upfront",INPUTS!$K$129,INPUTS!$L$129)-INPUTS!$K$129+1,0),IF(INPUTS!$J$129="Follow Project Life",INPUTS!$C$29,IF(INPUTS!$J$129="At Project End",1,0)))),"OK","ERROR")))</f>
        <v>OK</v>
      </c>
    </row>
    <row r="115" customFormat="false" ht="15" hidden="false" customHeight="false" outlineLevel="0" collapsed="false">
      <c r="B115" s="110" t="str">
        <f aca="false">IF(INPUTS!$B$130="","Spare cost row",INPUTS!$B$130)</f>
        <v>Brokerage</v>
      </c>
      <c r="C115" s="111" t="str">
        <f aca="false">IF(INPUTS!$J$130="","",INPUTS!$J$130)</f>
        <v>Upfront</v>
      </c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</row>
    <row r="116" customFormat="false" ht="15" hidden="false" customHeight="false" outlineLevel="0" collapsed="false">
      <c r="B116" s="3" t="s">
        <v>649</v>
      </c>
      <c r="C116" s="107" t="n">
        <f aca="false">SUM(D116:AQ116)</f>
        <v>1</v>
      </c>
      <c r="D116" s="108" t="n">
        <f aca="false">IF(OR(INPUTS!$F$130&lt;&gt;"Yes",D$16=0),0,IF(OR(INPUTS!$J$130="Upfront",INPUTS!$J$130="Even",INPUTS!$J$130="Front-loaded",INPUTS!$J$130="Back-loaded",INPUTS!$J$130="S-curve"),IF(AND(ISNUMBER(INPUTS!$K$130),D$7&gt;=INPUTS!$K$130,D$7&lt;=IF(INPUTS!$J$130="Upfront",INPUTS!$K$130,INPUTS!$L$130)),1,0),IF(INPUTS!$J$130="Follow Project Life",D$17,IF(INPUTS!$J$130="At Project End",--(D$7=INPUTS!$C$29),0))))</f>
        <v>1</v>
      </c>
      <c r="E116" s="108" t="n">
        <f aca="false">IF(OR(INPUTS!$F$130&lt;&gt;"Yes",E$16=0),0,IF(OR(INPUTS!$J$130="Upfront",INPUTS!$J$130="Even",INPUTS!$J$130="Front-loaded",INPUTS!$J$130="Back-loaded",INPUTS!$J$130="S-curve"),IF(AND(ISNUMBER(INPUTS!$K$130),E$7&gt;=INPUTS!$K$130,E$7&lt;=IF(INPUTS!$J$130="Upfront",INPUTS!$K$130,INPUTS!$L$130)),1,0),IF(INPUTS!$J$130="Follow Project Life",E$17,IF(INPUTS!$J$130="At Project End",--(E$7=INPUTS!$C$29),0))))</f>
        <v>0</v>
      </c>
      <c r="F116" s="108" t="n">
        <f aca="false">IF(OR(INPUTS!$F$130&lt;&gt;"Yes",F$16=0),0,IF(OR(INPUTS!$J$130="Upfront",INPUTS!$J$130="Even",INPUTS!$J$130="Front-loaded",INPUTS!$J$130="Back-loaded",INPUTS!$J$130="S-curve"),IF(AND(ISNUMBER(INPUTS!$K$130),F$7&gt;=INPUTS!$K$130,F$7&lt;=IF(INPUTS!$J$130="Upfront",INPUTS!$K$130,INPUTS!$L$130)),1,0),IF(INPUTS!$J$130="Follow Project Life",F$17,IF(INPUTS!$J$130="At Project End",--(F$7=INPUTS!$C$29),0))))</f>
        <v>0</v>
      </c>
      <c r="G116" s="108" t="n">
        <f aca="false">IF(OR(INPUTS!$F$130&lt;&gt;"Yes",G$16=0),0,IF(OR(INPUTS!$J$130="Upfront",INPUTS!$J$130="Even",INPUTS!$J$130="Front-loaded",INPUTS!$J$130="Back-loaded",INPUTS!$J$130="S-curve"),IF(AND(ISNUMBER(INPUTS!$K$130),G$7&gt;=INPUTS!$K$130,G$7&lt;=IF(INPUTS!$J$130="Upfront",INPUTS!$K$130,INPUTS!$L$130)),1,0),IF(INPUTS!$J$130="Follow Project Life",G$17,IF(INPUTS!$J$130="At Project End",--(G$7=INPUTS!$C$29),0))))</f>
        <v>0</v>
      </c>
      <c r="H116" s="108" t="n">
        <f aca="false">IF(OR(INPUTS!$F$130&lt;&gt;"Yes",H$16=0),0,IF(OR(INPUTS!$J$130="Upfront",INPUTS!$J$130="Even",INPUTS!$J$130="Front-loaded",INPUTS!$J$130="Back-loaded",INPUTS!$J$130="S-curve"),IF(AND(ISNUMBER(INPUTS!$K$130),H$7&gt;=INPUTS!$K$130,H$7&lt;=IF(INPUTS!$J$130="Upfront",INPUTS!$K$130,INPUTS!$L$130)),1,0),IF(INPUTS!$J$130="Follow Project Life",H$17,IF(INPUTS!$J$130="At Project End",--(H$7=INPUTS!$C$29),0))))</f>
        <v>0</v>
      </c>
      <c r="I116" s="108" t="n">
        <f aca="false">IF(OR(INPUTS!$F$130&lt;&gt;"Yes",I$16=0),0,IF(OR(INPUTS!$J$130="Upfront",INPUTS!$J$130="Even",INPUTS!$J$130="Front-loaded",INPUTS!$J$130="Back-loaded",INPUTS!$J$130="S-curve"),IF(AND(ISNUMBER(INPUTS!$K$130),I$7&gt;=INPUTS!$K$130,I$7&lt;=IF(INPUTS!$J$130="Upfront",INPUTS!$K$130,INPUTS!$L$130)),1,0),IF(INPUTS!$J$130="Follow Project Life",I$17,IF(INPUTS!$J$130="At Project End",--(I$7=INPUTS!$C$29),0))))</f>
        <v>0</v>
      </c>
      <c r="J116" s="108" t="n">
        <f aca="false">IF(OR(INPUTS!$F$130&lt;&gt;"Yes",J$16=0),0,IF(OR(INPUTS!$J$130="Upfront",INPUTS!$J$130="Even",INPUTS!$J$130="Front-loaded",INPUTS!$J$130="Back-loaded",INPUTS!$J$130="S-curve"),IF(AND(ISNUMBER(INPUTS!$K$130),J$7&gt;=INPUTS!$K$130,J$7&lt;=IF(INPUTS!$J$130="Upfront",INPUTS!$K$130,INPUTS!$L$130)),1,0),IF(INPUTS!$J$130="Follow Project Life",J$17,IF(INPUTS!$J$130="At Project End",--(J$7=INPUTS!$C$29),0))))</f>
        <v>0</v>
      </c>
      <c r="K116" s="108" t="n">
        <f aca="false">IF(OR(INPUTS!$F$130&lt;&gt;"Yes",K$16=0),0,IF(OR(INPUTS!$J$130="Upfront",INPUTS!$J$130="Even",INPUTS!$J$130="Front-loaded",INPUTS!$J$130="Back-loaded",INPUTS!$J$130="S-curve"),IF(AND(ISNUMBER(INPUTS!$K$130),K$7&gt;=INPUTS!$K$130,K$7&lt;=IF(INPUTS!$J$130="Upfront",INPUTS!$K$130,INPUTS!$L$130)),1,0),IF(INPUTS!$J$130="Follow Project Life",K$17,IF(INPUTS!$J$130="At Project End",--(K$7=INPUTS!$C$29),0))))</f>
        <v>0</v>
      </c>
      <c r="L116" s="108" t="n">
        <f aca="false">IF(OR(INPUTS!$F$130&lt;&gt;"Yes",L$16=0),0,IF(OR(INPUTS!$J$130="Upfront",INPUTS!$J$130="Even",INPUTS!$J$130="Front-loaded",INPUTS!$J$130="Back-loaded",INPUTS!$J$130="S-curve"),IF(AND(ISNUMBER(INPUTS!$K$130),L$7&gt;=INPUTS!$K$130,L$7&lt;=IF(INPUTS!$J$130="Upfront",INPUTS!$K$130,INPUTS!$L$130)),1,0),IF(INPUTS!$J$130="Follow Project Life",L$17,IF(INPUTS!$J$130="At Project End",--(L$7=INPUTS!$C$29),0))))</f>
        <v>0</v>
      </c>
      <c r="M116" s="108" t="n">
        <f aca="false">IF(OR(INPUTS!$F$130&lt;&gt;"Yes",M$16=0),0,IF(OR(INPUTS!$J$130="Upfront",INPUTS!$J$130="Even",INPUTS!$J$130="Front-loaded",INPUTS!$J$130="Back-loaded",INPUTS!$J$130="S-curve"),IF(AND(ISNUMBER(INPUTS!$K$130),M$7&gt;=INPUTS!$K$130,M$7&lt;=IF(INPUTS!$J$130="Upfront",INPUTS!$K$130,INPUTS!$L$130)),1,0),IF(INPUTS!$J$130="Follow Project Life",M$17,IF(INPUTS!$J$130="At Project End",--(M$7=INPUTS!$C$29),0))))</f>
        <v>0</v>
      </c>
      <c r="N116" s="108" t="n">
        <f aca="false">IF(OR(INPUTS!$F$130&lt;&gt;"Yes",N$16=0),0,IF(OR(INPUTS!$J$130="Upfront",INPUTS!$J$130="Even",INPUTS!$J$130="Front-loaded",INPUTS!$J$130="Back-loaded",INPUTS!$J$130="S-curve"),IF(AND(ISNUMBER(INPUTS!$K$130),N$7&gt;=INPUTS!$K$130,N$7&lt;=IF(INPUTS!$J$130="Upfront",INPUTS!$K$130,INPUTS!$L$130)),1,0),IF(INPUTS!$J$130="Follow Project Life",N$17,IF(INPUTS!$J$130="At Project End",--(N$7=INPUTS!$C$29),0))))</f>
        <v>0</v>
      </c>
      <c r="O116" s="108" t="n">
        <f aca="false">IF(OR(INPUTS!$F$130&lt;&gt;"Yes",O$16=0),0,IF(OR(INPUTS!$J$130="Upfront",INPUTS!$J$130="Even",INPUTS!$J$130="Front-loaded",INPUTS!$J$130="Back-loaded",INPUTS!$J$130="S-curve"),IF(AND(ISNUMBER(INPUTS!$K$130),O$7&gt;=INPUTS!$K$130,O$7&lt;=IF(INPUTS!$J$130="Upfront",INPUTS!$K$130,INPUTS!$L$130)),1,0),IF(INPUTS!$J$130="Follow Project Life",O$17,IF(INPUTS!$J$130="At Project End",--(O$7=INPUTS!$C$29),0))))</f>
        <v>0</v>
      </c>
      <c r="P116" s="108" t="n">
        <f aca="false">IF(OR(INPUTS!$F$130&lt;&gt;"Yes",P$16=0),0,IF(OR(INPUTS!$J$130="Upfront",INPUTS!$J$130="Even",INPUTS!$J$130="Front-loaded",INPUTS!$J$130="Back-loaded",INPUTS!$J$130="S-curve"),IF(AND(ISNUMBER(INPUTS!$K$130),P$7&gt;=INPUTS!$K$130,P$7&lt;=IF(INPUTS!$J$130="Upfront",INPUTS!$K$130,INPUTS!$L$130)),1,0),IF(INPUTS!$J$130="Follow Project Life",P$17,IF(INPUTS!$J$130="At Project End",--(P$7=INPUTS!$C$29),0))))</f>
        <v>0</v>
      </c>
      <c r="Q116" s="108" t="n">
        <f aca="false">IF(OR(INPUTS!$F$130&lt;&gt;"Yes",Q$16=0),0,IF(OR(INPUTS!$J$130="Upfront",INPUTS!$J$130="Even",INPUTS!$J$130="Front-loaded",INPUTS!$J$130="Back-loaded",INPUTS!$J$130="S-curve"),IF(AND(ISNUMBER(INPUTS!$K$130),Q$7&gt;=INPUTS!$K$130,Q$7&lt;=IF(INPUTS!$J$130="Upfront",INPUTS!$K$130,INPUTS!$L$130)),1,0),IF(INPUTS!$J$130="Follow Project Life",Q$17,IF(INPUTS!$J$130="At Project End",--(Q$7=INPUTS!$C$29),0))))</f>
        <v>0</v>
      </c>
      <c r="R116" s="108" t="n">
        <f aca="false">IF(OR(INPUTS!$F$130&lt;&gt;"Yes",R$16=0),0,IF(OR(INPUTS!$J$130="Upfront",INPUTS!$J$130="Even",INPUTS!$J$130="Front-loaded",INPUTS!$J$130="Back-loaded",INPUTS!$J$130="S-curve"),IF(AND(ISNUMBER(INPUTS!$K$130),R$7&gt;=INPUTS!$K$130,R$7&lt;=IF(INPUTS!$J$130="Upfront",INPUTS!$K$130,INPUTS!$L$130)),1,0),IF(INPUTS!$J$130="Follow Project Life",R$17,IF(INPUTS!$J$130="At Project End",--(R$7=INPUTS!$C$29),0))))</f>
        <v>0</v>
      </c>
      <c r="S116" s="108" t="n">
        <f aca="false">IF(OR(INPUTS!$F$130&lt;&gt;"Yes",S$16=0),0,IF(OR(INPUTS!$J$130="Upfront",INPUTS!$J$130="Even",INPUTS!$J$130="Front-loaded",INPUTS!$J$130="Back-loaded",INPUTS!$J$130="S-curve"),IF(AND(ISNUMBER(INPUTS!$K$130),S$7&gt;=INPUTS!$K$130,S$7&lt;=IF(INPUTS!$J$130="Upfront",INPUTS!$K$130,INPUTS!$L$130)),1,0),IF(INPUTS!$J$130="Follow Project Life",S$17,IF(INPUTS!$J$130="At Project End",--(S$7=INPUTS!$C$29),0))))</f>
        <v>0</v>
      </c>
      <c r="T116" s="108" t="n">
        <f aca="false">IF(OR(INPUTS!$F$130&lt;&gt;"Yes",T$16=0),0,IF(OR(INPUTS!$J$130="Upfront",INPUTS!$J$130="Even",INPUTS!$J$130="Front-loaded",INPUTS!$J$130="Back-loaded",INPUTS!$J$130="S-curve"),IF(AND(ISNUMBER(INPUTS!$K$130),T$7&gt;=INPUTS!$K$130,T$7&lt;=IF(INPUTS!$J$130="Upfront",INPUTS!$K$130,INPUTS!$L$130)),1,0),IF(INPUTS!$J$130="Follow Project Life",T$17,IF(INPUTS!$J$130="At Project End",--(T$7=INPUTS!$C$29),0))))</f>
        <v>0</v>
      </c>
      <c r="U116" s="108" t="n">
        <f aca="false">IF(OR(INPUTS!$F$130&lt;&gt;"Yes",U$16=0),0,IF(OR(INPUTS!$J$130="Upfront",INPUTS!$J$130="Even",INPUTS!$J$130="Front-loaded",INPUTS!$J$130="Back-loaded",INPUTS!$J$130="S-curve"),IF(AND(ISNUMBER(INPUTS!$K$130),U$7&gt;=INPUTS!$K$130,U$7&lt;=IF(INPUTS!$J$130="Upfront",INPUTS!$K$130,INPUTS!$L$130)),1,0),IF(INPUTS!$J$130="Follow Project Life",U$17,IF(INPUTS!$J$130="At Project End",--(U$7=INPUTS!$C$29),0))))</f>
        <v>0</v>
      </c>
      <c r="V116" s="108" t="n">
        <f aca="false">IF(OR(INPUTS!$F$130&lt;&gt;"Yes",V$16=0),0,IF(OR(INPUTS!$J$130="Upfront",INPUTS!$J$130="Even",INPUTS!$J$130="Front-loaded",INPUTS!$J$130="Back-loaded",INPUTS!$J$130="S-curve"),IF(AND(ISNUMBER(INPUTS!$K$130),V$7&gt;=INPUTS!$K$130,V$7&lt;=IF(INPUTS!$J$130="Upfront",INPUTS!$K$130,INPUTS!$L$130)),1,0),IF(INPUTS!$J$130="Follow Project Life",V$17,IF(INPUTS!$J$130="At Project End",--(V$7=INPUTS!$C$29),0))))</f>
        <v>0</v>
      </c>
      <c r="W116" s="108" t="n">
        <f aca="false">IF(OR(INPUTS!$F$130&lt;&gt;"Yes",W$16=0),0,IF(OR(INPUTS!$J$130="Upfront",INPUTS!$J$130="Even",INPUTS!$J$130="Front-loaded",INPUTS!$J$130="Back-loaded",INPUTS!$J$130="S-curve"),IF(AND(ISNUMBER(INPUTS!$K$130),W$7&gt;=INPUTS!$K$130,W$7&lt;=IF(INPUTS!$J$130="Upfront",INPUTS!$K$130,INPUTS!$L$130)),1,0),IF(INPUTS!$J$130="Follow Project Life",W$17,IF(INPUTS!$J$130="At Project End",--(W$7=INPUTS!$C$29),0))))</f>
        <v>0</v>
      </c>
      <c r="X116" s="108" t="n">
        <f aca="false">IF(OR(INPUTS!$F$130&lt;&gt;"Yes",X$16=0),0,IF(OR(INPUTS!$J$130="Upfront",INPUTS!$J$130="Even",INPUTS!$J$130="Front-loaded",INPUTS!$J$130="Back-loaded",INPUTS!$J$130="S-curve"),IF(AND(ISNUMBER(INPUTS!$K$130),X$7&gt;=INPUTS!$K$130,X$7&lt;=IF(INPUTS!$J$130="Upfront",INPUTS!$K$130,INPUTS!$L$130)),1,0),IF(INPUTS!$J$130="Follow Project Life",X$17,IF(INPUTS!$J$130="At Project End",--(X$7=INPUTS!$C$29),0))))</f>
        <v>0</v>
      </c>
      <c r="Y116" s="108" t="n">
        <f aca="false">IF(OR(INPUTS!$F$130&lt;&gt;"Yes",Y$16=0),0,IF(OR(INPUTS!$J$130="Upfront",INPUTS!$J$130="Even",INPUTS!$J$130="Front-loaded",INPUTS!$J$130="Back-loaded",INPUTS!$J$130="S-curve"),IF(AND(ISNUMBER(INPUTS!$K$130),Y$7&gt;=INPUTS!$K$130,Y$7&lt;=IF(INPUTS!$J$130="Upfront",INPUTS!$K$130,INPUTS!$L$130)),1,0),IF(INPUTS!$J$130="Follow Project Life",Y$17,IF(INPUTS!$J$130="At Project End",--(Y$7=INPUTS!$C$29),0))))</f>
        <v>0</v>
      </c>
      <c r="Z116" s="108" t="n">
        <f aca="false">IF(OR(INPUTS!$F$130&lt;&gt;"Yes",Z$16=0),0,IF(OR(INPUTS!$J$130="Upfront",INPUTS!$J$130="Even",INPUTS!$J$130="Front-loaded",INPUTS!$J$130="Back-loaded",INPUTS!$J$130="S-curve"),IF(AND(ISNUMBER(INPUTS!$K$130),Z$7&gt;=INPUTS!$K$130,Z$7&lt;=IF(INPUTS!$J$130="Upfront",INPUTS!$K$130,INPUTS!$L$130)),1,0),IF(INPUTS!$J$130="Follow Project Life",Z$17,IF(INPUTS!$J$130="At Project End",--(Z$7=INPUTS!$C$29),0))))</f>
        <v>0</v>
      </c>
      <c r="AA116" s="108" t="n">
        <f aca="false">IF(OR(INPUTS!$F$130&lt;&gt;"Yes",AA$16=0),0,IF(OR(INPUTS!$J$130="Upfront",INPUTS!$J$130="Even",INPUTS!$J$130="Front-loaded",INPUTS!$J$130="Back-loaded",INPUTS!$J$130="S-curve"),IF(AND(ISNUMBER(INPUTS!$K$130),AA$7&gt;=INPUTS!$K$130,AA$7&lt;=IF(INPUTS!$J$130="Upfront",INPUTS!$K$130,INPUTS!$L$130)),1,0),IF(INPUTS!$J$130="Follow Project Life",AA$17,IF(INPUTS!$J$130="At Project End",--(AA$7=INPUTS!$C$29),0))))</f>
        <v>0</v>
      </c>
      <c r="AB116" s="108" t="n">
        <f aca="false">IF(OR(INPUTS!$F$130&lt;&gt;"Yes",AB$16=0),0,IF(OR(INPUTS!$J$130="Upfront",INPUTS!$J$130="Even",INPUTS!$J$130="Front-loaded",INPUTS!$J$130="Back-loaded",INPUTS!$J$130="S-curve"),IF(AND(ISNUMBER(INPUTS!$K$130),AB$7&gt;=INPUTS!$K$130,AB$7&lt;=IF(INPUTS!$J$130="Upfront",INPUTS!$K$130,INPUTS!$L$130)),1,0),IF(INPUTS!$J$130="Follow Project Life",AB$17,IF(INPUTS!$J$130="At Project End",--(AB$7=INPUTS!$C$29),0))))</f>
        <v>0</v>
      </c>
      <c r="AC116" s="108" t="n">
        <f aca="false">IF(OR(INPUTS!$F$130&lt;&gt;"Yes",AC$16=0),0,IF(OR(INPUTS!$J$130="Upfront",INPUTS!$J$130="Even",INPUTS!$J$130="Front-loaded",INPUTS!$J$130="Back-loaded",INPUTS!$J$130="S-curve"),IF(AND(ISNUMBER(INPUTS!$K$130),AC$7&gt;=INPUTS!$K$130,AC$7&lt;=IF(INPUTS!$J$130="Upfront",INPUTS!$K$130,INPUTS!$L$130)),1,0),IF(INPUTS!$J$130="Follow Project Life",AC$17,IF(INPUTS!$J$130="At Project End",--(AC$7=INPUTS!$C$29),0))))</f>
        <v>0</v>
      </c>
      <c r="AD116" s="108" t="n">
        <f aca="false">IF(OR(INPUTS!$F$130&lt;&gt;"Yes",AD$16=0),0,IF(OR(INPUTS!$J$130="Upfront",INPUTS!$J$130="Even",INPUTS!$J$130="Front-loaded",INPUTS!$J$130="Back-loaded",INPUTS!$J$130="S-curve"),IF(AND(ISNUMBER(INPUTS!$K$130),AD$7&gt;=INPUTS!$K$130,AD$7&lt;=IF(INPUTS!$J$130="Upfront",INPUTS!$K$130,INPUTS!$L$130)),1,0),IF(INPUTS!$J$130="Follow Project Life",AD$17,IF(INPUTS!$J$130="At Project End",--(AD$7=INPUTS!$C$29),0))))</f>
        <v>0</v>
      </c>
      <c r="AE116" s="108" t="n">
        <f aca="false">IF(OR(INPUTS!$F$130&lt;&gt;"Yes",AE$16=0),0,IF(OR(INPUTS!$J$130="Upfront",INPUTS!$J$130="Even",INPUTS!$J$130="Front-loaded",INPUTS!$J$130="Back-loaded",INPUTS!$J$130="S-curve"),IF(AND(ISNUMBER(INPUTS!$K$130),AE$7&gt;=INPUTS!$K$130,AE$7&lt;=IF(INPUTS!$J$130="Upfront",INPUTS!$K$130,INPUTS!$L$130)),1,0),IF(INPUTS!$J$130="Follow Project Life",AE$17,IF(INPUTS!$J$130="At Project End",--(AE$7=INPUTS!$C$29),0))))</f>
        <v>0</v>
      </c>
      <c r="AF116" s="108" t="n">
        <f aca="false">IF(OR(INPUTS!$F$130&lt;&gt;"Yes",AF$16=0),0,IF(OR(INPUTS!$J$130="Upfront",INPUTS!$J$130="Even",INPUTS!$J$130="Front-loaded",INPUTS!$J$130="Back-loaded",INPUTS!$J$130="S-curve"),IF(AND(ISNUMBER(INPUTS!$K$130),AF$7&gt;=INPUTS!$K$130,AF$7&lt;=IF(INPUTS!$J$130="Upfront",INPUTS!$K$130,INPUTS!$L$130)),1,0),IF(INPUTS!$J$130="Follow Project Life",AF$17,IF(INPUTS!$J$130="At Project End",--(AF$7=INPUTS!$C$29),0))))</f>
        <v>0</v>
      </c>
      <c r="AG116" s="108" t="n">
        <f aca="false">IF(OR(INPUTS!$F$130&lt;&gt;"Yes",AG$16=0),0,IF(OR(INPUTS!$J$130="Upfront",INPUTS!$J$130="Even",INPUTS!$J$130="Front-loaded",INPUTS!$J$130="Back-loaded",INPUTS!$J$130="S-curve"),IF(AND(ISNUMBER(INPUTS!$K$130),AG$7&gt;=INPUTS!$K$130,AG$7&lt;=IF(INPUTS!$J$130="Upfront",INPUTS!$K$130,INPUTS!$L$130)),1,0),IF(INPUTS!$J$130="Follow Project Life",AG$17,IF(INPUTS!$J$130="At Project End",--(AG$7=INPUTS!$C$29),0))))</f>
        <v>0</v>
      </c>
      <c r="AH116" s="108" t="n">
        <f aca="false">IF(OR(INPUTS!$F$130&lt;&gt;"Yes",AH$16=0),0,IF(OR(INPUTS!$J$130="Upfront",INPUTS!$J$130="Even",INPUTS!$J$130="Front-loaded",INPUTS!$J$130="Back-loaded",INPUTS!$J$130="S-curve"),IF(AND(ISNUMBER(INPUTS!$K$130),AH$7&gt;=INPUTS!$K$130,AH$7&lt;=IF(INPUTS!$J$130="Upfront",INPUTS!$K$130,INPUTS!$L$130)),1,0),IF(INPUTS!$J$130="Follow Project Life",AH$17,IF(INPUTS!$J$130="At Project End",--(AH$7=INPUTS!$C$29),0))))</f>
        <v>0</v>
      </c>
      <c r="AI116" s="108" t="n">
        <f aca="false">IF(OR(INPUTS!$F$130&lt;&gt;"Yes",AI$16=0),0,IF(OR(INPUTS!$J$130="Upfront",INPUTS!$J$130="Even",INPUTS!$J$130="Front-loaded",INPUTS!$J$130="Back-loaded",INPUTS!$J$130="S-curve"),IF(AND(ISNUMBER(INPUTS!$K$130),AI$7&gt;=INPUTS!$K$130,AI$7&lt;=IF(INPUTS!$J$130="Upfront",INPUTS!$K$130,INPUTS!$L$130)),1,0),IF(INPUTS!$J$130="Follow Project Life",AI$17,IF(INPUTS!$J$130="At Project End",--(AI$7=INPUTS!$C$29),0))))</f>
        <v>0</v>
      </c>
      <c r="AJ116" s="108" t="n">
        <f aca="false">IF(OR(INPUTS!$F$130&lt;&gt;"Yes",AJ$16=0),0,IF(OR(INPUTS!$J$130="Upfront",INPUTS!$J$130="Even",INPUTS!$J$130="Front-loaded",INPUTS!$J$130="Back-loaded",INPUTS!$J$130="S-curve"),IF(AND(ISNUMBER(INPUTS!$K$130),AJ$7&gt;=INPUTS!$K$130,AJ$7&lt;=IF(INPUTS!$J$130="Upfront",INPUTS!$K$130,INPUTS!$L$130)),1,0),IF(INPUTS!$J$130="Follow Project Life",AJ$17,IF(INPUTS!$J$130="At Project End",--(AJ$7=INPUTS!$C$29),0))))</f>
        <v>0</v>
      </c>
      <c r="AK116" s="108" t="n">
        <f aca="false">IF(OR(INPUTS!$F$130&lt;&gt;"Yes",AK$16=0),0,IF(OR(INPUTS!$J$130="Upfront",INPUTS!$J$130="Even",INPUTS!$J$130="Front-loaded",INPUTS!$J$130="Back-loaded",INPUTS!$J$130="S-curve"),IF(AND(ISNUMBER(INPUTS!$K$130),AK$7&gt;=INPUTS!$K$130,AK$7&lt;=IF(INPUTS!$J$130="Upfront",INPUTS!$K$130,INPUTS!$L$130)),1,0),IF(INPUTS!$J$130="Follow Project Life",AK$17,IF(INPUTS!$J$130="At Project End",--(AK$7=INPUTS!$C$29),0))))</f>
        <v>0</v>
      </c>
      <c r="AL116" s="108" t="n">
        <f aca="false">IF(OR(INPUTS!$F$130&lt;&gt;"Yes",AL$16=0),0,IF(OR(INPUTS!$J$130="Upfront",INPUTS!$J$130="Even",INPUTS!$J$130="Front-loaded",INPUTS!$J$130="Back-loaded",INPUTS!$J$130="S-curve"),IF(AND(ISNUMBER(INPUTS!$K$130),AL$7&gt;=INPUTS!$K$130,AL$7&lt;=IF(INPUTS!$J$130="Upfront",INPUTS!$K$130,INPUTS!$L$130)),1,0),IF(INPUTS!$J$130="Follow Project Life",AL$17,IF(INPUTS!$J$130="At Project End",--(AL$7=INPUTS!$C$29),0))))</f>
        <v>0</v>
      </c>
      <c r="AM116" s="108" t="n">
        <f aca="false">IF(OR(INPUTS!$F$130&lt;&gt;"Yes",AM$16=0),0,IF(OR(INPUTS!$J$130="Upfront",INPUTS!$J$130="Even",INPUTS!$J$130="Front-loaded",INPUTS!$J$130="Back-loaded",INPUTS!$J$130="S-curve"),IF(AND(ISNUMBER(INPUTS!$K$130),AM$7&gt;=INPUTS!$K$130,AM$7&lt;=IF(INPUTS!$J$130="Upfront",INPUTS!$K$130,INPUTS!$L$130)),1,0),IF(INPUTS!$J$130="Follow Project Life",AM$17,IF(INPUTS!$J$130="At Project End",--(AM$7=INPUTS!$C$29),0))))</f>
        <v>0</v>
      </c>
      <c r="AN116" s="108" t="n">
        <f aca="false">IF(OR(INPUTS!$F$130&lt;&gt;"Yes",AN$16=0),0,IF(OR(INPUTS!$J$130="Upfront",INPUTS!$J$130="Even",INPUTS!$J$130="Front-loaded",INPUTS!$J$130="Back-loaded",INPUTS!$J$130="S-curve"),IF(AND(ISNUMBER(INPUTS!$K$130),AN$7&gt;=INPUTS!$K$130,AN$7&lt;=IF(INPUTS!$J$130="Upfront",INPUTS!$K$130,INPUTS!$L$130)),1,0),IF(INPUTS!$J$130="Follow Project Life",AN$17,IF(INPUTS!$J$130="At Project End",--(AN$7=INPUTS!$C$29),0))))</f>
        <v>0</v>
      </c>
      <c r="AO116" s="108" t="n">
        <f aca="false">IF(OR(INPUTS!$F$130&lt;&gt;"Yes",AO$16=0),0,IF(OR(INPUTS!$J$130="Upfront",INPUTS!$J$130="Even",INPUTS!$J$130="Front-loaded",INPUTS!$J$130="Back-loaded",INPUTS!$J$130="S-curve"),IF(AND(ISNUMBER(INPUTS!$K$130),AO$7&gt;=INPUTS!$K$130,AO$7&lt;=IF(INPUTS!$J$130="Upfront",INPUTS!$K$130,INPUTS!$L$130)),1,0),IF(INPUTS!$J$130="Follow Project Life",AO$17,IF(INPUTS!$J$130="At Project End",--(AO$7=INPUTS!$C$29),0))))</f>
        <v>0</v>
      </c>
      <c r="AP116" s="108" t="n">
        <f aca="false">IF(OR(INPUTS!$F$130&lt;&gt;"Yes",AP$16=0),0,IF(OR(INPUTS!$J$130="Upfront",INPUTS!$J$130="Even",INPUTS!$J$130="Front-loaded",INPUTS!$J$130="Back-loaded",INPUTS!$J$130="S-curve"),IF(AND(ISNUMBER(INPUTS!$K$130),AP$7&gt;=INPUTS!$K$130,AP$7&lt;=IF(INPUTS!$J$130="Upfront",INPUTS!$K$130,INPUTS!$L$130)),1,0),IF(INPUTS!$J$130="Follow Project Life",AP$17,IF(INPUTS!$J$130="At Project End",--(AP$7=INPUTS!$C$29),0))))</f>
        <v>0</v>
      </c>
      <c r="AQ116" s="108" t="n">
        <f aca="false">IF(OR(INPUTS!$F$130&lt;&gt;"Yes",AQ$16=0),0,IF(OR(INPUTS!$J$130="Upfront",INPUTS!$J$130="Even",INPUTS!$J$130="Front-loaded",INPUTS!$J$130="Back-loaded",INPUTS!$J$130="S-curve"),IF(AND(ISNUMBER(INPUTS!$K$130),AQ$7&gt;=INPUTS!$K$130,AQ$7&lt;=IF(INPUTS!$J$130="Upfront",INPUTS!$K$130,INPUTS!$L$130)),1,0),IF(INPUTS!$J$130="Follow Project Life",AQ$17,IF(INPUTS!$J$130="At Project End",--(AQ$7=INPUTS!$C$29),0))))</f>
        <v>0</v>
      </c>
    </row>
    <row r="117" customFormat="false" ht="15" hidden="false" customHeight="false" outlineLevel="0" collapsed="false">
      <c r="B117" s="3" t="s">
        <v>650</v>
      </c>
      <c r="C117" s="107" t="n">
        <f aca="false">MAX(D117:AQ117)</f>
        <v>1</v>
      </c>
      <c r="D117" s="108" t="n">
        <f aca="false">IF(D116=1,COUNTIF($D116:D116,1),0)</f>
        <v>1</v>
      </c>
      <c r="E117" s="108" t="n">
        <f aca="false">IF(E116=1,COUNTIF($D116:E116,1),0)</f>
        <v>0</v>
      </c>
      <c r="F117" s="108" t="n">
        <f aca="false">IF(F116=1,COUNTIF($D116:F116,1),0)</f>
        <v>0</v>
      </c>
      <c r="G117" s="108" t="n">
        <f aca="false">IF(G116=1,COUNTIF($D116:G116,1),0)</f>
        <v>0</v>
      </c>
      <c r="H117" s="108" t="n">
        <f aca="false">IF(H116=1,COUNTIF($D116:H116,1),0)</f>
        <v>0</v>
      </c>
      <c r="I117" s="108" t="n">
        <f aca="false">IF(I116=1,COUNTIF($D116:I116,1),0)</f>
        <v>0</v>
      </c>
      <c r="J117" s="108" t="n">
        <f aca="false">IF(J116=1,COUNTIF($D116:J116,1),0)</f>
        <v>0</v>
      </c>
      <c r="K117" s="108" t="n">
        <f aca="false">IF(K116=1,COUNTIF($D116:K116,1),0)</f>
        <v>0</v>
      </c>
      <c r="L117" s="108" t="n">
        <f aca="false">IF(L116=1,COUNTIF($D116:L116,1),0)</f>
        <v>0</v>
      </c>
      <c r="M117" s="108" t="n">
        <f aca="false">IF(M116=1,COUNTIF($D116:M116,1),0)</f>
        <v>0</v>
      </c>
      <c r="N117" s="108" t="n">
        <f aca="false">IF(N116=1,COUNTIF($D116:N116,1),0)</f>
        <v>0</v>
      </c>
      <c r="O117" s="108" t="n">
        <f aca="false">IF(O116=1,COUNTIF($D116:O116,1),0)</f>
        <v>0</v>
      </c>
      <c r="P117" s="108" t="n">
        <f aca="false">IF(P116=1,COUNTIF($D116:P116,1),0)</f>
        <v>0</v>
      </c>
      <c r="Q117" s="108" t="n">
        <f aca="false">IF(Q116=1,COUNTIF($D116:Q116,1),0)</f>
        <v>0</v>
      </c>
      <c r="R117" s="108" t="n">
        <f aca="false">IF(R116=1,COUNTIF($D116:R116,1),0)</f>
        <v>0</v>
      </c>
      <c r="S117" s="108" t="n">
        <f aca="false">IF(S116=1,COUNTIF($D116:S116,1),0)</f>
        <v>0</v>
      </c>
      <c r="T117" s="108" t="n">
        <f aca="false">IF(T116=1,COUNTIF($D116:T116,1),0)</f>
        <v>0</v>
      </c>
      <c r="U117" s="108" t="n">
        <f aca="false">IF(U116=1,COUNTIF($D116:U116,1),0)</f>
        <v>0</v>
      </c>
      <c r="V117" s="108" t="n">
        <f aca="false">IF(V116=1,COUNTIF($D116:V116,1),0)</f>
        <v>0</v>
      </c>
      <c r="W117" s="108" t="n">
        <f aca="false">IF(W116=1,COUNTIF($D116:W116,1),0)</f>
        <v>0</v>
      </c>
      <c r="X117" s="108" t="n">
        <f aca="false">IF(X116=1,COUNTIF($D116:X116,1),0)</f>
        <v>0</v>
      </c>
      <c r="Y117" s="108" t="n">
        <f aca="false">IF(Y116=1,COUNTIF($D116:Y116,1),0)</f>
        <v>0</v>
      </c>
      <c r="Z117" s="108" t="n">
        <f aca="false">IF(Z116=1,COUNTIF($D116:Z116,1),0)</f>
        <v>0</v>
      </c>
      <c r="AA117" s="108" t="n">
        <f aca="false">IF(AA116=1,COUNTIF($D116:AA116,1),0)</f>
        <v>0</v>
      </c>
      <c r="AB117" s="108" t="n">
        <f aca="false">IF(AB116=1,COUNTIF($D116:AB116,1),0)</f>
        <v>0</v>
      </c>
      <c r="AC117" s="108" t="n">
        <f aca="false">IF(AC116=1,COUNTIF($D116:AC116,1),0)</f>
        <v>0</v>
      </c>
      <c r="AD117" s="108" t="n">
        <f aca="false">IF(AD116=1,COUNTIF($D116:AD116,1),0)</f>
        <v>0</v>
      </c>
      <c r="AE117" s="108" t="n">
        <f aca="false">IF(AE116=1,COUNTIF($D116:AE116,1),0)</f>
        <v>0</v>
      </c>
      <c r="AF117" s="108" t="n">
        <f aca="false">IF(AF116=1,COUNTIF($D116:AF116,1),0)</f>
        <v>0</v>
      </c>
      <c r="AG117" s="108" t="n">
        <f aca="false">IF(AG116=1,COUNTIF($D116:AG116,1),0)</f>
        <v>0</v>
      </c>
      <c r="AH117" s="108" t="n">
        <f aca="false">IF(AH116=1,COUNTIF($D116:AH116,1),0)</f>
        <v>0</v>
      </c>
      <c r="AI117" s="108" t="n">
        <f aca="false">IF(AI116=1,COUNTIF($D116:AI116,1),0)</f>
        <v>0</v>
      </c>
      <c r="AJ117" s="108" t="n">
        <f aca="false">IF(AJ116=1,COUNTIF($D116:AJ116,1),0)</f>
        <v>0</v>
      </c>
      <c r="AK117" s="108" t="n">
        <f aca="false">IF(AK116=1,COUNTIF($D116:AK116,1),0)</f>
        <v>0</v>
      </c>
      <c r="AL117" s="108" t="n">
        <f aca="false">IF(AL116=1,COUNTIF($D116:AL116,1),0)</f>
        <v>0</v>
      </c>
      <c r="AM117" s="108" t="n">
        <f aca="false">IF(AM116=1,COUNTIF($D116:AM116,1),0)</f>
        <v>0</v>
      </c>
      <c r="AN117" s="108" t="n">
        <f aca="false">IF(AN116=1,COUNTIF($D116:AN116,1),0)</f>
        <v>0</v>
      </c>
      <c r="AO117" s="108" t="n">
        <f aca="false">IF(AO116=1,COUNTIF($D116:AO116,1),0)</f>
        <v>0</v>
      </c>
      <c r="AP117" s="108" t="n">
        <f aca="false">IF(AP116=1,COUNTIF($D116:AP116,1),0)</f>
        <v>0</v>
      </c>
      <c r="AQ117" s="108" t="n">
        <f aca="false">IF(AQ116=1,COUNTIF($D116:AQ116,1),0)</f>
        <v>0</v>
      </c>
    </row>
    <row r="118" customFormat="false" ht="15" hidden="false" customHeight="false" outlineLevel="0" collapsed="false">
      <c r="B118" s="17" t="s">
        <v>651</v>
      </c>
      <c r="C118" s="105" t="str">
        <f aca="false">IF(INPUTS!$M$130="","",IF(INPUTS!$M$130&lt;&gt;"OK","ERROR",IF(C116=IF(INPUTS!$F$130&lt;&gt;"Yes",0,IF(OR(INPUTS!$J$130="Upfront",INPUTS!$J$130="Even",INPUTS!$J$130="Front-loaded",INPUTS!$J$130="Back-loaded",INPUTS!$J$130="S-curve"),IF(ISNUMBER(INPUTS!$K$130),IF(INPUTS!$J$130="Upfront",INPUTS!$K$130,INPUTS!$L$130)-INPUTS!$K$130+1,0),IF(INPUTS!$J$130="Follow Project Life",INPUTS!$C$29,IF(INPUTS!$J$130="At Project End",1,0)))),"OK","ERROR")))</f>
        <v>OK</v>
      </c>
    </row>
    <row r="119" customFormat="false" ht="15" hidden="false" customHeight="false" outlineLevel="0" collapsed="false">
      <c r="B119" s="110" t="str">
        <f aca="false">IF(INPUTS!$B$131="","Spare cost row",INPUTS!$B$131)</f>
        <v>Villa Construction Cost</v>
      </c>
      <c r="C119" s="111" t="str">
        <f aca="false">IF(INPUTS!$J$131="","",INPUTS!$J$131)</f>
        <v>Follow Construction</v>
      </c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</row>
    <row r="120" customFormat="false" ht="15" hidden="false" customHeight="false" outlineLevel="0" collapsed="false">
      <c r="B120" s="3" t="s">
        <v>649</v>
      </c>
      <c r="C120" s="107" t="n">
        <f aca="false">SUM(D120:AQ120)</f>
        <v>0</v>
      </c>
      <c r="D120" s="108" t="n">
        <f aca="false">IF(OR(INPUTS!$F$131&lt;&gt;"Yes",D$16=0),0,IF(OR(INPUTS!$J$131="Upfront",INPUTS!$J$131="Even",INPUTS!$J$131="Front-loaded",INPUTS!$J$131="Back-loaded",INPUTS!$J$131="S-curve"),IF(AND(ISNUMBER(INPUTS!$K$131),D$7&gt;=INPUTS!$K$131,D$7&lt;=IF(INPUTS!$J$131="Upfront",INPUTS!$K$131,INPUTS!$L$131)),1,0),IF(INPUTS!$J$131="Follow Project Life",D$17,IF(INPUTS!$J$131="At Project End",--(D$7=INPUTS!$C$29),0))))</f>
        <v>0</v>
      </c>
      <c r="E120" s="108" t="n">
        <f aca="false">IF(OR(INPUTS!$F$131&lt;&gt;"Yes",E$16=0),0,IF(OR(INPUTS!$J$131="Upfront",INPUTS!$J$131="Even",INPUTS!$J$131="Front-loaded",INPUTS!$J$131="Back-loaded",INPUTS!$J$131="S-curve"),IF(AND(ISNUMBER(INPUTS!$K$131),E$7&gt;=INPUTS!$K$131,E$7&lt;=IF(INPUTS!$J$131="Upfront",INPUTS!$K$131,INPUTS!$L$131)),1,0),IF(INPUTS!$J$131="Follow Project Life",E$17,IF(INPUTS!$J$131="At Project End",--(E$7=INPUTS!$C$29),0))))</f>
        <v>0</v>
      </c>
      <c r="F120" s="108" t="n">
        <f aca="false">IF(OR(INPUTS!$F$131&lt;&gt;"Yes",F$16=0),0,IF(OR(INPUTS!$J$131="Upfront",INPUTS!$J$131="Even",INPUTS!$J$131="Front-loaded",INPUTS!$J$131="Back-loaded",INPUTS!$J$131="S-curve"),IF(AND(ISNUMBER(INPUTS!$K$131),F$7&gt;=INPUTS!$K$131,F$7&lt;=IF(INPUTS!$J$131="Upfront",INPUTS!$K$131,INPUTS!$L$131)),1,0),IF(INPUTS!$J$131="Follow Project Life",F$17,IF(INPUTS!$J$131="At Project End",--(F$7=INPUTS!$C$29),0))))</f>
        <v>0</v>
      </c>
      <c r="G120" s="108" t="n">
        <f aca="false">IF(OR(INPUTS!$F$131&lt;&gt;"Yes",G$16=0),0,IF(OR(INPUTS!$J$131="Upfront",INPUTS!$J$131="Even",INPUTS!$J$131="Front-loaded",INPUTS!$J$131="Back-loaded",INPUTS!$J$131="S-curve"),IF(AND(ISNUMBER(INPUTS!$K$131),G$7&gt;=INPUTS!$K$131,G$7&lt;=IF(INPUTS!$J$131="Upfront",INPUTS!$K$131,INPUTS!$L$131)),1,0),IF(INPUTS!$J$131="Follow Project Life",G$17,IF(INPUTS!$J$131="At Project End",--(G$7=INPUTS!$C$29),0))))</f>
        <v>0</v>
      </c>
      <c r="H120" s="108" t="n">
        <f aca="false">IF(OR(INPUTS!$F$131&lt;&gt;"Yes",H$16=0),0,IF(OR(INPUTS!$J$131="Upfront",INPUTS!$J$131="Even",INPUTS!$J$131="Front-loaded",INPUTS!$J$131="Back-loaded",INPUTS!$J$131="S-curve"),IF(AND(ISNUMBER(INPUTS!$K$131),H$7&gt;=INPUTS!$K$131,H$7&lt;=IF(INPUTS!$J$131="Upfront",INPUTS!$K$131,INPUTS!$L$131)),1,0),IF(INPUTS!$J$131="Follow Project Life",H$17,IF(INPUTS!$J$131="At Project End",--(H$7=INPUTS!$C$29),0))))</f>
        <v>0</v>
      </c>
      <c r="I120" s="108" t="n">
        <f aca="false">IF(OR(INPUTS!$F$131&lt;&gt;"Yes",I$16=0),0,IF(OR(INPUTS!$J$131="Upfront",INPUTS!$J$131="Even",INPUTS!$J$131="Front-loaded",INPUTS!$J$131="Back-loaded",INPUTS!$J$131="S-curve"),IF(AND(ISNUMBER(INPUTS!$K$131),I$7&gt;=INPUTS!$K$131,I$7&lt;=IF(INPUTS!$J$131="Upfront",INPUTS!$K$131,INPUTS!$L$131)),1,0),IF(INPUTS!$J$131="Follow Project Life",I$17,IF(INPUTS!$J$131="At Project End",--(I$7=INPUTS!$C$29),0))))</f>
        <v>0</v>
      </c>
      <c r="J120" s="108" t="n">
        <f aca="false">IF(OR(INPUTS!$F$131&lt;&gt;"Yes",J$16=0),0,IF(OR(INPUTS!$J$131="Upfront",INPUTS!$J$131="Even",INPUTS!$J$131="Front-loaded",INPUTS!$J$131="Back-loaded",INPUTS!$J$131="S-curve"),IF(AND(ISNUMBER(INPUTS!$K$131),J$7&gt;=INPUTS!$K$131,J$7&lt;=IF(INPUTS!$J$131="Upfront",INPUTS!$K$131,INPUTS!$L$131)),1,0),IF(INPUTS!$J$131="Follow Project Life",J$17,IF(INPUTS!$J$131="At Project End",--(J$7=INPUTS!$C$29),0))))</f>
        <v>0</v>
      </c>
      <c r="K120" s="108" t="n">
        <f aca="false">IF(OR(INPUTS!$F$131&lt;&gt;"Yes",K$16=0),0,IF(OR(INPUTS!$J$131="Upfront",INPUTS!$J$131="Even",INPUTS!$J$131="Front-loaded",INPUTS!$J$131="Back-loaded",INPUTS!$J$131="S-curve"),IF(AND(ISNUMBER(INPUTS!$K$131),K$7&gt;=INPUTS!$K$131,K$7&lt;=IF(INPUTS!$J$131="Upfront",INPUTS!$K$131,INPUTS!$L$131)),1,0),IF(INPUTS!$J$131="Follow Project Life",K$17,IF(INPUTS!$J$131="At Project End",--(K$7=INPUTS!$C$29),0))))</f>
        <v>0</v>
      </c>
      <c r="L120" s="108" t="n">
        <f aca="false">IF(OR(INPUTS!$F$131&lt;&gt;"Yes",L$16=0),0,IF(OR(INPUTS!$J$131="Upfront",INPUTS!$J$131="Even",INPUTS!$J$131="Front-loaded",INPUTS!$J$131="Back-loaded",INPUTS!$J$131="S-curve"),IF(AND(ISNUMBER(INPUTS!$K$131),L$7&gt;=INPUTS!$K$131,L$7&lt;=IF(INPUTS!$J$131="Upfront",INPUTS!$K$131,INPUTS!$L$131)),1,0),IF(INPUTS!$J$131="Follow Project Life",L$17,IF(INPUTS!$J$131="At Project End",--(L$7=INPUTS!$C$29),0))))</f>
        <v>0</v>
      </c>
      <c r="M120" s="108" t="n">
        <f aca="false">IF(OR(INPUTS!$F$131&lt;&gt;"Yes",M$16=0),0,IF(OR(INPUTS!$J$131="Upfront",INPUTS!$J$131="Even",INPUTS!$J$131="Front-loaded",INPUTS!$J$131="Back-loaded",INPUTS!$J$131="S-curve"),IF(AND(ISNUMBER(INPUTS!$K$131),M$7&gt;=INPUTS!$K$131,M$7&lt;=IF(INPUTS!$J$131="Upfront",INPUTS!$K$131,INPUTS!$L$131)),1,0),IF(INPUTS!$J$131="Follow Project Life",M$17,IF(INPUTS!$J$131="At Project End",--(M$7=INPUTS!$C$29),0))))</f>
        <v>0</v>
      </c>
      <c r="N120" s="108" t="n">
        <f aca="false">IF(OR(INPUTS!$F$131&lt;&gt;"Yes",N$16=0),0,IF(OR(INPUTS!$J$131="Upfront",INPUTS!$J$131="Even",INPUTS!$J$131="Front-loaded",INPUTS!$J$131="Back-loaded",INPUTS!$J$131="S-curve"),IF(AND(ISNUMBER(INPUTS!$K$131),N$7&gt;=INPUTS!$K$131,N$7&lt;=IF(INPUTS!$J$131="Upfront",INPUTS!$K$131,INPUTS!$L$131)),1,0),IF(INPUTS!$J$131="Follow Project Life",N$17,IF(INPUTS!$J$131="At Project End",--(N$7=INPUTS!$C$29),0))))</f>
        <v>0</v>
      </c>
      <c r="O120" s="108" t="n">
        <f aca="false">IF(OR(INPUTS!$F$131&lt;&gt;"Yes",O$16=0),0,IF(OR(INPUTS!$J$131="Upfront",INPUTS!$J$131="Even",INPUTS!$J$131="Front-loaded",INPUTS!$J$131="Back-loaded",INPUTS!$J$131="S-curve"),IF(AND(ISNUMBER(INPUTS!$K$131),O$7&gt;=INPUTS!$K$131,O$7&lt;=IF(INPUTS!$J$131="Upfront",INPUTS!$K$131,INPUTS!$L$131)),1,0),IF(INPUTS!$J$131="Follow Project Life",O$17,IF(INPUTS!$J$131="At Project End",--(O$7=INPUTS!$C$29),0))))</f>
        <v>0</v>
      </c>
      <c r="P120" s="108" t="n">
        <f aca="false">IF(OR(INPUTS!$F$131&lt;&gt;"Yes",P$16=0),0,IF(OR(INPUTS!$J$131="Upfront",INPUTS!$J$131="Even",INPUTS!$J$131="Front-loaded",INPUTS!$J$131="Back-loaded",INPUTS!$J$131="S-curve"),IF(AND(ISNUMBER(INPUTS!$K$131),P$7&gt;=INPUTS!$K$131,P$7&lt;=IF(INPUTS!$J$131="Upfront",INPUTS!$K$131,INPUTS!$L$131)),1,0),IF(INPUTS!$J$131="Follow Project Life",P$17,IF(INPUTS!$J$131="At Project End",--(P$7=INPUTS!$C$29),0))))</f>
        <v>0</v>
      </c>
      <c r="Q120" s="108" t="n">
        <f aca="false">IF(OR(INPUTS!$F$131&lt;&gt;"Yes",Q$16=0),0,IF(OR(INPUTS!$J$131="Upfront",INPUTS!$J$131="Even",INPUTS!$J$131="Front-loaded",INPUTS!$J$131="Back-loaded",INPUTS!$J$131="S-curve"),IF(AND(ISNUMBER(INPUTS!$K$131),Q$7&gt;=INPUTS!$K$131,Q$7&lt;=IF(INPUTS!$J$131="Upfront",INPUTS!$K$131,INPUTS!$L$131)),1,0),IF(INPUTS!$J$131="Follow Project Life",Q$17,IF(INPUTS!$J$131="At Project End",--(Q$7=INPUTS!$C$29),0))))</f>
        <v>0</v>
      </c>
      <c r="R120" s="108" t="n">
        <f aca="false">IF(OR(INPUTS!$F$131&lt;&gt;"Yes",R$16=0),0,IF(OR(INPUTS!$J$131="Upfront",INPUTS!$J$131="Even",INPUTS!$J$131="Front-loaded",INPUTS!$J$131="Back-loaded",INPUTS!$J$131="S-curve"),IF(AND(ISNUMBER(INPUTS!$K$131),R$7&gt;=INPUTS!$K$131,R$7&lt;=IF(INPUTS!$J$131="Upfront",INPUTS!$K$131,INPUTS!$L$131)),1,0),IF(INPUTS!$J$131="Follow Project Life",R$17,IF(INPUTS!$J$131="At Project End",--(R$7=INPUTS!$C$29),0))))</f>
        <v>0</v>
      </c>
      <c r="S120" s="108" t="n">
        <f aca="false">IF(OR(INPUTS!$F$131&lt;&gt;"Yes",S$16=0),0,IF(OR(INPUTS!$J$131="Upfront",INPUTS!$J$131="Even",INPUTS!$J$131="Front-loaded",INPUTS!$J$131="Back-loaded",INPUTS!$J$131="S-curve"),IF(AND(ISNUMBER(INPUTS!$K$131),S$7&gt;=INPUTS!$K$131,S$7&lt;=IF(INPUTS!$J$131="Upfront",INPUTS!$K$131,INPUTS!$L$131)),1,0),IF(INPUTS!$J$131="Follow Project Life",S$17,IF(INPUTS!$J$131="At Project End",--(S$7=INPUTS!$C$29),0))))</f>
        <v>0</v>
      </c>
      <c r="T120" s="108" t="n">
        <f aca="false">IF(OR(INPUTS!$F$131&lt;&gt;"Yes",T$16=0),0,IF(OR(INPUTS!$J$131="Upfront",INPUTS!$J$131="Even",INPUTS!$J$131="Front-loaded",INPUTS!$J$131="Back-loaded",INPUTS!$J$131="S-curve"),IF(AND(ISNUMBER(INPUTS!$K$131),T$7&gt;=INPUTS!$K$131,T$7&lt;=IF(INPUTS!$J$131="Upfront",INPUTS!$K$131,INPUTS!$L$131)),1,0),IF(INPUTS!$J$131="Follow Project Life",T$17,IF(INPUTS!$J$131="At Project End",--(T$7=INPUTS!$C$29),0))))</f>
        <v>0</v>
      </c>
      <c r="U120" s="108" t="n">
        <f aca="false">IF(OR(INPUTS!$F$131&lt;&gt;"Yes",U$16=0),0,IF(OR(INPUTS!$J$131="Upfront",INPUTS!$J$131="Even",INPUTS!$J$131="Front-loaded",INPUTS!$J$131="Back-loaded",INPUTS!$J$131="S-curve"),IF(AND(ISNUMBER(INPUTS!$K$131),U$7&gt;=INPUTS!$K$131,U$7&lt;=IF(INPUTS!$J$131="Upfront",INPUTS!$K$131,INPUTS!$L$131)),1,0),IF(INPUTS!$J$131="Follow Project Life",U$17,IF(INPUTS!$J$131="At Project End",--(U$7=INPUTS!$C$29),0))))</f>
        <v>0</v>
      </c>
      <c r="V120" s="108" t="n">
        <f aca="false">IF(OR(INPUTS!$F$131&lt;&gt;"Yes",V$16=0),0,IF(OR(INPUTS!$J$131="Upfront",INPUTS!$J$131="Even",INPUTS!$J$131="Front-loaded",INPUTS!$J$131="Back-loaded",INPUTS!$J$131="S-curve"),IF(AND(ISNUMBER(INPUTS!$K$131),V$7&gt;=INPUTS!$K$131,V$7&lt;=IF(INPUTS!$J$131="Upfront",INPUTS!$K$131,INPUTS!$L$131)),1,0),IF(INPUTS!$J$131="Follow Project Life",V$17,IF(INPUTS!$J$131="At Project End",--(V$7=INPUTS!$C$29),0))))</f>
        <v>0</v>
      </c>
      <c r="W120" s="108" t="n">
        <f aca="false">IF(OR(INPUTS!$F$131&lt;&gt;"Yes",W$16=0),0,IF(OR(INPUTS!$J$131="Upfront",INPUTS!$J$131="Even",INPUTS!$J$131="Front-loaded",INPUTS!$J$131="Back-loaded",INPUTS!$J$131="S-curve"),IF(AND(ISNUMBER(INPUTS!$K$131),W$7&gt;=INPUTS!$K$131,W$7&lt;=IF(INPUTS!$J$131="Upfront",INPUTS!$K$131,INPUTS!$L$131)),1,0),IF(INPUTS!$J$131="Follow Project Life",W$17,IF(INPUTS!$J$131="At Project End",--(W$7=INPUTS!$C$29),0))))</f>
        <v>0</v>
      </c>
      <c r="X120" s="108" t="n">
        <f aca="false">IF(OR(INPUTS!$F$131&lt;&gt;"Yes",X$16=0),0,IF(OR(INPUTS!$J$131="Upfront",INPUTS!$J$131="Even",INPUTS!$J$131="Front-loaded",INPUTS!$J$131="Back-loaded",INPUTS!$J$131="S-curve"),IF(AND(ISNUMBER(INPUTS!$K$131),X$7&gt;=INPUTS!$K$131,X$7&lt;=IF(INPUTS!$J$131="Upfront",INPUTS!$K$131,INPUTS!$L$131)),1,0),IF(INPUTS!$J$131="Follow Project Life",X$17,IF(INPUTS!$J$131="At Project End",--(X$7=INPUTS!$C$29),0))))</f>
        <v>0</v>
      </c>
      <c r="Y120" s="108" t="n">
        <f aca="false">IF(OR(INPUTS!$F$131&lt;&gt;"Yes",Y$16=0),0,IF(OR(INPUTS!$J$131="Upfront",INPUTS!$J$131="Even",INPUTS!$J$131="Front-loaded",INPUTS!$J$131="Back-loaded",INPUTS!$J$131="S-curve"),IF(AND(ISNUMBER(INPUTS!$K$131),Y$7&gt;=INPUTS!$K$131,Y$7&lt;=IF(INPUTS!$J$131="Upfront",INPUTS!$K$131,INPUTS!$L$131)),1,0),IF(INPUTS!$J$131="Follow Project Life",Y$17,IF(INPUTS!$J$131="At Project End",--(Y$7=INPUTS!$C$29),0))))</f>
        <v>0</v>
      </c>
      <c r="Z120" s="108" t="n">
        <f aca="false">IF(OR(INPUTS!$F$131&lt;&gt;"Yes",Z$16=0),0,IF(OR(INPUTS!$J$131="Upfront",INPUTS!$J$131="Even",INPUTS!$J$131="Front-loaded",INPUTS!$J$131="Back-loaded",INPUTS!$J$131="S-curve"),IF(AND(ISNUMBER(INPUTS!$K$131),Z$7&gt;=INPUTS!$K$131,Z$7&lt;=IF(INPUTS!$J$131="Upfront",INPUTS!$K$131,INPUTS!$L$131)),1,0),IF(INPUTS!$J$131="Follow Project Life",Z$17,IF(INPUTS!$J$131="At Project End",--(Z$7=INPUTS!$C$29),0))))</f>
        <v>0</v>
      </c>
      <c r="AA120" s="108" t="n">
        <f aca="false">IF(OR(INPUTS!$F$131&lt;&gt;"Yes",AA$16=0),0,IF(OR(INPUTS!$J$131="Upfront",INPUTS!$J$131="Even",INPUTS!$J$131="Front-loaded",INPUTS!$J$131="Back-loaded",INPUTS!$J$131="S-curve"),IF(AND(ISNUMBER(INPUTS!$K$131),AA$7&gt;=INPUTS!$K$131,AA$7&lt;=IF(INPUTS!$J$131="Upfront",INPUTS!$K$131,INPUTS!$L$131)),1,0),IF(INPUTS!$J$131="Follow Project Life",AA$17,IF(INPUTS!$J$131="At Project End",--(AA$7=INPUTS!$C$29),0))))</f>
        <v>0</v>
      </c>
      <c r="AB120" s="108" t="n">
        <f aca="false">IF(OR(INPUTS!$F$131&lt;&gt;"Yes",AB$16=0),0,IF(OR(INPUTS!$J$131="Upfront",INPUTS!$J$131="Even",INPUTS!$J$131="Front-loaded",INPUTS!$J$131="Back-loaded",INPUTS!$J$131="S-curve"),IF(AND(ISNUMBER(INPUTS!$K$131),AB$7&gt;=INPUTS!$K$131,AB$7&lt;=IF(INPUTS!$J$131="Upfront",INPUTS!$K$131,INPUTS!$L$131)),1,0),IF(INPUTS!$J$131="Follow Project Life",AB$17,IF(INPUTS!$J$131="At Project End",--(AB$7=INPUTS!$C$29),0))))</f>
        <v>0</v>
      </c>
      <c r="AC120" s="108" t="n">
        <f aca="false">IF(OR(INPUTS!$F$131&lt;&gt;"Yes",AC$16=0),0,IF(OR(INPUTS!$J$131="Upfront",INPUTS!$J$131="Even",INPUTS!$J$131="Front-loaded",INPUTS!$J$131="Back-loaded",INPUTS!$J$131="S-curve"),IF(AND(ISNUMBER(INPUTS!$K$131),AC$7&gt;=INPUTS!$K$131,AC$7&lt;=IF(INPUTS!$J$131="Upfront",INPUTS!$K$131,INPUTS!$L$131)),1,0),IF(INPUTS!$J$131="Follow Project Life",AC$17,IF(INPUTS!$J$131="At Project End",--(AC$7=INPUTS!$C$29),0))))</f>
        <v>0</v>
      </c>
      <c r="AD120" s="108" t="n">
        <f aca="false">IF(OR(INPUTS!$F$131&lt;&gt;"Yes",AD$16=0),0,IF(OR(INPUTS!$J$131="Upfront",INPUTS!$J$131="Even",INPUTS!$J$131="Front-loaded",INPUTS!$J$131="Back-loaded",INPUTS!$J$131="S-curve"),IF(AND(ISNUMBER(INPUTS!$K$131),AD$7&gt;=INPUTS!$K$131,AD$7&lt;=IF(INPUTS!$J$131="Upfront",INPUTS!$K$131,INPUTS!$L$131)),1,0),IF(INPUTS!$J$131="Follow Project Life",AD$17,IF(INPUTS!$J$131="At Project End",--(AD$7=INPUTS!$C$29),0))))</f>
        <v>0</v>
      </c>
      <c r="AE120" s="108" t="n">
        <f aca="false">IF(OR(INPUTS!$F$131&lt;&gt;"Yes",AE$16=0),0,IF(OR(INPUTS!$J$131="Upfront",INPUTS!$J$131="Even",INPUTS!$J$131="Front-loaded",INPUTS!$J$131="Back-loaded",INPUTS!$J$131="S-curve"),IF(AND(ISNUMBER(INPUTS!$K$131),AE$7&gt;=INPUTS!$K$131,AE$7&lt;=IF(INPUTS!$J$131="Upfront",INPUTS!$K$131,INPUTS!$L$131)),1,0),IF(INPUTS!$J$131="Follow Project Life",AE$17,IF(INPUTS!$J$131="At Project End",--(AE$7=INPUTS!$C$29),0))))</f>
        <v>0</v>
      </c>
      <c r="AF120" s="108" t="n">
        <f aca="false">IF(OR(INPUTS!$F$131&lt;&gt;"Yes",AF$16=0),0,IF(OR(INPUTS!$J$131="Upfront",INPUTS!$J$131="Even",INPUTS!$J$131="Front-loaded",INPUTS!$J$131="Back-loaded",INPUTS!$J$131="S-curve"),IF(AND(ISNUMBER(INPUTS!$K$131),AF$7&gt;=INPUTS!$K$131,AF$7&lt;=IF(INPUTS!$J$131="Upfront",INPUTS!$K$131,INPUTS!$L$131)),1,0),IF(INPUTS!$J$131="Follow Project Life",AF$17,IF(INPUTS!$J$131="At Project End",--(AF$7=INPUTS!$C$29),0))))</f>
        <v>0</v>
      </c>
      <c r="AG120" s="108" t="n">
        <f aca="false">IF(OR(INPUTS!$F$131&lt;&gt;"Yes",AG$16=0),0,IF(OR(INPUTS!$J$131="Upfront",INPUTS!$J$131="Even",INPUTS!$J$131="Front-loaded",INPUTS!$J$131="Back-loaded",INPUTS!$J$131="S-curve"),IF(AND(ISNUMBER(INPUTS!$K$131),AG$7&gt;=INPUTS!$K$131,AG$7&lt;=IF(INPUTS!$J$131="Upfront",INPUTS!$K$131,INPUTS!$L$131)),1,0),IF(INPUTS!$J$131="Follow Project Life",AG$17,IF(INPUTS!$J$131="At Project End",--(AG$7=INPUTS!$C$29),0))))</f>
        <v>0</v>
      </c>
      <c r="AH120" s="108" t="n">
        <f aca="false">IF(OR(INPUTS!$F$131&lt;&gt;"Yes",AH$16=0),0,IF(OR(INPUTS!$J$131="Upfront",INPUTS!$J$131="Even",INPUTS!$J$131="Front-loaded",INPUTS!$J$131="Back-loaded",INPUTS!$J$131="S-curve"),IF(AND(ISNUMBER(INPUTS!$K$131),AH$7&gt;=INPUTS!$K$131,AH$7&lt;=IF(INPUTS!$J$131="Upfront",INPUTS!$K$131,INPUTS!$L$131)),1,0),IF(INPUTS!$J$131="Follow Project Life",AH$17,IF(INPUTS!$J$131="At Project End",--(AH$7=INPUTS!$C$29),0))))</f>
        <v>0</v>
      </c>
      <c r="AI120" s="108" t="n">
        <f aca="false">IF(OR(INPUTS!$F$131&lt;&gt;"Yes",AI$16=0),0,IF(OR(INPUTS!$J$131="Upfront",INPUTS!$J$131="Even",INPUTS!$J$131="Front-loaded",INPUTS!$J$131="Back-loaded",INPUTS!$J$131="S-curve"),IF(AND(ISNUMBER(INPUTS!$K$131),AI$7&gt;=INPUTS!$K$131,AI$7&lt;=IF(INPUTS!$J$131="Upfront",INPUTS!$K$131,INPUTS!$L$131)),1,0),IF(INPUTS!$J$131="Follow Project Life",AI$17,IF(INPUTS!$J$131="At Project End",--(AI$7=INPUTS!$C$29),0))))</f>
        <v>0</v>
      </c>
      <c r="AJ120" s="108" t="n">
        <f aca="false">IF(OR(INPUTS!$F$131&lt;&gt;"Yes",AJ$16=0),0,IF(OR(INPUTS!$J$131="Upfront",INPUTS!$J$131="Even",INPUTS!$J$131="Front-loaded",INPUTS!$J$131="Back-loaded",INPUTS!$J$131="S-curve"),IF(AND(ISNUMBER(INPUTS!$K$131),AJ$7&gt;=INPUTS!$K$131,AJ$7&lt;=IF(INPUTS!$J$131="Upfront",INPUTS!$K$131,INPUTS!$L$131)),1,0),IF(INPUTS!$J$131="Follow Project Life",AJ$17,IF(INPUTS!$J$131="At Project End",--(AJ$7=INPUTS!$C$29),0))))</f>
        <v>0</v>
      </c>
      <c r="AK120" s="108" t="n">
        <f aca="false">IF(OR(INPUTS!$F$131&lt;&gt;"Yes",AK$16=0),0,IF(OR(INPUTS!$J$131="Upfront",INPUTS!$J$131="Even",INPUTS!$J$131="Front-loaded",INPUTS!$J$131="Back-loaded",INPUTS!$J$131="S-curve"),IF(AND(ISNUMBER(INPUTS!$K$131),AK$7&gt;=INPUTS!$K$131,AK$7&lt;=IF(INPUTS!$J$131="Upfront",INPUTS!$K$131,INPUTS!$L$131)),1,0),IF(INPUTS!$J$131="Follow Project Life",AK$17,IF(INPUTS!$J$131="At Project End",--(AK$7=INPUTS!$C$29),0))))</f>
        <v>0</v>
      </c>
      <c r="AL120" s="108" t="n">
        <f aca="false">IF(OR(INPUTS!$F$131&lt;&gt;"Yes",AL$16=0),0,IF(OR(INPUTS!$J$131="Upfront",INPUTS!$J$131="Even",INPUTS!$J$131="Front-loaded",INPUTS!$J$131="Back-loaded",INPUTS!$J$131="S-curve"),IF(AND(ISNUMBER(INPUTS!$K$131),AL$7&gt;=INPUTS!$K$131,AL$7&lt;=IF(INPUTS!$J$131="Upfront",INPUTS!$K$131,INPUTS!$L$131)),1,0),IF(INPUTS!$J$131="Follow Project Life",AL$17,IF(INPUTS!$J$131="At Project End",--(AL$7=INPUTS!$C$29),0))))</f>
        <v>0</v>
      </c>
      <c r="AM120" s="108" t="n">
        <f aca="false">IF(OR(INPUTS!$F$131&lt;&gt;"Yes",AM$16=0),0,IF(OR(INPUTS!$J$131="Upfront",INPUTS!$J$131="Even",INPUTS!$J$131="Front-loaded",INPUTS!$J$131="Back-loaded",INPUTS!$J$131="S-curve"),IF(AND(ISNUMBER(INPUTS!$K$131),AM$7&gt;=INPUTS!$K$131,AM$7&lt;=IF(INPUTS!$J$131="Upfront",INPUTS!$K$131,INPUTS!$L$131)),1,0),IF(INPUTS!$J$131="Follow Project Life",AM$17,IF(INPUTS!$J$131="At Project End",--(AM$7=INPUTS!$C$29),0))))</f>
        <v>0</v>
      </c>
      <c r="AN120" s="108" t="n">
        <f aca="false">IF(OR(INPUTS!$F$131&lt;&gt;"Yes",AN$16=0),0,IF(OR(INPUTS!$J$131="Upfront",INPUTS!$J$131="Even",INPUTS!$J$131="Front-loaded",INPUTS!$J$131="Back-loaded",INPUTS!$J$131="S-curve"),IF(AND(ISNUMBER(INPUTS!$K$131),AN$7&gt;=INPUTS!$K$131,AN$7&lt;=IF(INPUTS!$J$131="Upfront",INPUTS!$K$131,INPUTS!$L$131)),1,0),IF(INPUTS!$J$131="Follow Project Life",AN$17,IF(INPUTS!$J$131="At Project End",--(AN$7=INPUTS!$C$29),0))))</f>
        <v>0</v>
      </c>
      <c r="AO120" s="108" t="n">
        <f aca="false">IF(OR(INPUTS!$F$131&lt;&gt;"Yes",AO$16=0),0,IF(OR(INPUTS!$J$131="Upfront",INPUTS!$J$131="Even",INPUTS!$J$131="Front-loaded",INPUTS!$J$131="Back-loaded",INPUTS!$J$131="S-curve"),IF(AND(ISNUMBER(INPUTS!$K$131),AO$7&gt;=INPUTS!$K$131,AO$7&lt;=IF(INPUTS!$J$131="Upfront",INPUTS!$K$131,INPUTS!$L$131)),1,0),IF(INPUTS!$J$131="Follow Project Life",AO$17,IF(INPUTS!$J$131="At Project End",--(AO$7=INPUTS!$C$29),0))))</f>
        <v>0</v>
      </c>
      <c r="AP120" s="108" t="n">
        <f aca="false">IF(OR(INPUTS!$F$131&lt;&gt;"Yes",AP$16=0),0,IF(OR(INPUTS!$J$131="Upfront",INPUTS!$J$131="Even",INPUTS!$J$131="Front-loaded",INPUTS!$J$131="Back-loaded",INPUTS!$J$131="S-curve"),IF(AND(ISNUMBER(INPUTS!$K$131),AP$7&gt;=INPUTS!$K$131,AP$7&lt;=IF(INPUTS!$J$131="Upfront",INPUTS!$K$131,INPUTS!$L$131)),1,0),IF(INPUTS!$J$131="Follow Project Life",AP$17,IF(INPUTS!$J$131="At Project End",--(AP$7=INPUTS!$C$29),0))))</f>
        <v>0</v>
      </c>
      <c r="AQ120" s="108" t="n">
        <f aca="false">IF(OR(INPUTS!$F$131&lt;&gt;"Yes",AQ$16=0),0,IF(OR(INPUTS!$J$131="Upfront",INPUTS!$J$131="Even",INPUTS!$J$131="Front-loaded",INPUTS!$J$131="Back-loaded",INPUTS!$J$131="S-curve"),IF(AND(ISNUMBER(INPUTS!$K$131),AQ$7&gt;=INPUTS!$K$131,AQ$7&lt;=IF(INPUTS!$J$131="Upfront",INPUTS!$K$131,INPUTS!$L$131)),1,0),IF(INPUTS!$J$131="Follow Project Life",AQ$17,IF(INPUTS!$J$131="At Project End",--(AQ$7=INPUTS!$C$29),0))))</f>
        <v>0</v>
      </c>
    </row>
    <row r="121" customFormat="false" ht="15" hidden="false" customHeight="false" outlineLevel="0" collapsed="false">
      <c r="B121" s="3" t="s">
        <v>650</v>
      </c>
      <c r="C121" s="107" t="n">
        <f aca="false">MAX(D121:AQ121)</f>
        <v>0</v>
      </c>
      <c r="D121" s="108" t="n">
        <f aca="false">IF(D120=1,COUNTIF($D120:D120,1),0)</f>
        <v>0</v>
      </c>
      <c r="E121" s="108" t="n">
        <f aca="false">IF(E120=1,COUNTIF($D120:E120,1),0)</f>
        <v>0</v>
      </c>
      <c r="F121" s="108" t="n">
        <f aca="false">IF(F120=1,COUNTIF($D120:F120,1),0)</f>
        <v>0</v>
      </c>
      <c r="G121" s="108" t="n">
        <f aca="false">IF(G120=1,COUNTIF($D120:G120,1),0)</f>
        <v>0</v>
      </c>
      <c r="H121" s="108" t="n">
        <f aca="false">IF(H120=1,COUNTIF($D120:H120,1),0)</f>
        <v>0</v>
      </c>
      <c r="I121" s="108" t="n">
        <f aca="false">IF(I120=1,COUNTIF($D120:I120,1),0)</f>
        <v>0</v>
      </c>
      <c r="J121" s="108" t="n">
        <f aca="false">IF(J120=1,COUNTIF($D120:J120,1),0)</f>
        <v>0</v>
      </c>
      <c r="K121" s="108" t="n">
        <f aca="false">IF(K120=1,COUNTIF($D120:K120,1),0)</f>
        <v>0</v>
      </c>
      <c r="L121" s="108" t="n">
        <f aca="false">IF(L120=1,COUNTIF($D120:L120,1),0)</f>
        <v>0</v>
      </c>
      <c r="M121" s="108" t="n">
        <f aca="false">IF(M120=1,COUNTIF($D120:M120,1),0)</f>
        <v>0</v>
      </c>
      <c r="N121" s="108" t="n">
        <f aca="false">IF(N120=1,COUNTIF($D120:N120,1),0)</f>
        <v>0</v>
      </c>
      <c r="O121" s="108" t="n">
        <f aca="false">IF(O120=1,COUNTIF($D120:O120,1),0)</f>
        <v>0</v>
      </c>
      <c r="P121" s="108" t="n">
        <f aca="false">IF(P120=1,COUNTIF($D120:P120,1),0)</f>
        <v>0</v>
      </c>
      <c r="Q121" s="108" t="n">
        <f aca="false">IF(Q120=1,COUNTIF($D120:Q120,1),0)</f>
        <v>0</v>
      </c>
      <c r="R121" s="108" t="n">
        <f aca="false">IF(R120=1,COUNTIF($D120:R120,1),0)</f>
        <v>0</v>
      </c>
      <c r="S121" s="108" t="n">
        <f aca="false">IF(S120=1,COUNTIF($D120:S120,1),0)</f>
        <v>0</v>
      </c>
      <c r="T121" s="108" t="n">
        <f aca="false">IF(T120=1,COUNTIF($D120:T120,1),0)</f>
        <v>0</v>
      </c>
      <c r="U121" s="108" t="n">
        <f aca="false">IF(U120=1,COUNTIF($D120:U120,1),0)</f>
        <v>0</v>
      </c>
      <c r="V121" s="108" t="n">
        <f aca="false">IF(V120=1,COUNTIF($D120:V120,1),0)</f>
        <v>0</v>
      </c>
      <c r="W121" s="108" t="n">
        <f aca="false">IF(W120=1,COUNTIF($D120:W120,1),0)</f>
        <v>0</v>
      </c>
      <c r="X121" s="108" t="n">
        <f aca="false">IF(X120=1,COUNTIF($D120:X120,1),0)</f>
        <v>0</v>
      </c>
      <c r="Y121" s="108" t="n">
        <f aca="false">IF(Y120=1,COUNTIF($D120:Y120,1),0)</f>
        <v>0</v>
      </c>
      <c r="Z121" s="108" t="n">
        <f aca="false">IF(Z120=1,COUNTIF($D120:Z120,1),0)</f>
        <v>0</v>
      </c>
      <c r="AA121" s="108" t="n">
        <f aca="false">IF(AA120=1,COUNTIF($D120:AA120,1),0)</f>
        <v>0</v>
      </c>
      <c r="AB121" s="108" t="n">
        <f aca="false">IF(AB120=1,COUNTIF($D120:AB120,1),0)</f>
        <v>0</v>
      </c>
      <c r="AC121" s="108" t="n">
        <f aca="false">IF(AC120=1,COUNTIF($D120:AC120,1),0)</f>
        <v>0</v>
      </c>
      <c r="AD121" s="108" t="n">
        <f aca="false">IF(AD120=1,COUNTIF($D120:AD120,1),0)</f>
        <v>0</v>
      </c>
      <c r="AE121" s="108" t="n">
        <f aca="false">IF(AE120=1,COUNTIF($D120:AE120,1),0)</f>
        <v>0</v>
      </c>
      <c r="AF121" s="108" t="n">
        <f aca="false">IF(AF120=1,COUNTIF($D120:AF120,1),0)</f>
        <v>0</v>
      </c>
      <c r="AG121" s="108" t="n">
        <f aca="false">IF(AG120=1,COUNTIF($D120:AG120,1),0)</f>
        <v>0</v>
      </c>
      <c r="AH121" s="108" t="n">
        <f aca="false">IF(AH120=1,COUNTIF($D120:AH120,1),0)</f>
        <v>0</v>
      </c>
      <c r="AI121" s="108" t="n">
        <f aca="false">IF(AI120=1,COUNTIF($D120:AI120,1),0)</f>
        <v>0</v>
      </c>
      <c r="AJ121" s="108" t="n">
        <f aca="false">IF(AJ120=1,COUNTIF($D120:AJ120,1),0)</f>
        <v>0</v>
      </c>
      <c r="AK121" s="108" t="n">
        <f aca="false">IF(AK120=1,COUNTIF($D120:AK120,1),0)</f>
        <v>0</v>
      </c>
      <c r="AL121" s="108" t="n">
        <f aca="false">IF(AL120=1,COUNTIF($D120:AL120,1),0)</f>
        <v>0</v>
      </c>
      <c r="AM121" s="108" t="n">
        <f aca="false">IF(AM120=1,COUNTIF($D120:AM120,1),0)</f>
        <v>0</v>
      </c>
      <c r="AN121" s="108" t="n">
        <f aca="false">IF(AN120=1,COUNTIF($D120:AN120,1),0)</f>
        <v>0</v>
      </c>
      <c r="AO121" s="108" t="n">
        <f aca="false">IF(AO120=1,COUNTIF($D120:AO120,1),0)</f>
        <v>0</v>
      </c>
      <c r="AP121" s="108" t="n">
        <f aca="false">IF(AP120=1,COUNTIF($D120:AP120,1),0)</f>
        <v>0</v>
      </c>
      <c r="AQ121" s="108" t="n">
        <f aca="false">IF(AQ120=1,COUNTIF($D120:AQ120,1),0)</f>
        <v>0</v>
      </c>
    </row>
    <row r="122" customFormat="false" ht="15" hidden="false" customHeight="false" outlineLevel="0" collapsed="false">
      <c r="B122" s="17" t="s">
        <v>651</v>
      </c>
      <c r="C122" s="105" t="str">
        <f aca="false">IF(INPUTS!$M$131="","",IF(INPUTS!$M$131&lt;&gt;"OK","ERROR",IF(C120=IF(INPUTS!$F$131&lt;&gt;"Yes",0,IF(OR(INPUTS!$J$131="Upfront",INPUTS!$J$131="Even",INPUTS!$J$131="Front-loaded",INPUTS!$J$131="Back-loaded",INPUTS!$J$131="S-curve"),IF(ISNUMBER(INPUTS!$K$131),IF(INPUTS!$J$131="Upfront",INPUTS!$K$131,INPUTS!$L$131)-INPUTS!$K$131+1,0),IF(INPUTS!$J$131="Follow Project Life",INPUTS!$C$29,IF(INPUTS!$J$131="At Project End",1,0)))),"OK","ERROR")))</f>
        <v>OK</v>
      </c>
    </row>
    <row r="123" customFormat="false" ht="15" hidden="false" customHeight="false" outlineLevel="0" collapsed="false">
      <c r="B123" s="110" t="str">
        <f aca="false">IF(INPUTS!$B$132="","Spare cost row",INPUTS!$B$132)</f>
        <v>APT Construction Cost</v>
      </c>
      <c r="C123" s="111" t="str">
        <f aca="false">IF(INPUTS!$J$132="","",INPUTS!$J$132)</f>
        <v>Follow Construction</v>
      </c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</row>
    <row r="124" customFormat="false" ht="15" hidden="false" customHeight="false" outlineLevel="0" collapsed="false">
      <c r="B124" s="3" t="s">
        <v>649</v>
      </c>
      <c r="C124" s="107" t="n">
        <f aca="false">SUM(D124:AQ124)</f>
        <v>0</v>
      </c>
      <c r="D124" s="108" t="n">
        <f aca="false">IF(OR(INPUTS!$F$132&lt;&gt;"Yes",D$16=0),0,IF(OR(INPUTS!$J$132="Upfront",INPUTS!$J$132="Even",INPUTS!$J$132="Front-loaded",INPUTS!$J$132="Back-loaded",INPUTS!$J$132="S-curve"),IF(AND(ISNUMBER(INPUTS!$K$132),D$7&gt;=INPUTS!$K$132,D$7&lt;=IF(INPUTS!$J$132="Upfront",INPUTS!$K$132,INPUTS!$L$132)),1,0),IF(INPUTS!$J$132="Follow Project Life",D$17,IF(INPUTS!$J$132="At Project End",--(D$7=INPUTS!$C$29),0))))</f>
        <v>0</v>
      </c>
      <c r="E124" s="108" t="n">
        <f aca="false">IF(OR(INPUTS!$F$132&lt;&gt;"Yes",E$16=0),0,IF(OR(INPUTS!$J$132="Upfront",INPUTS!$J$132="Even",INPUTS!$J$132="Front-loaded",INPUTS!$J$132="Back-loaded",INPUTS!$J$132="S-curve"),IF(AND(ISNUMBER(INPUTS!$K$132),E$7&gt;=INPUTS!$K$132,E$7&lt;=IF(INPUTS!$J$132="Upfront",INPUTS!$K$132,INPUTS!$L$132)),1,0),IF(INPUTS!$J$132="Follow Project Life",E$17,IF(INPUTS!$J$132="At Project End",--(E$7=INPUTS!$C$29),0))))</f>
        <v>0</v>
      </c>
      <c r="F124" s="108" t="n">
        <f aca="false">IF(OR(INPUTS!$F$132&lt;&gt;"Yes",F$16=0),0,IF(OR(INPUTS!$J$132="Upfront",INPUTS!$J$132="Even",INPUTS!$J$132="Front-loaded",INPUTS!$J$132="Back-loaded",INPUTS!$J$132="S-curve"),IF(AND(ISNUMBER(INPUTS!$K$132),F$7&gt;=INPUTS!$K$132,F$7&lt;=IF(INPUTS!$J$132="Upfront",INPUTS!$K$132,INPUTS!$L$132)),1,0),IF(INPUTS!$J$132="Follow Project Life",F$17,IF(INPUTS!$J$132="At Project End",--(F$7=INPUTS!$C$29),0))))</f>
        <v>0</v>
      </c>
      <c r="G124" s="108" t="n">
        <f aca="false">IF(OR(INPUTS!$F$132&lt;&gt;"Yes",G$16=0),0,IF(OR(INPUTS!$J$132="Upfront",INPUTS!$J$132="Even",INPUTS!$J$132="Front-loaded",INPUTS!$J$132="Back-loaded",INPUTS!$J$132="S-curve"),IF(AND(ISNUMBER(INPUTS!$K$132),G$7&gt;=INPUTS!$K$132,G$7&lt;=IF(INPUTS!$J$132="Upfront",INPUTS!$K$132,INPUTS!$L$132)),1,0),IF(INPUTS!$J$132="Follow Project Life",G$17,IF(INPUTS!$J$132="At Project End",--(G$7=INPUTS!$C$29),0))))</f>
        <v>0</v>
      </c>
      <c r="H124" s="108" t="n">
        <f aca="false">IF(OR(INPUTS!$F$132&lt;&gt;"Yes",H$16=0),0,IF(OR(INPUTS!$J$132="Upfront",INPUTS!$J$132="Even",INPUTS!$J$132="Front-loaded",INPUTS!$J$132="Back-loaded",INPUTS!$J$132="S-curve"),IF(AND(ISNUMBER(INPUTS!$K$132),H$7&gt;=INPUTS!$K$132,H$7&lt;=IF(INPUTS!$J$132="Upfront",INPUTS!$K$132,INPUTS!$L$132)),1,0),IF(INPUTS!$J$132="Follow Project Life",H$17,IF(INPUTS!$J$132="At Project End",--(H$7=INPUTS!$C$29),0))))</f>
        <v>0</v>
      </c>
      <c r="I124" s="108" t="n">
        <f aca="false">IF(OR(INPUTS!$F$132&lt;&gt;"Yes",I$16=0),0,IF(OR(INPUTS!$J$132="Upfront",INPUTS!$J$132="Even",INPUTS!$J$132="Front-loaded",INPUTS!$J$132="Back-loaded",INPUTS!$J$132="S-curve"),IF(AND(ISNUMBER(INPUTS!$K$132),I$7&gt;=INPUTS!$K$132,I$7&lt;=IF(INPUTS!$J$132="Upfront",INPUTS!$K$132,INPUTS!$L$132)),1,0),IF(INPUTS!$J$132="Follow Project Life",I$17,IF(INPUTS!$J$132="At Project End",--(I$7=INPUTS!$C$29),0))))</f>
        <v>0</v>
      </c>
      <c r="J124" s="108" t="n">
        <f aca="false">IF(OR(INPUTS!$F$132&lt;&gt;"Yes",J$16=0),0,IF(OR(INPUTS!$J$132="Upfront",INPUTS!$J$132="Even",INPUTS!$J$132="Front-loaded",INPUTS!$J$132="Back-loaded",INPUTS!$J$132="S-curve"),IF(AND(ISNUMBER(INPUTS!$K$132),J$7&gt;=INPUTS!$K$132,J$7&lt;=IF(INPUTS!$J$132="Upfront",INPUTS!$K$132,INPUTS!$L$132)),1,0),IF(INPUTS!$J$132="Follow Project Life",J$17,IF(INPUTS!$J$132="At Project End",--(J$7=INPUTS!$C$29),0))))</f>
        <v>0</v>
      </c>
      <c r="K124" s="108" t="n">
        <f aca="false">IF(OR(INPUTS!$F$132&lt;&gt;"Yes",K$16=0),0,IF(OR(INPUTS!$J$132="Upfront",INPUTS!$J$132="Even",INPUTS!$J$132="Front-loaded",INPUTS!$J$132="Back-loaded",INPUTS!$J$132="S-curve"),IF(AND(ISNUMBER(INPUTS!$K$132),K$7&gt;=INPUTS!$K$132,K$7&lt;=IF(INPUTS!$J$132="Upfront",INPUTS!$K$132,INPUTS!$L$132)),1,0),IF(INPUTS!$J$132="Follow Project Life",K$17,IF(INPUTS!$J$132="At Project End",--(K$7=INPUTS!$C$29),0))))</f>
        <v>0</v>
      </c>
      <c r="L124" s="108" t="n">
        <f aca="false">IF(OR(INPUTS!$F$132&lt;&gt;"Yes",L$16=0),0,IF(OR(INPUTS!$J$132="Upfront",INPUTS!$J$132="Even",INPUTS!$J$132="Front-loaded",INPUTS!$J$132="Back-loaded",INPUTS!$J$132="S-curve"),IF(AND(ISNUMBER(INPUTS!$K$132),L$7&gt;=INPUTS!$K$132,L$7&lt;=IF(INPUTS!$J$132="Upfront",INPUTS!$K$132,INPUTS!$L$132)),1,0),IF(INPUTS!$J$132="Follow Project Life",L$17,IF(INPUTS!$J$132="At Project End",--(L$7=INPUTS!$C$29),0))))</f>
        <v>0</v>
      </c>
      <c r="M124" s="108" t="n">
        <f aca="false">IF(OR(INPUTS!$F$132&lt;&gt;"Yes",M$16=0),0,IF(OR(INPUTS!$J$132="Upfront",INPUTS!$J$132="Even",INPUTS!$J$132="Front-loaded",INPUTS!$J$132="Back-loaded",INPUTS!$J$132="S-curve"),IF(AND(ISNUMBER(INPUTS!$K$132),M$7&gt;=INPUTS!$K$132,M$7&lt;=IF(INPUTS!$J$132="Upfront",INPUTS!$K$132,INPUTS!$L$132)),1,0),IF(INPUTS!$J$132="Follow Project Life",M$17,IF(INPUTS!$J$132="At Project End",--(M$7=INPUTS!$C$29),0))))</f>
        <v>0</v>
      </c>
      <c r="N124" s="108" t="n">
        <f aca="false">IF(OR(INPUTS!$F$132&lt;&gt;"Yes",N$16=0),0,IF(OR(INPUTS!$J$132="Upfront",INPUTS!$J$132="Even",INPUTS!$J$132="Front-loaded",INPUTS!$J$132="Back-loaded",INPUTS!$J$132="S-curve"),IF(AND(ISNUMBER(INPUTS!$K$132),N$7&gt;=INPUTS!$K$132,N$7&lt;=IF(INPUTS!$J$132="Upfront",INPUTS!$K$132,INPUTS!$L$132)),1,0),IF(INPUTS!$J$132="Follow Project Life",N$17,IF(INPUTS!$J$132="At Project End",--(N$7=INPUTS!$C$29),0))))</f>
        <v>0</v>
      </c>
      <c r="O124" s="108" t="n">
        <f aca="false">IF(OR(INPUTS!$F$132&lt;&gt;"Yes",O$16=0),0,IF(OR(INPUTS!$J$132="Upfront",INPUTS!$J$132="Even",INPUTS!$J$132="Front-loaded",INPUTS!$J$132="Back-loaded",INPUTS!$J$132="S-curve"),IF(AND(ISNUMBER(INPUTS!$K$132),O$7&gt;=INPUTS!$K$132,O$7&lt;=IF(INPUTS!$J$132="Upfront",INPUTS!$K$132,INPUTS!$L$132)),1,0),IF(INPUTS!$J$132="Follow Project Life",O$17,IF(INPUTS!$J$132="At Project End",--(O$7=INPUTS!$C$29),0))))</f>
        <v>0</v>
      </c>
      <c r="P124" s="108" t="n">
        <f aca="false">IF(OR(INPUTS!$F$132&lt;&gt;"Yes",P$16=0),0,IF(OR(INPUTS!$J$132="Upfront",INPUTS!$J$132="Even",INPUTS!$J$132="Front-loaded",INPUTS!$J$132="Back-loaded",INPUTS!$J$132="S-curve"),IF(AND(ISNUMBER(INPUTS!$K$132),P$7&gt;=INPUTS!$K$132,P$7&lt;=IF(INPUTS!$J$132="Upfront",INPUTS!$K$132,INPUTS!$L$132)),1,0),IF(INPUTS!$J$132="Follow Project Life",P$17,IF(INPUTS!$J$132="At Project End",--(P$7=INPUTS!$C$29),0))))</f>
        <v>0</v>
      </c>
      <c r="Q124" s="108" t="n">
        <f aca="false">IF(OR(INPUTS!$F$132&lt;&gt;"Yes",Q$16=0),0,IF(OR(INPUTS!$J$132="Upfront",INPUTS!$J$132="Even",INPUTS!$J$132="Front-loaded",INPUTS!$J$132="Back-loaded",INPUTS!$J$132="S-curve"),IF(AND(ISNUMBER(INPUTS!$K$132),Q$7&gt;=INPUTS!$K$132,Q$7&lt;=IF(INPUTS!$J$132="Upfront",INPUTS!$K$132,INPUTS!$L$132)),1,0),IF(INPUTS!$J$132="Follow Project Life",Q$17,IF(INPUTS!$J$132="At Project End",--(Q$7=INPUTS!$C$29),0))))</f>
        <v>0</v>
      </c>
      <c r="R124" s="108" t="n">
        <f aca="false">IF(OR(INPUTS!$F$132&lt;&gt;"Yes",R$16=0),0,IF(OR(INPUTS!$J$132="Upfront",INPUTS!$J$132="Even",INPUTS!$J$132="Front-loaded",INPUTS!$J$132="Back-loaded",INPUTS!$J$132="S-curve"),IF(AND(ISNUMBER(INPUTS!$K$132),R$7&gt;=INPUTS!$K$132,R$7&lt;=IF(INPUTS!$J$132="Upfront",INPUTS!$K$132,INPUTS!$L$132)),1,0),IF(INPUTS!$J$132="Follow Project Life",R$17,IF(INPUTS!$J$132="At Project End",--(R$7=INPUTS!$C$29),0))))</f>
        <v>0</v>
      </c>
      <c r="S124" s="108" t="n">
        <f aca="false">IF(OR(INPUTS!$F$132&lt;&gt;"Yes",S$16=0),0,IF(OR(INPUTS!$J$132="Upfront",INPUTS!$J$132="Even",INPUTS!$J$132="Front-loaded",INPUTS!$J$132="Back-loaded",INPUTS!$J$132="S-curve"),IF(AND(ISNUMBER(INPUTS!$K$132),S$7&gt;=INPUTS!$K$132,S$7&lt;=IF(INPUTS!$J$132="Upfront",INPUTS!$K$132,INPUTS!$L$132)),1,0),IF(INPUTS!$J$132="Follow Project Life",S$17,IF(INPUTS!$J$132="At Project End",--(S$7=INPUTS!$C$29),0))))</f>
        <v>0</v>
      </c>
      <c r="T124" s="108" t="n">
        <f aca="false">IF(OR(INPUTS!$F$132&lt;&gt;"Yes",T$16=0),0,IF(OR(INPUTS!$J$132="Upfront",INPUTS!$J$132="Even",INPUTS!$J$132="Front-loaded",INPUTS!$J$132="Back-loaded",INPUTS!$J$132="S-curve"),IF(AND(ISNUMBER(INPUTS!$K$132),T$7&gt;=INPUTS!$K$132,T$7&lt;=IF(INPUTS!$J$132="Upfront",INPUTS!$K$132,INPUTS!$L$132)),1,0),IF(INPUTS!$J$132="Follow Project Life",T$17,IF(INPUTS!$J$132="At Project End",--(T$7=INPUTS!$C$29),0))))</f>
        <v>0</v>
      </c>
      <c r="U124" s="108" t="n">
        <f aca="false">IF(OR(INPUTS!$F$132&lt;&gt;"Yes",U$16=0),0,IF(OR(INPUTS!$J$132="Upfront",INPUTS!$J$132="Even",INPUTS!$J$132="Front-loaded",INPUTS!$J$132="Back-loaded",INPUTS!$J$132="S-curve"),IF(AND(ISNUMBER(INPUTS!$K$132),U$7&gt;=INPUTS!$K$132,U$7&lt;=IF(INPUTS!$J$132="Upfront",INPUTS!$K$132,INPUTS!$L$132)),1,0),IF(INPUTS!$J$132="Follow Project Life",U$17,IF(INPUTS!$J$132="At Project End",--(U$7=INPUTS!$C$29),0))))</f>
        <v>0</v>
      </c>
      <c r="V124" s="108" t="n">
        <f aca="false">IF(OR(INPUTS!$F$132&lt;&gt;"Yes",V$16=0),0,IF(OR(INPUTS!$J$132="Upfront",INPUTS!$J$132="Even",INPUTS!$J$132="Front-loaded",INPUTS!$J$132="Back-loaded",INPUTS!$J$132="S-curve"),IF(AND(ISNUMBER(INPUTS!$K$132),V$7&gt;=INPUTS!$K$132,V$7&lt;=IF(INPUTS!$J$132="Upfront",INPUTS!$K$132,INPUTS!$L$132)),1,0),IF(INPUTS!$J$132="Follow Project Life",V$17,IF(INPUTS!$J$132="At Project End",--(V$7=INPUTS!$C$29),0))))</f>
        <v>0</v>
      </c>
      <c r="W124" s="108" t="n">
        <f aca="false">IF(OR(INPUTS!$F$132&lt;&gt;"Yes",W$16=0),0,IF(OR(INPUTS!$J$132="Upfront",INPUTS!$J$132="Even",INPUTS!$J$132="Front-loaded",INPUTS!$J$132="Back-loaded",INPUTS!$J$132="S-curve"),IF(AND(ISNUMBER(INPUTS!$K$132),W$7&gt;=INPUTS!$K$132,W$7&lt;=IF(INPUTS!$J$132="Upfront",INPUTS!$K$132,INPUTS!$L$132)),1,0),IF(INPUTS!$J$132="Follow Project Life",W$17,IF(INPUTS!$J$132="At Project End",--(W$7=INPUTS!$C$29),0))))</f>
        <v>0</v>
      </c>
      <c r="X124" s="108" t="n">
        <f aca="false">IF(OR(INPUTS!$F$132&lt;&gt;"Yes",X$16=0),0,IF(OR(INPUTS!$J$132="Upfront",INPUTS!$J$132="Even",INPUTS!$J$132="Front-loaded",INPUTS!$J$132="Back-loaded",INPUTS!$J$132="S-curve"),IF(AND(ISNUMBER(INPUTS!$K$132),X$7&gt;=INPUTS!$K$132,X$7&lt;=IF(INPUTS!$J$132="Upfront",INPUTS!$K$132,INPUTS!$L$132)),1,0),IF(INPUTS!$J$132="Follow Project Life",X$17,IF(INPUTS!$J$132="At Project End",--(X$7=INPUTS!$C$29),0))))</f>
        <v>0</v>
      </c>
      <c r="Y124" s="108" t="n">
        <f aca="false">IF(OR(INPUTS!$F$132&lt;&gt;"Yes",Y$16=0),0,IF(OR(INPUTS!$J$132="Upfront",INPUTS!$J$132="Even",INPUTS!$J$132="Front-loaded",INPUTS!$J$132="Back-loaded",INPUTS!$J$132="S-curve"),IF(AND(ISNUMBER(INPUTS!$K$132),Y$7&gt;=INPUTS!$K$132,Y$7&lt;=IF(INPUTS!$J$132="Upfront",INPUTS!$K$132,INPUTS!$L$132)),1,0),IF(INPUTS!$J$132="Follow Project Life",Y$17,IF(INPUTS!$J$132="At Project End",--(Y$7=INPUTS!$C$29),0))))</f>
        <v>0</v>
      </c>
      <c r="Z124" s="108" t="n">
        <f aca="false">IF(OR(INPUTS!$F$132&lt;&gt;"Yes",Z$16=0),0,IF(OR(INPUTS!$J$132="Upfront",INPUTS!$J$132="Even",INPUTS!$J$132="Front-loaded",INPUTS!$J$132="Back-loaded",INPUTS!$J$132="S-curve"),IF(AND(ISNUMBER(INPUTS!$K$132),Z$7&gt;=INPUTS!$K$132,Z$7&lt;=IF(INPUTS!$J$132="Upfront",INPUTS!$K$132,INPUTS!$L$132)),1,0),IF(INPUTS!$J$132="Follow Project Life",Z$17,IF(INPUTS!$J$132="At Project End",--(Z$7=INPUTS!$C$29),0))))</f>
        <v>0</v>
      </c>
      <c r="AA124" s="108" t="n">
        <f aca="false">IF(OR(INPUTS!$F$132&lt;&gt;"Yes",AA$16=0),0,IF(OR(INPUTS!$J$132="Upfront",INPUTS!$J$132="Even",INPUTS!$J$132="Front-loaded",INPUTS!$J$132="Back-loaded",INPUTS!$J$132="S-curve"),IF(AND(ISNUMBER(INPUTS!$K$132),AA$7&gt;=INPUTS!$K$132,AA$7&lt;=IF(INPUTS!$J$132="Upfront",INPUTS!$K$132,INPUTS!$L$132)),1,0),IF(INPUTS!$J$132="Follow Project Life",AA$17,IF(INPUTS!$J$132="At Project End",--(AA$7=INPUTS!$C$29),0))))</f>
        <v>0</v>
      </c>
      <c r="AB124" s="108" t="n">
        <f aca="false">IF(OR(INPUTS!$F$132&lt;&gt;"Yes",AB$16=0),0,IF(OR(INPUTS!$J$132="Upfront",INPUTS!$J$132="Even",INPUTS!$J$132="Front-loaded",INPUTS!$J$132="Back-loaded",INPUTS!$J$132="S-curve"),IF(AND(ISNUMBER(INPUTS!$K$132),AB$7&gt;=INPUTS!$K$132,AB$7&lt;=IF(INPUTS!$J$132="Upfront",INPUTS!$K$132,INPUTS!$L$132)),1,0),IF(INPUTS!$J$132="Follow Project Life",AB$17,IF(INPUTS!$J$132="At Project End",--(AB$7=INPUTS!$C$29),0))))</f>
        <v>0</v>
      </c>
      <c r="AC124" s="108" t="n">
        <f aca="false">IF(OR(INPUTS!$F$132&lt;&gt;"Yes",AC$16=0),0,IF(OR(INPUTS!$J$132="Upfront",INPUTS!$J$132="Even",INPUTS!$J$132="Front-loaded",INPUTS!$J$132="Back-loaded",INPUTS!$J$132="S-curve"),IF(AND(ISNUMBER(INPUTS!$K$132),AC$7&gt;=INPUTS!$K$132,AC$7&lt;=IF(INPUTS!$J$132="Upfront",INPUTS!$K$132,INPUTS!$L$132)),1,0),IF(INPUTS!$J$132="Follow Project Life",AC$17,IF(INPUTS!$J$132="At Project End",--(AC$7=INPUTS!$C$29),0))))</f>
        <v>0</v>
      </c>
      <c r="AD124" s="108" t="n">
        <f aca="false">IF(OR(INPUTS!$F$132&lt;&gt;"Yes",AD$16=0),0,IF(OR(INPUTS!$J$132="Upfront",INPUTS!$J$132="Even",INPUTS!$J$132="Front-loaded",INPUTS!$J$132="Back-loaded",INPUTS!$J$132="S-curve"),IF(AND(ISNUMBER(INPUTS!$K$132),AD$7&gt;=INPUTS!$K$132,AD$7&lt;=IF(INPUTS!$J$132="Upfront",INPUTS!$K$132,INPUTS!$L$132)),1,0),IF(INPUTS!$J$132="Follow Project Life",AD$17,IF(INPUTS!$J$132="At Project End",--(AD$7=INPUTS!$C$29),0))))</f>
        <v>0</v>
      </c>
      <c r="AE124" s="108" t="n">
        <f aca="false">IF(OR(INPUTS!$F$132&lt;&gt;"Yes",AE$16=0),0,IF(OR(INPUTS!$J$132="Upfront",INPUTS!$J$132="Even",INPUTS!$J$132="Front-loaded",INPUTS!$J$132="Back-loaded",INPUTS!$J$132="S-curve"),IF(AND(ISNUMBER(INPUTS!$K$132),AE$7&gt;=INPUTS!$K$132,AE$7&lt;=IF(INPUTS!$J$132="Upfront",INPUTS!$K$132,INPUTS!$L$132)),1,0),IF(INPUTS!$J$132="Follow Project Life",AE$17,IF(INPUTS!$J$132="At Project End",--(AE$7=INPUTS!$C$29),0))))</f>
        <v>0</v>
      </c>
      <c r="AF124" s="108" t="n">
        <f aca="false">IF(OR(INPUTS!$F$132&lt;&gt;"Yes",AF$16=0),0,IF(OR(INPUTS!$J$132="Upfront",INPUTS!$J$132="Even",INPUTS!$J$132="Front-loaded",INPUTS!$J$132="Back-loaded",INPUTS!$J$132="S-curve"),IF(AND(ISNUMBER(INPUTS!$K$132),AF$7&gt;=INPUTS!$K$132,AF$7&lt;=IF(INPUTS!$J$132="Upfront",INPUTS!$K$132,INPUTS!$L$132)),1,0),IF(INPUTS!$J$132="Follow Project Life",AF$17,IF(INPUTS!$J$132="At Project End",--(AF$7=INPUTS!$C$29),0))))</f>
        <v>0</v>
      </c>
      <c r="AG124" s="108" t="n">
        <f aca="false">IF(OR(INPUTS!$F$132&lt;&gt;"Yes",AG$16=0),0,IF(OR(INPUTS!$J$132="Upfront",INPUTS!$J$132="Even",INPUTS!$J$132="Front-loaded",INPUTS!$J$132="Back-loaded",INPUTS!$J$132="S-curve"),IF(AND(ISNUMBER(INPUTS!$K$132),AG$7&gt;=INPUTS!$K$132,AG$7&lt;=IF(INPUTS!$J$132="Upfront",INPUTS!$K$132,INPUTS!$L$132)),1,0),IF(INPUTS!$J$132="Follow Project Life",AG$17,IF(INPUTS!$J$132="At Project End",--(AG$7=INPUTS!$C$29),0))))</f>
        <v>0</v>
      </c>
      <c r="AH124" s="108" t="n">
        <f aca="false">IF(OR(INPUTS!$F$132&lt;&gt;"Yes",AH$16=0),0,IF(OR(INPUTS!$J$132="Upfront",INPUTS!$J$132="Even",INPUTS!$J$132="Front-loaded",INPUTS!$J$132="Back-loaded",INPUTS!$J$132="S-curve"),IF(AND(ISNUMBER(INPUTS!$K$132),AH$7&gt;=INPUTS!$K$132,AH$7&lt;=IF(INPUTS!$J$132="Upfront",INPUTS!$K$132,INPUTS!$L$132)),1,0),IF(INPUTS!$J$132="Follow Project Life",AH$17,IF(INPUTS!$J$132="At Project End",--(AH$7=INPUTS!$C$29),0))))</f>
        <v>0</v>
      </c>
      <c r="AI124" s="108" t="n">
        <f aca="false">IF(OR(INPUTS!$F$132&lt;&gt;"Yes",AI$16=0),0,IF(OR(INPUTS!$J$132="Upfront",INPUTS!$J$132="Even",INPUTS!$J$132="Front-loaded",INPUTS!$J$132="Back-loaded",INPUTS!$J$132="S-curve"),IF(AND(ISNUMBER(INPUTS!$K$132),AI$7&gt;=INPUTS!$K$132,AI$7&lt;=IF(INPUTS!$J$132="Upfront",INPUTS!$K$132,INPUTS!$L$132)),1,0),IF(INPUTS!$J$132="Follow Project Life",AI$17,IF(INPUTS!$J$132="At Project End",--(AI$7=INPUTS!$C$29),0))))</f>
        <v>0</v>
      </c>
      <c r="AJ124" s="108" t="n">
        <f aca="false">IF(OR(INPUTS!$F$132&lt;&gt;"Yes",AJ$16=0),0,IF(OR(INPUTS!$J$132="Upfront",INPUTS!$J$132="Even",INPUTS!$J$132="Front-loaded",INPUTS!$J$132="Back-loaded",INPUTS!$J$132="S-curve"),IF(AND(ISNUMBER(INPUTS!$K$132),AJ$7&gt;=INPUTS!$K$132,AJ$7&lt;=IF(INPUTS!$J$132="Upfront",INPUTS!$K$132,INPUTS!$L$132)),1,0),IF(INPUTS!$J$132="Follow Project Life",AJ$17,IF(INPUTS!$J$132="At Project End",--(AJ$7=INPUTS!$C$29),0))))</f>
        <v>0</v>
      </c>
      <c r="AK124" s="108" t="n">
        <f aca="false">IF(OR(INPUTS!$F$132&lt;&gt;"Yes",AK$16=0),0,IF(OR(INPUTS!$J$132="Upfront",INPUTS!$J$132="Even",INPUTS!$J$132="Front-loaded",INPUTS!$J$132="Back-loaded",INPUTS!$J$132="S-curve"),IF(AND(ISNUMBER(INPUTS!$K$132),AK$7&gt;=INPUTS!$K$132,AK$7&lt;=IF(INPUTS!$J$132="Upfront",INPUTS!$K$132,INPUTS!$L$132)),1,0),IF(INPUTS!$J$132="Follow Project Life",AK$17,IF(INPUTS!$J$132="At Project End",--(AK$7=INPUTS!$C$29),0))))</f>
        <v>0</v>
      </c>
      <c r="AL124" s="108" t="n">
        <f aca="false">IF(OR(INPUTS!$F$132&lt;&gt;"Yes",AL$16=0),0,IF(OR(INPUTS!$J$132="Upfront",INPUTS!$J$132="Even",INPUTS!$J$132="Front-loaded",INPUTS!$J$132="Back-loaded",INPUTS!$J$132="S-curve"),IF(AND(ISNUMBER(INPUTS!$K$132),AL$7&gt;=INPUTS!$K$132,AL$7&lt;=IF(INPUTS!$J$132="Upfront",INPUTS!$K$132,INPUTS!$L$132)),1,0),IF(INPUTS!$J$132="Follow Project Life",AL$17,IF(INPUTS!$J$132="At Project End",--(AL$7=INPUTS!$C$29),0))))</f>
        <v>0</v>
      </c>
      <c r="AM124" s="108" t="n">
        <f aca="false">IF(OR(INPUTS!$F$132&lt;&gt;"Yes",AM$16=0),0,IF(OR(INPUTS!$J$132="Upfront",INPUTS!$J$132="Even",INPUTS!$J$132="Front-loaded",INPUTS!$J$132="Back-loaded",INPUTS!$J$132="S-curve"),IF(AND(ISNUMBER(INPUTS!$K$132),AM$7&gt;=INPUTS!$K$132,AM$7&lt;=IF(INPUTS!$J$132="Upfront",INPUTS!$K$132,INPUTS!$L$132)),1,0),IF(INPUTS!$J$132="Follow Project Life",AM$17,IF(INPUTS!$J$132="At Project End",--(AM$7=INPUTS!$C$29),0))))</f>
        <v>0</v>
      </c>
      <c r="AN124" s="108" t="n">
        <f aca="false">IF(OR(INPUTS!$F$132&lt;&gt;"Yes",AN$16=0),0,IF(OR(INPUTS!$J$132="Upfront",INPUTS!$J$132="Even",INPUTS!$J$132="Front-loaded",INPUTS!$J$132="Back-loaded",INPUTS!$J$132="S-curve"),IF(AND(ISNUMBER(INPUTS!$K$132),AN$7&gt;=INPUTS!$K$132,AN$7&lt;=IF(INPUTS!$J$132="Upfront",INPUTS!$K$132,INPUTS!$L$132)),1,0),IF(INPUTS!$J$132="Follow Project Life",AN$17,IF(INPUTS!$J$132="At Project End",--(AN$7=INPUTS!$C$29),0))))</f>
        <v>0</v>
      </c>
      <c r="AO124" s="108" t="n">
        <f aca="false">IF(OR(INPUTS!$F$132&lt;&gt;"Yes",AO$16=0),0,IF(OR(INPUTS!$J$132="Upfront",INPUTS!$J$132="Even",INPUTS!$J$132="Front-loaded",INPUTS!$J$132="Back-loaded",INPUTS!$J$132="S-curve"),IF(AND(ISNUMBER(INPUTS!$K$132),AO$7&gt;=INPUTS!$K$132,AO$7&lt;=IF(INPUTS!$J$132="Upfront",INPUTS!$K$132,INPUTS!$L$132)),1,0),IF(INPUTS!$J$132="Follow Project Life",AO$17,IF(INPUTS!$J$132="At Project End",--(AO$7=INPUTS!$C$29),0))))</f>
        <v>0</v>
      </c>
      <c r="AP124" s="108" t="n">
        <f aca="false">IF(OR(INPUTS!$F$132&lt;&gt;"Yes",AP$16=0),0,IF(OR(INPUTS!$J$132="Upfront",INPUTS!$J$132="Even",INPUTS!$J$132="Front-loaded",INPUTS!$J$132="Back-loaded",INPUTS!$J$132="S-curve"),IF(AND(ISNUMBER(INPUTS!$K$132),AP$7&gt;=INPUTS!$K$132,AP$7&lt;=IF(INPUTS!$J$132="Upfront",INPUTS!$K$132,INPUTS!$L$132)),1,0),IF(INPUTS!$J$132="Follow Project Life",AP$17,IF(INPUTS!$J$132="At Project End",--(AP$7=INPUTS!$C$29),0))))</f>
        <v>0</v>
      </c>
      <c r="AQ124" s="108" t="n">
        <f aca="false">IF(OR(INPUTS!$F$132&lt;&gt;"Yes",AQ$16=0),0,IF(OR(INPUTS!$J$132="Upfront",INPUTS!$J$132="Even",INPUTS!$J$132="Front-loaded",INPUTS!$J$132="Back-loaded",INPUTS!$J$132="S-curve"),IF(AND(ISNUMBER(INPUTS!$K$132),AQ$7&gt;=INPUTS!$K$132,AQ$7&lt;=IF(INPUTS!$J$132="Upfront",INPUTS!$K$132,INPUTS!$L$132)),1,0),IF(INPUTS!$J$132="Follow Project Life",AQ$17,IF(INPUTS!$J$132="At Project End",--(AQ$7=INPUTS!$C$29),0))))</f>
        <v>0</v>
      </c>
    </row>
    <row r="125" customFormat="false" ht="15" hidden="false" customHeight="false" outlineLevel="0" collapsed="false">
      <c r="B125" s="3" t="s">
        <v>650</v>
      </c>
      <c r="C125" s="107" t="n">
        <f aca="false">MAX(D125:AQ125)</f>
        <v>0</v>
      </c>
      <c r="D125" s="108" t="n">
        <f aca="false">IF(D124=1,COUNTIF($D124:D124,1),0)</f>
        <v>0</v>
      </c>
      <c r="E125" s="108" t="n">
        <f aca="false">IF(E124=1,COUNTIF($D124:E124,1),0)</f>
        <v>0</v>
      </c>
      <c r="F125" s="108" t="n">
        <f aca="false">IF(F124=1,COUNTIF($D124:F124,1),0)</f>
        <v>0</v>
      </c>
      <c r="G125" s="108" t="n">
        <f aca="false">IF(G124=1,COUNTIF($D124:G124,1),0)</f>
        <v>0</v>
      </c>
      <c r="H125" s="108" t="n">
        <f aca="false">IF(H124=1,COUNTIF($D124:H124,1),0)</f>
        <v>0</v>
      </c>
      <c r="I125" s="108" t="n">
        <f aca="false">IF(I124=1,COUNTIF($D124:I124,1),0)</f>
        <v>0</v>
      </c>
      <c r="J125" s="108" t="n">
        <f aca="false">IF(J124=1,COUNTIF($D124:J124,1),0)</f>
        <v>0</v>
      </c>
      <c r="K125" s="108" t="n">
        <f aca="false">IF(K124=1,COUNTIF($D124:K124,1),0)</f>
        <v>0</v>
      </c>
      <c r="L125" s="108" t="n">
        <f aca="false">IF(L124=1,COUNTIF($D124:L124,1),0)</f>
        <v>0</v>
      </c>
      <c r="M125" s="108" t="n">
        <f aca="false">IF(M124=1,COUNTIF($D124:M124,1),0)</f>
        <v>0</v>
      </c>
      <c r="N125" s="108" t="n">
        <f aca="false">IF(N124=1,COUNTIF($D124:N124,1),0)</f>
        <v>0</v>
      </c>
      <c r="O125" s="108" t="n">
        <f aca="false">IF(O124=1,COUNTIF($D124:O124,1),0)</f>
        <v>0</v>
      </c>
      <c r="P125" s="108" t="n">
        <f aca="false">IF(P124=1,COUNTIF($D124:P124,1),0)</f>
        <v>0</v>
      </c>
      <c r="Q125" s="108" t="n">
        <f aca="false">IF(Q124=1,COUNTIF($D124:Q124,1),0)</f>
        <v>0</v>
      </c>
      <c r="R125" s="108" t="n">
        <f aca="false">IF(R124=1,COUNTIF($D124:R124,1),0)</f>
        <v>0</v>
      </c>
      <c r="S125" s="108" t="n">
        <f aca="false">IF(S124=1,COUNTIF($D124:S124,1),0)</f>
        <v>0</v>
      </c>
      <c r="T125" s="108" t="n">
        <f aca="false">IF(T124=1,COUNTIF($D124:T124,1),0)</f>
        <v>0</v>
      </c>
      <c r="U125" s="108" t="n">
        <f aca="false">IF(U124=1,COUNTIF($D124:U124,1),0)</f>
        <v>0</v>
      </c>
      <c r="V125" s="108" t="n">
        <f aca="false">IF(V124=1,COUNTIF($D124:V124,1),0)</f>
        <v>0</v>
      </c>
      <c r="W125" s="108" t="n">
        <f aca="false">IF(W124=1,COUNTIF($D124:W124,1),0)</f>
        <v>0</v>
      </c>
      <c r="X125" s="108" t="n">
        <f aca="false">IF(X124=1,COUNTIF($D124:X124,1),0)</f>
        <v>0</v>
      </c>
      <c r="Y125" s="108" t="n">
        <f aca="false">IF(Y124=1,COUNTIF($D124:Y124,1),0)</f>
        <v>0</v>
      </c>
      <c r="Z125" s="108" t="n">
        <f aca="false">IF(Z124=1,COUNTIF($D124:Z124,1),0)</f>
        <v>0</v>
      </c>
      <c r="AA125" s="108" t="n">
        <f aca="false">IF(AA124=1,COUNTIF($D124:AA124,1),0)</f>
        <v>0</v>
      </c>
      <c r="AB125" s="108" t="n">
        <f aca="false">IF(AB124=1,COUNTIF($D124:AB124,1),0)</f>
        <v>0</v>
      </c>
      <c r="AC125" s="108" t="n">
        <f aca="false">IF(AC124=1,COUNTIF($D124:AC124,1),0)</f>
        <v>0</v>
      </c>
      <c r="AD125" s="108" t="n">
        <f aca="false">IF(AD124=1,COUNTIF($D124:AD124,1),0)</f>
        <v>0</v>
      </c>
      <c r="AE125" s="108" t="n">
        <f aca="false">IF(AE124=1,COUNTIF($D124:AE124,1),0)</f>
        <v>0</v>
      </c>
      <c r="AF125" s="108" t="n">
        <f aca="false">IF(AF124=1,COUNTIF($D124:AF124,1),0)</f>
        <v>0</v>
      </c>
      <c r="AG125" s="108" t="n">
        <f aca="false">IF(AG124=1,COUNTIF($D124:AG124,1),0)</f>
        <v>0</v>
      </c>
      <c r="AH125" s="108" t="n">
        <f aca="false">IF(AH124=1,COUNTIF($D124:AH124,1),0)</f>
        <v>0</v>
      </c>
      <c r="AI125" s="108" t="n">
        <f aca="false">IF(AI124=1,COUNTIF($D124:AI124,1),0)</f>
        <v>0</v>
      </c>
      <c r="AJ125" s="108" t="n">
        <f aca="false">IF(AJ124=1,COUNTIF($D124:AJ124,1),0)</f>
        <v>0</v>
      </c>
      <c r="AK125" s="108" t="n">
        <f aca="false">IF(AK124=1,COUNTIF($D124:AK124,1),0)</f>
        <v>0</v>
      </c>
      <c r="AL125" s="108" t="n">
        <f aca="false">IF(AL124=1,COUNTIF($D124:AL124,1),0)</f>
        <v>0</v>
      </c>
      <c r="AM125" s="108" t="n">
        <f aca="false">IF(AM124=1,COUNTIF($D124:AM124,1),0)</f>
        <v>0</v>
      </c>
      <c r="AN125" s="108" t="n">
        <f aca="false">IF(AN124=1,COUNTIF($D124:AN124,1),0)</f>
        <v>0</v>
      </c>
      <c r="AO125" s="108" t="n">
        <f aca="false">IF(AO124=1,COUNTIF($D124:AO124,1),0)</f>
        <v>0</v>
      </c>
      <c r="AP125" s="108" t="n">
        <f aca="false">IF(AP124=1,COUNTIF($D124:AP124,1),0)</f>
        <v>0</v>
      </c>
      <c r="AQ125" s="108" t="n">
        <f aca="false">IF(AQ124=1,COUNTIF($D124:AQ124,1),0)</f>
        <v>0</v>
      </c>
    </row>
    <row r="126" customFormat="false" ht="15" hidden="false" customHeight="false" outlineLevel="0" collapsed="false">
      <c r="B126" s="17" t="s">
        <v>651</v>
      </c>
      <c r="C126" s="105" t="str">
        <f aca="false">IF(INPUTS!$M$132="","",IF(INPUTS!$M$132&lt;&gt;"OK","ERROR",IF(C124=IF(INPUTS!$F$132&lt;&gt;"Yes",0,IF(OR(INPUTS!$J$132="Upfront",INPUTS!$J$132="Even",INPUTS!$J$132="Front-loaded",INPUTS!$J$132="Back-loaded",INPUTS!$J$132="S-curve"),IF(ISNUMBER(INPUTS!$K$132),IF(INPUTS!$J$132="Upfront",INPUTS!$K$132,INPUTS!$L$132)-INPUTS!$K$132+1,0),IF(INPUTS!$J$132="Follow Project Life",INPUTS!$C$29,IF(INPUTS!$J$132="At Project End",1,0)))),"OK","ERROR")))</f>
        <v>OK</v>
      </c>
    </row>
    <row r="127" customFormat="false" ht="15" hidden="false" customHeight="false" outlineLevel="0" collapsed="false">
      <c r="B127" s="110" t="str">
        <f aca="false">IF(INPUTS!$B$133="","Spare cost row",INPUTS!$B$133)</f>
        <v>Studio Construction cost with furnishing</v>
      </c>
      <c r="C127" s="111" t="str">
        <f aca="false">IF(INPUTS!$J$133="","",INPUTS!$J$133)</f>
        <v>Follow Construction</v>
      </c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</row>
    <row r="128" customFormat="false" ht="15" hidden="false" customHeight="false" outlineLevel="0" collapsed="false">
      <c r="B128" s="3" t="s">
        <v>649</v>
      </c>
      <c r="C128" s="107" t="n">
        <f aca="false">SUM(D128:AQ128)</f>
        <v>0</v>
      </c>
      <c r="D128" s="108" t="n">
        <f aca="false">IF(OR(INPUTS!$F$133&lt;&gt;"Yes",D$16=0),0,IF(OR(INPUTS!$J$133="Upfront",INPUTS!$J$133="Even",INPUTS!$J$133="Front-loaded",INPUTS!$J$133="Back-loaded",INPUTS!$J$133="S-curve"),IF(AND(ISNUMBER(INPUTS!$K$133),D$7&gt;=INPUTS!$K$133,D$7&lt;=IF(INPUTS!$J$133="Upfront",INPUTS!$K$133,INPUTS!$L$133)),1,0),IF(INPUTS!$J$133="Follow Project Life",D$17,IF(INPUTS!$J$133="At Project End",--(D$7=INPUTS!$C$29),0))))</f>
        <v>0</v>
      </c>
      <c r="E128" s="108" t="n">
        <f aca="false">IF(OR(INPUTS!$F$133&lt;&gt;"Yes",E$16=0),0,IF(OR(INPUTS!$J$133="Upfront",INPUTS!$J$133="Even",INPUTS!$J$133="Front-loaded",INPUTS!$J$133="Back-loaded",INPUTS!$J$133="S-curve"),IF(AND(ISNUMBER(INPUTS!$K$133),E$7&gt;=INPUTS!$K$133,E$7&lt;=IF(INPUTS!$J$133="Upfront",INPUTS!$K$133,INPUTS!$L$133)),1,0),IF(INPUTS!$J$133="Follow Project Life",E$17,IF(INPUTS!$J$133="At Project End",--(E$7=INPUTS!$C$29),0))))</f>
        <v>0</v>
      </c>
      <c r="F128" s="108" t="n">
        <f aca="false">IF(OR(INPUTS!$F$133&lt;&gt;"Yes",F$16=0),0,IF(OR(INPUTS!$J$133="Upfront",INPUTS!$J$133="Even",INPUTS!$J$133="Front-loaded",INPUTS!$J$133="Back-loaded",INPUTS!$J$133="S-curve"),IF(AND(ISNUMBER(INPUTS!$K$133),F$7&gt;=INPUTS!$K$133,F$7&lt;=IF(INPUTS!$J$133="Upfront",INPUTS!$K$133,INPUTS!$L$133)),1,0),IF(INPUTS!$J$133="Follow Project Life",F$17,IF(INPUTS!$J$133="At Project End",--(F$7=INPUTS!$C$29),0))))</f>
        <v>0</v>
      </c>
      <c r="G128" s="108" t="n">
        <f aca="false">IF(OR(INPUTS!$F$133&lt;&gt;"Yes",G$16=0),0,IF(OR(INPUTS!$J$133="Upfront",INPUTS!$J$133="Even",INPUTS!$J$133="Front-loaded",INPUTS!$J$133="Back-loaded",INPUTS!$J$133="S-curve"),IF(AND(ISNUMBER(INPUTS!$K$133),G$7&gt;=INPUTS!$K$133,G$7&lt;=IF(INPUTS!$J$133="Upfront",INPUTS!$K$133,INPUTS!$L$133)),1,0),IF(INPUTS!$J$133="Follow Project Life",G$17,IF(INPUTS!$J$133="At Project End",--(G$7=INPUTS!$C$29),0))))</f>
        <v>0</v>
      </c>
      <c r="H128" s="108" t="n">
        <f aca="false">IF(OR(INPUTS!$F$133&lt;&gt;"Yes",H$16=0),0,IF(OR(INPUTS!$J$133="Upfront",INPUTS!$J$133="Even",INPUTS!$J$133="Front-loaded",INPUTS!$J$133="Back-loaded",INPUTS!$J$133="S-curve"),IF(AND(ISNUMBER(INPUTS!$K$133),H$7&gt;=INPUTS!$K$133,H$7&lt;=IF(INPUTS!$J$133="Upfront",INPUTS!$K$133,INPUTS!$L$133)),1,0),IF(INPUTS!$J$133="Follow Project Life",H$17,IF(INPUTS!$J$133="At Project End",--(H$7=INPUTS!$C$29),0))))</f>
        <v>0</v>
      </c>
      <c r="I128" s="108" t="n">
        <f aca="false">IF(OR(INPUTS!$F$133&lt;&gt;"Yes",I$16=0),0,IF(OR(INPUTS!$J$133="Upfront",INPUTS!$J$133="Even",INPUTS!$J$133="Front-loaded",INPUTS!$J$133="Back-loaded",INPUTS!$J$133="S-curve"),IF(AND(ISNUMBER(INPUTS!$K$133),I$7&gt;=INPUTS!$K$133,I$7&lt;=IF(INPUTS!$J$133="Upfront",INPUTS!$K$133,INPUTS!$L$133)),1,0),IF(INPUTS!$J$133="Follow Project Life",I$17,IF(INPUTS!$J$133="At Project End",--(I$7=INPUTS!$C$29),0))))</f>
        <v>0</v>
      </c>
      <c r="J128" s="108" t="n">
        <f aca="false">IF(OR(INPUTS!$F$133&lt;&gt;"Yes",J$16=0),0,IF(OR(INPUTS!$J$133="Upfront",INPUTS!$J$133="Even",INPUTS!$J$133="Front-loaded",INPUTS!$J$133="Back-loaded",INPUTS!$J$133="S-curve"),IF(AND(ISNUMBER(INPUTS!$K$133),J$7&gt;=INPUTS!$K$133,J$7&lt;=IF(INPUTS!$J$133="Upfront",INPUTS!$K$133,INPUTS!$L$133)),1,0),IF(INPUTS!$J$133="Follow Project Life",J$17,IF(INPUTS!$J$133="At Project End",--(J$7=INPUTS!$C$29),0))))</f>
        <v>0</v>
      </c>
      <c r="K128" s="108" t="n">
        <f aca="false">IF(OR(INPUTS!$F$133&lt;&gt;"Yes",K$16=0),0,IF(OR(INPUTS!$J$133="Upfront",INPUTS!$J$133="Even",INPUTS!$J$133="Front-loaded",INPUTS!$J$133="Back-loaded",INPUTS!$J$133="S-curve"),IF(AND(ISNUMBER(INPUTS!$K$133),K$7&gt;=INPUTS!$K$133,K$7&lt;=IF(INPUTS!$J$133="Upfront",INPUTS!$K$133,INPUTS!$L$133)),1,0),IF(INPUTS!$J$133="Follow Project Life",K$17,IF(INPUTS!$J$133="At Project End",--(K$7=INPUTS!$C$29),0))))</f>
        <v>0</v>
      </c>
      <c r="L128" s="108" t="n">
        <f aca="false">IF(OR(INPUTS!$F$133&lt;&gt;"Yes",L$16=0),0,IF(OR(INPUTS!$J$133="Upfront",INPUTS!$J$133="Even",INPUTS!$J$133="Front-loaded",INPUTS!$J$133="Back-loaded",INPUTS!$J$133="S-curve"),IF(AND(ISNUMBER(INPUTS!$K$133),L$7&gt;=INPUTS!$K$133,L$7&lt;=IF(INPUTS!$J$133="Upfront",INPUTS!$K$133,INPUTS!$L$133)),1,0),IF(INPUTS!$J$133="Follow Project Life",L$17,IF(INPUTS!$J$133="At Project End",--(L$7=INPUTS!$C$29),0))))</f>
        <v>0</v>
      </c>
      <c r="M128" s="108" t="n">
        <f aca="false">IF(OR(INPUTS!$F$133&lt;&gt;"Yes",M$16=0),0,IF(OR(INPUTS!$J$133="Upfront",INPUTS!$J$133="Even",INPUTS!$J$133="Front-loaded",INPUTS!$J$133="Back-loaded",INPUTS!$J$133="S-curve"),IF(AND(ISNUMBER(INPUTS!$K$133),M$7&gt;=INPUTS!$K$133,M$7&lt;=IF(INPUTS!$J$133="Upfront",INPUTS!$K$133,INPUTS!$L$133)),1,0),IF(INPUTS!$J$133="Follow Project Life",M$17,IF(INPUTS!$J$133="At Project End",--(M$7=INPUTS!$C$29),0))))</f>
        <v>0</v>
      </c>
      <c r="N128" s="108" t="n">
        <f aca="false">IF(OR(INPUTS!$F$133&lt;&gt;"Yes",N$16=0),0,IF(OR(INPUTS!$J$133="Upfront",INPUTS!$J$133="Even",INPUTS!$J$133="Front-loaded",INPUTS!$J$133="Back-loaded",INPUTS!$J$133="S-curve"),IF(AND(ISNUMBER(INPUTS!$K$133),N$7&gt;=INPUTS!$K$133,N$7&lt;=IF(INPUTS!$J$133="Upfront",INPUTS!$K$133,INPUTS!$L$133)),1,0),IF(INPUTS!$J$133="Follow Project Life",N$17,IF(INPUTS!$J$133="At Project End",--(N$7=INPUTS!$C$29),0))))</f>
        <v>0</v>
      </c>
      <c r="O128" s="108" t="n">
        <f aca="false">IF(OR(INPUTS!$F$133&lt;&gt;"Yes",O$16=0),0,IF(OR(INPUTS!$J$133="Upfront",INPUTS!$J$133="Even",INPUTS!$J$133="Front-loaded",INPUTS!$J$133="Back-loaded",INPUTS!$J$133="S-curve"),IF(AND(ISNUMBER(INPUTS!$K$133),O$7&gt;=INPUTS!$K$133,O$7&lt;=IF(INPUTS!$J$133="Upfront",INPUTS!$K$133,INPUTS!$L$133)),1,0),IF(INPUTS!$J$133="Follow Project Life",O$17,IF(INPUTS!$J$133="At Project End",--(O$7=INPUTS!$C$29),0))))</f>
        <v>0</v>
      </c>
      <c r="P128" s="108" t="n">
        <f aca="false">IF(OR(INPUTS!$F$133&lt;&gt;"Yes",P$16=0),0,IF(OR(INPUTS!$J$133="Upfront",INPUTS!$J$133="Even",INPUTS!$J$133="Front-loaded",INPUTS!$J$133="Back-loaded",INPUTS!$J$133="S-curve"),IF(AND(ISNUMBER(INPUTS!$K$133),P$7&gt;=INPUTS!$K$133,P$7&lt;=IF(INPUTS!$J$133="Upfront",INPUTS!$K$133,INPUTS!$L$133)),1,0),IF(INPUTS!$J$133="Follow Project Life",P$17,IF(INPUTS!$J$133="At Project End",--(P$7=INPUTS!$C$29),0))))</f>
        <v>0</v>
      </c>
      <c r="Q128" s="108" t="n">
        <f aca="false">IF(OR(INPUTS!$F$133&lt;&gt;"Yes",Q$16=0),0,IF(OR(INPUTS!$J$133="Upfront",INPUTS!$J$133="Even",INPUTS!$J$133="Front-loaded",INPUTS!$J$133="Back-loaded",INPUTS!$J$133="S-curve"),IF(AND(ISNUMBER(INPUTS!$K$133),Q$7&gt;=INPUTS!$K$133,Q$7&lt;=IF(INPUTS!$J$133="Upfront",INPUTS!$K$133,INPUTS!$L$133)),1,0),IF(INPUTS!$J$133="Follow Project Life",Q$17,IF(INPUTS!$J$133="At Project End",--(Q$7=INPUTS!$C$29),0))))</f>
        <v>0</v>
      </c>
      <c r="R128" s="108" t="n">
        <f aca="false">IF(OR(INPUTS!$F$133&lt;&gt;"Yes",R$16=0),0,IF(OR(INPUTS!$J$133="Upfront",INPUTS!$J$133="Even",INPUTS!$J$133="Front-loaded",INPUTS!$J$133="Back-loaded",INPUTS!$J$133="S-curve"),IF(AND(ISNUMBER(INPUTS!$K$133),R$7&gt;=INPUTS!$K$133,R$7&lt;=IF(INPUTS!$J$133="Upfront",INPUTS!$K$133,INPUTS!$L$133)),1,0),IF(INPUTS!$J$133="Follow Project Life",R$17,IF(INPUTS!$J$133="At Project End",--(R$7=INPUTS!$C$29),0))))</f>
        <v>0</v>
      </c>
      <c r="S128" s="108" t="n">
        <f aca="false">IF(OR(INPUTS!$F$133&lt;&gt;"Yes",S$16=0),0,IF(OR(INPUTS!$J$133="Upfront",INPUTS!$J$133="Even",INPUTS!$J$133="Front-loaded",INPUTS!$J$133="Back-loaded",INPUTS!$J$133="S-curve"),IF(AND(ISNUMBER(INPUTS!$K$133),S$7&gt;=INPUTS!$K$133,S$7&lt;=IF(INPUTS!$J$133="Upfront",INPUTS!$K$133,INPUTS!$L$133)),1,0),IF(INPUTS!$J$133="Follow Project Life",S$17,IF(INPUTS!$J$133="At Project End",--(S$7=INPUTS!$C$29),0))))</f>
        <v>0</v>
      </c>
      <c r="T128" s="108" t="n">
        <f aca="false">IF(OR(INPUTS!$F$133&lt;&gt;"Yes",T$16=0),0,IF(OR(INPUTS!$J$133="Upfront",INPUTS!$J$133="Even",INPUTS!$J$133="Front-loaded",INPUTS!$J$133="Back-loaded",INPUTS!$J$133="S-curve"),IF(AND(ISNUMBER(INPUTS!$K$133),T$7&gt;=INPUTS!$K$133,T$7&lt;=IF(INPUTS!$J$133="Upfront",INPUTS!$K$133,INPUTS!$L$133)),1,0),IF(INPUTS!$J$133="Follow Project Life",T$17,IF(INPUTS!$J$133="At Project End",--(T$7=INPUTS!$C$29),0))))</f>
        <v>0</v>
      </c>
      <c r="U128" s="108" t="n">
        <f aca="false">IF(OR(INPUTS!$F$133&lt;&gt;"Yes",U$16=0),0,IF(OR(INPUTS!$J$133="Upfront",INPUTS!$J$133="Even",INPUTS!$J$133="Front-loaded",INPUTS!$J$133="Back-loaded",INPUTS!$J$133="S-curve"),IF(AND(ISNUMBER(INPUTS!$K$133),U$7&gt;=INPUTS!$K$133,U$7&lt;=IF(INPUTS!$J$133="Upfront",INPUTS!$K$133,INPUTS!$L$133)),1,0),IF(INPUTS!$J$133="Follow Project Life",U$17,IF(INPUTS!$J$133="At Project End",--(U$7=INPUTS!$C$29),0))))</f>
        <v>0</v>
      </c>
      <c r="V128" s="108" t="n">
        <f aca="false">IF(OR(INPUTS!$F$133&lt;&gt;"Yes",V$16=0),0,IF(OR(INPUTS!$J$133="Upfront",INPUTS!$J$133="Even",INPUTS!$J$133="Front-loaded",INPUTS!$J$133="Back-loaded",INPUTS!$J$133="S-curve"),IF(AND(ISNUMBER(INPUTS!$K$133),V$7&gt;=INPUTS!$K$133,V$7&lt;=IF(INPUTS!$J$133="Upfront",INPUTS!$K$133,INPUTS!$L$133)),1,0),IF(INPUTS!$J$133="Follow Project Life",V$17,IF(INPUTS!$J$133="At Project End",--(V$7=INPUTS!$C$29),0))))</f>
        <v>0</v>
      </c>
      <c r="W128" s="108" t="n">
        <f aca="false">IF(OR(INPUTS!$F$133&lt;&gt;"Yes",W$16=0),0,IF(OR(INPUTS!$J$133="Upfront",INPUTS!$J$133="Even",INPUTS!$J$133="Front-loaded",INPUTS!$J$133="Back-loaded",INPUTS!$J$133="S-curve"),IF(AND(ISNUMBER(INPUTS!$K$133),W$7&gt;=INPUTS!$K$133,W$7&lt;=IF(INPUTS!$J$133="Upfront",INPUTS!$K$133,INPUTS!$L$133)),1,0),IF(INPUTS!$J$133="Follow Project Life",W$17,IF(INPUTS!$J$133="At Project End",--(W$7=INPUTS!$C$29),0))))</f>
        <v>0</v>
      </c>
      <c r="X128" s="108" t="n">
        <f aca="false">IF(OR(INPUTS!$F$133&lt;&gt;"Yes",X$16=0),0,IF(OR(INPUTS!$J$133="Upfront",INPUTS!$J$133="Even",INPUTS!$J$133="Front-loaded",INPUTS!$J$133="Back-loaded",INPUTS!$J$133="S-curve"),IF(AND(ISNUMBER(INPUTS!$K$133),X$7&gt;=INPUTS!$K$133,X$7&lt;=IF(INPUTS!$J$133="Upfront",INPUTS!$K$133,INPUTS!$L$133)),1,0),IF(INPUTS!$J$133="Follow Project Life",X$17,IF(INPUTS!$J$133="At Project End",--(X$7=INPUTS!$C$29),0))))</f>
        <v>0</v>
      </c>
      <c r="Y128" s="108" t="n">
        <f aca="false">IF(OR(INPUTS!$F$133&lt;&gt;"Yes",Y$16=0),0,IF(OR(INPUTS!$J$133="Upfront",INPUTS!$J$133="Even",INPUTS!$J$133="Front-loaded",INPUTS!$J$133="Back-loaded",INPUTS!$J$133="S-curve"),IF(AND(ISNUMBER(INPUTS!$K$133),Y$7&gt;=INPUTS!$K$133,Y$7&lt;=IF(INPUTS!$J$133="Upfront",INPUTS!$K$133,INPUTS!$L$133)),1,0),IF(INPUTS!$J$133="Follow Project Life",Y$17,IF(INPUTS!$J$133="At Project End",--(Y$7=INPUTS!$C$29),0))))</f>
        <v>0</v>
      </c>
      <c r="Z128" s="108" t="n">
        <f aca="false">IF(OR(INPUTS!$F$133&lt;&gt;"Yes",Z$16=0),0,IF(OR(INPUTS!$J$133="Upfront",INPUTS!$J$133="Even",INPUTS!$J$133="Front-loaded",INPUTS!$J$133="Back-loaded",INPUTS!$J$133="S-curve"),IF(AND(ISNUMBER(INPUTS!$K$133),Z$7&gt;=INPUTS!$K$133,Z$7&lt;=IF(INPUTS!$J$133="Upfront",INPUTS!$K$133,INPUTS!$L$133)),1,0),IF(INPUTS!$J$133="Follow Project Life",Z$17,IF(INPUTS!$J$133="At Project End",--(Z$7=INPUTS!$C$29),0))))</f>
        <v>0</v>
      </c>
      <c r="AA128" s="108" t="n">
        <f aca="false">IF(OR(INPUTS!$F$133&lt;&gt;"Yes",AA$16=0),0,IF(OR(INPUTS!$J$133="Upfront",INPUTS!$J$133="Even",INPUTS!$J$133="Front-loaded",INPUTS!$J$133="Back-loaded",INPUTS!$J$133="S-curve"),IF(AND(ISNUMBER(INPUTS!$K$133),AA$7&gt;=INPUTS!$K$133,AA$7&lt;=IF(INPUTS!$J$133="Upfront",INPUTS!$K$133,INPUTS!$L$133)),1,0),IF(INPUTS!$J$133="Follow Project Life",AA$17,IF(INPUTS!$J$133="At Project End",--(AA$7=INPUTS!$C$29),0))))</f>
        <v>0</v>
      </c>
      <c r="AB128" s="108" t="n">
        <f aca="false">IF(OR(INPUTS!$F$133&lt;&gt;"Yes",AB$16=0),0,IF(OR(INPUTS!$J$133="Upfront",INPUTS!$J$133="Even",INPUTS!$J$133="Front-loaded",INPUTS!$J$133="Back-loaded",INPUTS!$J$133="S-curve"),IF(AND(ISNUMBER(INPUTS!$K$133),AB$7&gt;=INPUTS!$K$133,AB$7&lt;=IF(INPUTS!$J$133="Upfront",INPUTS!$K$133,INPUTS!$L$133)),1,0),IF(INPUTS!$J$133="Follow Project Life",AB$17,IF(INPUTS!$J$133="At Project End",--(AB$7=INPUTS!$C$29),0))))</f>
        <v>0</v>
      </c>
      <c r="AC128" s="108" t="n">
        <f aca="false">IF(OR(INPUTS!$F$133&lt;&gt;"Yes",AC$16=0),0,IF(OR(INPUTS!$J$133="Upfront",INPUTS!$J$133="Even",INPUTS!$J$133="Front-loaded",INPUTS!$J$133="Back-loaded",INPUTS!$J$133="S-curve"),IF(AND(ISNUMBER(INPUTS!$K$133),AC$7&gt;=INPUTS!$K$133,AC$7&lt;=IF(INPUTS!$J$133="Upfront",INPUTS!$K$133,INPUTS!$L$133)),1,0),IF(INPUTS!$J$133="Follow Project Life",AC$17,IF(INPUTS!$J$133="At Project End",--(AC$7=INPUTS!$C$29),0))))</f>
        <v>0</v>
      </c>
      <c r="AD128" s="108" t="n">
        <f aca="false">IF(OR(INPUTS!$F$133&lt;&gt;"Yes",AD$16=0),0,IF(OR(INPUTS!$J$133="Upfront",INPUTS!$J$133="Even",INPUTS!$J$133="Front-loaded",INPUTS!$J$133="Back-loaded",INPUTS!$J$133="S-curve"),IF(AND(ISNUMBER(INPUTS!$K$133),AD$7&gt;=INPUTS!$K$133,AD$7&lt;=IF(INPUTS!$J$133="Upfront",INPUTS!$K$133,INPUTS!$L$133)),1,0),IF(INPUTS!$J$133="Follow Project Life",AD$17,IF(INPUTS!$J$133="At Project End",--(AD$7=INPUTS!$C$29),0))))</f>
        <v>0</v>
      </c>
      <c r="AE128" s="108" t="n">
        <f aca="false">IF(OR(INPUTS!$F$133&lt;&gt;"Yes",AE$16=0),0,IF(OR(INPUTS!$J$133="Upfront",INPUTS!$J$133="Even",INPUTS!$J$133="Front-loaded",INPUTS!$J$133="Back-loaded",INPUTS!$J$133="S-curve"),IF(AND(ISNUMBER(INPUTS!$K$133),AE$7&gt;=INPUTS!$K$133,AE$7&lt;=IF(INPUTS!$J$133="Upfront",INPUTS!$K$133,INPUTS!$L$133)),1,0),IF(INPUTS!$J$133="Follow Project Life",AE$17,IF(INPUTS!$J$133="At Project End",--(AE$7=INPUTS!$C$29),0))))</f>
        <v>0</v>
      </c>
      <c r="AF128" s="108" t="n">
        <f aca="false">IF(OR(INPUTS!$F$133&lt;&gt;"Yes",AF$16=0),0,IF(OR(INPUTS!$J$133="Upfront",INPUTS!$J$133="Even",INPUTS!$J$133="Front-loaded",INPUTS!$J$133="Back-loaded",INPUTS!$J$133="S-curve"),IF(AND(ISNUMBER(INPUTS!$K$133),AF$7&gt;=INPUTS!$K$133,AF$7&lt;=IF(INPUTS!$J$133="Upfront",INPUTS!$K$133,INPUTS!$L$133)),1,0),IF(INPUTS!$J$133="Follow Project Life",AF$17,IF(INPUTS!$J$133="At Project End",--(AF$7=INPUTS!$C$29),0))))</f>
        <v>0</v>
      </c>
      <c r="AG128" s="108" t="n">
        <f aca="false">IF(OR(INPUTS!$F$133&lt;&gt;"Yes",AG$16=0),0,IF(OR(INPUTS!$J$133="Upfront",INPUTS!$J$133="Even",INPUTS!$J$133="Front-loaded",INPUTS!$J$133="Back-loaded",INPUTS!$J$133="S-curve"),IF(AND(ISNUMBER(INPUTS!$K$133),AG$7&gt;=INPUTS!$K$133,AG$7&lt;=IF(INPUTS!$J$133="Upfront",INPUTS!$K$133,INPUTS!$L$133)),1,0),IF(INPUTS!$J$133="Follow Project Life",AG$17,IF(INPUTS!$J$133="At Project End",--(AG$7=INPUTS!$C$29),0))))</f>
        <v>0</v>
      </c>
      <c r="AH128" s="108" t="n">
        <f aca="false">IF(OR(INPUTS!$F$133&lt;&gt;"Yes",AH$16=0),0,IF(OR(INPUTS!$J$133="Upfront",INPUTS!$J$133="Even",INPUTS!$J$133="Front-loaded",INPUTS!$J$133="Back-loaded",INPUTS!$J$133="S-curve"),IF(AND(ISNUMBER(INPUTS!$K$133),AH$7&gt;=INPUTS!$K$133,AH$7&lt;=IF(INPUTS!$J$133="Upfront",INPUTS!$K$133,INPUTS!$L$133)),1,0),IF(INPUTS!$J$133="Follow Project Life",AH$17,IF(INPUTS!$J$133="At Project End",--(AH$7=INPUTS!$C$29),0))))</f>
        <v>0</v>
      </c>
      <c r="AI128" s="108" t="n">
        <f aca="false">IF(OR(INPUTS!$F$133&lt;&gt;"Yes",AI$16=0),0,IF(OR(INPUTS!$J$133="Upfront",INPUTS!$J$133="Even",INPUTS!$J$133="Front-loaded",INPUTS!$J$133="Back-loaded",INPUTS!$J$133="S-curve"),IF(AND(ISNUMBER(INPUTS!$K$133),AI$7&gt;=INPUTS!$K$133,AI$7&lt;=IF(INPUTS!$J$133="Upfront",INPUTS!$K$133,INPUTS!$L$133)),1,0),IF(INPUTS!$J$133="Follow Project Life",AI$17,IF(INPUTS!$J$133="At Project End",--(AI$7=INPUTS!$C$29),0))))</f>
        <v>0</v>
      </c>
      <c r="AJ128" s="108" t="n">
        <f aca="false">IF(OR(INPUTS!$F$133&lt;&gt;"Yes",AJ$16=0),0,IF(OR(INPUTS!$J$133="Upfront",INPUTS!$J$133="Even",INPUTS!$J$133="Front-loaded",INPUTS!$J$133="Back-loaded",INPUTS!$J$133="S-curve"),IF(AND(ISNUMBER(INPUTS!$K$133),AJ$7&gt;=INPUTS!$K$133,AJ$7&lt;=IF(INPUTS!$J$133="Upfront",INPUTS!$K$133,INPUTS!$L$133)),1,0),IF(INPUTS!$J$133="Follow Project Life",AJ$17,IF(INPUTS!$J$133="At Project End",--(AJ$7=INPUTS!$C$29),0))))</f>
        <v>0</v>
      </c>
      <c r="AK128" s="108" t="n">
        <f aca="false">IF(OR(INPUTS!$F$133&lt;&gt;"Yes",AK$16=0),0,IF(OR(INPUTS!$J$133="Upfront",INPUTS!$J$133="Even",INPUTS!$J$133="Front-loaded",INPUTS!$J$133="Back-loaded",INPUTS!$J$133="S-curve"),IF(AND(ISNUMBER(INPUTS!$K$133),AK$7&gt;=INPUTS!$K$133,AK$7&lt;=IF(INPUTS!$J$133="Upfront",INPUTS!$K$133,INPUTS!$L$133)),1,0),IF(INPUTS!$J$133="Follow Project Life",AK$17,IF(INPUTS!$J$133="At Project End",--(AK$7=INPUTS!$C$29),0))))</f>
        <v>0</v>
      </c>
      <c r="AL128" s="108" t="n">
        <f aca="false">IF(OR(INPUTS!$F$133&lt;&gt;"Yes",AL$16=0),0,IF(OR(INPUTS!$J$133="Upfront",INPUTS!$J$133="Even",INPUTS!$J$133="Front-loaded",INPUTS!$J$133="Back-loaded",INPUTS!$J$133="S-curve"),IF(AND(ISNUMBER(INPUTS!$K$133),AL$7&gt;=INPUTS!$K$133,AL$7&lt;=IF(INPUTS!$J$133="Upfront",INPUTS!$K$133,INPUTS!$L$133)),1,0),IF(INPUTS!$J$133="Follow Project Life",AL$17,IF(INPUTS!$J$133="At Project End",--(AL$7=INPUTS!$C$29),0))))</f>
        <v>0</v>
      </c>
      <c r="AM128" s="108" t="n">
        <f aca="false">IF(OR(INPUTS!$F$133&lt;&gt;"Yes",AM$16=0),0,IF(OR(INPUTS!$J$133="Upfront",INPUTS!$J$133="Even",INPUTS!$J$133="Front-loaded",INPUTS!$J$133="Back-loaded",INPUTS!$J$133="S-curve"),IF(AND(ISNUMBER(INPUTS!$K$133),AM$7&gt;=INPUTS!$K$133,AM$7&lt;=IF(INPUTS!$J$133="Upfront",INPUTS!$K$133,INPUTS!$L$133)),1,0),IF(INPUTS!$J$133="Follow Project Life",AM$17,IF(INPUTS!$J$133="At Project End",--(AM$7=INPUTS!$C$29),0))))</f>
        <v>0</v>
      </c>
      <c r="AN128" s="108" t="n">
        <f aca="false">IF(OR(INPUTS!$F$133&lt;&gt;"Yes",AN$16=0),0,IF(OR(INPUTS!$J$133="Upfront",INPUTS!$J$133="Even",INPUTS!$J$133="Front-loaded",INPUTS!$J$133="Back-loaded",INPUTS!$J$133="S-curve"),IF(AND(ISNUMBER(INPUTS!$K$133),AN$7&gt;=INPUTS!$K$133,AN$7&lt;=IF(INPUTS!$J$133="Upfront",INPUTS!$K$133,INPUTS!$L$133)),1,0),IF(INPUTS!$J$133="Follow Project Life",AN$17,IF(INPUTS!$J$133="At Project End",--(AN$7=INPUTS!$C$29),0))))</f>
        <v>0</v>
      </c>
      <c r="AO128" s="108" t="n">
        <f aca="false">IF(OR(INPUTS!$F$133&lt;&gt;"Yes",AO$16=0),0,IF(OR(INPUTS!$J$133="Upfront",INPUTS!$J$133="Even",INPUTS!$J$133="Front-loaded",INPUTS!$J$133="Back-loaded",INPUTS!$J$133="S-curve"),IF(AND(ISNUMBER(INPUTS!$K$133),AO$7&gt;=INPUTS!$K$133,AO$7&lt;=IF(INPUTS!$J$133="Upfront",INPUTS!$K$133,INPUTS!$L$133)),1,0),IF(INPUTS!$J$133="Follow Project Life",AO$17,IF(INPUTS!$J$133="At Project End",--(AO$7=INPUTS!$C$29),0))))</f>
        <v>0</v>
      </c>
      <c r="AP128" s="108" t="n">
        <f aca="false">IF(OR(INPUTS!$F$133&lt;&gt;"Yes",AP$16=0),0,IF(OR(INPUTS!$J$133="Upfront",INPUTS!$J$133="Even",INPUTS!$J$133="Front-loaded",INPUTS!$J$133="Back-loaded",INPUTS!$J$133="S-curve"),IF(AND(ISNUMBER(INPUTS!$K$133),AP$7&gt;=INPUTS!$K$133,AP$7&lt;=IF(INPUTS!$J$133="Upfront",INPUTS!$K$133,INPUTS!$L$133)),1,0),IF(INPUTS!$J$133="Follow Project Life",AP$17,IF(INPUTS!$J$133="At Project End",--(AP$7=INPUTS!$C$29),0))))</f>
        <v>0</v>
      </c>
      <c r="AQ128" s="108" t="n">
        <f aca="false">IF(OR(INPUTS!$F$133&lt;&gt;"Yes",AQ$16=0),0,IF(OR(INPUTS!$J$133="Upfront",INPUTS!$J$133="Even",INPUTS!$J$133="Front-loaded",INPUTS!$J$133="Back-loaded",INPUTS!$J$133="S-curve"),IF(AND(ISNUMBER(INPUTS!$K$133),AQ$7&gt;=INPUTS!$K$133,AQ$7&lt;=IF(INPUTS!$J$133="Upfront",INPUTS!$K$133,INPUTS!$L$133)),1,0),IF(INPUTS!$J$133="Follow Project Life",AQ$17,IF(INPUTS!$J$133="At Project End",--(AQ$7=INPUTS!$C$29),0))))</f>
        <v>0</v>
      </c>
    </row>
    <row r="129" customFormat="false" ht="15" hidden="false" customHeight="false" outlineLevel="0" collapsed="false">
      <c r="B129" s="3" t="s">
        <v>650</v>
      </c>
      <c r="C129" s="107" t="n">
        <f aca="false">MAX(D129:AQ129)</f>
        <v>0</v>
      </c>
      <c r="D129" s="108" t="n">
        <f aca="false">IF(D128=1,COUNTIF($D128:D128,1),0)</f>
        <v>0</v>
      </c>
      <c r="E129" s="108" t="n">
        <f aca="false">IF(E128=1,COUNTIF($D128:E128,1),0)</f>
        <v>0</v>
      </c>
      <c r="F129" s="108" t="n">
        <f aca="false">IF(F128=1,COUNTIF($D128:F128,1),0)</f>
        <v>0</v>
      </c>
      <c r="G129" s="108" t="n">
        <f aca="false">IF(G128=1,COUNTIF($D128:G128,1),0)</f>
        <v>0</v>
      </c>
      <c r="H129" s="108" t="n">
        <f aca="false">IF(H128=1,COUNTIF($D128:H128,1),0)</f>
        <v>0</v>
      </c>
      <c r="I129" s="108" t="n">
        <f aca="false">IF(I128=1,COUNTIF($D128:I128,1),0)</f>
        <v>0</v>
      </c>
      <c r="J129" s="108" t="n">
        <f aca="false">IF(J128=1,COUNTIF($D128:J128,1),0)</f>
        <v>0</v>
      </c>
      <c r="K129" s="108" t="n">
        <f aca="false">IF(K128=1,COUNTIF($D128:K128,1),0)</f>
        <v>0</v>
      </c>
      <c r="L129" s="108" t="n">
        <f aca="false">IF(L128=1,COUNTIF($D128:L128,1),0)</f>
        <v>0</v>
      </c>
      <c r="M129" s="108" t="n">
        <f aca="false">IF(M128=1,COUNTIF($D128:M128,1),0)</f>
        <v>0</v>
      </c>
      <c r="N129" s="108" t="n">
        <f aca="false">IF(N128=1,COUNTIF($D128:N128,1),0)</f>
        <v>0</v>
      </c>
      <c r="O129" s="108" t="n">
        <f aca="false">IF(O128=1,COUNTIF($D128:O128,1),0)</f>
        <v>0</v>
      </c>
      <c r="P129" s="108" t="n">
        <f aca="false">IF(P128=1,COUNTIF($D128:P128,1),0)</f>
        <v>0</v>
      </c>
      <c r="Q129" s="108" t="n">
        <f aca="false">IF(Q128=1,COUNTIF($D128:Q128,1),0)</f>
        <v>0</v>
      </c>
      <c r="R129" s="108" t="n">
        <f aca="false">IF(R128=1,COUNTIF($D128:R128,1),0)</f>
        <v>0</v>
      </c>
      <c r="S129" s="108" t="n">
        <f aca="false">IF(S128=1,COUNTIF($D128:S128,1),0)</f>
        <v>0</v>
      </c>
      <c r="T129" s="108" t="n">
        <f aca="false">IF(T128=1,COUNTIF($D128:T128,1),0)</f>
        <v>0</v>
      </c>
      <c r="U129" s="108" t="n">
        <f aca="false">IF(U128=1,COUNTIF($D128:U128,1),0)</f>
        <v>0</v>
      </c>
      <c r="V129" s="108" t="n">
        <f aca="false">IF(V128=1,COUNTIF($D128:V128,1),0)</f>
        <v>0</v>
      </c>
      <c r="W129" s="108" t="n">
        <f aca="false">IF(W128=1,COUNTIF($D128:W128,1),0)</f>
        <v>0</v>
      </c>
      <c r="X129" s="108" t="n">
        <f aca="false">IF(X128=1,COUNTIF($D128:X128,1),0)</f>
        <v>0</v>
      </c>
      <c r="Y129" s="108" t="n">
        <f aca="false">IF(Y128=1,COUNTIF($D128:Y128,1),0)</f>
        <v>0</v>
      </c>
      <c r="Z129" s="108" t="n">
        <f aca="false">IF(Z128=1,COUNTIF($D128:Z128,1),0)</f>
        <v>0</v>
      </c>
      <c r="AA129" s="108" t="n">
        <f aca="false">IF(AA128=1,COUNTIF($D128:AA128,1),0)</f>
        <v>0</v>
      </c>
      <c r="AB129" s="108" t="n">
        <f aca="false">IF(AB128=1,COUNTIF($D128:AB128,1),0)</f>
        <v>0</v>
      </c>
      <c r="AC129" s="108" t="n">
        <f aca="false">IF(AC128=1,COUNTIF($D128:AC128,1),0)</f>
        <v>0</v>
      </c>
      <c r="AD129" s="108" t="n">
        <f aca="false">IF(AD128=1,COUNTIF($D128:AD128,1),0)</f>
        <v>0</v>
      </c>
      <c r="AE129" s="108" t="n">
        <f aca="false">IF(AE128=1,COUNTIF($D128:AE128,1),0)</f>
        <v>0</v>
      </c>
      <c r="AF129" s="108" t="n">
        <f aca="false">IF(AF128=1,COUNTIF($D128:AF128,1),0)</f>
        <v>0</v>
      </c>
      <c r="AG129" s="108" t="n">
        <f aca="false">IF(AG128=1,COUNTIF($D128:AG128,1),0)</f>
        <v>0</v>
      </c>
      <c r="AH129" s="108" t="n">
        <f aca="false">IF(AH128=1,COUNTIF($D128:AH128,1),0)</f>
        <v>0</v>
      </c>
      <c r="AI129" s="108" t="n">
        <f aca="false">IF(AI128=1,COUNTIF($D128:AI128,1),0)</f>
        <v>0</v>
      </c>
      <c r="AJ129" s="108" t="n">
        <f aca="false">IF(AJ128=1,COUNTIF($D128:AJ128,1),0)</f>
        <v>0</v>
      </c>
      <c r="AK129" s="108" t="n">
        <f aca="false">IF(AK128=1,COUNTIF($D128:AK128,1),0)</f>
        <v>0</v>
      </c>
      <c r="AL129" s="108" t="n">
        <f aca="false">IF(AL128=1,COUNTIF($D128:AL128,1),0)</f>
        <v>0</v>
      </c>
      <c r="AM129" s="108" t="n">
        <f aca="false">IF(AM128=1,COUNTIF($D128:AM128,1),0)</f>
        <v>0</v>
      </c>
      <c r="AN129" s="108" t="n">
        <f aca="false">IF(AN128=1,COUNTIF($D128:AN128,1),0)</f>
        <v>0</v>
      </c>
      <c r="AO129" s="108" t="n">
        <f aca="false">IF(AO128=1,COUNTIF($D128:AO128,1),0)</f>
        <v>0</v>
      </c>
      <c r="AP129" s="108" t="n">
        <f aca="false">IF(AP128=1,COUNTIF($D128:AP128,1),0)</f>
        <v>0</v>
      </c>
      <c r="AQ129" s="108" t="n">
        <f aca="false">IF(AQ128=1,COUNTIF($D128:AQ128,1),0)</f>
        <v>0</v>
      </c>
    </row>
    <row r="130" customFormat="false" ht="15" hidden="false" customHeight="false" outlineLevel="0" collapsed="false">
      <c r="B130" s="17" t="s">
        <v>651</v>
      </c>
      <c r="C130" s="105" t="str">
        <f aca="false">IF(INPUTS!$M$133="","",IF(INPUTS!$M$133&lt;&gt;"OK","ERROR",IF(C128=IF(INPUTS!$F$133&lt;&gt;"Yes",0,IF(OR(INPUTS!$J$133="Upfront",INPUTS!$J$133="Even",INPUTS!$J$133="Front-loaded",INPUTS!$J$133="Back-loaded",INPUTS!$J$133="S-curve"),IF(ISNUMBER(INPUTS!$K$133),IF(INPUTS!$J$133="Upfront",INPUTS!$K$133,INPUTS!$L$133)-INPUTS!$K$133+1,0),IF(INPUTS!$J$133="Follow Project Life",INPUTS!$C$29,IF(INPUTS!$J$133="At Project End",1,0)))),"OK","ERROR")))</f>
        <v>OK</v>
      </c>
    </row>
    <row r="131" customFormat="false" ht="15" hidden="false" customHeight="false" outlineLevel="0" collapsed="false">
      <c r="B131" s="110" t="str">
        <f aca="false">IF(INPUTS!$B$134="","Spare cost row",INPUTS!$B$134)</f>
        <v>Plotted Construction Development Cost</v>
      </c>
      <c r="C131" s="111" t="str">
        <f aca="false">IF(INPUTS!$J$134="","",INPUTS!$J$134)</f>
        <v>Follow Construction</v>
      </c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</row>
    <row r="132" customFormat="false" ht="15" hidden="false" customHeight="false" outlineLevel="0" collapsed="false">
      <c r="B132" s="3" t="s">
        <v>649</v>
      </c>
      <c r="C132" s="107" t="n">
        <f aca="false">SUM(D132:AQ132)</f>
        <v>0</v>
      </c>
      <c r="D132" s="108" t="n">
        <f aca="false">IF(OR(INPUTS!$F$134&lt;&gt;"Yes",D$16=0),0,IF(OR(INPUTS!$J$134="Upfront",INPUTS!$J$134="Even",INPUTS!$J$134="Front-loaded",INPUTS!$J$134="Back-loaded",INPUTS!$J$134="S-curve"),IF(AND(ISNUMBER(INPUTS!$K$134),D$7&gt;=INPUTS!$K$134,D$7&lt;=IF(INPUTS!$J$134="Upfront",INPUTS!$K$134,INPUTS!$L$134)),1,0),IF(INPUTS!$J$134="Follow Project Life",D$17,IF(INPUTS!$J$134="At Project End",--(D$7=INPUTS!$C$29),0))))</f>
        <v>0</v>
      </c>
      <c r="E132" s="108" t="n">
        <f aca="false">IF(OR(INPUTS!$F$134&lt;&gt;"Yes",E$16=0),0,IF(OR(INPUTS!$J$134="Upfront",INPUTS!$J$134="Even",INPUTS!$J$134="Front-loaded",INPUTS!$J$134="Back-loaded",INPUTS!$J$134="S-curve"),IF(AND(ISNUMBER(INPUTS!$K$134),E$7&gt;=INPUTS!$K$134,E$7&lt;=IF(INPUTS!$J$134="Upfront",INPUTS!$K$134,INPUTS!$L$134)),1,0),IF(INPUTS!$J$134="Follow Project Life",E$17,IF(INPUTS!$J$134="At Project End",--(E$7=INPUTS!$C$29),0))))</f>
        <v>0</v>
      </c>
      <c r="F132" s="108" t="n">
        <f aca="false">IF(OR(INPUTS!$F$134&lt;&gt;"Yes",F$16=0),0,IF(OR(INPUTS!$J$134="Upfront",INPUTS!$J$134="Even",INPUTS!$J$134="Front-loaded",INPUTS!$J$134="Back-loaded",INPUTS!$J$134="S-curve"),IF(AND(ISNUMBER(INPUTS!$K$134),F$7&gt;=INPUTS!$K$134,F$7&lt;=IF(INPUTS!$J$134="Upfront",INPUTS!$K$134,INPUTS!$L$134)),1,0),IF(INPUTS!$J$134="Follow Project Life",F$17,IF(INPUTS!$J$134="At Project End",--(F$7=INPUTS!$C$29),0))))</f>
        <v>0</v>
      </c>
      <c r="G132" s="108" t="n">
        <f aca="false">IF(OR(INPUTS!$F$134&lt;&gt;"Yes",G$16=0),0,IF(OR(INPUTS!$J$134="Upfront",INPUTS!$J$134="Even",INPUTS!$J$134="Front-loaded",INPUTS!$J$134="Back-loaded",INPUTS!$J$134="S-curve"),IF(AND(ISNUMBER(INPUTS!$K$134),G$7&gt;=INPUTS!$K$134,G$7&lt;=IF(INPUTS!$J$134="Upfront",INPUTS!$K$134,INPUTS!$L$134)),1,0),IF(INPUTS!$J$134="Follow Project Life",G$17,IF(INPUTS!$J$134="At Project End",--(G$7=INPUTS!$C$29),0))))</f>
        <v>0</v>
      </c>
      <c r="H132" s="108" t="n">
        <f aca="false">IF(OR(INPUTS!$F$134&lt;&gt;"Yes",H$16=0),0,IF(OR(INPUTS!$J$134="Upfront",INPUTS!$J$134="Even",INPUTS!$J$134="Front-loaded",INPUTS!$J$134="Back-loaded",INPUTS!$J$134="S-curve"),IF(AND(ISNUMBER(INPUTS!$K$134),H$7&gt;=INPUTS!$K$134,H$7&lt;=IF(INPUTS!$J$134="Upfront",INPUTS!$K$134,INPUTS!$L$134)),1,0),IF(INPUTS!$J$134="Follow Project Life",H$17,IF(INPUTS!$J$134="At Project End",--(H$7=INPUTS!$C$29),0))))</f>
        <v>0</v>
      </c>
      <c r="I132" s="108" t="n">
        <f aca="false">IF(OR(INPUTS!$F$134&lt;&gt;"Yes",I$16=0),0,IF(OR(INPUTS!$J$134="Upfront",INPUTS!$J$134="Even",INPUTS!$J$134="Front-loaded",INPUTS!$J$134="Back-loaded",INPUTS!$J$134="S-curve"),IF(AND(ISNUMBER(INPUTS!$K$134),I$7&gt;=INPUTS!$K$134,I$7&lt;=IF(INPUTS!$J$134="Upfront",INPUTS!$K$134,INPUTS!$L$134)),1,0),IF(INPUTS!$J$134="Follow Project Life",I$17,IF(INPUTS!$J$134="At Project End",--(I$7=INPUTS!$C$29),0))))</f>
        <v>0</v>
      </c>
      <c r="J132" s="108" t="n">
        <f aca="false">IF(OR(INPUTS!$F$134&lt;&gt;"Yes",J$16=0),0,IF(OR(INPUTS!$J$134="Upfront",INPUTS!$J$134="Even",INPUTS!$J$134="Front-loaded",INPUTS!$J$134="Back-loaded",INPUTS!$J$134="S-curve"),IF(AND(ISNUMBER(INPUTS!$K$134),J$7&gt;=INPUTS!$K$134,J$7&lt;=IF(INPUTS!$J$134="Upfront",INPUTS!$K$134,INPUTS!$L$134)),1,0),IF(INPUTS!$J$134="Follow Project Life",J$17,IF(INPUTS!$J$134="At Project End",--(J$7=INPUTS!$C$29),0))))</f>
        <v>0</v>
      </c>
      <c r="K132" s="108" t="n">
        <f aca="false">IF(OR(INPUTS!$F$134&lt;&gt;"Yes",K$16=0),0,IF(OR(INPUTS!$J$134="Upfront",INPUTS!$J$134="Even",INPUTS!$J$134="Front-loaded",INPUTS!$J$134="Back-loaded",INPUTS!$J$134="S-curve"),IF(AND(ISNUMBER(INPUTS!$K$134),K$7&gt;=INPUTS!$K$134,K$7&lt;=IF(INPUTS!$J$134="Upfront",INPUTS!$K$134,INPUTS!$L$134)),1,0),IF(INPUTS!$J$134="Follow Project Life",K$17,IF(INPUTS!$J$134="At Project End",--(K$7=INPUTS!$C$29),0))))</f>
        <v>0</v>
      </c>
      <c r="L132" s="108" t="n">
        <f aca="false">IF(OR(INPUTS!$F$134&lt;&gt;"Yes",L$16=0),0,IF(OR(INPUTS!$J$134="Upfront",INPUTS!$J$134="Even",INPUTS!$J$134="Front-loaded",INPUTS!$J$134="Back-loaded",INPUTS!$J$134="S-curve"),IF(AND(ISNUMBER(INPUTS!$K$134),L$7&gt;=INPUTS!$K$134,L$7&lt;=IF(INPUTS!$J$134="Upfront",INPUTS!$K$134,INPUTS!$L$134)),1,0),IF(INPUTS!$J$134="Follow Project Life",L$17,IF(INPUTS!$J$134="At Project End",--(L$7=INPUTS!$C$29),0))))</f>
        <v>0</v>
      </c>
      <c r="M132" s="108" t="n">
        <f aca="false">IF(OR(INPUTS!$F$134&lt;&gt;"Yes",M$16=0),0,IF(OR(INPUTS!$J$134="Upfront",INPUTS!$J$134="Even",INPUTS!$J$134="Front-loaded",INPUTS!$J$134="Back-loaded",INPUTS!$J$134="S-curve"),IF(AND(ISNUMBER(INPUTS!$K$134),M$7&gt;=INPUTS!$K$134,M$7&lt;=IF(INPUTS!$J$134="Upfront",INPUTS!$K$134,INPUTS!$L$134)),1,0),IF(INPUTS!$J$134="Follow Project Life",M$17,IF(INPUTS!$J$134="At Project End",--(M$7=INPUTS!$C$29),0))))</f>
        <v>0</v>
      </c>
      <c r="N132" s="108" t="n">
        <f aca="false">IF(OR(INPUTS!$F$134&lt;&gt;"Yes",N$16=0),0,IF(OR(INPUTS!$J$134="Upfront",INPUTS!$J$134="Even",INPUTS!$J$134="Front-loaded",INPUTS!$J$134="Back-loaded",INPUTS!$J$134="S-curve"),IF(AND(ISNUMBER(INPUTS!$K$134),N$7&gt;=INPUTS!$K$134,N$7&lt;=IF(INPUTS!$J$134="Upfront",INPUTS!$K$134,INPUTS!$L$134)),1,0),IF(INPUTS!$J$134="Follow Project Life",N$17,IF(INPUTS!$J$134="At Project End",--(N$7=INPUTS!$C$29),0))))</f>
        <v>0</v>
      </c>
      <c r="O132" s="108" t="n">
        <f aca="false">IF(OR(INPUTS!$F$134&lt;&gt;"Yes",O$16=0),0,IF(OR(INPUTS!$J$134="Upfront",INPUTS!$J$134="Even",INPUTS!$J$134="Front-loaded",INPUTS!$J$134="Back-loaded",INPUTS!$J$134="S-curve"),IF(AND(ISNUMBER(INPUTS!$K$134),O$7&gt;=INPUTS!$K$134,O$7&lt;=IF(INPUTS!$J$134="Upfront",INPUTS!$K$134,INPUTS!$L$134)),1,0),IF(INPUTS!$J$134="Follow Project Life",O$17,IF(INPUTS!$J$134="At Project End",--(O$7=INPUTS!$C$29),0))))</f>
        <v>0</v>
      </c>
      <c r="P132" s="108" t="n">
        <f aca="false">IF(OR(INPUTS!$F$134&lt;&gt;"Yes",P$16=0),0,IF(OR(INPUTS!$J$134="Upfront",INPUTS!$J$134="Even",INPUTS!$J$134="Front-loaded",INPUTS!$J$134="Back-loaded",INPUTS!$J$134="S-curve"),IF(AND(ISNUMBER(INPUTS!$K$134),P$7&gt;=INPUTS!$K$134,P$7&lt;=IF(INPUTS!$J$134="Upfront",INPUTS!$K$134,INPUTS!$L$134)),1,0),IF(INPUTS!$J$134="Follow Project Life",P$17,IF(INPUTS!$J$134="At Project End",--(P$7=INPUTS!$C$29),0))))</f>
        <v>0</v>
      </c>
      <c r="Q132" s="108" t="n">
        <f aca="false">IF(OR(INPUTS!$F$134&lt;&gt;"Yes",Q$16=0),0,IF(OR(INPUTS!$J$134="Upfront",INPUTS!$J$134="Even",INPUTS!$J$134="Front-loaded",INPUTS!$J$134="Back-loaded",INPUTS!$J$134="S-curve"),IF(AND(ISNUMBER(INPUTS!$K$134),Q$7&gt;=INPUTS!$K$134,Q$7&lt;=IF(INPUTS!$J$134="Upfront",INPUTS!$K$134,INPUTS!$L$134)),1,0),IF(INPUTS!$J$134="Follow Project Life",Q$17,IF(INPUTS!$J$134="At Project End",--(Q$7=INPUTS!$C$29),0))))</f>
        <v>0</v>
      </c>
      <c r="R132" s="108" t="n">
        <f aca="false">IF(OR(INPUTS!$F$134&lt;&gt;"Yes",R$16=0),0,IF(OR(INPUTS!$J$134="Upfront",INPUTS!$J$134="Even",INPUTS!$J$134="Front-loaded",INPUTS!$J$134="Back-loaded",INPUTS!$J$134="S-curve"),IF(AND(ISNUMBER(INPUTS!$K$134),R$7&gt;=INPUTS!$K$134,R$7&lt;=IF(INPUTS!$J$134="Upfront",INPUTS!$K$134,INPUTS!$L$134)),1,0),IF(INPUTS!$J$134="Follow Project Life",R$17,IF(INPUTS!$J$134="At Project End",--(R$7=INPUTS!$C$29),0))))</f>
        <v>0</v>
      </c>
      <c r="S132" s="108" t="n">
        <f aca="false">IF(OR(INPUTS!$F$134&lt;&gt;"Yes",S$16=0),0,IF(OR(INPUTS!$J$134="Upfront",INPUTS!$J$134="Even",INPUTS!$J$134="Front-loaded",INPUTS!$J$134="Back-loaded",INPUTS!$J$134="S-curve"),IF(AND(ISNUMBER(INPUTS!$K$134),S$7&gt;=INPUTS!$K$134,S$7&lt;=IF(INPUTS!$J$134="Upfront",INPUTS!$K$134,INPUTS!$L$134)),1,0),IF(INPUTS!$J$134="Follow Project Life",S$17,IF(INPUTS!$J$134="At Project End",--(S$7=INPUTS!$C$29),0))))</f>
        <v>0</v>
      </c>
      <c r="T132" s="108" t="n">
        <f aca="false">IF(OR(INPUTS!$F$134&lt;&gt;"Yes",T$16=0),0,IF(OR(INPUTS!$J$134="Upfront",INPUTS!$J$134="Even",INPUTS!$J$134="Front-loaded",INPUTS!$J$134="Back-loaded",INPUTS!$J$134="S-curve"),IF(AND(ISNUMBER(INPUTS!$K$134),T$7&gt;=INPUTS!$K$134,T$7&lt;=IF(INPUTS!$J$134="Upfront",INPUTS!$K$134,INPUTS!$L$134)),1,0),IF(INPUTS!$J$134="Follow Project Life",T$17,IF(INPUTS!$J$134="At Project End",--(T$7=INPUTS!$C$29),0))))</f>
        <v>0</v>
      </c>
      <c r="U132" s="108" t="n">
        <f aca="false">IF(OR(INPUTS!$F$134&lt;&gt;"Yes",U$16=0),0,IF(OR(INPUTS!$J$134="Upfront",INPUTS!$J$134="Even",INPUTS!$J$134="Front-loaded",INPUTS!$J$134="Back-loaded",INPUTS!$J$134="S-curve"),IF(AND(ISNUMBER(INPUTS!$K$134),U$7&gt;=INPUTS!$K$134,U$7&lt;=IF(INPUTS!$J$134="Upfront",INPUTS!$K$134,INPUTS!$L$134)),1,0),IF(INPUTS!$J$134="Follow Project Life",U$17,IF(INPUTS!$J$134="At Project End",--(U$7=INPUTS!$C$29),0))))</f>
        <v>0</v>
      </c>
      <c r="V132" s="108" t="n">
        <f aca="false">IF(OR(INPUTS!$F$134&lt;&gt;"Yes",V$16=0),0,IF(OR(INPUTS!$J$134="Upfront",INPUTS!$J$134="Even",INPUTS!$J$134="Front-loaded",INPUTS!$J$134="Back-loaded",INPUTS!$J$134="S-curve"),IF(AND(ISNUMBER(INPUTS!$K$134),V$7&gt;=INPUTS!$K$134,V$7&lt;=IF(INPUTS!$J$134="Upfront",INPUTS!$K$134,INPUTS!$L$134)),1,0),IF(INPUTS!$J$134="Follow Project Life",V$17,IF(INPUTS!$J$134="At Project End",--(V$7=INPUTS!$C$29),0))))</f>
        <v>0</v>
      </c>
      <c r="W132" s="108" t="n">
        <f aca="false">IF(OR(INPUTS!$F$134&lt;&gt;"Yes",W$16=0),0,IF(OR(INPUTS!$J$134="Upfront",INPUTS!$J$134="Even",INPUTS!$J$134="Front-loaded",INPUTS!$J$134="Back-loaded",INPUTS!$J$134="S-curve"),IF(AND(ISNUMBER(INPUTS!$K$134),W$7&gt;=INPUTS!$K$134,W$7&lt;=IF(INPUTS!$J$134="Upfront",INPUTS!$K$134,INPUTS!$L$134)),1,0),IF(INPUTS!$J$134="Follow Project Life",W$17,IF(INPUTS!$J$134="At Project End",--(W$7=INPUTS!$C$29),0))))</f>
        <v>0</v>
      </c>
      <c r="X132" s="108" t="n">
        <f aca="false">IF(OR(INPUTS!$F$134&lt;&gt;"Yes",X$16=0),0,IF(OR(INPUTS!$J$134="Upfront",INPUTS!$J$134="Even",INPUTS!$J$134="Front-loaded",INPUTS!$J$134="Back-loaded",INPUTS!$J$134="S-curve"),IF(AND(ISNUMBER(INPUTS!$K$134),X$7&gt;=INPUTS!$K$134,X$7&lt;=IF(INPUTS!$J$134="Upfront",INPUTS!$K$134,INPUTS!$L$134)),1,0),IF(INPUTS!$J$134="Follow Project Life",X$17,IF(INPUTS!$J$134="At Project End",--(X$7=INPUTS!$C$29),0))))</f>
        <v>0</v>
      </c>
      <c r="Y132" s="108" t="n">
        <f aca="false">IF(OR(INPUTS!$F$134&lt;&gt;"Yes",Y$16=0),0,IF(OR(INPUTS!$J$134="Upfront",INPUTS!$J$134="Even",INPUTS!$J$134="Front-loaded",INPUTS!$J$134="Back-loaded",INPUTS!$J$134="S-curve"),IF(AND(ISNUMBER(INPUTS!$K$134),Y$7&gt;=INPUTS!$K$134,Y$7&lt;=IF(INPUTS!$J$134="Upfront",INPUTS!$K$134,INPUTS!$L$134)),1,0),IF(INPUTS!$J$134="Follow Project Life",Y$17,IF(INPUTS!$J$134="At Project End",--(Y$7=INPUTS!$C$29),0))))</f>
        <v>0</v>
      </c>
      <c r="Z132" s="108" t="n">
        <f aca="false">IF(OR(INPUTS!$F$134&lt;&gt;"Yes",Z$16=0),0,IF(OR(INPUTS!$J$134="Upfront",INPUTS!$J$134="Even",INPUTS!$J$134="Front-loaded",INPUTS!$J$134="Back-loaded",INPUTS!$J$134="S-curve"),IF(AND(ISNUMBER(INPUTS!$K$134),Z$7&gt;=INPUTS!$K$134,Z$7&lt;=IF(INPUTS!$J$134="Upfront",INPUTS!$K$134,INPUTS!$L$134)),1,0),IF(INPUTS!$J$134="Follow Project Life",Z$17,IF(INPUTS!$J$134="At Project End",--(Z$7=INPUTS!$C$29),0))))</f>
        <v>0</v>
      </c>
      <c r="AA132" s="108" t="n">
        <f aca="false">IF(OR(INPUTS!$F$134&lt;&gt;"Yes",AA$16=0),0,IF(OR(INPUTS!$J$134="Upfront",INPUTS!$J$134="Even",INPUTS!$J$134="Front-loaded",INPUTS!$J$134="Back-loaded",INPUTS!$J$134="S-curve"),IF(AND(ISNUMBER(INPUTS!$K$134),AA$7&gt;=INPUTS!$K$134,AA$7&lt;=IF(INPUTS!$J$134="Upfront",INPUTS!$K$134,INPUTS!$L$134)),1,0),IF(INPUTS!$J$134="Follow Project Life",AA$17,IF(INPUTS!$J$134="At Project End",--(AA$7=INPUTS!$C$29),0))))</f>
        <v>0</v>
      </c>
      <c r="AB132" s="108" t="n">
        <f aca="false">IF(OR(INPUTS!$F$134&lt;&gt;"Yes",AB$16=0),0,IF(OR(INPUTS!$J$134="Upfront",INPUTS!$J$134="Even",INPUTS!$J$134="Front-loaded",INPUTS!$J$134="Back-loaded",INPUTS!$J$134="S-curve"),IF(AND(ISNUMBER(INPUTS!$K$134),AB$7&gt;=INPUTS!$K$134,AB$7&lt;=IF(INPUTS!$J$134="Upfront",INPUTS!$K$134,INPUTS!$L$134)),1,0),IF(INPUTS!$J$134="Follow Project Life",AB$17,IF(INPUTS!$J$134="At Project End",--(AB$7=INPUTS!$C$29),0))))</f>
        <v>0</v>
      </c>
      <c r="AC132" s="108" t="n">
        <f aca="false">IF(OR(INPUTS!$F$134&lt;&gt;"Yes",AC$16=0),0,IF(OR(INPUTS!$J$134="Upfront",INPUTS!$J$134="Even",INPUTS!$J$134="Front-loaded",INPUTS!$J$134="Back-loaded",INPUTS!$J$134="S-curve"),IF(AND(ISNUMBER(INPUTS!$K$134),AC$7&gt;=INPUTS!$K$134,AC$7&lt;=IF(INPUTS!$J$134="Upfront",INPUTS!$K$134,INPUTS!$L$134)),1,0),IF(INPUTS!$J$134="Follow Project Life",AC$17,IF(INPUTS!$J$134="At Project End",--(AC$7=INPUTS!$C$29),0))))</f>
        <v>0</v>
      </c>
      <c r="AD132" s="108" t="n">
        <f aca="false">IF(OR(INPUTS!$F$134&lt;&gt;"Yes",AD$16=0),0,IF(OR(INPUTS!$J$134="Upfront",INPUTS!$J$134="Even",INPUTS!$J$134="Front-loaded",INPUTS!$J$134="Back-loaded",INPUTS!$J$134="S-curve"),IF(AND(ISNUMBER(INPUTS!$K$134),AD$7&gt;=INPUTS!$K$134,AD$7&lt;=IF(INPUTS!$J$134="Upfront",INPUTS!$K$134,INPUTS!$L$134)),1,0),IF(INPUTS!$J$134="Follow Project Life",AD$17,IF(INPUTS!$J$134="At Project End",--(AD$7=INPUTS!$C$29),0))))</f>
        <v>0</v>
      </c>
      <c r="AE132" s="108" t="n">
        <f aca="false">IF(OR(INPUTS!$F$134&lt;&gt;"Yes",AE$16=0),0,IF(OR(INPUTS!$J$134="Upfront",INPUTS!$J$134="Even",INPUTS!$J$134="Front-loaded",INPUTS!$J$134="Back-loaded",INPUTS!$J$134="S-curve"),IF(AND(ISNUMBER(INPUTS!$K$134),AE$7&gt;=INPUTS!$K$134,AE$7&lt;=IF(INPUTS!$J$134="Upfront",INPUTS!$K$134,INPUTS!$L$134)),1,0),IF(INPUTS!$J$134="Follow Project Life",AE$17,IF(INPUTS!$J$134="At Project End",--(AE$7=INPUTS!$C$29),0))))</f>
        <v>0</v>
      </c>
      <c r="AF132" s="108" t="n">
        <f aca="false">IF(OR(INPUTS!$F$134&lt;&gt;"Yes",AF$16=0),0,IF(OR(INPUTS!$J$134="Upfront",INPUTS!$J$134="Even",INPUTS!$J$134="Front-loaded",INPUTS!$J$134="Back-loaded",INPUTS!$J$134="S-curve"),IF(AND(ISNUMBER(INPUTS!$K$134),AF$7&gt;=INPUTS!$K$134,AF$7&lt;=IF(INPUTS!$J$134="Upfront",INPUTS!$K$134,INPUTS!$L$134)),1,0),IF(INPUTS!$J$134="Follow Project Life",AF$17,IF(INPUTS!$J$134="At Project End",--(AF$7=INPUTS!$C$29),0))))</f>
        <v>0</v>
      </c>
      <c r="AG132" s="108" t="n">
        <f aca="false">IF(OR(INPUTS!$F$134&lt;&gt;"Yes",AG$16=0),0,IF(OR(INPUTS!$J$134="Upfront",INPUTS!$J$134="Even",INPUTS!$J$134="Front-loaded",INPUTS!$J$134="Back-loaded",INPUTS!$J$134="S-curve"),IF(AND(ISNUMBER(INPUTS!$K$134),AG$7&gt;=INPUTS!$K$134,AG$7&lt;=IF(INPUTS!$J$134="Upfront",INPUTS!$K$134,INPUTS!$L$134)),1,0),IF(INPUTS!$J$134="Follow Project Life",AG$17,IF(INPUTS!$J$134="At Project End",--(AG$7=INPUTS!$C$29),0))))</f>
        <v>0</v>
      </c>
      <c r="AH132" s="108" t="n">
        <f aca="false">IF(OR(INPUTS!$F$134&lt;&gt;"Yes",AH$16=0),0,IF(OR(INPUTS!$J$134="Upfront",INPUTS!$J$134="Even",INPUTS!$J$134="Front-loaded",INPUTS!$J$134="Back-loaded",INPUTS!$J$134="S-curve"),IF(AND(ISNUMBER(INPUTS!$K$134),AH$7&gt;=INPUTS!$K$134,AH$7&lt;=IF(INPUTS!$J$134="Upfront",INPUTS!$K$134,INPUTS!$L$134)),1,0),IF(INPUTS!$J$134="Follow Project Life",AH$17,IF(INPUTS!$J$134="At Project End",--(AH$7=INPUTS!$C$29),0))))</f>
        <v>0</v>
      </c>
      <c r="AI132" s="108" t="n">
        <f aca="false">IF(OR(INPUTS!$F$134&lt;&gt;"Yes",AI$16=0),0,IF(OR(INPUTS!$J$134="Upfront",INPUTS!$J$134="Even",INPUTS!$J$134="Front-loaded",INPUTS!$J$134="Back-loaded",INPUTS!$J$134="S-curve"),IF(AND(ISNUMBER(INPUTS!$K$134),AI$7&gt;=INPUTS!$K$134,AI$7&lt;=IF(INPUTS!$J$134="Upfront",INPUTS!$K$134,INPUTS!$L$134)),1,0),IF(INPUTS!$J$134="Follow Project Life",AI$17,IF(INPUTS!$J$134="At Project End",--(AI$7=INPUTS!$C$29),0))))</f>
        <v>0</v>
      </c>
      <c r="AJ132" s="108" t="n">
        <f aca="false">IF(OR(INPUTS!$F$134&lt;&gt;"Yes",AJ$16=0),0,IF(OR(INPUTS!$J$134="Upfront",INPUTS!$J$134="Even",INPUTS!$J$134="Front-loaded",INPUTS!$J$134="Back-loaded",INPUTS!$J$134="S-curve"),IF(AND(ISNUMBER(INPUTS!$K$134),AJ$7&gt;=INPUTS!$K$134,AJ$7&lt;=IF(INPUTS!$J$134="Upfront",INPUTS!$K$134,INPUTS!$L$134)),1,0),IF(INPUTS!$J$134="Follow Project Life",AJ$17,IF(INPUTS!$J$134="At Project End",--(AJ$7=INPUTS!$C$29),0))))</f>
        <v>0</v>
      </c>
      <c r="AK132" s="108" t="n">
        <f aca="false">IF(OR(INPUTS!$F$134&lt;&gt;"Yes",AK$16=0),0,IF(OR(INPUTS!$J$134="Upfront",INPUTS!$J$134="Even",INPUTS!$J$134="Front-loaded",INPUTS!$J$134="Back-loaded",INPUTS!$J$134="S-curve"),IF(AND(ISNUMBER(INPUTS!$K$134),AK$7&gt;=INPUTS!$K$134,AK$7&lt;=IF(INPUTS!$J$134="Upfront",INPUTS!$K$134,INPUTS!$L$134)),1,0),IF(INPUTS!$J$134="Follow Project Life",AK$17,IF(INPUTS!$J$134="At Project End",--(AK$7=INPUTS!$C$29),0))))</f>
        <v>0</v>
      </c>
      <c r="AL132" s="108" t="n">
        <f aca="false">IF(OR(INPUTS!$F$134&lt;&gt;"Yes",AL$16=0),0,IF(OR(INPUTS!$J$134="Upfront",INPUTS!$J$134="Even",INPUTS!$J$134="Front-loaded",INPUTS!$J$134="Back-loaded",INPUTS!$J$134="S-curve"),IF(AND(ISNUMBER(INPUTS!$K$134),AL$7&gt;=INPUTS!$K$134,AL$7&lt;=IF(INPUTS!$J$134="Upfront",INPUTS!$K$134,INPUTS!$L$134)),1,0),IF(INPUTS!$J$134="Follow Project Life",AL$17,IF(INPUTS!$J$134="At Project End",--(AL$7=INPUTS!$C$29),0))))</f>
        <v>0</v>
      </c>
      <c r="AM132" s="108" t="n">
        <f aca="false">IF(OR(INPUTS!$F$134&lt;&gt;"Yes",AM$16=0),0,IF(OR(INPUTS!$J$134="Upfront",INPUTS!$J$134="Even",INPUTS!$J$134="Front-loaded",INPUTS!$J$134="Back-loaded",INPUTS!$J$134="S-curve"),IF(AND(ISNUMBER(INPUTS!$K$134),AM$7&gt;=INPUTS!$K$134,AM$7&lt;=IF(INPUTS!$J$134="Upfront",INPUTS!$K$134,INPUTS!$L$134)),1,0),IF(INPUTS!$J$134="Follow Project Life",AM$17,IF(INPUTS!$J$134="At Project End",--(AM$7=INPUTS!$C$29),0))))</f>
        <v>0</v>
      </c>
      <c r="AN132" s="108" t="n">
        <f aca="false">IF(OR(INPUTS!$F$134&lt;&gt;"Yes",AN$16=0),0,IF(OR(INPUTS!$J$134="Upfront",INPUTS!$J$134="Even",INPUTS!$J$134="Front-loaded",INPUTS!$J$134="Back-loaded",INPUTS!$J$134="S-curve"),IF(AND(ISNUMBER(INPUTS!$K$134),AN$7&gt;=INPUTS!$K$134,AN$7&lt;=IF(INPUTS!$J$134="Upfront",INPUTS!$K$134,INPUTS!$L$134)),1,0),IF(INPUTS!$J$134="Follow Project Life",AN$17,IF(INPUTS!$J$134="At Project End",--(AN$7=INPUTS!$C$29),0))))</f>
        <v>0</v>
      </c>
      <c r="AO132" s="108" t="n">
        <f aca="false">IF(OR(INPUTS!$F$134&lt;&gt;"Yes",AO$16=0),0,IF(OR(INPUTS!$J$134="Upfront",INPUTS!$J$134="Even",INPUTS!$J$134="Front-loaded",INPUTS!$J$134="Back-loaded",INPUTS!$J$134="S-curve"),IF(AND(ISNUMBER(INPUTS!$K$134),AO$7&gt;=INPUTS!$K$134,AO$7&lt;=IF(INPUTS!$J$134="Upfront",INPUTS!$K$134,INPUTS!$L$134)),1,0),IF(INPUTS!$J$134="Follow Project Life",AO$17,IF(INPUTS!$J$134="At Project End",--(AO$7=INPUTS!$C$29),0))))</f>
        <v>0</v>
      </c>
      <c r="AP132" s="108" t="n">
        <f aca="false">IF(OR(INPUTS!$F$134&lt;&gt;"Yes",AP$16=0),0,IF(OR(INPUTS!$J$134="Upfront",INPUTS!$J$134="Even",INPUTS!$J$134="Front-loaded",INPUTS!$J$134="Back-loaded",INPUTS!$J$134="S-curve"),IF(AND(ISNUMBER(INPUTS!$K$134),AP$7&gt;=INPUTS!$K$134,AP$7&lt;=IF(INPUTS!$J$134="Upfront",INPUTS!$K$134,INPUTS!$L$134)),1,0),IF(INPUTS!$J$134="Follow Project Life",AP$17,IF(INPUTS!$J$134="At Project End",--(AP$7=INPUTS!$C$29),0))))</f>
        <v>0</v>
      </c>
      <c r="AQ132" s="108" t="n">
        <f aca="false">IF(OR(INPUTS!$F$134&lt;&gt;"Yes",AQ$16=0),0,IF(OR(INPUTS!$J$134="Upfront",INPUTS!$J$134="Even",INPUTS!$J$134="Front-loaded",INPUTS!$J$134="Back-loaded",INPUTS!$J$134="S-curve"),IF(AND(ISNUMBER(INPUTS!$K$134),AQ$7&gt;=INPUTS!$K$134,AQ$7&lt;=IF(INPUTS!$J$134="Upfront",INPUTS!$K$134,INPUTS!$L$134)),1,0),IF(INPUTS!$J$134="Follow Project Life",AQ$17,IF(INPUTS!$J$134="At Project End",--(AQ$7=INPUTS!$C$29),0))))</f>
        <v>0</v>
      </c>
    </row>
    <row r="133" customFormat="false" ht="15" hidden="false" customHeight="false" outlineLevel="0" collapsed="false">
      <c r="B133" s="3" t="s">
        <v>650</v>
      </c>
      <c r="C133" s="107" t="n">
        <f aca="false">MAX(D133:AQ133)</f>
        <v>0</v>
      </c>
      <c r="D133" s="108" t="n">
        <f aca="false">IF(D132=1,COUNTIF($D132:D132,1),0)</f>
        <v>0</v>
      </c>
      <c r="E133" s="108" t="n">
        <f aca="false">IF(E132=1,COUNTIF($D132:E132,1),0)</f>
        <v>0</v>
      </c>
      <c r="F133" s="108" t="n">
        <f aca="false">IF(F132=1,COUNTIF($D132:F132,1),0)</f>
        <v>0</v>
      </c>
      <c r="G133" s="108" t="n">
        <f aca="false">IF(G132=1,COUNTIF($D132:G132,1),0)</f>
        <v>0</v>
      </c>
      <c r="H133" s="108" t="n">
        <f aca="false">IF(H132=1,COUNTIF($D132:H132,1),0)</f>
        <v>0</v>
      </c>
      <c r="I133" s="108" t="n">
        <f aca="false">IF(I132=1,COUNTIF($D132:I132,1),0)</f>
        <v>0</v>
      </c>
      <c r="J133" s="108" t="n">
        <f aca="false">IF(J132=1,COUNTIF($D132:J132,1),0)</f>
        <v>0</v>
      </c>
      <c r="K133" s="108" t="n">
        <f aca="false">IF(K132=1,COUNTIF($D132:K132,1),0)</f>
        <v>0</v>
      </c>
      <c r="L133" s="108" t="n">
        <f aca="false">IF(L132=1,COUNTIF($D132:L132,1),0)</f>
        <v>0</v>
      </c>
      <c r="M133" s="108" t="n">
        <f aca="false">IF(M132=1,COUNTIF($D132:M132,1),0)</f>
        <v>0</v>
      </c>
      <c r="N133" s="108" t="n">
        <f aca="false">IF(N132=1,COUNTIF($D132:N132,1),0)</f>
        <v>0</v>
      </c>
      <c r="O133" s="108" t="n">
        <f aca="false">IF(O132=1,COUNTIF($D132:O132,1),0)</f>
        <v>0</v>
      </c>
      <c r="P133" s="108" t="n">
        <f aca="false">IF(P132=1,COUNTIF($D132:P132,1),0)</f>
        <v>0</v>
      </c>
      <c r="Q133" s="108" t="n">
        <f aca="false">IF(Q132=1,COUNTIF($D132:Q132,1),0)</f>
        <v>0</v>
      </c>
      <c r="R133" s="108" t="n">
        <f aca="false">IF(R132=1,COUNTIF($D132:R132,1),0)</f>
        <v>0</v>
      </c>
      <c r="S133" s="108" t="n">
        <f aca="false">IF(S132=1,COUNTIF($D132:S132,1),0)</f>
        <v>0</v>
      </c>
      <c r="T133" s="108" t="n">
        <f aca="false">IF(T132=1,COUNTIF($D132:T132,1),0)</f>
        <v>0</v>
      </c>
      <c r="U133" s="108" t="n">
        <f aca="false">IF(U132=1,COUNTIF($D132:U132,1),0)</f>
        <v>0</v>
      </c>
      <c r="V133" s="108" t="n">
        <f aca="false">IF(V132=1,COUNTIF($D132:V132,1),0)</f>
        <v>0</v>
      </c>
      <c r="W133" s="108" t="n">
        <f aca="false">IF(W132=1,COUNTIF($D132:W132,1),0)</f>
        <v>0</v>
      </c>
      <c r="X133" s="108" t="n">
        <f aca="false">IF(X132=1,COUNTIF($D132:X132,1),0)</f>
        <v>0</v>
      </c>
      <c r="Y133" s="108" t="n">
        <f aca="false">IF(Y132=1,COUNTIF($D132:Y132,1),0)</f>
        <v>0</v>
      </c>
      <c r="Z133" s="108" t="n">
        <f aca="false">IF(Z132=1,COUNTIF($D132:Z132,1),0)</f>
        <v>0</v>
      </c>
      <c r="AA133" s="108" t="n">
        <f aca="false">IF(AA132=1,COUNTIF($D132:AA132,1),0)</f>
        <v>0</v>
      </c>
      <c r="AB133" s="108" t="n">
        <f aca="false">IF(AB132=1,COUNTIF($D132:AB132,1),0)</f>
        <v>0</v>
      </c>
      <c r="AC133" s="108" t="n">
        <f aca="false">IF(AC132=1,COUNTIF($D132:AC132,1),0)</f>
        <v>0</v>
      </c>
      <c r="AD133" s="108" t="n">
        <f aca="false">IF(AD132=1,COUNTIF($D132:AD132,1),0)</f>
        <v>0</v>
      </c>
      <c r="AE133" s="108" t="n">
        <f aca="false">IF(AE132=1,COUNTIF($D132:AE132,1),0)</f>
        <v>0</v>
      </c>
      <c r="AF133" s="108" t="n">
        <f aca="false">IF(AF132=1,COUNTIF($D132:AF132,1),0)</f>
        <v>0</v>
      </c>
      <c r="AG133" s="108" t="n">
        <f aca="false">IF(AG132=1,COUNTIF($D132:AG132,1),0)</f>
        <v>0</v>
      </c>
      <c r="AH133" s="108" t="n">
        <f aca="false">IF(AH132=1,COUNTIF($D132:AH132,1),0)</f>
        <v>0</v>
      </c>
      <c r="AI133" s="108" t="n">
        <f aca="false">IF(AI132=1,COUNTIF($D132:AI132,1),0)</f>
        <v>0</v>
      </c>
      <c r="AJ133" s="108" t="n">
        <f aca="false">IF(AJ132=1,COUNTIF($D132:AJ132,1),0)</f>
        <v>0</v>
      </c>
      <c r="AK133" s="108" t="n">
        <f aca="false">IF(AK132=1,COUNTIF($D132:AK132,1),0)</f>
        <v>0</v>
      </c>
      <c r="AL133" s="108" t="n">
        <f aca="false">IF(AL132=1,COUNTIF($D132:AL132,1),0)</f>
        <v>0</v>
      </c>
      <c r="AM133" s="108" t="n">
        <f aca="false">IF(AM132=1,COUNTIF($D132:AM132,1),0)</f>
        <v>0</v>
      </c>
      <c r="AN133" s="108" t="n">
        <f aca="false">IF(AN132=1,COUNTIF($D132:AN132,1),0)</f>
        <v>0</v>
      </c>
      <c r="AO133" s="108" t="n">
        <f aca="false">IF(AO132=1,COUNTIF($D132:AO132,1),0)</f>
        <v>0</v>
      </c>
      <c r="AP133" s="108" t="n">
        <f aca="false">IF(AP132=1,COUNTIF($D132:AP132,1),0)</f>
        <v>0</v>
      </c>
      <c r="AQ133" s="108" t="n">
        <f aca="false">IF(AQ132=1,COUNTIF($D132:AQ132,1),0)</f>
        <v>0</v>
      </c>
    </row>
    <row r="134" customFormat="false" ht="15" hidden="false" customHeight="false" outlineLevel="0" collapsed="false">
      <c r="B134" s="17" t="s">
        <v>651</v>
      </c>
      <c r="C134" s="105" t="str">
        <f aca="false">IF(INPUTS!$M$134="","",IF(INPUTS!$M$134&lt;&gt;"OK","ERROR",IF(C132=IF(INPUTS!$F$134&lt;&gt;"Yes",0,IF(OR(INPUTS!$J$134="Upfront",INPUTS!$J$134="Even",INPUTS!$J$134="Front-loaded",INPUTS!$J$134="Back-loaded",INPUTS!$J$134="S-curve"),IF(ISNUMBER(INPUTS!$K$134),IF(INPUTS!$J$134="Upfront",INPUTS!$K$134,INPUTS!$L$134)-INPUTS!$K$134+1,0),IF(INPUTS!$J$134="Follow Project Life",INPUTS!$C$29,IF(INPUTS!$J$134="At Project End",1,0)))),"OK","ERROR")))</f>
        <v>OK</v>
      </c>
    </row>
    <row r="135" customFormat="false" ht="15" hidden="false" customHeight="false" outlineLevel="0" collapsed="false">
      <c r="B135" s="110" t="str">
        <f aca="false">IF(INPUTS!$B$135="","Spare cost row",INPUTS!$B$135)</f>
        <v>Institutional Plotted Development Cost</v>
      </c>
      <c r="C135" s="111" t="str">
        <f aca="false">IF(INPUTS!$J$135="","",INPUTS!$J$135)</f>
        <v>Follow Construction</v>
      </c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</row>
    <row r="136" customFormat="false" ht="15" hidden="false" customHeight="false" outlineLevel="0" collapsed="false">
      <c r="B136" s="3" t="s">
        <v>649</v>
      </c>
      <c r="C136" s="107" t="n">
        <f aca="false">SUM(D136:AQ136)</f>
        <v>0</v>
      </c>
      <c r="D136" s="108" t="n">
        <f aca="false">IF(OR(INPUTS!$F$135&lt;&gt;"Yes",D$16=0),0,IF(OR(INPUTS!$J$135="Upfront",INPUTS!$J$135="Even",INPUTS!$J$135="Front-loaded",INPUTS!$J$135="Back-loaded",INPUTS!$J$135="S-curve"),IF(AND(ISNUMBER(INPUTS!$K$135),D$7&gt;=INPUTS!$K$135,D$7&lt;=IF(INPUTS!$J$135="Upfront",INPUTS!$K$135,INPUTS!$L$135)),1,0),IF(INPUTS!$J$135="Follow Project Life",D$17,IF(INPUTS!$J$135="At Project End",--(D$7=INPUTS!$C$29),0))))</f>
        <v>0</v>
      </c>
      <c r="E136" s="108" t="n">
        <f aca="false">IF(OR(INPUTS!$F$135&lt;&gt;"Yes",E$16=0),0,IF(OR(INPUTS!$J$135="Upfront",INPUTS!$J$135="Even",INPUTS!$J$135="Front-loaded",INPUTS!$J$135="Back-loaded",INPUTS!$J$135="S-curve"),IF(AND(ISNUMBER(INPUTS!$K$135),E$7&gt;=INPUTS!$K$135,E$7&lt;=IF(INPUTS!$J$135="Upfront",INPUTS!$K$135,INPUTS!$L$135)),1,0),IF(INPUTS!$J$135="Follow Project Life",E$17,IF(INPUTS!$J$135="At Project End",--(E$7=INPUTS!$C$29),0))))</f>
        <v>0</v>
      </c>
      <c r="F136" s="108" t="n">
        <f aca="false">IF(OR(INPUTS!$F$135&lt;&gt;"Yes",F$16=0),0,IF(OR(INPUTS!$J$135="Upfront",INPUTS!$J$135="Even",INPUTS!$J$135="Front-loaded",INPUTS!$J$135="Back-loaded",INPUTS!$J$135="S-curve"),IF(AND(ISNUMBER(INPUTS!$K$135),F$7&gt;=INPUTS!$K$135,F$7&lt;=IF(INPUTS!$J$135="Upfront",INPUTS!$K$135,INPUTS!$L$135)),1,0),IF(INPUTS!$J$135="Follow Project Life",F$17,IF(INPUTS!$J$135="At Project End",--(F$7=INPUTS!$C$29),0))))</f>
        <v>0</v>
      </c>
      <c r="G136" s="108" t="n">
        <f aca="false">IF(OR(INPUTS!$F$135&lt;&gt;"Yes",G$16=0),0,IF(OR(INPUTS!$J$135="Upfront",INPUTS!$J$135="Even",INPUTS!$J$135="Front-loaded",INPUTS!$J$135="Back-loaded",INPUTS!$J$135="S-curve"),IF(AND(ISNUMBER(INPUTS!$K$135),G$7&gt;=INPUTS!$K$135,G$7&lt;=IF(INPUTS!$J$135="Upfront",INPUTS!$K$135,INPUTS!$L$135)),1,0),IF(INPUTS!$J$135="Follow Project Life",G$17,IF(INPUTS!$J$135="At Project End",--(G$7=INPUTS!$C$29),0))))</f>
        <v>0</v>
      </c>
      <c r="H136" s="108" t="n">
        <f aca="false">IF(OR(INPUTS!$F$135&lt;&gt;"Yes",H$16=0),0,IF(OR(INPUTS!$J$135="Upfront",INPUTS!$J$135="Even",INPUTS!$J$135="Front-loaded",INPUTS!$J$135="Back-loaded",INPUTS!$J$135="S-curve"),IF(AND(ISNUMBER(INPUTS!$K$135),H$7&gt;=INPUTS!$K$135,H$7&lt;=IF(INPUTS!$J$135="Upfront",INPUTS!$K$135,INPUTS!$L$135)),1,0),IF(INPUTS!$J$135="Follow Project Life",H$17,IF(INPUTS!$J$135="At Project End",--(H$7=INPUTS!$C$29),0))))</f>
        <v>0</v>
      </c>
      <c r="I136" s="108" t="n">
        <f aca="false">IF(OR(INPUTS!$F$135&lt;&gt;"Yes",I$16=0),0,IF(OR(INPUTS!$J$135="Upfront",INPUTS!$J$135="Even",INPUTS!$J$135="Front-loaded",INPUTS!$J$135="Back-loaded",INPUTS!$J$135="S-curve"),IF(AND(ISNUMBER(INPUTS!$K$135),I$7&gt;=INPUTS!$K$135,I$7&lt;=IF(INPUTS!$J$135="Upfront",INPUTS!$K$135,INPUTS!$L$135)),1,0),IF(INPUTS!$J$135="Follow Project Life",I$17,IF(INPUTS!$J$135="At Project End",--(I$7=INPUTS!$C$29),0))))</f>
        <v>0</v>
      </c>
      <c r="J136" s="108" t="n">
        <f aca="false">IF(OR(INPUTS!$F$135&lt;&gt;"Yes",J$16=0),0,IF(OR(INPUTS!$J$135="Upfront",INPUTS!$J$135="Even",INPUTS!$J$135="Front-loaded",INPUTS!$J$135="Back-loaded",INPUTS!$J$135="S-curve"),IF(AND(ISNUMBER(INPUTS!$K$135),J$7&gt;=INPUTS!$K$135,J$7&lt;=IF(INPUTS!$J$135="Upfront",INPUTS!$K$135,INPUTS!$L$135)),1,0),IF(INPUTS!$J$135="Follow Project Life",J$17,IF(INPUTS!$J$135="At Project End",--(J$7=INPUTS!$C$29),0))))</f>
        <v>0</v>
      </c>
      <c r="K136" s="108" t="n">
        <f aca="false">IF(OR(INPUTS!$F$135&lt;&gt;"Yes",K$16=0),0,IF(OR(INPUTS!$J$135="Upfront",INPUTS!$J$135="Even",INPUTS!$J$135="Front-loaded",INPUTS!$J$135="Back-loaded",INPUTS!$J$135="S-curve"),IF(AND(ISNUMBER(INPUTS!$K$135),K$7&gt;=INPUTS!$K$135,K$7&lt;=IF(INPUTS!$J$135="Upfront",INPUTS!$K$135,INPUTS!$L$135)),1,0),IF(INPUTS!$J$135="Follow Project Life",K$17,IF(INPUTS!$J$135="At Project End",--(K$7=INPUTS!$C$29),0))))</f>
        <v>0</v>
      </c>
      <c r="L136" s="108" t="n">
        <f aca="false">IF(OR(INPUTS!$F$135&lt;&gt;"Yes",L$16=0),0,IF(OR(INPUTS!$J$135="Upfront",INPUTS!$J$135="Even",INPUTS!$J$135="Front-loaded",INPUTS!$J$135="Back-loaded",INPUTS!$J$135="S-curve"),IF(AND(ISNUMBER(INPUTS!$K$135),L$7&gt;=INPUTS!$K$135,L$7&lt;=IF(INPUTS!$J$135="Upfront",INPUTS!$K$135,INPUTS!$L$135)),1,0),IF(INPUTS!$J$135="Follow Project Life",L$17,IF(INPUTS!$J$135="At Project End",--(L$7=INPUTS!$C$29),0))))</f>
        <v>0</v>
      </c>
      <c r="M136" s="108" t="n">
        <f aca="false">IF(OR(INPUTS!$F$135&lt;&gt;"Yes",M$16=0),0,IF(OR(INPUTS!$J$135="Upfront",INPUTS!$J$135="Even",INPUTS!$J$135="Front-loaded",INPUTS!$J$135="Back-loaded",INPUTS!$J$135="S-curve"),IF(AND(ISNUMBER(INPUTS!$K$135),M$7&gt;=INPUTS!$K$135,M$7&lt;=IF(INPUTS!$J$135="Upfront",INPUTS!$K$135,INPUTS!$L$135)),1,0),IF(INPUTS!$J$135="Follow Project Life",M$17,IF(INPUTS!$J$135="At Project End",--(M$7=INPUTS!$C$29),0))))</f>
        <v>0</v>
      </c>
      <c r="N136" s="108" t="n">
        <f aca="false">IF(OR(INPUTS!$F$135&lt;&gt;"Yes",N$16=0),0,IF(OR(INPUTS!$J$135="Upfront",INPUTS!$J$135="Even",INPUTS!$J$135="Front-loaded",INPUTS!$J$135="Back-loaded",INPUTS!$J$135="S-curve"),IF(AND(ISNUMBER(INPUTS!$K$135),N$7&gt;=INPUTS!$K$135,N$7&lt;=IF(INPUTS!$J$135="Upfront",INPUTS!$K$135,INPUTS!$L$135)),1,0),IF(INPUTS!$J$135="Follow Project Life",N$17,IF(INPUTS!$J$135="At Project End",--(N$7=INPUTS!$C$29),0))))</f>
        <v>0</v>
      </c>
      <c r="O136" s="108" t="n">
        <f aca="false">IF(OR(INPUTS!$F$135&lt;&gt;"Yes",O$16=0),0,IF(OR(INPUTS!$J$135="Upfront",INPUTS!$J$135="Even",INPUTS!$J$135="Front-loaded",INPUTS!$J$135="Back-loaded",INPUTS!$J$135="S-curve"),IF(AND(ISNUMBER(INPUTS!$K$135),O$7&gt;=INPUTS!$K$135,O$7&lt;=IF(INPUTS!$J$135="Upfront",INPUTS!$K$135,INPUTS!$L$135)),1,0),IF(INPUTS!$J$135="Follow Project Life",O$17,IF(INPUTS!$J$135="At Project End",--(O$7=INPUTS!$C$29),0))))</f>
        <v>0</v>
      </c>
      <c r="P136" s="108" t="n">
        <f aca="false">IF(OR(INPUTS!$F$135&lt;&gt;"Yes",P$16=0),0,IF(OR(INPUTS!$J$135="Upfront",INPUTS!$J$135="Even",INPUTS!$J$135="Front-loaded",INPUTS!$J$135="Back-loaded",INPUTS!$J$135="S-curve"),IF(AND(ISNUMBER(INPUTS!$K$135),P$7&gt;=INPUTS!$K$135,P$7&lt;=IF(INPUTS!$J$135="Upfront",INPUTS!$K$135,INPUTS!$L$135)),1,0),IF(INPUTS!$J$135="Follow Project Life",P$17,IF(INPUTS!$J$135="At Project End",--(P$7=INPUTS!$C$29),0))))</f>
        <v>0</v>
      </c>
      <c r="Q136" s="108" t="n">
        <f aca="false">IF(OR(INPUTS!$F$135&lt;&gt;"Yes",Q$16=0),0,IF(OR(INPUTS!$J$135="Upfront",INPUTS!$J$135="Even",INPUTS!$J$135="Front-loaded",INPUTS!$J$135="Back-loaded",INPUTS!$J$135="S-curve"),IF(AND(ISNUMBER(INPUTS!$K$135),Q$7&gt;=INPUTS!$K$135,Q$7&lt;=IF(INPUTS!$J$135="Upfront",INPUTS!$K$135,INPUTS!$L$135)),1,0),IF(INPUTS!$J$135="Follow Project Life",Q$17,IF(INPUTS!$J$135="At Project End",--(Q$7=INPUTS!$C$29),0))))</f>
        <v>0</v>
      </c>
      <c r="R136" s="108" t="n">
        <f aca="false">IF(OR(INPUTS!$F$135&lt;&gt;"Yes",R$16=0),0,IF(OR(INPUTS!$J$135="Upfront",INPUTS!$J$135="Even",INPUTS!$J$135="Front-loaded",INPUTS!$J$135="Back-loaded",INPUTS!$J$135="S-curve"),IF(AND(ISNUMBER(INPUTS!$K$135),R$7&gt;=INPUTS!$K$135,R$7&lt;=IF(INPUTS!$J$135="Upfront",INPUTS!$K$135,INPUTS!$L$135)),1,0),IF(INPUTS!$J$135="Follow Project Life",R$17,IF(INPUTS!$J$135="At Project End",--(R$7=INPUTS!$C$29),0))))</f>
        <v>0</v>
      </c>
      <c r="S136" s="108" t="n">
        <f aca="false">IF(OR(INPUTS!$F$135&lt;&gt;"Yes",S$16=0),0,IF(OR(INPUTS!$J$135="Upfront",INPUTS!$J$135="Even",INPUTS!$J$135="Front-loaded",INPUTS!$J$135="Back-loaded",INPUTS!$J$135="S-curve"),IF(AND(ISNUMBER(INPUTS!$K$135),S$7&gt;=INPUTS!$K$135,S$7&lt;=IF(INPUTS!$J$135="Upfront",INPUTS!$K$135,INPUTS!$L$135)),1,0),IF(INPUTS!$J$135="Follow Project Life",S$17,IF(INPUTS!$J$135="At Project End",--(S$7=INPUTS!$C$29),0))))</f>
        <v>0</v>
      </c>
      <c r="T136" s="108" t="n">
        <f aca="false">IF(OR(INPUTS!$F$135&lt;&gt;"Yes",T$16=0),0,IF(OR(INPUTS!$J$135="Upfront",INPUTS!$J$135="Even",INPUTS!$J$135="Front-loaded",INPUTS!$J$135="Back-loaded",INPUTS!$J$135="S-curve"),IF(AND(ISNUMBER(INPUTS!$K$135),T$7&gt;=INPUTS!$K$135,T$7&lt;=IF(INPUTS!$J$135="Upfront",INPUTS!$K$135,INPUTS!$L$135)),1,0),IF(INPUTS!$J$135="Follow Project Life",T$17,IF(INPUTS!$J$135="At Project End",--(T$7=INPUTS!$C$29),0))))</f>
        <v>0</v>
      </c>
      <c r="U136" s="108" t="n">
        <f aca="false">IF(OR(INPUTS!$F$135&lt;&gt;"Yes",U$16=0),0,IF(OR(INPUTS!$J$135="Upfront",INPUTS!$J$135="Even",INPUTS!$J$135="Front-loaded",INPUTS!$J$135="Back-loaded",INPUTS!$J$135="S-curve"),IF(AND(ISNUMBER(INPUTS!$K$135),U$7&gt;=INPUTS!$K$135,U$7&lt;=IF(INPUTS!$J$135="Upfront",INPUTS!$K$135,INPUTS!$L$135)),1,0),IF(INPUTS!$J$135="Follow Project Life",U$17,IF(INPUTS!$J$135="At Project End",--(U$7=INPUTS!$C$29),0))))</f>
        <v>0</v>
      </c>
      <c r="V136" s="108" t="n">
        <f aca="false">IF(OR(INPUTS!$F$135&lt;&gt;"Yes",V$16=0),0,IF(OR(INPUTS!$J$135="Upfront",INPUTS!$J$135="Even",INPUTS!$J$135="Front-loaded",INPUTS!$J$135="Back-loaded",INPUTS!$J$135="S-curve"),IF(AND(ISNUMBER(INPUTS!$K$135),V$7&gt;=INPUTS!$K$135,V$7&lt;=IF(INPUTS!$J$135="Upfront",INPUTS!$K$135,INPUTS!$L$135)),1,0),IF(INPUTS!$J$135="Follow Project Life",V$17,IF(INPUTS!$J$135="At Project End",--(V$7=INPUTS!$C$29),0))))</f>
        <v>0</v>
      </c>
      <c r="W136" s="108" t="n">
        <f aca="false">IF(OR(INPUTS!$F$135&lt;&gt;"Yes",W$16=0),0,IF(OR(INPUTS!$J$135="Upfront",INPUTS!$J$135="Even",INPUTS!$J$135="Front-loaded",INPUTS!$J$135="Back-loaded",INPUTS!$J$135="S-curve"),IF(AND(ISNUMBER(INPUTS!$K$135),W$7&gt;=INPUTS!$K$135,W$7&lt;=IF(INPUTS!$J$135="Upfront",INPUTS!$K$135,INPUTS!$L$135)),1,0),IF(INPUTS!$J$135="Follow Project Life",W$17,IF(INPUTS!$J$135="At Project End",--(W$7=INPUTS!$C$29),0))))</f>
        <v>0</v>
      </c>
      <c r="X136" s="108" t="n">
        <f aca="false">IF(OR(INPUTS!$F$135&lt;&gt;"Yes",X$16=0),0,IF(OR(INPUTS!$J$135="Upfront",INPUTS!$J$135="Even",INPUTS!$J$135="Front-loaded",INPUTS!$J$135="Back-loaded",INPUTS!$J$135="S-curve"),IF(AND(ISNUMBER(INPUTS!$K$135),X$7&gt;=INPUTS!$K$135,X$7&lt;=IF(INPUTS!$J$135="Upfront",INPUTS!$K$135,INPUTS!$L$135)),1,0),IF(INPUTS!$J$135="Follow Project Life",X$17,IF(INPUTS!$J$135="At Project End",--(X$7=INPUTS!$C$29),0))))</f>
        <v>0</v>
      </c>
      <c r="Y136" s="108" t="n">
        <f aca="false">IF(OR(INPUTS!$F$135&lt;&gt;"Yes",Y$16=0),0,IF(OR(INPUTS!$J$135="Upfront",INPUTS!$J$135="Even",INPUTS!$J$135="Front-loaded",INPUTS!$J$135="Back-loaded",INPUTS!$J$135="S-curve"),IF(AND(ISNUMBER(INPUTS!$K$135),Y$7&gt;=INPUTS!$K$135,Y$7&lt;=IF(INPUTS!$J$135="Upfront",INPUTS!$K$135,INPUTS!$L$135)),1,0),IF(INPUTS!$J$135="Follow Project Life",Y$17,IF(INPUTS!$J$135="At Project End",--(Y$7=INPUTS!$C$29),0))))</f>
        <v>0</v>
      </c>
      <c r="Z136" s="108" t="n">
        <f aca="false">IF(OR(INPUTS!$F$135&lt;&gt;"Yes",Z$16=0),0,IF(OR(INPUTS!$J$135="Upfront",INPUTS!$J$135="Even",INPUTS!$J$135="Front-loaded",INPUTS!$J$135="Back-loaded",INPUTS!$J$135="S-curve"),IF(AND(ISNUMBER(INPUTS!$K$135),Z$7&gt;=INPUTS!$K$135,Z$7&lt;=IF(INPUTS!$J$135="Upfront",INPUTS!$K$135,INPUTS!$L$135)),1,0),IF(INPUTS!$J$135="Follow Project Life",Z$17,IF(INPUTS!$J$135="At Project End",--(Z$7=INPUTS!$C$29),0))))</f>
        <v>0</v>
      </c>
      <c r="AA136" s="108" t="n">
        <f aca="false">IF(OR(INPUTS!$F$135&lt;&gt;"Yes",AA$16=0),0,IF(OR(INPUTS!$J$135="Upfront",INPUTS!$J$135="Even",INPUTS!$J$135="Front-loaded",INPUTS!$J$135="Back-loaded",INPUTS!$J$135="S-curve"),IF(AND(ISNUMBER(INPUTS!$K$135),AA$7&gt;=INPUTS!$K$135,AA$7&lt;=IF(INPUTS!$J$135="Upfront",INPUTS!$K$135,INPUTS!$L$135)),1,0),IF(INPUTS!$J$135="Follow Project Life",AA$17,IF(INPUTS!$J$135="At Project End",--(AA$7=INPUTS!$C$29),0))))</f>
        <v>0</v>
      </c>
      <c r="AB136" s="108" t="n">
        <f aca="false">IF(OR(INPUTS!$F$135&lt;&gt;"Yes",AB$16=0),0,IF(OR(INPUTS!$J$135="Upfront",INPUTS!$J$135="Even",INPUTS!$J$135="Front-loaded",INPUTS!$J$135="Back-loaded",INPUTS!$J$135="S-curve"),IF(AND(ISNUMBER(INPUTS!$K$135),AB$7&gt;=INPUTS!$K$135,AB$7&lt;=IF(INPUTS!$J$135="Upfront",INPUTS!$K$135,INPUTS!$L$135)),1,0),IF(INPUTS!$J$135="Follow Project Life",AB$17,IF(INPUTS!$J$135="At Project End",--(AB$7=INPUTS!$C$29),0))))</f>
        <v>0</v>
      </c>
      <c r="AC136" s="108" t="n">
        <f aca="false">IF(OR(INPUTS!$F$135&lt;&gt;"Yes",AC$16=0),0,IF(OR(INPUTS!$J$135="Upfront",INPUTS!$J$135="Even",INPUTS!$J$135="Front-loaded",INPUTS!$J$135="Back-loaded",INPUTS!$J$135="S-curve"),IF(AND(ISNUMBER(INPUTS!$K$135),AC$7&gt;=INPUTS!$K$135,AC$7&lt;=IF(INPUTS!$J$135="Upfront",INPUTS!$K$135,INPUTS!$L$135)),1,0),IF(INPUTS!$J$135="Follow Project Life",AC$17,IF(INPUTS!$J$135="At Project End",--(AC$7=INPUTS!$C$29),0))))</f>
        <v>0</v>
      </c>
      <c r="AD136" s="108" t="n">
        <f aca="false">IF(OR(INPUTS!$F$135&lt;&gt;"Yes",AD$16=0),0,IF(OR(INPUTS!$J$135="Upfront",INPUTS!$J$135="Even",INPUTS!$J$135="Front-loaded",INPUTS!$J$135="Back-loaded",INPUTS!$J$135="S-curve"),IF(AND(ISNUMBER(INPUTS!$K$135),AD$7&gt;=INPUTS!$K$135,AD$7&lt;=IF(INPUTS!$J$135="Upfront",INPUTS!$K$135,INPUTS!$L$135)),1,0),IF(INPUTS!$J$135="Follow Project Life",AD$17,IF(INPUTS!$J$135="At Project End",--(AD$7=INPUTS!$C$29),0))))</f>
        <v>0</v>
      </c>
      <c r="AE136" s="108" t="n">
        <f aca="false">IF(OR(INPUTS!$F$135&lt;&gt;"Yes",AE$16=0),0,IF(OR(INPUTS!$J$135="Upfront",INPUTS!$J$135="Even",INPUTS!$J$135="Front-loaded",INPUTS!$J$135="Back-loaded",INPUTS!$J$135="S-curve"),IF(AND(ISNUMBER(INPUTS!$K$135),AE$7&gt;=INPUTS!$K$135,AE$7&lt;=IF(INPUTS!$J$135="Upfront",INPUTS!$K$135,INPUTS!$L$135)),1,0),IF(INPUTS!$J$135="Follow Project Life",AE$17,IF(INPUTS!$J$135="At Project End",--(AE$7=INPUTS!$C$29),0))))</f>
        <v>0</v>
      </c>
      <c r="AF136" s="108" t="n">
        <f aca="false">IF(OR(INPUTS!$F$135&lt;&gt;"Yes",AF$16=0),0,IF(OR(INPUTS!$J$135="Upfront",INPUTS!$J$135="Even",INPUTS!$J$135="Front-loaded",INPUTS!$J$135="Back-loaded",INPUTS!$J$135="S-curve"),IF(AND(ISNUMBER(INPUTS!$K$135),AF$7&gt;=INPUTS!$K$135,AF$7&lt;=IF(INPUTS!$J$135="Upfront",INPUTS!$K$135,INPUTS!$L$135)),1,0),IF(INPUTS!$J$135="Follow Project Life",AF$17,IF(INPUTS!$J$135="At Project End",--(AF$7=INPUTS!$C$29),0))))</f>
        <v>0</v>
      </c>
      <c r="AG136" s="108" t="n">
        <f aca="false">IF(OR(INPUTS!$F$135&lt;&gt;"Yes",AG$16=0),0,IF(OR(INPUTS!$J$135="Upfront",INPUTS!$J$135="Even",INPUTS!$J$135="Front-loaded",INPUTS!$J$135="Back-loaded",INPUTS!$J$135="S-curve"),IF(AND(ISNUMBER(INPUTS!$K$135),AG$7&gt;=INPUTS!$K$135,AG$7&lt;=IF(INPUTS!$J$135="Upfront",INPUTS!$K$135,INPUTS!$L$135)),1,0),IF(INPUTS!$J$135="Follow Project Life",AG$17,IF(INPUTS!$J$135="At Project End",--(AG$7=INPUTS!$C$29),0))))</f>
        <v>0</v>
      </c>
      <c r="AH136" s="108" t="n">
        <f aca="false">IF(OR(INPUTS!$F$135&lt;&gt;"Yes",AH$16=0),0,IF(OR(INPUTS!$J$135="Upfront",INPUTS!$J$135="Even",INPUTS!$J$135="Front-loaded",INPUTS!$J$135="Back-loaded",INPUTS!$J$135="S-curve"),IF(AND(ISNUMBER(INPUTS!$K$135),AH$7&gt;=INPUTS!$K$135,AH$7&lt;=IF(INPUTS!$J$135="Upfront",INPUTS!$K$135,INPUTS!$L$135)),1,0),IF(INPUTS!$J$135="Follow Project Life",AH$17,IF(INPUTS!$J$135="At Project End",--(AH$7=INPUTS!$C$29),0))))</f>
        <v>0</v>
      </c>
      <c r="AI136" s="108" t="n">
        <f aca="false">IF(OR(INPUTS!$F$135&lt;&gt;"Yes",AI$16=0),0,IF(OR(INPUTS!$J$135="Upfront",INPUTS!$J$135="Even",INPUTS!$J$135="Front-loaded",INPUTS!$J$135="Back-loaded",INPUTS!$J$135="S-curve"),IF(AND(ISNUMBER(INPUTS!$K$135),AI$7&gt;=INPUTS!$K$135,AI$7&lt;=IF(INPUTS!$J$135="Upfront",INPUTS!$K$135,INPUTS!$L$135)),1,0),IF(INPUTS!$J$135="Follow Project Life",AI$17,IF(INPUTS!$J$135="At Project End",--(AI$7=INPUTS!$C$29),0))))</f>
        <v>0</v>
      </c>
      <c r="AJ136" s="108" t="n">
        <f aca="false">IF(OR(INPUTS!$F$135&lt;&gt;"Yes",AJ$16=0),0,IF(OR(INPUTS!$J$135="Upfront",INPUTS!$J$135="Even",INPUTS!$J$135="Front-loaded",INPUTS!$J$135="Back-loaded",INPUTS!$J$135="S-curve"),IF(AND(ISNUMBER(INPUTS!$K$135),AJ$7&gt;=INPUTS!$K$135,AJ$7&lt;=IF(INPUTS!$J$135="Upfront",INPUTS!$K$135,INPUTS!$L$135)),1,0),IF(INPUTS!$J$135="Follow Project Life",AJ$17,IF(INPUTS!$J$135="At Project End",--(AJ$7=INPUTS!$C$29),0))))</f>
        <v>0</v>
      </c>
      <c r="AK136" s="108" t="n">
        <f aca="false">IF(OR(INPUTS!$F$135&lt;&gt;"Yes",AK$16=0),0,IF(OR(INPUTS!$J$135="Upfront",INPUTS!$J$135="Even",INPUTS!$J$135="Front-loaded",INPUTS!$J$135="Back-loaded",INPUTS!$J$135="S-curve"),IF(AND(ISNUMBER(INPUTS!$K$135),AK$7&gt;=INPUTS!$K$135,AK$7&lt;=IF(INPUTS!$J$135="Upfront",INPUTS!$K$135,INPUTS!$L$135)),1,0),IF(INPUTS!$J$135="Follow Project Life",AK$17,IF(INPUTS!$J$135="At Project End",--(AK$7=INPUTS!$C$29),0))))</f>
        <v>0</v>
      </c>
      <c r="AL136" s="108" t="n">
        <f aca="false">IF(OR(INPUTS!$F$135&lt;&gt;"Yes",AL$16=0),0,IF(OR(INPUTS!$J$135="Upfront",INPUTS!$J$135="Even",INPUTS!$J$135="Front-loaded",INPUTS!$J$135="Back-loaded",INPUTS!$J$135="S-curve"),IF(AND(ISNUMBER(INPUTS!$K$135),AL$7&gt;=INPUTS!$K$135,AL$7&lt;=IF(INPUTS!$J$135="Upfront",INPUTS!$K$135,INPUTS!$L$135)),1,0),IF(INPUTS!$J$135="Follow Project Life",AL$17,IF(INPUTS!$J$135="At Project End",--(AL$7=INPUTS!$C$29),0))))</f>
        <v>0</v>
      </c>
      <c r="AM136" s="108" t="n">
        <f aca="false">IF(OR(INPUTS!$F$135&lt;&gt;"Yes",AM$16=0),0,IF(OR(INPUTS!$J$135="Upfront",INPUTS!$J$135="Even",INPUTS!$J$135="Front-loaded",INPUTS!$J$135="Back-loaded",INPUTS!$J$135="S-curve"),IF(AND(ISNUMBER(INPUTS!$K$135),AM$7&gt;=INPUTS!$K$135,AM$7&lt;=IF(INPUTS!$J$135="Upfront",INPUTS!$K$135,INPUTS!$L$135)),1,0),IF(INPUTS!$J$135="Follow Project Life",AM$17,IF(INPUTS!$J$135="At Project End",--(AM$7=INPUTS!$C$29),0))))</f>
        <v>0</v>
      </c>
      <c r="AN136" s="108" t="n">
        <f aca="false">IF(OR(INPUTS!$F$135&lt;&gt;"Yes",AN$16=0),0,IF(OR(INPUTS!$J$135="Upfront",INPUTS!$J$135="Even",INPUTS!$J$135="Front-loaded",INPUTS!$J$135="Back-loaded",INPUTS!$J$135="S-curve"),IF(AND(ISNUMBER(INPUTS!$K$135),AN$7&gt;=INPUTS!$K$135,AN$7&lt;=IF(INPUTS!$J$135="Upfront",INPUTS!$K$135,INPUTS!$L$135)),1,0),IF(INPUTS!$J$135="Follow Project Life",AN$17,IF(INPUTS!$J$135="At Project End",--(AN$7=INPUTS!$C$29),0))))</f>
        <v>0</v>
      </c>
      <c r="AO136" s="108" t="n">
        <f aca="false">IF(OR(INPUTS!$F$135&lt;&gt;"Yes",AO$16=0),0,IF(OR(INPUTS!$J$135="Upfront",INPUTS!$J$135="Even",INPUTS!$J$135="Front-loaded",INPUTS!$J$135="Back-loaded",INPUTS!$J$135="S-curve"),IF(AND(ISNUMBER(INPUTS!$K$135),AO$7&gt;=INPUTS!$K$135,AO$7&lt;=IF(INPUTS!$J$135="Upfront",INPUTS!$K$135,INPUTS!$L$135)),1,0),IF(INPUTS!$J$135="Follow Project Life",AO$17,IF(INPUTS!$J$135="At Project End",--(AO$7=INPUTS!$C$29),0))))</f>
        <v>0</v>
      </c>
      <c r="AP136" s="108" t="n">
        <f aca="false">IF(OR(INPUTS!$F$135&lt;&gt;"Yes",AP$16=0),0,IF(OR(INPUTS!$J$135="Upfront",INPUTS!$J$135="Even",INPUTS!$J$135="Front-loaded",INPUTS!$J$135="Back-loaded",INPUTS!$J$135="S-curve"),IF(AND(ISNUMBER(INPUTS!$K$135),AP$7&gt;=INPUTS!$K$135,AP$7&lt;=IF(INPUTS!$J$135="Upfront",INPUTS!$K$135,INPUTS!$L$135)),1,0),IF(INPUTS!$J$135="Follow Project Life",AP$17,IF(INPUTS!$J$135="At Project End",--(AP$7=INPUTS!$C$29),0))))</f>
        <v>0</v>
      </c>
      <c r="AQ136" s="108" t="n">
        <f aca="false">IF(OR(INPUTS!$F$135&lt;&gt;"Yes",AQ$16=0),0,IF(OR(INPUTS!$J$135="Upfront",INPUTS!$J$135="Even",INPUTS!$J$135="Front-loaded",INPUTS!$J$135="Back-loaded",INPUTS!$J$135="S-curve"),IF(AND(ISNUMBER(INPUTS!$K$135),AQ$7&gt;=INPUTS!$K$135,AQ$7&lt;=IF(INPUTS!$J$135="Upfront",INPUTS!$K$135,INPUTS!$L$135)),1,0),IF(INPUTS!$J$135="Follow Project Life",AQ$17,IF(INPUTS!$J$135="At Project End",--(AQ$7=INPUTS!$C$29),0))))</f>
        <v>0</v>
      </c>
    </row>
    <row r="137" customFormat="false" ht="15" hidden="false" customHeight="false" outlineLevel="0" collapsed="false">
      <c r="B137" s="3" t="s">
        <v>650</v>
      </c>
      <c r="C137" s="107" t="n">
        <f aca="false">MAX(D137:AQ137)</f>
        <v>0</v>
      </c>
      <c r="D137" s="108" t="n">
        <f aca="false">IF(D136=1,COUNTIF($D136:D136,1),0)</f>
        <v>0</v>
      </c>
      <c r="E137" s="108" t="n">
        <f aca="false">IF(E136=1,COUNTIF($D136:E136,1),0)</f>
        <v>0</v>
      </c>
      <c r="F137" s="108" t="n">
        <f aca="false">IF(F136=1,COUNTIF($D136:F136,1),0)</f>
        <v>0</v>
      </c>
      <c r="G137" s="108" t="n">
        <f aca="false">IF(G136=1,COUNTIF($D136:G136,1),0)</f>
        <v>0</v>
      </c>
      <c r="H137" s="108" t="n">
        <f aca="false">IF(H136=1,COUNTIF($D136:H136,1),0)</f>
        <v>0</v>
      </c>
      <c r="I137" s="108" t="n">
        <f aca="false">IF(I136=1,COUNTIF($D136:I136,1),0)</f>
        <v>0</v>
      </c>
      <c r="J137" s="108" t="n">
        <f aca="false">IF(J136=1,COUNTIF($D136:J136,1),0)</f>
        <v>0</v>
      </c>
      <c r="K137" s="108" t="n">
        <f aca="false">IF(K136=1,COUNTIF($D136:K136,1),0)</f>
        <v>0</v>
      </c>
      <c r="L137" s="108" t="n">
        <f aca="false">IF(L136=1,COUNTIF($D136:L136,1),0)</f>
        <v>0</v>
      </c>
      <c r="M137" s="108" t="n">
        <f aca="false">IF(M136=1,COUNTIF($D136:M136,1),0)</f>
        <v>0</v>
      </c>
      <c r="N137" s="108" t="n">
        <f aca="false">IF(N136=1,COUNTIF($D136:N136,1),0)</f>
        <v>0</v>
      </c>
      <c r="O137" s="108" t="n">
        <f aca="false">IF(O136=1,COUNTIF($D136:O136,1),0)</f>
        <v>0</v>
      </c>
      <c r="P137" s="108" t="n">
        <f aca="false">IF(P136=1,COUNTIF($D136:P136,1),0)</f>
        <v>0</v>
      </c>
      <c r="Q137" s="108" t="n">
        <f aca="false">IF(Q136=1,COUNTIF($D136:Q136,1),0)</f>
        <v>0</v>
      </c>
      <c r="R137" s="108" t="n">
        <f aca="false">IF(R136=1,COUNTIF($D136:R136,1),0)</f>
        <v>0</v>
      </c>
      <c r="S137" s="108" t="n">
        <f aca="false">IF(S136=1,COUNTIF($D136:S136,1),0)</f>
        <v>0</v>
      </c>
      <c r="T137" s="108" t="n">
        <f aca="false">IF(T136=1,COUNTIF($D136:T136,1),0)</f>
        <v>0</v>
      </c>
      <c r="U137" s="108" t="n">
        <f aca="false">IF(U136=1,COUNTIF($D136:U136,1),0)</f>
        <v>0</v>
      </c>
      <c r="V137" s="108" t="n">
        <f aca="false">IF(V136=1,COUNTIF($D136:V136,1),0)</f>
        <v>0</v>
      </c>
      <c r="W137" s="108" t="n">
        <f aca="false">IF(W136=1,COUNTIF($D136:W136,1),0)</f>
        <v>0</v>
      </c>
      <c r="X137" s="108" t="n">
        <f aca="false">IF(X136=1,COUNTIF($D136:X136,1),0)</f>
        <v>0</v>
      </c>
      <c r="Y137" s="108" t="n">
        <f aca="false">IF(Y136=1,COUNTIF($D136:Y136,1),0)</f>
        <v>0</v>
      </c>
      <c r="Z137" s="108" t="n">
        <f aca="false">IF(Z136=1,COUNTIF($D136:Z136,1),0)</f>
        <v>0</v>
      </c>
      <c r="AA137" s="108" t="n">
        <f aca="false">IF(AA136=1,COUNTIF($D136:AA136,1),0)</f>
        <v>0</v>
      </c>
      <c r="AB137" s="108" t="n">
        <f aca="false">IF(AB136=1,COUNTIF($D136:AB136,1),0)</f>
        <v>0</v>
      </c>
      <c r="AC137" s="108" t="n">
        <f aca="false">IF(AC136=1,COUNTIF($D136:AC136,1),0)</f>
        <v>0</v>
      </c>
      <c r="AD137" s="108" t="n">
        <f aca="false">IF(AD136=1,COUNTIF($D136:AD136,1),0)</f>
        <v>0</v>
      </c>
      <c r="AE137" s="108" t="n">
        <f aca="false">IF(AE136=1,COUNTIF($D136:AE136,1),0)</f>
        <v>0</v>
      </c>
      <c r="AF137" s="108" t="n">
        <f aca="false">IF(AF136=1,COUNTIF($D136:AF136,1),0)</f>
        <v>0</v>
      </c>
      <c r="AG137" s="108" t="n">
        <f aca="false">IF(AG136=1,COUNTIF($D136:AG136,1),0)</f>
        <v>0</v>
      </c>
      <c r="AH137" s="108" t="n">
        <f aca="false">IF(AH136=1,COUNTIF($D136:AH136,1),0)</f>
        <v>0</v>
      </c>
      <c r="AI137" s="108" t="n">
        <f aca="false">IF(AI136=1,COUNTIF($D136:AI136,1),0)</f>
        <v>0</v>
      </c>
      <c r="AJ137" s="108" t="n">
        <f aca="false">IF(AJ136=1,COUNTIF($D136:AJ136,1),0)</f>
        <v>0</v>
      </c>
      <c r="AK137" s="108" t="n">
        <f aca="false">IF(AK136=1,COUNTIF($D136:AK136,1),0)</f>
        <v>0</v>
      </c>
      <c r="AL137" s="108" t="n">
        <f aca="false">IF(AL136=1,COUNTIF($D136:AL136,1),0)</f>
        <v>0</v>
      </c>
      <c r="AM137" s="108" t="n">
        <f aca="false">IF(AM136=1,COUNTIF($D136:AM136,1),0)</f>
        <v>0</v>
      </c>
      <c r="AN137" s="108" t="n">
        <f aca="false">IF(AN136=1,COUNTIF($D136:AN136,1),0)</f>
        <v>0</v>
      </c>
      <c r="AO137" s="108" t="n">
        <f aca="false">IF(AO136=1,COUNTIF($D136:AO136,1),0)</f>
        <v>0</v>
      </c>
      <c r="AP137" s="108" t="n">
        <f aca="false">IF(AP136=1,COUNTIF($D136:AP136,1),0)</f>
        <v>0</v>
      </c>
      <c r="AQ137" s="108" t="n">
        <f aca="false">IF(AQ136=1,COUNTIF($D136:AQ136,1),0)</f>
        <v>0</v>
      </c>
    </row>
    <row r="138" customFormat="false" ht="15" hidden="false" customHeight="false" outlineLevel="0" collapsed="false">
      <c r="B138" s="17" t="s">
        <v>651</v>
      </c>
      <c r="C138" s="105" t="str">
        <f aca="false">IF(INPUTS!$M$135="","",IF(INPUTS!$M$135&lt;&gt;"OK","ERROR",IF(C136=IF(INPUTS!$F$135&lt;&gt;"Yes",0,IF(OR(INPUTS!$J$135="Upfront",INPUTS!$J$135="Even",INPUTS!$J$135="Front-loaded",INPUTS!$J$135="Back-loaded",INPUTS!$J$135="S-curve"),IF(ISNUMBER(INPUTS!$K$135),IF(INPUTS!$J$135="Upfront",INPUTS!$K$135,INPUTS!$L$135)-INPUTS!$K$135+1,0),IF(INPUTS!$J$135="Follow Project Life",INPUTS!$C$29,IF(INPUTS!$J$135="At Project End",1,0)))),"OK","ERROR")))</f>
        <v>OK</v>
      </c>
    </row>
    <row r="139" customFormat="false" ht="15" hidden="false" customHeight="false" outlineLevel="0" collapsed="false">
      <c r="B139" s="110" t="str">
        <f aca="false">IF(INPUTS!$B$136="","Spare cost row",INPUTS!$B$136)</f>
        <v>Commercial Construction Cost</v>
      </c>
      <c r="C139" s="111" t="str">
        <f aca="false">IF(INPUTS!$J$136="","",INPUTS!$J$136)</f>
        <v>Follow Construction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</row>
    <row r="140" customFormat="false" ht="15" hidden="false" customHeight="false" outlineLevel="0" collapsed="false">
      <c r="B140" s="3" t="s">
        <v>649</v>
      </c>
      <c r="C140" s="107" t="n">
        <f aca="false">SUM(D140:AQ140)</f>
        <v>0</v>
      </c>
      <c r="D140" s="108" t="n">
        <f aca="false">IF(OR(INPUTS!$F$136&lt;&gt;"Yes",D$16=0),0,IF(OR(INPUTS!$J$136="Upfront",INPUTS!$J$136="Even",INPUTS!$J$136="Front-loaded",INPUTS!$J$136="Back-loaded",INPUTS!$J$136="S-curve"),IF(AND(ISNUMBER(INPUTS!$K$136),D$7&gt;=INPUTS!$K$136,D$7&lt;=IF(INPUTS!$J$136="Upfront",INPUTS!$K$136,INPUTS!$L$136)),1,0),IF(INPUTS!$J$136="Follow Project Life",D$17,IF(INPUTS!$J$136="At Project End",--(D$7=INPUTS!$C$29),0))))</f>
        <v>0</v>
      </c>
      <c r="E140" s="108" t="n">
        <f aca="false">IF(OR(INPUTS!$F$136&lt;&gt;"Yes",E$16=0),0,IF(OR(INPUTS!$J$136="Upfront",INPUTS!$J$136="Even",INPUTS!$J$136="Front-loaded",INPUTS!$J$136="Back-loaded",INPUTS!$J$136="S-curve"),IF(AND(ISNUMBER(INPUTS!$K$136),E$7&gt;=INPUTS!$K$136,E$7&lt;=IF(INPUTS!$J$136="Upfront",INPUTS!$K$136,INPUTS!$L$136)),1,0),IF(INPUTS!$J$136="Follow Project Life",E$17,IF(INPUTS!$J$136="At Project End",--(E$7=INPUTS!$C$29),0))))</f>
        <v>0</v>
      </c>
      <c r="F140" s="108" t="n">
        <f aca="false">IF(OR(INPUTS!$F$136&lt;&gt;"Yes",F$16=0),0,IF(OR(INPUTS!$J$136="Upfront",INPUTS!$J$136="Even",INPUTS!$J$136="Front-loaded",INPUTS!$J$136="Back-loaded",INPUTS!$J$136="S-curve"),IF(AND(ISNUMBER(INPUTS!$K$136),F$7&gt;=INPUTS!$K$136,F$7&lt;=IF(INPUTS!$J$136="Upfront",INPUTS!$K$136,INPUTS!$L$136)),1,0),IF(INPUTS!$J$136="Follow Project Life",F$17,IF(INPUTS!$J$136="At Project End",--(F$7=INPUTS!$C$29),0))))</f>
        <v>0</v>
      </c>
      <c r="G140" s="108" t="n">
        <f aca="false">IF(OR(INPUTS!$F$136&lt;&gt;"Yes",G$16=0),0,IF(OR(INPUTS!$J$136="Upfront",INPUTS!$J$136="Even",INPUTS!$J$136="Front-loaded",INPUTS!$J$136="Back-loaded",INPUTS!$J$136="S-curve"),IF(AND(ISNUMBER(INPUTS!$K$136),G$7&gt;=INPUTS!$K$136,G$7&lt;=IF(INPUTS!$J$136="Upfront",INPUTS!$K$136,INPUTS!$L$136)),1,0),IF(INPUTS!$J$136="Follow Project Life",G$17,IF(INPUTS!$J$136="At Project End",--(G$7=INPUTS!$C$29),0))))</f>
        <v>0</v>
      </c>
      <c r="H140" s="108" t="n">
        <f aca="false">IF(OR(INPUTS!$F$136&lt;&gt;"Yes",H$16=0),0,IF(OR(INPUTS!$J$136="Upfront",INPUTS!$J$136="Even",INPUTS!$J$136="Front-loaded",INPUTS!$J$136="Back-loaded",INPUTS!$J$136="S-curve"),IF(AND(ISNUMBER(INPUTS!$K$136),H$7&gt;=INPUTS!$K$136,H$7&lt;=IF(INPUTS!$J$136="Upfront",INPUTS!$K$136,INPUTS!$L$136)),1,0),IF(INPUTS!$J$136="Follow Project Life",H$17,IF(INPUTS!$J$136="At Project End",--(H$7=INPUTS!$C$29),0))))</f>
        <v>0</v>
      </c>
      <c r="I140" s="108" t="n">
        <f aca="false">IF(OR(INPUTS!$F$136&lt;&gt;"Yes",I$16=0),0,IF(OR(INPUTS!$J$136="Upfront",INPUTS!$J$136="Even",INPUTS!$J$136="Front-loaded",INPUTS!$J$136="Back-loaded",INPUTS!$J$136="S-curve"),IF(AND(ISNUMBER(INPUTS!$K$136),I$7&gt;=INPUTS!$K$136,I$7&lt;=IF(INPUTS!$J$136="Upfront",INPUTS!$K$136,INPUTS!$L$136)),1,0),IF(INPUTS!$J$136="Follow Project Life",I$17,IF(INPUTS!$J$136="At Project End",--(I$7=INPUTS!$C$29),0))))</f>
        <v>0</v>
      </c>
      <c r="J140" s="108" t="n">
        <f aca="false">IF(OR(INPUTS!$F$136&lt;&gt;"Yes",J$16=0),0,IF(OR(INPUTS!$J$136="Upfront",INPUTS!$J$136="Even",INPUTS!$J$136="Front-loaded",INPUTS!$J$136="Back-loaded",INPUTS!$J$136="S-curve"),IF(AND(ISNUMBER(INPUTS!$K$136),J$7&gt;=INPUTS!$K$136,J$7&lt;=IF(INPUTS!$J$136="Upfront",INPUTS!$K$136,INPUTS!$L$136)),1,0),IF(INPUTS!$J$136="Follow Project Life",J$17,IF(INPUTS!$J$136="At Project End",--(J$7=INPUTS!$C$29),0))))</f>
        <v>0</v>
      </c>
      <c r="K140" s="108" t="n">
        <f aca="false">IF(OR(INPUTS!$F$136&lt;&gt;"Yes",K$16=0),0,IF(OR(INPUTS!$J$136="Upfront",INPUTS!$J$136="Even",INPUTS!$J$136="Front-loaded",INPUTS!$J$136="Back-loaded",INPUTS!$J$136="S-curve"),IF(AND(ISNUMBER(INPUTS!$K$136),K$7&gt;=INPUTS!$K$136,K$7&lt;=IF(INPUTS!$J$136="Upfront",INPUTS!$K$136,INPUTS!$L$136)),1,0),IF(INPUTS!$J$136="Follow Project Life",K$17,IF(INPUTS!$J$136="At Project End",--(K$7=INPUTS!$C$29),0))))</f>
        <v>0</v>
      </c>
      <c r="L140" s="108" t="n">
        <f aca="false">IF(OR(INPUTS!$F$136&lt;&gt;"Yes",L$16=0),0,IF(OR(INPUTS!$J$136="Upfront",INPUTS!$J$136="Even",INPUTS!$J$136="Front-loaded",INPUTS!$J$136="Back-loaded",INPUTS!$J$136="S-curve"),IF(AND(ISNUMBER(INPUTS!$K$136),L$7&gt;=INPUTS!$K$136,L$7&lt;=IF(INPUTS!$J$136="Upfront",INPUTS!$K$136,INPUTS!$L$136)),1,0),IF(INPUTS!$J$136="Follow Project Life",L$17,IF(INPUTS!$J$136="At Project End",--(L$7=INPUTS!$C$29),0))))</f>
        <v>0</v>
      </c>
      <c r="M140" s="108" t="n">
        <f aca="false">IF(OR(INPUTS!$F$136&lt;&gt;"Yes",M$16=0),0,IF(OR(INPUTS!$J$136="Upfront",INPUTS!$J$136="Even",INPUTS!$J$136="Front-loaded",INPUTS!$J$136="Back-loaded",INPUTS!$J$136="S-curve"),IF(AND(ISNUMBER(INPUTS!$K$136),M$7&gt;=INPUTS!$K$136,M$7&lt;=IF(INPUTS!$J$136="Upfront",INPUTS!$K$136,INPUTS!$L$136)),1,0),IF(INPUTS!$J$136="Follow Project Life",M$17,IF(INPUTS!$J$136="At Project End",--(M$7=INPUTS!$C$29),0))))</f>
        <v>0</v>
      </c>
      <c r="N140" s="108" t="n">
        <f aca="false">IF(OR(INPUTS!$F$136&lt;&gt;"Yes",N$16=0),0,IF(OR(INPUTS!$J$136="Upfront",INPUTS!$J$136="Even",INPUTS!$J$136="Front-loaded",INPUTS!$J$136="Back-loaded",INPUTS!$J$136="S-curve"),IF(AND(ISNUMBER(INPUTS!$K$136),N$7&gt;=INPUTS!$K$136,N$7&lt;=IF(INPUTS!$J$136="Upfront",INPUTS!$K$136,INPUTS!$L$136)),1,0),IF(INPUTS!$J$136="Follow Project Life",N$17,IF(INPUTS!$J$136="At Project End",--(N$7=INPUTS!$C$29),0))))</f>
        <v>0</v>
      </c>
      <c r="O140" s="108" t="n">
        <f aca="false">IF(OR(INPUTS!$F$136&lt;&gt;"Yes",O$16=0),0,IF(OR(INPUTS!$J$136="Upfront",INPUTS!$J$136="Even",INPUTS!$J$136="Front-loaded",INPUTS!$J$136="Back-loaded",INPUTS!$J$136="S-curve"),IF(AND(ISNUMBER(INPUTS!$K$136),O$7&gt;=INPUTS!$K$136,O$7&lt;=IF(INPUTS!$J$136="Upfront",INPUTS!$K$136,INPUTS!$L$136)),1,0),IF(INPUTS!$J$136="Follow Project Life",O$17,IF(INPUTS!$J$136="At Project End",--(O$7=INPUTS!$C$29),0))))</f>
        <v>0</v>
      </c>
      <c r="P140" s="108" t="n">
        <f aca="false">IF(OR(INPUTS!$F$136&lt;&gt;"Yes",P$16=0),0,IF(OR(INPUTS!$J$136="Upfront",INPUTS!$J$136="Even",INPUTS!$J$136="Front-loaded",INPUTS!$J$136="Back-loaded",INPUTS!$J$136="S-curve"),IF(AND(ISNUMBER(INPUTS!$K$136),P$7&gt;=INPUTS!$K$136,P$7&lt;=IF(INPUTS!$J$136="Upfront",INPUTS!$K$136,INPUTS!$L$136)),1,0),IF(INPUTS!$J$136="Follow Project Life",P$17,IF(INPUTS!$J$136="At Project End",--(P$7=INPUTS!$C$29),0))))</f>
        <v>0</v>
      </c>
      <c r="Q140" s="108" t="n">
        <f aca="false">IF(OR(INPUTS!$F$136&lt;&gt;"Yes",Q$16=0),0,IF(OR(INPUTS!$J$136="Upfront",INPUTS!$J$136="Even",INPUTS!$J$136="Front-loaded",INPUTS!$J$136="Back-loaded",INPUTS!$J$136="S-curve"),IF(AND(ISNUMBER(INPUTS!$K$136),Q$7&gt;=INPUTS!$K$136,Q$7&lt;=IF(INPUTS!$J$136="Upfront",INPUTS!$K$136,INPUTS!$L$136)),1,0),IF(INPUTS!$J$136="Follow Project Life",Q$17,IF(INPUTS!$J$136="At Project End",--(Q$7=INPUTS!$C$29),0))))</f>
        <v>0</v>
      </c>
      <c r="R140" s="108" t="n">
        <f aca="false">IF(OR(INPUTS!$F$136&lt;&gt;"Yes",R$16=0),0,IF(OR(INPUTS!$J$136="Upfront",INPUTS!$J$136="Even",INPUTS!$J$136="Front-loaded",INPUTS!$J$136="Back-loaded",INPUTS!$J$136="S-curve"),IF(AND(ISNUMBER(INPUTS!$K$136),R$7&gt;=INPUTS!$K$136,R$7&lt;=IF(INPUTS!$J$136="Upfront",INPUTS!$K$136,INPUTS!$L$136)),1,0),IF(INPUTS!$J$136="Follow Project Life",R$17,IF(INPUTS!$J$136="At Project End",--(R$7=INPUTS!$C$29),0))))</f>
        <v>0</v>
      </c>
      <c r="S140" s="108" t="n">
        <f aca="false">IF(OR(INPUTS!$F$136&lt;&gt;"Yes",S$16=0),0,IF(OR(INPUTS!$J$136="Upfront",INPUTS!$J$136="Even",INPUTS!$J$136="Front-loaded",INPUTS!$J$136="Back-loaded",INPUTS!$J$136="S-curve"),IF(AND(ISNUMBER(INPUTS!$K$136),S$7&gt;=INPUTS!$K$136,S$7&lt;=IF(INPUTS!$J$136="Upfront",INPUTS!$K$136,INPUTS!$L$136)),1,0),IF(INPUTS!$J$136="Follow Project Life",S$17,IF(INPUTS!$J$136="At Project End",--(S$7=INPUTS!$C$29),0))))</f>
        <v>0</v>
      </c>
      <c r="T140" s="108" t="n">
        <f aca="false">IF(OR(INPUTS!$F$136&lt;&gt;"Yes",T$16=0),0,IF(OR(INPUTS!$J$136="Upfront",INPUTS!$J$136="Even",INPUTS!$J$136="Front-loaded",INPUTS!$J$136="Back-loaded",INPUTS!$J$136="S-curve"),IF(AND(ISNUMBER(INPUTS!$K$136),T$7&gt;=INPUTS!$K$136,T$7&lt;=IF(INPUTS!$J$136="Upfront",INPUTS!$K$136,INPUTS!$L$136)),1,0),IF(INPUTS!$J$136="Follow Project Life",T$17,IF(INPUTS!$J$136="At Project End",--(T$7=INPUTS!$C$29),0))))</f>
        <v>0</v>
      </c>
      <c r="U140" s="108" t="n">
        <f aca="false">IF(OR(INPUTS!$F$136&lt;&gt;"Yes",U$16=0),0,IF(OR(INPUTS!$J$136="Upfront",INPUTS!$J$136="Even",INPUTS!$J$136="Front-loaded",INPUTS!$J$136="Back-loaded",INPUTS!$J$136="S-curve"),IF(AND(ISNUMBER(INPUTS!$K$136),U$7&gt;=INPUTS!$K$136,U$7&lt;=IF(INPUTS!$J$136="Upfront",INPUTS!$K$136,INPUTS!$L$136)),1,0),IF(INPUTS!$J$136="Follow Project Life",U$17,IF(INPUTS!$J$136="At Project End",--(U$7=INPUTS!$C$29),0))))</f>
        <v>0</v>
      </c>
      <c r="V140" s="108" t="n">
        <f aca="false">IF(OR(INPUTS!$F$136&lt;&gt;"Yes",V$16=0),0,IF(OR(INPUTS!$J$136="Upfront",INPUTS!$J$136="Even",INPUTS!$J$136="Front-loaded",INPUTS!$J$136="Back-loaded",INPUTS!$J$136="S-curve"),IF(AND(ISNUMBER(INPUTS!$K$136),V$7&gt;=INPUTS!$K$136,V$7&lt;=IF(INPUTS!$J$136="Upfront",INPUTS!$K$136,INPUTS!$L$136)),1,0),IF(INPUTS!$J$136="Follow Project Life",V$17,IF(INPUTS!$J$136="At Project End",--(V$7=INPUTS!$C$29),0))))</f>
        <v>0</v>
      </c>
      <c r="W140" s="108" t="n">
        <f aca="false">IF(OR(INPUTS!$F$136&lt;&gt;"Yes",W$16=0),0,IF(OR(INPUTS!$J$136="Upfront",INPUTS!$J$136="Even",INPUTS!$J$136="Front-loaded",INPUTS!$J$136="Back-loaded",INPUTS!$J$136="S-curve"),IF(AND(ISNUMBER(INPUTS!$K$136),W$7&gt;=INPUTS!$K$136,W$7&lt;=IF(INPUTS!$J$136="Upfront",INPUTS!$K$136,INPUTS!$L$136)),1,0),IF(INPUTS!$J$136="Follow Project Life",W$17,IF(INPUTS!$J$136="At Project End",--(W$7=INPUTS!$C$29),0))))</f>
        <v>0</v>
      </c>
      <c r="X140" s="108" t="n">
        <f aca="false">IF(OR(INPUTS!$F$136&lt;&gt;"Yes",X$16=0),0,IF(OR(INPUTS!$J$136="Upfront",INPUTS!$J$136="Even",INPUTS!$J$136="Front-loaded",INPUTS!$J$136="Back-loaded",INPUTS!$J$136="S-curve"),IF(AND(ISNUMBER(INPUTS!$K$136),X$7&gt;=INPUTS!$K$136,X$7&lt;=IF(INPUTS!$J$136="Upfront",INPUTS!$K$136,INPUTS!$L$136)),1,0),IF(INPUTS!$J$136="Follow Project Life",X$17,IF(INPUTS!$J$136="At Project End",--(X$7=INPUTS!$C$29),0))))</f>
        <v>0</v>
      </c>
      <c r="Y140" s="108" t="n">
        <f aca="false">IF(OR(INPUTS!$F$136&lt;&gt;"Yes",Y$16=0),0,IF(OR(INPUTS!$J$136="Upfront",INPUTS!$J$136="Even",INPUTS!$J$136="Front-loaded",INPUTS!$J$136="Back-loaded",INPUTS!$J$136="S-curve"),IF(AND(ISNUMBER(INPUTS!$K$136),Y$7&gt;=INPUTS!$K$136,Y$7&lt;=IF(INPUTS!$J$136="Upfront",INPUTS!$K$136,INPUTS!$L$136)),1,0),IF(INPUTS!$J$136="Follow Project Life",Y$17,IF(INPUTS!$J$136="At Project End",--(Y$7=INPUTS!$C$29),0))))</f>
        <v>0</v>
      </c>
      <c r="Z140" s="108" t="n">
        <f aca="false">IF(OR(INPUTS!$F$136&lt;&gt;"Yes",Z$16=0),0,IF(OR(INPUTS!$J$136="Upfront",INPUTS!$J$136="Even",INPUTS!$J$136="Front-loaded",INPUTS!$J$136="Back-loaded",INPUTS!$J$136="S-curve"),IF(AND(ISNUMBER(INPUTS!$K$136),Z$7&gt;=INPUTS!$K$136,Z$7&lt;=IF(INPUTS!$J$136="Upfront",INPUTS!$K$136,INPUTS!$L$136)),1,0),IF(INPUTS!$J$136="Follow Project Life",Z$17,IF(INPUTS!$J$136="At Project End",--(Z$7=INPUTS!$C$29),0))))</f>
        <v>0</v>
      </c>
      <c r="AA140" s="108" t="n">
        <f aca="false">IF(OR(INPUTS!$F$136&lt;&gt;"Yes",AA$16=0),0,IF(OR(INPUTS!$J$136="Upfront",INPUTS!$J$136="Even",INPUTS!$J$136="Front-loaded",INPUTS!$J$136="Back-loaded",INPUTS!$J$136="S-curve"),IF(AND(ISNUMBER(INPUTS!$K$136),AA$7&gt;=INPUTS!$K$136,AA$7&lt;=IF(INPUTS!$J$136="Upfront",INPUTS!$K$136,INPUTS!$L$136)),1,0),IF(INPUTS!$J$136="Follow Project Life",AA$17,IF(INPUTS!$J$136="At Project End",--(AA$7=INPUTS!$C$29),0))))</f>
        <v>0</v>
      </c>
      <c r="AB140" s="108" t="n">
        <f aca="false">IF(OR(INPUTS!$F$136&lt;&gt;"Yes",AB$16=0),0,IF(OR(INPUTS!$J$136="Upfront",INPUTS!$J$136="Even",INPUTS!$J$136="Front-loaded",INPUTS!$J$136="Back-loaded",INPUTS!$J$136="S-curve"),IF(AND(ISNUMBER(INPUTS!$K$136),AB$7&gt;=INPUTS!$K$136,AB$7&lt;=IF(INPUTS!$J$136="Upfront",INPUTS!$K$136,INPUTS!$L$136)),1,0),IF(INPUTS!$J$136="Follow Project Life",AB$17,IF(INPUTS!$J$136="At Project End",--(AB$7=INPUTS!$C$29),0))))</f>
        <v>0</v>
      </c>
      <c r="AC140" s="108" t="n">
        <f aca="false">IF(OR(INPUTS!$F$136&lt;&gt;"Yes",AC$16=0),0,IF(OR(INPUTS!$J$136="Upfront",INPUTS!$J$136="Even",INPUTS!$J$136="Front-loaded",INPUTS!$J$136="Back-loaded",INPUTS!$J$136="S-curve"),IF(AND(ISNUMBER(INPUTS!$K$136),AC$7&gt;=INPUTS!$K$136,AC$7&lt;=IF(INPUTS!$J$136="Upfront",INPUTS!$K$136,INPUTS!$L$136)),1,0),IF(INPUTS!$J$136="Follow Project Life",AC$17,IF(INPUTS!$J$136="At Project End",--(AC$7=INPUTS!$C$29),0))))</f>
        <v>0</v>
      </c>
      <c r="AD140" s="108" t="n">
        <f aca="false">IF(OR(INPUTS!$F$136&lt;&gt;"Yes",AD$16=0),0,IF(OR(INPUTS!$J$136="Upfront",INPUTS!$J$136="Even",INPUTS!$J$136="Front-loaded",INPUTS!$J$136="Back-loaded",INPUTS!$J$136="S-curve"),IF(AND(ISNUMBER(INPUTS!$K$136),AD$7&gt;=INPUTS!$K$136,AD$7&lt;=IF(INPUTS!$J$136="Upfront",INPUTS!$K$136,INPUTS!$L$136)),1,0),IF(INPUTS!$J$136="Follow Project Life",AD$17,IF(INPUTS!$J$136="At Project End",--(AD$7=INPUTS!$C$29),0))))</f>
        <v>0</v>
      </c>
      <c r="AE140" s="108" t="n">
        <f aca="false">IF(OR(INPUTS!$F$136&lt;&gt;"Yes",AE$16=0),0,IF(OR(INPUTS!$J$136="Upfront",INPUTS!$J$136="Even",INPUTS!$J$136="Front-loaded",INPUTS!$J$136="Back-loaded",INPUTS!$J$136="S-curve"),IF(AND(ISNUMBER(INPUTS!$K$136),AE$7&gt;=INPUTS!$K$136,AE$7&lt;=IF(INPUTS!$J$136="Upfront",INPUTS!$K$136,INPUTS!$L$136)),1,0),IF(INPUTS!$J$136="Follow Project Life",AE$17,IF(INPUTS!$J$136="At Project End",--(AE$7=INPUTS!$C$29),0))))</f>
        <v>0</v>
      </c>
      <c r="AF140" s="108" t="n">
        <f aca="false">IF(OR(INPUTS!$F$136&lt;&gt;"Yes",AF$16=0),0,IF(OR(INPUTS!$J$136="Upfront",INPUTS!$J$136="Even",INPUTS!$J$136="Front-loaded",INPUTS!$J$136="Back-loaded",INPUTS!$J$136="S-curve"),IF(AND(ISNUMBER(INPUTS!$K$136),AF$7&gt;=INPUTS!$K$136,AF$7&lt;=IF(INPUTS!$J$136="Upfront",INPUTS!$K$136,INPUTS!$L$136)),1,0),IF(INPUTS!$J$136="Follow Project Life",AF$17,IF(INPUTS!$J$136="At Project End",--(AF$7=INPUTS!$C$29),0))))</f>
        <v>0</v>
      </c>
      <c r="AG140" s="108" t="n">
        <f aca="false">IF(OR(INPUTS!$F$136&lt;&gt;"Yes",AG$16=0),0,IF(OR(INPUTS!$J$136="Upfront",INPUTS!$J$136="Even",INPUTS!$J$136="Front-loaded",INPUTS!$J$136="Back-loaded",INPUTS!$J$136="S-curve"),IF(AND(ISNUMBER(INPUTS!$K$136),AG$7&gt;=INPUTS!$K$136,AG$7&lt;=IF(INPUTS!$J$136="Upfront",INPUTS!$K$136,INPUTS!$L$136)),1,0),IF(INPUTS!$J$136="Follow Project Life",AG$17,IF(INPUTS!$J$136="At Project End",--(AG$7=INPUTS!$C$29),0))))</f>
        <v>0</v>
      </c>
      <c r="AH140" s="108" t="n">
        <f aca="false">IF(OR(INPUTS!$F$136&lt;&gt;"Yes",AH$16=0),0,IF(OR(INPUTS!$J$136="Upfront",INPUTS!$J$136="Even",INPUTS!$J$136="Front-loaded",INPUTS!$J$136="Back-loaded",INPUTS!$J$136="S-curve"),IF(AND(ISNUMBER(INPUTS!$K$136),AH$7&gt;=INPUTS!$K$136,AH$7&lt;=IF(INPUTS!$J$136="Upfront",INPUTS!$K$136,INPUTS!$L$136)),1,0),IF(INPUTS!$J$136="Follow Project Life",AH$17,IF(INPUTS!$J$136="At Project End",--(AH$7=INPUTS!$C$29),0))))</f>
        <v>0</v>
      </c>
      <c r="AI140" s="108" t="n">
        <f aca="false">IF(OR(INPUTS!$F$136&lt;&gt;"Yes",AI$16=0),0,IF(OR(INPUTS!$J$136="Upfront",INPUTS!$J$136="Even",INPUTS!$J$136="Front-loaded",INPUTS!$J$136="Back-loaded",INPUTS!$J$136="S-curve"),IF(AND(ISNUMBER(INPUTS!$K$136),AI$7&gt;=INPUTS!$K$136,AI$7&lt;=IF(INPUTS!$J$136="Upfront",INPUTS!$K$136,INPUTS!$L$136)),1,0),IF(INPUTS!$J$136="Follow Project Life",AI$17,IF(INPUTS!$J$136="At Project End",--(AI$7=INPUTS!$C$29),0))))</f>
        <v>0</v>
      </c>
      <c r="AJ140" s="108" t="n">
        <f aca="false">IF(OR(INPUTS!$F$136&lt;&gt;"Yes",AJ$16=0),0,IF(OR(INPUTS!$J$136="Upfront",INPUTS!$J$136="Even",INPUTS!$J$136="Front-loaded",INPUTS!$J$136="Back-loaded",INPUTS!$J$136="S-curve"),IF(AND(ISNUMBER(INPUTS!$K$136),AJ$7&gt;=INPUTS!$K$136,AJ$7&lt;=IF(INPUTS!$J$136="Upfront",INPUTS!$K$136,INPUTS!$L$136)),1,0),IF(INPUTS!$J$136="Follow Project Life",AJ$17,IF(INPUTS!$J$136="At Project End",--(AJ$7=INPUTS!$C$29),0))))</f>
        <v>0</v>
      </c>
      <c r="AK140" s="108" t="n">
        <f aca="false">IF(OR(INPUTS!$F$136&lt;&gt;"Yes",AK$16=0),0,IF(OR(INPUTS!$J$136="Upfront",INPUTS!$J$136="Even",INPUTS!$J$136="Front-loaded",INPUTS!$J$136="Back-loaded",INPUTS!$J$136="S-curve"),IF(AND(ISNUMBER(INPUTS!$K$136),AK$7&gt;=INPUTS!$K$136,AK$7&lt;=IF(INPUTS!$J$136="Upfront",INPUTS!$K$136,INPUTS!$L$136)),1,0),IF(INPUTS!$J$136="Follow Project Life",AK$17,IF(INPUTS!$J$136="At Project End",--(AK$7=INPUTS!$C$29),0))))</f>
        <v>0</v>
      </c>
      <c r="AL140" s="108" t="n">
        <f aca="false">IF(OR(INPUTS!$F$136&lt;&gt;"Yes",AL$16=0),0,IF(OR(INPUTS!$J$136="Upfront",INPUTS!$J$136="Even",INPUTS!$J$136="Front-loaded",INPUTS!$J$136="Back-loaded",INPUTS!$J$136="S-curve"),IF(AND(ISNUMBER(INPUTS!$K$136),AL$7&gt;=INPUTS!$K$136,AL$7&lt;=IF(INPUTS!$J$136="Upfront",INPUTS!$K$136,INPUTS!$L$136)),1,0),IF(INPUTS!$J$136="Follow Project Life",AL$17,IF(INPUTS!$J$136="At Project End",--(AL$7=INPUTS!$C$29),0))))</f>
        <v>0</v>
      </c>
      <c r="AM140" s="108" t="n">
        <f aca="false">IF(OR(INPUTS!$F$136&lt;&gt;"Yes",AM$16=0),0,IF(OR(INPUTS!$J$136="Upfront",INPUTS!$J$136="Even",INPUTS!$J$136="Front-loaded",INPUTS!$J$136="Back-loaded",INPUTS!$J$136="S-curve"),IF(AND(ISNUMBER(INPUTS!$K$136),AM$7&gt;=INPUTS!$K$136,AM$7&lt;=IF(INPUTS!$J$136="Upfront",INPUTS!$K$136,INPUTS!$L$136)),1,0),IF(INPUTS!$J$136="Follow Project Life",AM$17,IF(INPUTS!$J$136="At Project End",--(AM$7=INPUTS!$C$29),0))))</f>
        <v>0</v>
      </c>
      <c r="AN140" s="108" t="n">
        <f aca="false">IF(OR(INPUTS!$F$136&lt;&gt;"Yes",AN$16=0),0,IF(OR(INPUTS!$J$136="Upfront",INPUTS!$J$136="Even",INPUTS!$J$136="Front-loaded",INPUTS!$J$136="Back-loaded",INPUTS!$J$136="S-curve"),IF(AND(ISNUMBER(INPUTS!$K$136),AN$7&gt;=INPUTS!$K$136,AN$7&lt;=IF(INPUTS!$J$136="Upfront",INPUTS!$K$136,INPUTS!$L$136)),1,0),IF(INPUTS!$J$136="Follow Project Life",AN$17,IF(INPUTS!$J$136="At Project End",--(AN$7=INPUTS!$C$29),0))))</f>
        <v>0</v>
      </c>
      <c r="AO140" s="108" t="n">
        <f aca="false">IF(OR(INPUTS!$F$136&lt;&gt;"Yes",AO$16=0),0,IF(OR(INPUTS!$J$136="Upfront",INPUTS!$J$136="Even",INPUTS!$J$136="Front-loaded",INPUTS!$J$136="Back-loaded",INPUTS!$J$136="S-curve"),IF(AND(ISNUMBER(INPUTS!$K$136),AO$7&gt;=INPUTS!$K$136,AO$7&lt;=IF(INPUTS!$J$136="Upfront",INPUTS!$K$136,INPUTS!$L$136)),1,0),IF(INPUTS!$J$136="Follow Project Life",AO$17,IF(INPUTS!$J$136="At Project End",--(AO$7=INPUTS!$C$29),0))))</f>
        <v>0</v>
      </c>
      <c r="AP140" s="108" t="n">
        <f aca="false">IF(OR(INPUTS!$F$136&lt;&gt;"Yes",AP$16=0),0,IF(OR(INPUTS!$J$136="Upfront",INPUTS!$J$136="Even",INPUTS!$J$136="Front-loaded",INPUTS!$J$136="Back-loaded",INPUTS!$J$136="S-curve"),IF(AND(ISNUMBER(INPUTS!$K$136),AP$7&gt;=INPUTS!$K$136,AP$7&lt;=IF(INPUTS!$J$136="Upfront",INPUTS!$K$136,INPUTS!$L$136)),1,0),IF(INPUTS!$J$136="Follow Project Life",AP$17,IF(INPUTS!$J$136="At Project End",--(AP$7=INPUTS!$C$29),0))))</f>
        <v>0</v>
      </c>
      <c r="AQ140" s="108" t="n">
        <f aca="false">IF(OR(INPUTS!$F$136&lt;&gt;"Yes",AQ$16=0),0,IF(OR(INPUTS!$J$136="Upfront",INPUTS!$J$136="Even",INPUTS!$J$136="Front-loaded",INPUTS!$J$136="Back-loaded",INPUTS!$J$136="S-curve"),IF(AND(ISNUMBER(INPUTS!$K$136),AQ$7&gt;=INPUTS!$K$136,AQ$7&lt;=IF(INPUTS!$J$136="Upfront",INPUTS!$K$136,INPUTS!$L$136)),1,0),IF(INPUTS!$J$136="Follow Project Life",AQ$17,IF(INPUTS!$J$136="At Project End",--(AQ$7=INPUTS!$C$29),0))))</f>
        <v>0</v>
      </c>
    </row>
    <row r="141" customFormat="false" ht="15" hidden="false" customHeight="false" outlineLevel="0" collapsed="false">
      <c r="B141" s="3" t="s">
        <v>650</v>
      </c>
      <c r="C141" s="107" t="n">
        <f aca="false">MAX(D141:AQ141)</f>
        <v>0</v>
      </c>
      <c r="D141" s="108" t="n">
        <f aca="false">IF(D140=1,COUNTIF($D140:D140,1),0)</f>
        <v>0</v>
      </c>
      <c r="E141" s="108" t="n">
        <f aca="false">IF(E140=1,COUNTIF($D140:E140,1),0)</f>
        <v>0</v>
      </c>
      <c r="F141" s="108" t="n">
        <f aca="false">IF(F140=1,COUNTIF($D140:F140,1),0)</f>
        <v>0</v>
      </c>
      <c r="G141" s="108" t="n">
        <f aca="false">IF(G140=1,COUNTIF($D140:G140,1),0)</f>
        <v>0</v>
      </c>
      <c r="H141" s="108" t="n">
        <f aca="false">IF(H140=1,COUNTIF($D140:H140,1),0)</f>
        <v>0</v>
      </c>
      <c r="I141" s="108" t="n">
        <f aca="false">IF(I140=1,COUNTIF($D140:I140,1),0)</f>
        <v>0</v>
      </c>
      <c r="J141" s="108" t="n">
        <f aca="false">IF(J140=1,COUNTIF($D140:J140,1),0)</f>
        <v>0</v>
      </c>
      <c r="K141" s="108" t="n">
        <f aca="false">IF(K140=1,COUNTIF($D140:K140,1),0)</f>
        <v>0</v>
      </c>
      <c r="L141" s="108" t="n">
        <f aca="false">IF(L140=1,COUNTIF($D140:L140,1),0)</f>
        <v>0</v>
      </c>
      <c r="M141" s="108" t="n">
        <f aca="false">IF(M140=1,COUNTIF($D140:M140,1),0)</f>
        <v>0</v>
      </c>
      <c r="N141" s="108" t="n">
        <f aca="false">IF(N140=1,COUNTIF($D140:N140,1),0)</f>
        <v>0</v>
      </c>
      <c r="O141" s="108" t="n">
        <f aca="false">IF(O140=1,COUNTIF($D140:O140,1),0)</f>
        <v>0</v>
      </c>
      <c r="P141" s="108" t="n">
        <f aca="false">IF(P140=1,COUNTIF($D140:P140,1),0)</f>
        <v>0</v>
      </c>
      <c r="Q141" s="108" t="n">
        <f aca="false">IF(Q140=1,COUNTIF($D140:Q140,1),0)</f>
        <v>0</v>
      </c>
      <c r="R141" s="108" t="n">
        <f aca="false">IF(R140=1,COUNTIF($D140:R140,1),0)</f>
        <v>0</v>
      </c>
      <c r="S141" s="108" t="n">
        <f aca="false">IF(S140=1,COUNTIF($D140:S140,1),0)</f>
        <v>0</v>
      </c>
      <c r="T141" s="108" t="n">
        <f aca="false">IF(T140=1,COUNTIF($D140:T140,1),0)</f>
        <v>0</v>
      </c>
      <c r="U141" s="108" t="n">
        <f aca="false">IF(U140=1,COUNTIF($D140:U140,1),0)</f>
        <v>0</v>
      </c>
      <c r="V141" s="108" t="n">
        <f aca="false">IF(V140=1,COUNTIF($D140:V140,1),0)</f>
        <v>0</v>
      </c>
      <c r="W141" s="108" t="n">
        <f aca="false">IF(W140=1,COUNTIF($D140:W140,1),0)</f>
        <v>0</v>
      </c>
      <c r="X141" s="108" t="n">
        <f aca="false">IF(X140=1,COUNTIF($D140:X140,1),0)</f>
        <v>0</v>
      </c>
      <c r="Y141" s="108" t="n">
        <f aca="false">IF(Y140=1,COUNTIF($D140:Y140,1),0)</f>
        <v>0</v>
      </c>
      <c r="Z141" s="108" t="n">
        <f aca="false">IF(Z140=1,COUNTIF($D140:Z140,1),0)</f>
        <v>0</v>
      </c>
      <c r="AA141" s="108" t="n">
        <f aca="false">IF(AA140=1,COUNTIF($D140:AA140,1),0)</f>
        <v>0</v>
      </c>
      <c r="AB141" s="108" t="n">
        <f aca="false">IF(AB140=1,COUNTIF($D140:AB140,1),0)</f>
        <v>0</v>
      </c>
      <c r="AC141" s="108" t="n">
        <f aca="false">IF(AC140=1,COUNTIF($D140:AC140,1),0)</f>
        <v>0</v>
      </c>
      <c r="AD141" s="108" t="n">
        <f aca="false">IF(AD140=1,COUNTIF($D140:AD140,1),0)</f>
        <v>0</v>
      </c>
      <c r="AE141" s="108" t="n">
        <f aca="false">IF(AE140=1,COUNTIF($D140:AE140,1),0)</f>
        <v>0</v>
      </c>
      <c r="AF141" s="108" t="n">
        <f aca="false">IF(AF140=1,COUNTIF($D140:AF140,1),0)</f>
        <v>0</v>
      </c>
      <c r="AG141" s="108" t="n">
        <f aca="false">IF(AG140=1,COUNTIF($D140:AG140,1),0)</f>
        <v>0</v>
      </c>
      <c r="AH141" s="108" t="n">
        <f aca="false">IF(AH140=1,COUNTIF($D140:AH140,1),0)</f>
        <v>0</v>
      </c>
      <c r="AI141" s="108" t="n">
        <f aca="false">IF(AI140=1,COUNTIF($D140:AI140,1),0)</f>
        <v>0</v>
      </c>
      <c r="AJ141" s="108" t="n">
        <f aca="false">IF(AJ140=1,COUNTIF($D140:AJ140,1),0)</f>
        <v>0</v>
      </c>
      <c r="AK141" s="108" t="n">
        <f aca="false">IF(AK140=1,COUNTIF($D140:AK140,1),0)</f>
        <v>0</v>
      </c>
      <c r="AL141" s="108" t="n">
        <f aca="false">IF(AL140=1,COUNTIF($D140:AL140,1),0)</f>
        <v>0</v>
      </c>
      <c r="AM141" s="108" t="n">
        <f aca="false">IF(AM140=1,COUNTIF($D140:AM140,1),0)</f>
        <v>0</v>
      </c>
      <c r="AN141" s="108" t="n">
        <f aca="false">IF(AN140=1,COUNTIF($D140:AN140,1),0)</f>
        <v>0</v>
      </c>
      <c r="AO141" s="108" t="n">
        <f aca="false">IF(AO140=1,COUNTIF($D140:AO140,1),0)</f>
        <v>0</v>
      </c>
      <c r="AP141" s="108" t="n">
        <f aca="false">IF(AP140=1,COUNTIF($D140:AP140,1),0)</f>
        <v>0</v>
      </c>
      <c r="AQ141" s="108" t="n">
        <f aca="false">IF(AQ140=1,COUNTIF($D140:AQ140,1),0)</f>
        <v>0</v>
      </c>
    </row>
    <row r="142" customFormat="false" ht="15" hidden="false" customHeight="false" outlineLevel="0" collapsed="false">
      <c r="B142" s="17" t="s">
        <v>651</v>
      </c>
      <c r="C142" s="105" t="str">
        <f aca="false">IF(INPUTS!$M$136="","",IF(INPUTS!$M$136&lt;&gt;"OK","ERROR",IF(C140=IF(INPUTS!$F$136&lt;&gt;"Yes",0,IF(OR(INPUTS!$J$136="Upfront",INPUTS!$J$136="Even",INPUTS!$J$136="Front-loaded",INPUTS!$J$136="Back-loaded",INPUTS!$J$136="S-curve"),IF(ISNUMBER(INPUTS!$K$136),IF(INPUTS!$J$136="Upfront",INPUTS!$K$136,INPUTS!$L$136)-INPUTS!$K$136+1,0),IF(INPUTS!$J$136="Follow Project Life",INPUTS!$C$29,IF(INPUTS!$J$136="At Project End",1,0)))),"OK","ERROR")))</f>
        <v>OK</v>
      </c>
    </row>
    <row r="143" customFormat="false" ht="15" hidden="false" customHeight="false" outlineLevel="0" collapsed="false">
      <c r="B143" s="110" t="str">
        <f aca="false">IF(INPUTS!$B$137="","Spare cost row",INPUTS!$B$137)</f>
        <v>EWS/LIG plots development cost</v>
      </c>
      <c r="C143" s="111" t="str">
        <f aca="false">IF(INPUTS!$J$137="","",INPUTS!$J$137)</f>
        <v>Follow Construction</v>
      </c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</row>
    <row r="144" customFormat="false" ht="15" hidden="false" customHeight="false" outlineLevel="0" collapsed="false">
      <c r="B144" s="3" t="s">
        <v>649</v>
      </c>
      <c r="C144" s="107" t="n">
        <f aca="false">SUM(D144:AQ144)</f>
        <v>0</v>
      </c>
      <c r="D144" s="108" t="n">
        <f aca="false">IF(OR(INPUTS!$F$137&lt;&gt;"Yes",D$16=0),0,IF(OR(INPUTS!$J$137="Upfront",INPUTS!$J$137="Even",INPUTS!$J$137="Front-loaded",INPUTS!$J$137="Back-loaded",INPUTS!$J$137="S-curve"),IF(AND(ISNUMBER(INPUTS!$K$137),D$7&gt;=INPUTS!$K$137,D$7&lt;=IF(INPUTS!$J$137="Upfront",INPUTS!$K$137,INPUTS!$L$137)),1,0),IF(INPUTS!$J$137="Follow Project Life",D$17,IF(INPUTS!$J$137="At Project End",--(D$7=INPUTS!$C$29),0))))</f>
        <v>0</v>
      </c>
      <c r="E144" s="108" t="n">
        <f aca="false">IF(OR(INPUTS!$F$137&lt;&gt;"Yes",E$16=0),0,IF(OR(INPUTS!$J$137="Upfront",INPUTS!$J$137="Even",INPUTS!$J$137="Front-loaded",INPUTS!$J$137="Back-loaded",INPUTS!$J$137="S-curve"),IF(AND(ISNUMBER(INPUTS!$K$137),E$7&gt;=INPUTS!$K$137,E$7&lt;=IF(INPUTS!$J$137="Upfront",INPUTS!$K$137,INPUTS!$L$137)),1,0),IF(INPUTS!$J$137="Follow Project Life",E$17,IF(INPUTS!$J$137="At Project End",--(E$7=INPUTS!$C$29),0))))</f>
        <v>0</v>
      </c>
      <c r="F144" s="108" t="n">
        <f aca="false">IF(OR(INPUTS!$F$137&lt;&gt;"Yes",F$16=0),0,IF(OR(INPUTS!$J$137="Upfront",INPUTS!$J$137="Even",INPUTS!$J$137="Front-loaded",INPUTS!$J$137="Back-loaded",INPUTS!$J$137="S-curve"),IF(AND(ISNUMBER(INPUTS!$K$137),F$7&gt;=INPUTS!$K$137,F$7&lt;=IF(INPUTS!$J$137="Upfront",INPUTS!$K$137,INPUTS!$L$137)),1,0),IF(INPUTS!$J$137="Follow Project Life",F$17,IF(INPUTS!$J$137="At Project End",--(F$7=INPUTS!$C$29),0))))</f>
        <v>0</v>
      </c>
      <c r="G144" s="108" t="n">
        <f aca="false">IF(OR(INPUTS!$F$137&lt;&gt;"Yes",G$16=0),0,IF(OR(INPUTS!$J$137="Upfront",INPUTS!$J$137="Even",INPUTS!$J$137="Front-loaded",INPUTS!$J$137="Back-loaded",INPUTS!$J$137="S-curve"),IF(AND(ISNUMBER(INPUTS!$K$137),G$7&gt;=INPUTS!$K$137,G$7&lt;=IF(INPUTS!$J$137="Upfront",INPUTS!$K$137,INPUTS!$L$137)),1,0),IF(INPUTS!$J$137="Follow Project Life",G$17,IF(INPUTS!$J$137="At Project End",--(G$7=INPUTS!$C$29),0))))</f>
        <v>0</v>
      </c>
      <c r="H144" s="108" t="n">
        <f aca="false">IF(OR(INPUTS!$F$137&lt;&gt;"Yes",H$16=0),0,IF(OR(INPUTS!$J$137="Upfront",INPUTS!$J$137="Even",INPUTS!$J$137="Front-loaded",INPUTS!$J$137="Back-loaded",INPUTS!$J$137="S-curve"),IF(AND(ISNUMBER(INPUTS!$K$137),H$7&gt;=INPUTS!$K$137,H$7&lt;=IF(INPUTS!$J$137="Upfront",INPUTS!$K$137,INPUTS!$L$137)),1,0),IF(INPUTS!$J$137="Follow Project Life",H$17,IF(INPUTS!$J$137="At Project End",--(H$7=INPUTS!$C$29),0))))</f>
        <v>0</v>
      </c>
      <c r="I144" s="108" t="n">
        <f aca="false">IF(OR(INPUTS!$F$137&lt;&gt;"Yes",I$16=0),0,IF(OR(INPUTS!$J$137="Upfront",INPUTS!$J$137="Even",INPUTS!$J$137="Front-loaded",INPUTS!$J$137="Back-loaded",INPUTS!$J$137="S-curve"),IF(AND(ISNUMBER(INPUTS!$K$137),I$7&gt;=INPUTS!$K$137,I$7&lt;=IF(INPUTS!$J$137="Upfront",INPUTS!$K$137,INPUTS!$L$137)),1,0),IF(INPUTS!$J$137="Follow Project Life",I$17,IF(INPUTS!$J$137="At Project End",--(I$7=INPUTS!$C$29),0))))</f>
        <v>0</v>
      </c>
      <c r="J144" s="108" t="n">
        <f aca="false">IF(OR(INPUTS!$F$137&lt;&gt;"Yes",J$16=0),0,IF(OR(INPUTS!$J$137="Upfront",INPUTS!$J$137="Even",INPUTS!$J$137="Front-loaded",INPUTS!$J$137="Back-loaded",INPUTS!$J$137="S-curve"),IF(AND(ISNUMBER(INPUTS!$K$137),J$7&gt;=INPUTS!$K$137,J$7&lt;=IF(INPUTS!$J$137="Upfront",INPUTS!$K$137,INPUTS!$L$137)),1,0),IF(INPUTS!$J$137="Follow Project Life",J$17,IF(INPUTS!$J$137="At Project End",--(J$7=INPUTS!$C$29),0))))</f>
        <v>0</v>
      </c>
      <c r="K144" s="108" t="n">
        <f aca="false">IF(OR(INPUTS!$F$137&lt;&gt;"Yes",K$16=0),0,IF(OR(INPUTS!$J$137="Upfront",INPUTS!$J$137="Even",INPUTS!$J$137="Front-loaded",INPUTS!$J$137="Back-loaded",INPUTS!$J$137="S-curve"),IF(AND(ISNUMBER(INPUTS!$K$137),K$7&gt;=INPUTS!$K$137,K$7&lt;=IF(INPUTS!$J$137="Upfront",INPUTS!$K$137,INPUTS!$L$137)),1,0),IF(INPUTS!$J$137="Follow Project Life",K$17,IF(INPUTS!$J$137="At Project End",--(K$7=INPUTS!$C$29),0))))</f>
        <v>0</v>
      </c>
      <c r="L144" s="108" t="n">
        <f aca="false">IF(OR(INPUTS!$F$137&lt;&gt;"Yes",L$16=0),0,IF(OR(INPUTS!$J$137="Upfront",INPUTS!$J$137="Even",INPUTS!$J$137="Front-loaded",INPUTS!$J$137="Back-loaded",INPUTS!$J$137="S-curve"),IF(AND(ISNUMBER(INPUTS!$K$137),L$7&gt;=INPUTS!$K$137,L$7&lt;=IF(INPUTS!$J$137="Upfront",INPUTS!$K$137,INPUTS!$L$137)),1,0),IF(INPUTS!$J$137="Follow Project Life",L$17,IF(INPUTS!$J$137="At Project End",--(L$7=INPUTS!$C$29),0))))</f>
        <v>0</v>
      </c>
      <c r="M144" s="108" t="n">
        <f aca="false">IF(OR(INPUTS!$F$137&lt;&gt;"Yes",M$16=0),0,IF(OR(INPUTS!$J$137="Upfront",INPUTS!$J$137="Even",INPUTS!$J$137="Front-loaded",INPUTS!$J$137="Back-loaded",INPUTS!$J$137="S-curve"),IF(AND(ISNUMBER(INPUTS!$K$137),M$7&gt;=INPUTS!$K$137,M$7&lt;=IF(INPUTS!$J$137="Upfront",INPUTS!$K$137,INPUTS!$L$137)),1,0),IF(INPUTS!$J$137="Follow Project Life",M$17,IF(INPUTS!$J$137="At Project End",--(M$7=INPUTS!$C$29),0))))</f>
        <v>0</v>
      </c>
      <c r="N144" s="108" t="n">
        <f aca="false">IF(OR(INPUTS!$F$137&lt;&gt;"Yes",N$16=0),0,IF(OR(INPUTS!$J$137="Upfront",INPUTS!$J$137="Even",INPUTS!$J$137="Front-loaded",INPUTS!$J$137="Back-loaded",INPUTS!$J$137="S-curve"),IF(AND(ISNUMBER(INPUTS!$K$137),N$7&gt;=INPUTS!$K$137,N$7&lt;=IF(INPUTS!$J$137="Upfront",INPUTS!$K$137,INPUTS!$L$137)),1,0),IF(INPUTS!$J$137="Follow Project Life",N$17,IF(INPUTS!$J$137="At Project End",--(N$7=INPUTS!$C$29),0))))</f>
        <v>0</v>
      </c>
      <c r="O144" s="108" t="n">
        <f aca="false">IF(OR(INPUTS!$F$137&lt;&gt;"Yes",O$16=0),0,IF(OR(INPUTS!$J$137="Upfront",INPUTS!$J$137="Even",INPUTS!$J$137="Front-loaded",INPUTS!$J$137="Back-loaded",INPUTS!$J$137="S-curve"),IF(AND(ISNUMBER(INPUTS!$K$137),O$7&gt;=INPUTS!$K$137,O$7&lt;=IF(INPUTS!$J$137="Upfront",INPUTS!$K$137,INPUTS!$L$137)),1,0),IF(INPUTS!$J$137="Follow Project Life",O$17,IF(INPUTS!$J$137="At Project End",--(O$7=INPUTS!$C$29),0))))</f>
        <v>0</v>
      </c>
      <c r="P144" s="108" t="n">
        <f aca="false">IF(OR(INPUTS!$F$137&lt;&gt;"Yes",P$16=0),0,IF(OR(INPUTS!$J$137="Upfront",INPUTS!$J$137="Even",INPUTS!$J$137="Front-loaded",INPUTS!$J$137="Back-loaded",INPUTS!$J$137="S-curve"),IF(AND(ISNUMBER(INPUTS!$K$137),P$7&gt;=INPUTS!$K$137,P$7&lt;=IF(INPUTS!$J$137="Upfront",INPUTS!$K$137,INPUTS!$L$137)),1,0),IF(INPUTS!$J$137="Follow Project Life",P$17,IF(INPUTS!$J$137="At Project End",--(P$7=INPUTS!$C$29),0))))</f>
        <v>0</v>
      </c>
      <c r="Q144" s="108" t="n">
        <f aca="false">IF(OR(INPUTS!$F$137&lt;&gt;"Yes",Q$16=0),0,IF(OR(INPUTS!$J$137="Upfront",INPUTS!$J$137="Even",INPUTS!$J$137="Front-loaded",INPUTS!$J$137="Back-loaded",INPUTS!$J$137="S-curve"),IF(AND(ISNUMBER(INPUTS!$K$137),Q$7&gt;=INPUTS!$K$137,Q$7&lt;=IF(INPUTS!$J$137="Upfront",INPUTS!$K$137,INPUTS!$L$137)),1,0),IF(INPUTS!$J$137="Follow Project Life",Q$17,IF(INPUTS!$J$137="At Project End",--(Q$7=INPUTS!$C$29),0))))</f>
        <v>0</v>
      </c>
      <c r="R144" s="108" t="n">
        <f aca="false">IF(OR(INPUTS!$F$137&lt;&gt;"Yes",R$16=0),0,IF(OR(INPUTS!$J$137="Upfront",INPUTS!$J$137="Even",INPUTS!$J$137="Front-loaded",INPUTS!$J$137="Back-loaded",INPUTS!$J$137="S-curve"),IF(AND(ISNUMBER(INPUTS!$K$137),R$7&gt;=INPUTS!$K$137,R$7&lt;=IF(INPUTS!$J$137="Upfront",INPUTS!$K$137,INPUTS!$L$137)),1,0),IF(INPUTS!$J$137="Follow Project Life",R$17,IF(INPUTS!$J$137="At Project End",--(R$7=INPUTS!$C$29),0))))</f>
        <v>0</v>
      </c>
      <c r="S144" s="108" t="n">
        <f aca="false">IF(OR(INPUTS!$F$137&lt;&gt;"Yes",S$16=0),0,IF(OR(INPUTS!$J$137="Upfront",INPUTS!$J$137="Even",INPUTS!$J$137="Front-loaded",INPUTS!$J$137="Back-loaded",INPUTS!$J$137="S-curve"),IF(AND(ISNUMBER(INPUTS!$K$137),S$7&gt;=INPUTS!$K$137,S$7&lt;=IF(INPUTS!$J$137="Upfront",INPUTS!$K$137,INPUTS!$L$137)),1,0),IF(INPUTS!$J$137="Follow Project Life",S$17,IF(INPUTS!$J$137="At Project End",--(S$7=INPUTS!$C$29),0))))</f>
        <v>0</v>
      </c>
      <c r="T144" s="108" t="n">
        <f aca="false">IF(OR(INPUTS!$F$137&lt;&gt;"Yes",T$16=0),0,IF(OR(INPUTS!$J$137="Upfront",INPUTS!$J$137="Even",INPUTS!$J$137="Front-loaded",INPUTS!$J$137="Back-loaded",INPUTS!$J$137="S-curve"),IF(AND(ISNUMBER(INPUTS!$K$137),T$7&gt;=INPUTS!$K$137,T$7&lt;=IF(INPUTS!$J$137="Upfront",INPUTS!$K$137,INPUTS!$L$137)),1,0),IF(INPUTS!$J$137="Follow Project Life",T$17,IF(INPUTS!$J$137="At Project End",--(T$7=INPUTS!$C$29),0))))</f>
        <v>0</v>
      </c>
      <c r="U144" s="108" t="n">
        <f aca="false">IF(OR(INPUTS!$F$137&lt;&gt;"Yes",U$16=0),0,IF(OR(INPUTS!$J$137="Upfront",INPUTS!$J$137="Even",INPUTS!$J$137="Front-loaded",INPUTS!$J$137="Back-loaded",INPUTS!$J$137="S-curve"),IF(AND(ISNUMBER(INPUTS!$K$137),U$7&gt;=INPUTS!$K$137,U$7&lt;=IF(INPUTS!$J$137="Upfront",INPUTS!$K$137,INPUTS!$L$137)),1,0),IF(INPUTS!$J$137="Follow Project Life",U$17,IF(INPUTS!$J$137="At Project End",--(U$7=INPUTS!$C$29),0))))</f>
        <v>0</v>
      </c>
      <c r="V144" s="108" t="n">
        <f aca="false">IF(OR(INPUTS!$F$137&lt;&gt;"Yes",V$16=0),0,IF(OR(INPUTS!$J$137="Upfront",INPUTS!$J$137="Even",INPUTS!$J$137="Front-loaded",INPUTS!$J$137="Back-loaded",INPUTS!$J$137="S-curve"),IF(AND(ISNUMBER(INPUTS!$K$137),V$7&gt;=INPUTS!$K$137,V$7&lt;=IF(INPUTS!$J$137="Upfront",INPUTS!$K$137,INPUTS!$L$137)),1,0),IF(INPUTS!$J$137="Follow Project Life",V$17,IF(INPUTS!$J$137="At Project End",--(V$7=INPUTS!$C$29),0))))</f>
        <v>0</v>
      </c>
      <c r="W144" s="108" t="n">
        <f aca="false">IF(OR(INPUTS!$F$137&lt;&gt;"Yes",W$16=0),0,IF(OR(INPUTS!$J$137="Upfront",INPUTS!$J$137="Even",INPUTS!$J$137="Front-loaded",INPUTS!$J$137="Back-loaded",INPUTS!$J$137="S-curve"),IF(AND(ISNUMBER(INPUTS!$K$137),W$7&gt;=INPUTS!$K$137,W$7&lt;=IF(INPUTS!$J$137="Upfront",INPUTS!$K$137,INPUTS!$L$137)),1,0),IF(INPUTS!$J$137="Follow Project Life",W$17,IF(INPUTS!$J$137="At Project End",--(W$7=INPUTS!$C$29),0))))</f>
        <v>0</v>
      </c>
      <c r="X144" s="108" t="n">
        <f aca="false">IF(OR(INPUTS!$F$137&lt;&gt;"Yes",X$16=0),0,IF(OR(INPUTS!$J$137="Upfront",INPUTS!$J$137="Even",INPUTS!$J$137="Front-loaded",INPUTS!$J$137="Back-loaded",INPUTS!$J$137="S-curve"),IF(AND(ISNUMBER(INPUTS!$K$137),X$7&gt;=INPUTS!$K$137,X$7&lt;=IF(INPUTS!$J$137="Upfront",INPUTS!$K$137,INPUTS!$L$137)),1,0),IF(INPUTS!$J$137="Follow Project Life",X$17,IF(INPUTS!$J$137="At Project End",--(X$7=INPUTS!$C$29),0))))</f>
        <v>0</v>
      </c>
      <c r="Y144" s="108" t="n">
        <f aca="false">IF(OR(INPUTS!$F$137&lt;&gt;"Yes",Y$16=0),0,IF(OR(INPUTS!$J$137="Upfront",INPUTS!$J$137="Even",INPUTS!$J$137="Front-loaded",INPUTS!$J$137="Back-loaded",INPUTS!$J$137="S-curve"),IF(AND(ISNUMBER(INPUTS!$K$137),Y$7&gt;=INPUTS!$K$137,Y$7&lt;=IF(INPUTS!$J$137="Upfront",INPUTS!$K$137,INPUTS!$L$137)),1,0),IF(INPUTS!$J$137="Follow Project Life",Y$17,IF(INPUTS!$J$137="At Project End",--(Y$7=INPUTS!$C$29),0))))</f>
        <v>0</v>
      </c>
      <c r="Z144" s="108" t="n">
        <f aca="false">IF(OR(INPUTS!$F$137&lt;&gt;"Yes",Z$16=0),0,IF(OR(INPUTS!$J$137="Upfront",INPUTS!$J$137="Even",INPUTS!$J$137="Front-loaded",INPUTS!$J$137="Back-loaded",INPUTS!$J$137="S-curve"),IF(AND(ISNUMBER(INPUTS!$K$137),Z$7&gt;=INPUTS!$K$137,Z$7&lt;=IF(INPUTS!$J$137="Upfront",INPUTS!$K$137,INPUTS!$L$137)),1,0),IF(INPUTS!$J$137="Follow Project Life",Z$17,IF(INPUTS!$J$137="At Project End",--(Z$7=INPUTS!$C$29),0))))</f>
        <v>0</v>
      </c>
      <c r="AA144" s="108" t="n">
        <f aca="false">IF(OR(INPUTS!$F$137&lt;&gt;"Yes",AA$16=0),0,IF(OR(INPUTS!$J$137="Upfront",INPUTS!$J$137="Even",INPUTS!$J$137="Front-loaded",INPUTS!$J$137="Back-loaded",INPUTS!$J$137="S-curve"),IF(AND(ISNUMBER(INPUTS!$K$137),AA$7&gt;=INPUTS!$K$137,AA$7&lt;=IF(INPUTS!$J$137="Upfront",INPUTS!$K$137,INPUTS!$L$137)),1,0),IF(INPUTS!$J$137="Follow Project Life",AA$17,IF(INPUTS!$J$137="At Project End",--(AA$7=INPUTS!$C$29),0))))</f>
        <v>0</v>
      </c>
      <c r="AB144" s="108" t="n">
        <f aca="false">IF(OR(INPUTS!$F$137&lt;&gt;"Yes",AB$16=0),0,IF(OR(INPUTS!$J$137="Upfront",INPUTS!$J$137="Even",INPUTS!$J$137="Front-loaded",INPUTS!$J$137="Back-loaded",INPUTS!$J$137="S-curve"),IF(AND(ISNUMBER(INPUTS!$K$137),AB$7&gt;=INPUTS!$K$137,AB$7&lt;=IF(INPUTS!$J$137="Upfront",INPUTS!$K$137,INPUTS!$L$137)),1,0),IF(INPUTS!$J$137="Follow Project Life",AB$17,IF(INPUTS!$J$137="At Project End",--(AB$7=INPUTS!$C$29),0))))</f>
        <v>0</v>
      </c>
      <c r="AC144" s="108" t="n">
        <f aca="false">IF(OR(INPUTS!$F$137&lt;&gt;"Yes",AC$16=0),0,IF(OR(INPUTS!$J$137="Upfront",INPUTS!$J$137="Even",INPUTS!$J$137="Front-loaded",INPUTS!$J$137="Back-loaded",INPUTS!$J$137="S-curve"),IF(AND(ISNUMBER(INPUTS!$K$137),AC$7&gt;=INPUTS!$K$137,AC$7&lt;=IF(INPUTS!$J$137="Upfront",INPUTS!$K$137,INPUTS!$L$137)),1,0),IF(INPUTS!$J$137="Follow Project Life",AC$17,IF(INPUTS!$J$137="At Project End",--(AC$7=INPUTS!$C$29),0))))</f>
        <v>0</v>
      </c>
      <c r="AD144" s="108" t="n">
        <f aca="false">IF(OR(INPUTS!$F$137&lt;&gt;"Yes",AD$16=0),0,IF(OR(INPUTS!$J$137="Upfront",INPUTS!$J$137="Even",INPUTS!$J$137="Front-loaded",INPUTS!$J$137="Back-loaded",INPUTS!$J$137="S-curve"),IF(AND(ISNUMBER(INPUTS!$K$137),AD$7&gt;=INPUTS!$K$137,AD$7&lt;=IF(INPUTS!$J$137="Upfront",INPUTS!$K$137,INPUTS!$L$137)),1,0),IF(INPUTS!$J$137="Follow Project Life",AD$17,IF(INPUTS!$J$137="At Project End",--(AD$7=INPUTS!$C$29),0))))</f>
        <v>0</v>
      </c>
      <c r="AE144" s="108" t="n">
        <f aca="false">IF(OR(INPUTS!$F$137&lt;&gt;"Yes",AE$16=0),0,IF(OR(INPUTS!$J$137="Upfront",INPUTS!$J$137="Even",INPUTS!$J$137="Front-loaded",INPUTS!$J$137="Back-loaded",INPUTS!$J$137="S-curve"),IF(AND(ISNUMBER(INPUTS!$K$137),AE$7&gt;=INPUTS!$K$137,AE$7&lt;=IF(INPUTS!$J$137="Upfront",INPUTS!$K$137,INPUTS!$L$137)),1,0),IF(INPUTS!$J$137="Follow Project Life",AE$17,IF(INPUTS!$J$137="At Project End",--(AE$7=INPUTS!$C$29),0))))</f>
        <v>0</v>
      </c>
      <c r="AF144" s="108" t="n">
        <f aca="false">IF(OR(INPUTS!$F$137&lt;&gt;"Yes",AF$16=0),0,IF(OR(INPUTS!$J$137="Upfront",INPUTS!$J$137="Even",INPUTS!$J$137="Front-loaded",INPUTS!$J$137="Back-loaded",INPUTS!$J$137="S-curve"),IF(AND(ISNUMBER(INPUTS!$K$137),AF$7&gt;=INPUTS!$K$137,AF$7&lt;=IF(INPUTS!$J$137="Upfront",INPUTS!$K$137,INPUTS!$L$137)),1,0),IF(INPUTS!$J$137="Follow Project Life",AF$17,IF(INPUTS!$J$137="At Project End",--(AF$7=INPUTS!$C$29),0))))</f>
        <v>0</v>
      </c>
      <c r="AG144" s="108" t="n">
        <f aca="false">IF(OR(INPUTS!$F$137&lt;&gt;"Yes",AG$16=0),0,IF(OR(INPUTS!$J$137="Upfront",INPUTS!$J$137="Even",INPUTS!$J$137="Front-loaded",INPUTS!$J$137="Back-loaded",INPUTS!$J$137="S-curve"),IF(AND(ISNUMBER(INPUTS!$K$137),AG$7&gt;=INPUTS!$K$137,AG$7&lt;=IF(INPUTS!$J$137="Upfront",INPUTS!$K$137,INPUTS!$L$137)),1,0),IF(INPUTS!$J$137="Follow Project Life",AG$17,IF(INPUTS!$J$137="At Project End",--(AG$7=INPUTS!$C$29),0))))</f>
        <v>0</v>
      </c>
      <c r="AH144" s="108" t="n">
        <f aca="false">IF(OR(INPUTS!$F$137&lt;&gt;"Yes",AH$16=0),0,IF(OR(INPUTS!$J$137="Upfront",INPUTS!$J$137="Even",INPUTS!$J$137="Front-loaded",INPUTS!$J$137="Back-loaded",INPUTS!$J$137="S-curve"),IF(AND(ISNUMBER(INPUTS!$K$137),AH$7&gt;=INPUTS!$K$137,AH$7&lt;=IF(INPUTS!$J$137="Upfront",INPUTS!$K$137,INPUTS!$L$137)),1,0),IF(INPUTS!$J$137="Follow Project Life",AH$17,IF(INPUTS!$J$137="At Project End",--(AH$7=INPUTS!$C$29),0))))</f>
        <v>0</v>
      </c>
      <c r="AI144" s="108" t="n">
        <f aca="false">IF(OR(INPUTS!$F$137&lt;&gt;"Yes",AI$16=0),0,IF(OR(INPUTS!$J$137="Upfront",INPUTS!$J$137="Even",INPUTS!$J$137="Front-loaded",INPUTS!$J$137="Back-loaded",INPUTS!$J$137="S-curve"),IF(AND(ISNUMBER(INPUTS!$K$137),AI$7&gt;=INPUTS!$K$137,AI$7&lt;=IF(INPUTS!$J$137="Upfront",INPUTS!$K$137,INPUTS!$L$137)),1,0),IF(INPUTS!$J$137="Follow Project Life",AI$17,IF(INPUTS!$J$137="At Project End",--(AI$7=INPUTS!$C$29),0))))</f>
        <v>0</v>
      </c>
      <c r="AJ144" s="108" t="n">
        <f aca="false">IF(OR(INPUTS!$F$137&lt;&gt;"Yes",AJ$16=0),0,IF(OR(INPUTS!$J$137="Upfront",INPUTS!$J$137="Even",INPUTS!$J$137="Front-loaded",INPUTS!$J$137="Back-loaded",INPUTS!$J$137="S-curve"),IF(AND(ISNUMBER(INPUTS!$K$137),AJ$7&gt;=INPUTS!$K$137,AJ$7&lt;=IF(INPUTS!$J$137="Upfront",INPUTS!$K$137,INPUTS!$L$137)),1,0),IF(INPUTS!$J$137="Follow Project Life",AJ$17,IF(INPUTS!$J$137="At Project End",--(AJ$7=INPUTS!$C$29),0))))</f>
        <v>0</v>
      </c>
      <c r="AK144" s="108" t="n">
        <f aca="false">IF(OR(INPUTS!$F$137&lt;&gt;"Yes",AK$16=0),0,IF(OR(INPUTS!$J$137="Upfront",INPUTS!$J$137="Even",INPUTS!$J$137="Front-loaded",INPUTS!$J$137="Back-loaded",INPUTS!$J$137="S-curve"),IF(AND(ISNUMBER(INPUTS!$K$137),AK$7&gt;=INPUTS!$K$137,AK$7&lt;=IF(INPUTS!$J$137="Upfront",INPUTS!$K$137,INPUTS!$L$137)),1,0),IF(INPUTS!$J$137="Follow Project Life",AK$17,IF(INPUTS!$J$137="At Project End",--(AK$7=INPUTS!$C$29),0))))</f>
        <v>0</v>
      </c>
      <c r="AL144" s="108" t="n">
        <f aca="false">IF(OR(INPUTS!$F$137&lt;&gt;"Yes",AL$16=0),0,IF(OR(INPUTS!$J$137="Upfront",INPUTS!$J$137="Even",INPUTS!$J$137="Front-loaded",INPUTS!$J$137="Back-loaded",INPUTS!$J$137="S-curve"),IF(AND(ISNUMBER(INPUTS!$K$137),AL$7&gt;=INPUTS!$K$137,AL$7&lt;=IF(INPUTS!$J$137="Upfront",INPUTS!$K$137,INPUTS!$L$137)),1,0),IF(INPUTS!$J$137="Follow Project Life",AL$17,IF(INPUTS!$J$137="At Project End",--(AL$7=INPUTS!$C$29),0))))</f>
        <v>0</v>
      </c>
      <c r="AM144" s="108" t="n">
        <f aca="false">IF(OR(INPUTS!$F$137&lt;&gt;"Yes",AM$16=0),0,IF(OR(INPUTS!$J$137="Upfront",INPUTS!$J$137="Even",INPUTS!$J$137="Front-loaded",INPUTS!$J$137="Back-loaded",INPUTS!$J$137="S-curve"),IF(AND(ISNUMBER(INPUTS!$K$137),AM$7&gt;=INPUTS!$K$137,AM$7&lt;=IF(INPUTS!$J$137="Upfront",INPUTS!$K$137,INPUTS!$L$137)),1,0),IF(INPUTS!$J$137="Follow Project Life",AM$17,IF(INPUTS!$J$137="At Project End",--(AM$7=INPUTS!$C$29),0))))</f>
        <v>0</v>
      </c>
      <c r="AN144" s="108" t="n">
        <f aca="false">IF(OR(INPUTS!$F$137&lt;&gt;"Yes",AN$16=0),0,IF(OR(INPUTS!$J$137="Upfront",INPUTS!$J$137="Even",INPUTS!$J$137="Front-loaded",INPUTS!$J$137="Back-loaded",INPUTS!$J$137="S-curve"),IF(AND(ISNUMBER(INPUTS!$K$137),AN$7&gt;=INPUTS!$K$137,AN$7&lt;=IF(INPUTS!$J$137="Upfront",INPUTS!$K$137,INPUTS!$L$137)),1,0),IF(INPUTS!$J$137="Follow Project Life",AN$17,IF(INPUTS!$J$137="At Project End",--(AN$7=INPUTS!$C$29),0))))</f>
        <v>0</v>
      </c>
      <c r="AO144" s="108" t="n">
        <f aca="false">IF(OR(INPUTS!$F$137&lt;&gt;"Yes",AO$16=0),0,IF(OR(INPUTS!$J$137="Upfront",INPUTS!$J$137="Even",INPUTS!$J$137="Front-loaded",INPUTS!$J$137="Back-loaded",INPUTS!$J$137="S-curve"),IF(AND(ISNUMBER(INPUTS!$K$137),AO$7&gt;=INPUTS!$K$137,AO$7&lt;=IF(INPUTS!$J$137="Upfront",INPUTS!$K$137,INPUTS!$L$137)),1,0),IF(INPUTS!$J$137="Follow Project Life",AO$17,IF(INPUTS!$J$137="At Project End",--(AO$7=INPUTS!$C$29),0))))</f>
        <v>0</v>
      </c>
      <c r="AP144" s="108" t="n">
        <f aca="false">IF(OR(INPUTS!$F$137&lt;&gt;"Yes",AP$16=0),0,IF(OR(INPUTS!$J$137="Upfront",INPUTS!$J$137="Even",INPUTS!$J$137="Front-loaded",INPUTS!$J$137="Back-loaded",INPUTS!$J$137="S-curve"),IF(AND(ISNUMBER(INPUTS!$K$137),AP$7&gt;=INPUTS!$K$137,AP$7&lt;=IF(INPUTS!$J$137="Upfront",INPUTS!$K$137,INPUTS!$L$137)),1,0),IF(INPUTS!$J$137="Follow Project Life",AP$17,IF(INPUTS!$J$137="At Project End",--(AP$7=INPUTS!$C$29),0))))</f>
        <v>0</v>
      </c>
      <c r="AQ144" s="108" t="n">
        <f aca="false">IF(OR(INPUTS!$F$137&lt;&gt;"Yes",AQ$16=0),0,IF(OR(INPUTS!$J$137="Upfront",INPUTS!$J$137="Even",INPUTS!$J$137="Front-loaded",INPUTS!$J$137="Back-loaded",INPUTS!$J$137="S-curve"),IF(AND(ISNUMBER(INPUTS!$K$137),AQ$7&gt;=INPUTS!$K$137,AQ$7&lt;=IF(INPUTS!$J$137="Upfront",INPUTS!$K$137,INPUTS!$L$137)),1,0),IF(INPUTS!$J$137="Follow Project Life",AQ$17,IF(INPUTS!$J$137="At Project End",--(AQ$7=INPUTS!$C$29),0))))</f>
        <v>0</v>
      </c>
    </row>
    <row r="145" customFormat="false" ht="15" hidden="false" customHeight="false" outlineLevel="0" collapsed="false">
      <c r="B145" s="3" t="s">
        <v>650</v>
      </c>
      <c r="C145" s="107" t="n">
        <f aca="false">MAX(D145:AQ145)</f>
        <v>0</v>
      </c>
      <c r="D145" s="108" t="n">
        <f aca="false">IF(D144=1,COUNTIF($D144:D144,1),0)</f>
        <v>0</v>
      </c>
      <c r="E145" s="108" t="n">
        <f aca="false">IF(E144=1,COUNTIF($D144:E144,1),0)</f>
        <v>0</v>
      </c>
      <c r="F145" s="108" t="n">
        <f aca="false">IF(F144=1,COUNTIF($D144:F144,1),0)</f>
        <v>0</v>
      </c>
      <c r="G145" s="108" t="n">
        <f aca="false">IF(G144=1,COUNTIF($D144:G144,1),0)</f>
        <v>0</v>
      </c>
      <c r="H145" s="108" t="n">
        <f aca="false">IF(H144=1,COUNTIF($D144:H144,1),0)</f>
        <v>0</v>
      </c>
      <c r="I145" s="108" t="n">
        <f aca="false">IF(I144=1,COUNTIF($D144:I144,1),0)</f>
        <v>0</v>
      </c>
      <c r="J145" s="108" t="n">
        <f aca="false">IF(J144=1,COUNTIF($D144:J144,1),0)</f>
        <v>0</v>
      </c>
      <c r="K145" s="108" t="n">
        <f aca="false">IF(K144=1,COUNTIF($D144:K144,1),0)</f>
        <v>0</v>
      </c>
      <c r="L145" s="108" t="n">
        <f aca="false">IF(L144=1,COUNTIF($D144:L144,1),0)</f>
        <v>0</v>
      </c>
      <c r="M145" s="108" t="n">
        <f aca="false">IF(M144=1,COUNTIF($D144:M144,1),0)</f>
        <v>0</v>
      </c>
      <c r="N145" s="108" t="n">
        <f aca="false">IF(N144=1,COUNTIF($D144:N144,1),0)</f>
        <v>0</v>
      </c>
      <c r="O145" s="108" t="n">
        <f aca="false">IF(O144=1,COUNTIF($D144:O144,1),0)</f>
        <v>0</v>
      </c>
      <c r="P145" s="108" t="n">
        <f aca="false">IF(P144=1,COUNTIF($D144:P144,1),0)</f>
        <v>0</v>
      </c>
      <c r="Q145" s="108" t="n">
        <f aca="false">IF(Q144=1,COUNTIF($D144:Q144,1),0)</f>
        <v>0</v>
      </c>
      <c r="R145" s="108" t="n">
        <f aca="false">IF(R144=1,COUNTIF($D144:R144,1),0)</f>
        <v>0</v>
      </c>
      <c r="S145" s="108" t="n">
        <f aca="false">IF(S144=1,COUNTIF($D144:S144,1),0)</f>
        <v>0</v>
      </c>
      <c r="T145" s="108" t="n">
        <f aca="false">IF(T144=1,COUNTIF($D144:T144,1),0)</f>
        <v>0</v>
      </c>
      <c r="U145" s="108" t="n">
        <f aca="false">IF(U144=1,COUNTIF($D144:U144,1),0)</f>
        <v>0</v>
      </c>
      <c r="V145" s="108" t="n">
        <f aca="false">IF(V144=1,COUNTIF($D144:V144,1),0)</f>
        <v>0</v>
      </c>
      <c r="W145" s="108" t="n">
        <f aca="false">IF(W144=1,COUNTIF($D144:W144,1),0)</f>
        <v>0</v>
      </c>
      <c r="X145" s="108" t="n">
        <f aca="false">IF(X144=1,COUNTIF($D144:X144,1),0)</f>
        <v>0</v>
      </c>
      <c r="Y145" s="108" t="n">
        <f aca="false">IF(Y144=1,COUNTIF($D144:Y144,1),0)</f>
        <v>0</v>
      </c>
      <c r="Z145" s="108" t="n">
        <f aca="false">IF(Z144=1,COUNTIF($D144:Z144,1),0)</f>
        <v>0</v>
      </c>
      <c r="AA145" s="108" t="n">
        <f aca="false">IF(AA144=1,COUNTIF($D144:AA144,1),0)</f>
        <v>0</v>
      </c>
      <c r="AB145" s="108" t="n">
        <f aca="false">IF(AB144=1,COUNTIF($D144:AB144,1),0)</f>
        <v>0</v>
      </c>
      <c r="AC145" s="108" t="n">
        <f aca="false">IF(AC144=1,COUNTIF($D144:AC144,1),0)</f>
        <v>0</v>
      </c>
      <c r="AD145" s="108" t="n">
        <f aca="false">IF(AD144=1,COUNTIF($D144:AD144,1),0)</f>
        <v>0</v>
      </c>
      <c r="AE145" s="108" t="n">
        <f aca="false">IF(AE144=1,COUNTIF($D144:AE144,1),0)</f>
        <v>0</v>
      </c>
      <c r="AF145" s="108" t="n">
        <f aca="false">IF(AF144=1,COUNTIF($D144:AF144,1),0)</f>
        <v>0</v>
      </c>
      <c r="AG145" s="108" t="n">
        <f aca="false">IF(AG144=1,COUNTIF($D144:AG144,1),0)</f>
        <v>0</v>
      </c>
      <c r="AH145" s="108" t="n">
        <f aca="false">IF(AH144=1,COUNTIF($D144:AH144,1),0)</f>
        <v>0</v>
      </c>
      <c r="AI145" s="108" t="n">
        <f aca="false">IF(AI144=1,COUNTIF($D144:AI144,1),0)</f>
        <v>0</v>
      </c>
      <c r="AJ145" s="108" t="n">
        <f aca="false">IF(AJ144=1,COUNTIF($D144:AJ144,1),0)</f>
        <v>0</v>
      </c>
      <c r="AK145" s="108" t="n">
        <f aca="false">IF(AK144=1,COUNTIF($D144:AK144,1),0)</f>
        <v>0</v>
      </c>
      <c r="AL145" s="108" t="n">
        <f aca="false">IF(AL144=1,COUNTIF($D144:AL144,1),0)</f>
        <v>0</v>
      </c>
      <c r="AM145" s="108" t="n">
        <f aca="false">IF(AM144=1,COUNTIF($D144:AM144,1),0)</f>
        <v>0</v>
      </c>
      <c r="AN145" s="108" t="n">
        <f aca="false">IF(AN144=1,COUNTIF($D144:AN144,1),0)</f>
        <v>0</v>
      </c>
      <c r="AO145" s="108" t="n">
        <f aca="false">IF(AO144=1,COUNTIF($D144:AO144,1),0)</f>
        <v>0</v>
      </c>
      <c r="AP145" s="108" t="n">
        <f aca="false">IF(AP144=1,COUNTIF($D144:AP144,1),0)</f>
        <v>0</v>
      </c>
      <c r="AQ145" s="108" t="n">
        <f aca="false">IF(AQ144=1,COUNTIF($D144:AQ144,1),0)</f>
        <v>0</v>
      </c>
    </row>
    <row r="146" customFormat="false" ht="15" hidden="false" customHeight="false" outlineLevel="0" collapsed="false">
      <c r="B146" s="17" t="s">
        <v>651</v>
      </c>
      <c r="C146" s="105" t="str">
        <f aca="false">IF(INPUTS!$M$137="","",IF(INPUTS!$M$137&lt;&gt;"OK","ERROR",IF(C144=IF(INPUTS!$F$137&lt;&gt;"Yes",0,IF(OR(INPUTS!$J$137="Upfront",INPUTS!$J$137="Even",INPUTS!$J$137="Front-loaded",INPUTS!$J$137="Back-loaded",INPUTS!$J$137="S-curve"),IF(ISNUMBER(INPUTS!$K$137),IF(INPUTS!$J$137="Upfront",INPUTS!$K$137,INPUTS!$L$137)-INPUTS!$K$137+1,0),IF(INPUTS!$J$137="Follow Project Life",INPUTS!$C$29,IF(INPUTS!$J$137="At Project End",1,0)))),"OK","ERROR")))</f>
        <v>OK</v>
      </c>
    </row>
    <row r="147" customFormat="false" ht="15" hidden="false" customHeight="false" outlineLevel="0" collapsed="false">
      <c r="B147" s="110" t="str">
        <f aca="false">IF(INPUTS!$B$138="","Spare cost row",INPUTS!$B$138)</f>
        <v>Corporate Overheads (₹/Sq Ft SA)</v>
      </c>
      <c r="C147" s="111" t="str">
        <f aca="false">IF(INPUTS!$J$138="","",INPUTS!$J$138)</f>
        <v>Follow Project Life</v>
      </c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</row>
    <row r="148" customFormat="false" ht="15" hidden="false" customHeight="false" outlineLevel="0" collapsed="false">
      <c r="B148" s="3" t="s">
        <v>649</v>
      </c>
      <c r="C148" s="107" t="n">
        <f aca="false">SUM(D148:AQ148)</f>
        <v>20</v>
      </c>
      <c r="D148" s="108" t="n">
        <f aca="false">IF(OR(INPUTS!$F$138&lt;&gt;"Yes",D$16=0),0,IF(OR(INPUTS!$J$138="Upfront",INPUTS!$J$138="Even",INPUTS!$J$138="Front-loaded",INPUTS!$J$138="Back-loaded",INPUTS!$J$138="S-curve"),IF(AND(ISNUMBER(INPUTS!$K$138),D$7&gt;=INPUTS!$K$138,D$7&lt;=IF(INPUTS!$J$138="Upfront",INPUTS!$K$138,INPUTS!$L$138)),1,0),IF(INPUTS!$J$138="Follow Project Life",D$17,IF(INPUTS!$J$138="At Project End",--(D$7=INPUTS!$C$29),0))))</f>
        <v>1</v>
      </c>
      <c r="E148" s="108" t="n">
        <f aca="false">IF(OR(INPUTS!$F$138&lt;&gt;"Yes",E$16=0),0,IF(OR(INPUTS!$J$138="Upfront",INPUTS!$J$138="Even",INPUTS!$J$138="Front-loaded",INPUTS!$J$138="Back-loaded",INPUTS!$J$138="S-curve"),IF(AND(ISNUMBER(INPUTS!$K$138),E$7&gt;=INPUTS!$K$138,E$7&lt;=IF(INPUTS!$J$138="Upfront",INPUTS!$K$138,INPUTS!$L$138)),1,0),IF(INPUTS!$J$138="Follow Project Life",E$17,IF(INPUTS!$J$138="At Project End",--(E$7=INPUTS!$C$29),0))))</f>
        <v>1</v>
      </c>
      <c r="F148" s="108" t="n">
        <f aca="false">IF(OR(INPUTS!$F$138&lt;&gt;"Yes",F$16=0),0,IF(OR(INPUTS!$J$138="Upfront",INPUTS!$J$138="Even",INPUTS!$J$138="Front-loaded",INPUTS!$J$138="Back-loaded",INPUTS!$J$138="S-curve"),IF(AND(ISNUMBER(INPUTS!$K$138),F$7&gt;=INPUTS!$K$138,F$7&lt;=IF(INPUTS!$J$138="Upfront",INPUTS!$K$138,INPUTS!$L$138)),1,0),IF(INPUTS!$J$138="Follow Project Life",F$17,IF(INPUTS!$J$138="At Project End",--(F$7=INPUTS!$C$29),0))))</f>
        <v>1</v>
      </c>
      <c r="G148" s="108" t="n">
        <f aca="false">IF(OR(INPUTS!$F$138&lt;&gt;"Yes",G$16=0),0,IF(OR(INPUTS!$J$138="Upfront",INPUTS!$J$138="Even",INPUTS!$J$138="Front-loaded",INPUTS!$J$138="Back-loaded",INPUTS!$J$138="S-curve"),IF(AND(ISNUMBER(INPUTS!$K$138),G$7&gt;=INPUTS!$K$138,G$7&lt;=IF(INPUTS!$J$138="Upfront",INPUTS!$K$138,INPUTS!$L$138)),1,0),IF(INPUTS!$J$138="Follow Project Life",G$17,IF(INPUTS!$J$138="At Project End",--(G$7=INPUTS!$C$29),0))))</f>
        <v>1</v>
      </c>
      <c r="H148" s="108" t="n">
        <f aca="false">IF(OR(INPUTS!$F$138&lt;&gt;"Yes",H$16=0),0,IF(OR(INPUTS!$J$138="Upfront",INPUTS!$J$138="Even",INPUTS!$J$138="Front-loaded",INPUTS!$J$138="Back-loaded",INPUTS!$J$138="S-curve"),IF(AND(ISNUMBER(INPUTS!$K$138),H$7&gt;=INPUTS!$K$138,H$7&lt;=IF(INPUTS!$J$138="Upfront",INPUTS!$K$138,INPUTS!$L$138)),1,0),IF(INPUTS!$J$138="Follow Project Life",H$17,IF(INPUTS!$J$138="At Project End",--(H$7=INPUTS!$C$29),0))))</f>
        <v>1</v>
      </c>
      <c r="I148" s="108" t="n">
        <f aca="false">IF(OR(INPUTS!$F$138&lt;&gt;"Yes",I$16=0),0,IF(OR(INPUTS!$J$138="Upfront",INPUTS!$J$138="Even",INPUTS!$J$138="Front-loaded",INPUTS!$J$138="Back-loaded",INPUTS!$J$138="S-curve"),IF(AND(ISNUMBER(INPUTS!$K$138),I$7&gt;=INPUTS!$K$138,I$7&lt;=IF(INPUTS!$J$138="Upfront",INPUTS!$K$138,INPUTS!$L$138)),1,0),IF(INPUTS!$J$138="Follow Project Life",I$17,IF(INPUTS!$J$138="At Project End",--(I$7=INPUTS!$C$29),0))))</f>
        <v>1</v>
      </c>
      <c r="J148" s="108" t="n">
        <f aca="false">IF(OR(INPUTS!$F$138&lt;&gt;"Yes",J$16=0),0,IF(OR(INPUTS!$J$138="Upfront",INPUTS!$J$138="Even",INPUTS!$J$138="Front-loaded",INPUTS!$J$138="Back-loaded",INPUTS!$J$138="S-curve"),IF(AND(ISNUMBER(INPUTS!$K$138),J$7&gt;=INPUTS!$K$138,J$7&lt;=IF(INPUTS!$J$138="Upfront",INPUTS!$K$138,INPUTS!$L$138)),1,0),IF(INPUTS!$J$138="Follow Project Life",J$17,IF(INPUTS!$J$138="At Project End",--(J$7=INPUTS!$C$29),0))))</f>
        <v>1</v>
      </c>
      <c r="K148" s="108" t="n">
        <f aca="false">IF(OR(INPUTS!$F$138&lt;&gt;"Yes",K$16=0),0,IF(OR(INPUTS!$J$138="Upfront",INPUTS!$J$138="Even",INPUTS!$J$138="Front-loaded",INPUTS!$J$138="Back-loaded",INPUTS!$J$138="S-curve"),IF(AND(ISNUMBER(INPUTS!$K$138),K$7&gt;=INPUTS!$K$138,K$7&lt;=IF(INPUTS!$J$138="Upfront",INPUTS!$K$138,INPUTS!$L$138)),1,0),IF(INPUTS!$J$138="Follow Project Life",K$17,IF(INPUTS!$J$138="At Project End",--(K$7=INPUTS!$C$29),0))))</f>
        <v>1</v>
      </c>
      <c r="L148" s="108" t="n">
        <f aca="false">IF(OR(INPUTS!$F$138&lt;&gt;"Yes",L$16=0),0,IF(OR(INPUTS!$J$138="Upfront",INPUTS!$J$138="Even",INPUTS!$J$138="Front-loaded",INPUTS!$J$138="Back-loaded",INPUTS!$J$138="S-curve"),IF(AND(ISNUMBER(INPUTS!$K$138),L$7&gt;=INPUTS!$K$138,L$7&lt;=IF(INPUTS!$J$138="Upfront",INPUTS!$K$138,INPUTS!$L$138)),1,0),IF(INPUTS!$J$138="Follow Project Life",L$17,IF(INPUTS!$J$138="At Project End",--(L$7=INPUTS!$C$29),0))))</f>
        <v>1</v>
      </c>
      <c r="M148" s="108" t="n">
        <f aca="false">IF(OR(INPUTS!$F$138&lt;&gt;"Yes",M$16=0),0,IF(OR(INPUTS!$J$138="Upfront",INPUTS!$J$138="Even",INPUTS!$J$138="Front-loaded",INPUTS!$J$138="Back-loaded",INPUTS!$J$138="S-curve"),IF(AND(ISNUMBER(INPUTS!$K$138),M$7&gt;=INPUTS!$K$138,M$7&lt;=IF(INPUTS!$J$138="Upfront",INPUTS!$K$138,INPUTS!$L$138)),1,0),IF(INPUTS!$J$138="Follow Project Life",M$17,IF(INPUTS!$J$138="At Project End",--(M$7=INPUTS!$C$29),0))))</f>
        <v>1</v>
      </c>
      <c r="N148" s="108" t="n">
        <f aca="false">IF(OR(INPUTS!$F$138&lt;&gt;"Yes",N$16=0),0,IF(OR(INPUTS!$J$138="Upfront",INPUTS!$J$138="Even",INPUTS!$J$138="Front-loaded",INPUTS!$J$138="Back-loaded",INPUTS!$J$138="S-curve"),IF(AND(ISNUMBER(INPUTS!$K$138),N$7&gt;=INPUTS!$K$138,N$7&lt;=IF(INPUTS!$J$138="Upfront",INPUTS!$K$138,INPUTS!$L$138)),1,0),IF(INPUTS!$J$138="Follow Project Life",N$17,IF(INPUTS!$J$138="At Project End",--(N$7=INPUTS!$C$29),0))))</f>
        <v>1</v>
      </c>
      <c r="O148" s="108" t="n">
        <f aca="false">IF(OR(INPUTS!$F$138&lt;&gt;"Yes",O$16=0),0,IF(OR(INPUTS!$J$138="Upfront",INPUTS!$J$138="Even",INPUTS!$J$138="Front-loaded",INPUTS!$J$138="Back-loaded",INPUTS!$J$138="S-curve"),IF(AND(ISNUMBER(INPUTS!$K$138),O$7&gt;=INPUTS!$K$138,O$7&lt;=IF(INPUTS!$J$138="Upfront",INPUTS!$K$138,INPUTS!$L$138)),1,0),IF(INPUTS!$J$138="Follow Project Life",O$17,IF(INPUTS!$J$138="At Project End",--(O$7=INPUTS!$C$29),0))))</f>
        <v>1</v>
      </c>
      <c r="P148" s="108" t="n">
        <f aca="false">IF(OR(INPUTS!$F$138&lt;&gt;"Yes",P$16=0),0,IF(OR(INPUTS!$J$138="Upfront",INPUTS!$J$138="Even",INPUTS!$J$138="Front-loaded",INPUTS!$J$138="Back-loaded",INPUTS!$J$138="S-curve"),IF(AND(ISNUMBER(INPUTS!$K$138),P$7&gt;=INPUTS!$K$138,P$7&lt;=IF(INPUTS!$J$138="Upfront",INPUTS!$K$138,INPUTS!$L$138)),1,0),IF(INPUTS!$J$138="Follow Project Life",P$17,IF(INPUTS!$J$138="At Project End",--(P$7=INPUTS!$C$29),0))))</f>
        <v>1</v>
      </c>
      <c r="Q148" s="108" t="n">
        <f aca="false">IF(OR(INPUTS!$F$138&lt;&gt;"Yes",Q$16=0),0,IF(OR(INPUTS!$J$138="Upfront",INPUTS!$J$138="Even",INPUTS!$J$138="Front-loaded",INPUTS!$J$138="Back-loaded",INPUTS!$J$138="S-curve"),IF(AND(ISNUMBER(INPUTS!$K$138),Q$7&gt;=INPUTS!$K$138,Q$7&lt;=IF(INPUTS!$J$138="Upfront",INPUTS!$K$138,INPUTS!$L$138)),1,0),IF(INPUTS!$J$138="Follow Project Life",Q$17,IF(INPUTS!$J$138="At Project End",--(Q$7=INPUTS!$C$29),0))))</f>
        <v>1</v>
      </c>
      <c r="R148" s="108" t="n">
        <f aca="false">IF(OR(INPUTS!$F$138&lt;&gt;"Yes",R$16=0),0,IF(OR(INPUTS!$J$138="Upfront",INPUTS!$J$138="Even",INPUTS!$J$138="Front-loaded",INPUTS!$J$138="Back-loaded",INPUTS!$J$138="S-curve"),IF(AND(ISNUMBER(INPUTS!$K$138),R$7&gt;=INPUTS!$K$138,R$7&lt;=IF(INPUTS!$J$138="Upfront",INPUTS!$K$138,INPUTS!$L$138)),1,0),IF(INPUTS!$J$138="Follow Project Life",R$17,IF(INPUTS!$J$138="At Project End",--(R$7=INPUTS!$C$29),0))))</f>
        <v>1</v>
      </c>
      <c r="S148" s="108" t="n">
        <f aca="false">IF(OR(INPUTS!$F$138&lt;&gt;"Yes",S$16=0),0,IF(OR(INPUTS!$J$138="Upfront",INPUTS!$J$138="Even",INPUTS!$J$138="Front-loaded",INPUTS!$J$138="Back-loaded",INPUTS!$J$138="S-curve"),IF(AND(ISNUMBER(INPUTS!$K$138),S$7&gt;=INPUTS!$K$138,S$7&lt;=IF(INPUTS!$J$138="Upfront",INPUTS!$K$138,INPUTS!$L$138)),1,0),IF(INPUTS!$J$138="Follow Project Life",S$17,IF(INPUTS!$J$138="At Project End",--(S$7=INPUTS!$C$29),0))))</f>
        <v>1</v>
      </c>
      <c r="T148" s="108" t="n">
        <f aca="false">IF(OR(INPUTS!$F$138&lt;&gt;"Yes",T$16=0),0,IF(OR(INPUTS!$J$138="Upfront",INPUTS!$J$138="Even",INPUTS!$J$138="Front-loaded",INPUTS!$J$138="Back-loaded",INPUTS!$J$138="S-curve"),IF(AND(ISNUMBER(INPUTS!$K$138),T$7&gt;=INPUTS!$K$138,T$7&lt;=IF(INPUTS!$J$138="Upfront",INPUTS!$K$138,INPUTS!$L$138)),1,0),IF(INPUTS!$J$138="Follow Project Life",T$17,IF(INPUTS!$J$138="At Project End",--(T$7=INPUTS!$C$29),0))))</f>
        <v>1</v>
      </c>
      <c r="U148" s="108" t="n">
        <f aca="false">IF(OR(INPUTS!$F$138&lt;&gt;"Yes",U$16=0),0,IF(OR(INPUTS!$J$138="Upfront",INPUTS!$J$138="Even",INPUTS!$J$138="Front-loaded",INPUTS!$J$138="Back-loaded",INPUTS!$J$138="S-curve"),IF(AND(ISNUMBER(INPUTS!$K$138),U$7&gt;=INPUTS!$K$138,U$7&lt;=IF(INPUTS!$J$138="Upfront",INPUTS!$K$138,INPUTS!$L$138)),1,0),IF(INPUTS!$J$138="Follow Project Life",U$17,IF(INPUTS!$J$138="At Project End",--(U$7=INPUTS!$C$29),0))))</f>
        <v>1</v>
      </c>
      <c r="V148" s="108" t="n">
        <f aca="false">IF(OR(INPUTS!$F$138&lt;&gt;"Yes",V$16=0),0,IF(OR(INPUTS!$J$138="Upfront",INPUTS!$J$138="Even",INPUTS!$J$138="Front-loaded",INPUTS!$J$138="Back-loaded",INPUTS!$J$138="S-curve"),IF(AND(ISNUMBER(INPUTS!$K$138),V$7&gt;=INPUTS!$K$138,V$7&lt;=IF(INPUTS!$J$138="Upfront",INPUTS!$K$138,INPUTS!$L$138)),1,0),IF(INPUTS!$J$138="Follow Project Life",V$17,IF(INPUTS!$J$138="At Project End",--(V$7=INPUTS!$C$29),0))))</f>
        <v>1</v>
      </c>
      <c r="W148" s="108" t="n">
        <f aca="false">IF(OR(INPUTS!$F$138&lt;&gt;"Yes",W$16=0),0,IF(OR(INPUTS!$J$138="Upfront",INPUTS!$J$138="Even",INPUTS!$J$138="Front-loaded",INPUTS!$J$138="Back-loaded",INPUTS!$J$138="S-curve"),IF(AND(ISNUMBER(INPUTS!$K$138),W$7&gt;=INPUTS!$K$138,W$7&lt;=IF(INPUTS!$J$138="Upfront",INPUTS!$K$138,INPUTS!$L$138)),1,0),IF(INPUTS!$J$138="Follow Project Life",W$17,IF(INPUTS!$J$138="At Project End",--(W$7=INPUTS!$C$29),0))))</f>
        <v>1</v>
      </c>
      <c r="X148" s="108" t="n">
        <f aca="false">IF(OR(INPUTS!$F$138&lt;&gt;"Yes",X$16=0),0,IF(OR(INPUTS!$J$138="Upfront",INPUTS!$J$138="Even",INPUTS!$J$138="Front-loaded",INPUTS!$J$138="Back-loaded",INPUTS!$J$138="S-curve"),IF(AND(ISNUMBER(INPUTS!$K$138),X$7&gt;=INPUTS!$K$138,X$7&lt;=IF(INPUTS!$J$138="Upfront",INPUTS!$K$138,INPUTS!$L$138)),1,0),IF(INPUTS!$J$138="Follow Project Life",X$17,IF(INPUTS!$J$138="At Project End",--(X$7=INPUTS!$C$29),0))))</f>
        <v>0</v>
      </c>
      <c r="Y148" s="108" t="n">
        <f aca="false">IF(OR(INPUTS!$F$138&lt;&gt;"Yes",Y$16=0),0,IF(OR(INPUTS!$J$138="Upfront",INPUTS!$J$138="Even",INPUTS!$J$138="Front-loaded",INPUTS!$J$138="Back-loaded",INPUTS!$J$138="S-curve"),IF(AND(ISNUMBER(INPUTS!$K$138),Y$7&gt;=INPUTS!$K$138,Y$7&lt;=IF(INPUTS!$J$138="Upfront",INPUTS!$K$138,INPUTS!$L$138)),1,0),IF(INPUTS!$J$138="Follow Project Life",Y$17,IF(INPUTS!$J$138="At Project End",--(Y$7=INPUTS!$C$29),0))))</f>
        <v>0</v>
      </c>
      <c r="Z148" s="108" t="n">
        <f aca="false">IF(OR(INPUTS!$F$138&lt;&gt;"Yes",Z$16=0),0,IF(OR(INPUTS!$J$138="Upfront",INPUTS!$J$138="Even",INPUTS!$J$138="Front-loaded",INPUTS!$J$138="Back-loaded",INPUTS!$J$138="S-curve"),IF(AND(ISNUMBER(INPUTS!$K$138),Z$7&gt;=INPUTS!$K$138,Z$7&lt;=IF(INPUTS!$J$138="Upfront",INPUTS!$K$138,INPUTS!$L$138)),1,0),IF(INPUTS!$J$138="Follow Project Life",Z$17,IF(INPUTS!$J$138="At Project End",--(Z$7=INPUTS!$C$29),0))))</f>
        <v>0</v>
      </c>
      <c r="AA148" s="108" t="n">
        <f aca="false">IF(OR(INPUTS!$F$138&lt;&gt;"Yes",AA$16=0),0,IF(OR(INPUTS!$J$138="Upfront",INPUTS!$J$138="Even",INPUTS!$J$138="Front-loaded",INPUTS!$J$138="Back-loaded",INPUTS!$J$138="S-curve"),IF(AND(ISNUMBER(INPUTS!$K$138),AA$7&gt;=INPUTS!$K$138,AA$7&lt;=IF(INPUTS!$J$138="Upfront",INPUTS!$K$138,INPUTS!$L$138)),1,0),IF(INPUTS!$J$138="Follow Project Life",AA$17,IF(INPUTS!$J$138="At Project End",--(AA$7=INPUTS!$C$29),0))))</f>
        <v>0</v>
      </c>
      <c r="AB148" s="108" t="n">
        <f aca="false">IF(OR(INPUTS!$F$138&lt;&gt;"Yes",AB$16=0),0,IF(OR(INPUTS!$J$138="Upfront",INPUTS!$J$138="Even",INPUTS!$J$138="Front-loaded",INPUTS!$J$138="Back-loaded",INPUTS!$J$138="S-curve"),IF(AND(ISNUMBER(INPUTS!$K$138),AB$7&gt;=INPUTS!$K$138,AB$7&lt;=IF(INPUTS!$J$138="Upfront",INPUTS!$K$138,INPUTS!$L$138)),1,0),IF(INPUTS!$J$138="Follow Project Life",AB$17,IF(INPUTS!$J$138="At Project End",--(AB$7=INPUTS!$C$29),0))))</f>
        <v>0</v>
      </c>
      <c r="AC148" s="108" t="n">
        <f aca="false">IF(OR(INPUTS!$F$138&lt;&gt;"Yes",AC$16=0),0,IF(OR(INPUTS!$J$138="Upfront",INPUTS!$J$138="Even",INPUTS!$J$138="Front-loaded",INPUTS!$J$138="Back-loaded",INPUTS!$J$138="S-curve"),IF(AND(ISNUMBER(INPUTS!$K$138),AC$7&gt;=INPUTS!$K$138,AC$7&lt;=IF(INPUTS!$J$138="Upfront",INPUTS!$K$138,INPUTS!$L$138)),1,0),IF(INPUTS!$J$138="Follow Project Life",AC$17,IF(INPUTS!$J$138="At Project End",--(AC$7=INPUTS!$C$29),0))))</f>
        <v>0</v>
      </c>
      <c r="AD148" s="108" t="n">
        <f aca="false">IF(OR(INPUTS!$F$138&lt;&gt;"Yes",AD$16=0),0,IF(OR(INPUTS!$J$138="Upfront",INPUTS!$J$138="Even",INPUTS!$J$138="Front-loaded",INPUTS!$J$138="Back-loaded",INPUTS!$J$138="S-curve"),IF(AND(ISNUMBER(INPUTS!$K$138),AD$7&gt;=INPUTS!$K$138,AD$7&lt;=IF(INPUTS!$J$138="Upfront",INPUTS!$K$138,INPUTS!$L$138)),1,0),IF(INPUTS!$J$138="Follow Project Life",AD$17,IF(INPUTS!$J$138="At Project End",--(AD$7=INPUTS!$C$29),0))))</f>
        <v>0</v>
      </c>
      <c r="AE148" s="108" t="n">
        <f aca="false">IF(OR(INPUTS!$F$138&lt;&gt;"Yes",AE$16=0),0,IF(OR(INPUTS!$J$138="Upfront",INPUTS!$J$138="Even",INPUTS!$J$138="Front-loaded",INPUTS!$J$138="Back-loaded",INPUTS!$J$138="S-curve"),IF(AND(ISNUMBER(INPUTS!$K$138),AE$7&gt;=INPUTS!$K$138,AE$7&lt;=IF(INPUTS!$J$138="Upfront",INPUTS!$K$138,INPUTS!$L$138)),1,0),IF(INPUTS!$J$138="Follow Project Life",AE$17,IF(INPUTS!$J$138="At Project End",--(AE$7=INPUTS!$C$29),0))))</f>
        <v>0</v>
      </c>
      <c r="AF148" s="108" t="n">
        <f aca="false">IF(OR(INPUTS!$F$138&lt;&gt;"Yes",AF$16=0),0,IF(OR(INPUTS!$J$138="Upfront",INPUTS!$J$138="Even",INPUTS!$J$138="Front-loaded",INPUTS!$J$138="Back-loaded",INPUTS!$J$138="S-curve"),IF(AND(ISNUMBER(INPUTS!$K$138),AF$7&gt;=INPUTS!$K$138,AF$7&lt;=IF(INPUTS!$J$138="Upfront",INPUTS!$K$138,INPUTS!$L$138)),1,0),IF(INPUTS!$J$138="Follow Project Life",AF$17,IF(INPUTS!$J$138="At Project End",--(AF$7=INPUTS!$C$29),0))))</f>
        <v>0</v>
      </c>
      <c r="AG148" s="108" t="n">
        <f aca="false">IF(OR(INPUTS!$F$138&lt;&gt;"Yes",AG$16=0),0,IF(OR(INPUTS!$J$138="Upfront",INPUTS!$J$138="Even",INPUTS!$J$138="Front-loaded",INPUTS!$J$138="Back-loaded",INPUTS!$J$138="S-curve"),IF(AND(ISNUMBER(INPUTS!$K$138),AG$7&gt;=INPUTS!$K$138,AG$7&lt;=IF(INPUTS!$J$138="Upfront",INPUTS!$K$138,INPUTS!$L$138)),1,0),IF(INPUTS!$J$138="Follow Project Life",AG$17,IF(INPUTS!$J$138="At Project End",--(AG$7=INPUTS!$C$29),0))))</f>
        <v>0</v>
      </c>
      <c r="AH148" s="108" t="n">
        <f aca="false">IF(OR(INPUTS!$F$138&lt;&gt;"Yes",AH$16=0),0,IF(OR(INPUTS!$J$138="Upfront",INPUTS!$J$138="Even",INPUTS!$J$138="Front-loaded",INPUTS!$J$138="Back-loaded",INPUTS!$J$138="S-curve"),IF(AND(ISNUMBER(INPUTS!$K$138),AH$7&gt;=INPUTS!$K$138,AH$7&lt;=IF(INPUTS!$J$138="Upfront",INPUTS!$K$138,INPUTS!$L$138)),1,0),IF(INPUTS!$J$138="Follow Project Life",AH$17,IF(INPUTS!$J$138="At Project End",--(AH$7=INPUTS!$C$29),0))))</f>
        <v>0</v>
      </c>
      <c r="AI148" s="108" t="n">
        <f aca="false">IF(OR(INPUTS!$F$138&lt;&gt;"Yes",AI$16=0),0,IF(OR(INPUTS!$J$138="Upfront",INPUTS!$J$138="Even",INPUTS!$J$138="Front-loaded",INPUTS!$J$138="Back-loaded",INPUTS!$J$138="S-curve"),IF(AND(ISNUMBER(INPUTS!$K$138),AI$7&gt;=INPUTS!$K$138,AI$7&lt;=IF(INPUTS!$J$138="Upfront",INPUTS!$K$138,INPUTS!$L$138)),1,0),IF(INPUTS!$J$138="Follow Project Life",AI$17,IF(INPUTS!$J$138="At Project End",--(AI$7=INPUTS!$C$29),0))))</f>
        <v>0</v>
      </c>
      <c r="AJ148" s="108" t="n">
        <f aca="false">IF(OR(INPUTS!$F$138&lt;&gt;"Yes",AJ$16=0),0,IF(OR(INPUTS!$J$138="Upfront",INPUTS!$J$138="Even",INPUTS!$J$138="Front-loaded",INPUTS!$J$138="Back-loaded",INPUTS!$J$138="S-curve"),IF(AND(ISNUMBER(INPUTS!$K$138),AJ$7&gt;=INPUTS!$K$138,AJ$7&lt;=IF(INPUTS!$J$138="Upfront",INPUTS!$K$138,INPUTS!$L$138)),1,0),IF(INPUTS!$J$138="Follow Project Life",AJ$17,IF(INPUTS!$J$138="At Project End",--(AJ$7=INPUTS!$C$29),0))))</f>
        <v>0</v>
      </c>
      <c r="AK148" s="108" t="n">
        <f aca="false">IF(OR(INPUTS!$F$138&lt;&gt;"Yes",AK$16=0),0,IF(OR(INPUTS!$J$138="Upfront",INPUTS!$J$138="Even",INPUTS!$J$138="Front-loaded",INPUTS!$J$138="Back-loaded",INPUTS!$J$138="S-curve"),IF(AND(ISNUMBER(INPUTS!$K$138),AK$7&gt;=INPUTS!$K$138,AK$7&lt;=IF(INPUTS!$J$138="Upfront",INPUTS!$K$138,INPUTS!$L$138)),1,0),IF(INPUTS!$J$138="Follow Project Life",AK$17,IF(INPUTS!$J$138="At Project End",--(AK$7=INPUTS!$C$29),0))))</f>
        <v>0</v>
      </c>
      <c r="AL148" s="108" t="n">
        <f aca="false">IF(OR(INPUTS!$F$138&lt;&gt;"Yes",AL$16=0),0,IF(OR(INPUTS!$J$138="Upfront",INPUTS!$J$138="Even",INPUTS!$J$138="Front-loaded",INPUTS!$J$138="Back-loaded",INPUTS!$J$138="S-curve"),IF(AND(ISNUMBER(INPUTS!$K$138),AL$7&gt;=INPUTS!$K$138,AL$7&lt;=IF(INPUTS!$J$138="Upfront",INPUTS!$K$138,INPUTS!$L$138)),1,0),IF(INPUTS!$J$138="Follow Project Life",AL$17,IF(INPUTS!$J$138="At Project End",--(AL$7=INPUTS!$C$29),0))))</f>
        <v>0</v>
      </c>
      <c r="AM148" s="108" t="n">
        <f aca="false">IF(OR(INPUTS!$F$138&lt;&gt;"Yes",AM$16=0),0,IF(OR(INPUTS!$J$138="Upfront",INPUTS!$J$138="Even",INPUTS!$J$138="Front-loaded",INPUTS!$J$138="Back-loaded",INPUTS!$J$138="S-curve"),IF(AND(ISNUMBER(INPUTS!$K$138),AM$7&gt;=INPUTS!$K$138,AM$7&lt;=IF(INPUTS!$J$138="Upfront",INPUTS!$K$138,INPUTS!$L$138)),1,0),IF(INPUTS!$J$138="Follow Project Life",AM$17,IF(INPUTS!$J$138="At Project End",--(AM$7=INPUTS!$C$29),0))))</f>
        <v>0</v>
      </c>
      <c r="AN148" s="108" t="n">
        <f aca="false">IF(OR(INPUTS!$F$138&lt;&gt;"Yes",AN$16=0),0,IF(OR(INPUTS!$J$138="Upfront",INPUTS!$J$138="Even",INPUTS!$J$138="Front-loaded",INPUTS!$J$138="Back-loaded",INPUTS!$J$138="S-curve"),IF(AND(ISNUMBER(INPUTS!$K$138),AN$7&gt;=INPUTS!$K$138,AN$7&lt;=IF(INPUTS!$J$138="Upfront",INPUTS!$K$138,INPUTS!$L$138)),1,0),IF(INPUTS!$J$138="Follow Project Life",AN$17,IF(INPUTS!$J$138="At Project End",--(AN$7=INPUTS!$C$29),0))))</f>
        <v>0</v>
      </c>
      <c r="AO148" s="108" t="n">
        <f aca="false">IF(OR(INPUTS!$F$138&lt;&gt;"Yes",AO$16=0),0,IF(OR(INPUTS!$J$138="Upfront",INPUTS!$J$138="Even",INPUTS!$J$138="Front-loaded",INPUTS!$J$138="Back-loaded",INPUTS!$J$138="S-curve"),IF(AND(ISNUMBER(INPUTS!$K$138),AO$7&gt;=INPUTS!$K$138,AO$7&lt;=IF(INPUTS!$J$138="Upfront",INPUTS!$K$138,INPUTS!$L$138)),1,0),IF(INPUTS!$J$138="Follow Project Life",AO$17,IF(INPUTS!$J$138="At Project End",--(AO$7=INPUTS!$C$29),0))))</f>
        <v>0</v>
      </c>
      <c r="AP148" s="108" t="n">
        <f aca="false">IF(OR(INPUTS!$F$138&lt;&gt;"Yes",AP$16=0),0,IF(OR(INPUTS!$J$138="Upfront",INPUTS!$J$138="Even",INPUTS!$J$138="Front-loaded",INPUTS!$J$138="Back-loaded",INPUTS!$J$138="S-curve"),IF(AND(ISNUMBER(INPUTS!$K$138),AP$7&gt;=INPUTS!$K$138,AP$7&lt;=IF(INPUTS!$J$138="Upfront",INPUTS!$K$138,INPUTS!$L$138)),1,0),IF(INPUTS!$J$138="Follow Project Life",AP$17,IF(INPUTS!$J$138="At Project End",--(AP$7=INPUTS!$C$29),0))))</f>
        <v>0</v>
      </c>
      <c r="AQ148" s="108" t="n">
        <f aca="false">IF(OR(INPUTS!$F$138&lt;&gt;"Yes",AQ$16=0),0,IF(OR(INPUTS!$J$138="Upfront",INPUTS!$J$138="Even",INPUTS!$J$138="Front-loaded",INPUTS!$J$138="Back-loaded",INPUTS!$J$138="S-curve"),IF(AND(ISNUMBER(INPUTS!$K$138),AQ$7&gt;=INPUTS!$K$138,AQ$7&lt;=IF(INPUTS!$J$138="Upfront",INPUTS!$K$138,INPUTS!$L$138)),1,0),IF(INPUTS!$J$138="Follow Project Life",AQ$17,IF(INPUTS!$J$138="At Project End",--(AQ$7=INPUTS!$C$29),0))))</f>
        <v>0</v>
      </c>
    </row>
    <row r="149" customFormat="false" ht="15" hidden="false" customHeight="false" outlineLevel="0" collapsed="false">
      <c r="B149" s="3" t="s">
        <v>650</v>
      </c>
      <c r="C149" s="107" t="n">
        <f aca="false">MAX(D149:AQ149)</f>
        <v>20</v>
      </c>
      <c r="D149" s="108" t="n">
        <f aca="false">IF(D148=1,COUNTIF($D148:D148,1),0)</f>
        <v>1</v>
      </c>
      <c r="E149" s="108" t="n">
        <f aca="false">IF(E148=1,COUNTIF($D148:E148,1),0)</f>
        <v>2</v>
      </c>
      <c r="F149" s="108" t="n">
        <f aca="false">IF(F148=1,COUNTIF($D148:F148,1),0)</f>
        <v>3</v>
      </c>
      <c r="G149" s="108" t="n">
        <f aca="false">IF(G148=1,COUNTIF($D148:G148,1),0)</f>
        <v>4</v>
      </c>
      <c r="H149" s="108" t="n">
        <f aca="false">IF(H148=1,COUNTIF($D148:H148,1),0)</f>
        <v>5</v>
      </c>
      <c r="I149" s="108" t="n">
        <f aca="false">IF(I148=1,COUNTIF($D148:I148,1),0)</f>
        <v>6</v>
      </c>
      <c r="J149" s="108" t="n">
        <f aca="false">IF(J148=1,COUNTIF($D148:J148,1),0)</f>
        <v>7</v>
      </c>
      <c r="K149" s="108" t="n">
        <f aca="false">IF(K148=1,COUNTIF($D148:K148,1),0)</f>
        <v>8</v>
      </c>
      <c r="L149" s="108" t="n">
        <f aca="false">IF(L148=1,COUNTIF($D148:L148,1),0)</f>
        <v>9</v>
      </c>
      <c r="M149" s="108" t="n">
        <f aca="false">IF(M148=1,COUNTIF($D148:M148,1),0)</f>
        <v>10</v>
      </c>
      <c r="N149" s="108" t="n">
        <f aca="false">IF(N148=1,COUNTIF($D148:N148,1),0)</f>
        <v>11</v>
      </c>
      <c r="O149" s="108" t="n">
        <f aca="false">IF(O148=1,COUNTIF($D148:O148,1),0)</f>
        <v>12</v>
      </c>
      <c r="P149" s="108" t="n">
        <f aca="false">IF(P148=1,COUNTIF($D148:P148,1),0)</f>
        <v>13</v>
      </c>
      <c r="Q149" s="108" t="n">
        <f aca="false">IF(Q148=1,COUNTIF($D148:Q148,1),0)</f>
        <v>14</v>
      </c>
      <c r="R149" s="108" t="n">
        <f aca="false">IF(R148=1,COUNTIF($D148:R148,1),0)</f>
        <v>15</v>
      </c>
      <c r="S149" s="108" t="n">
        <f aca="false">IF(S148=1,COUNTIF($D148:S148,1),0)</f>
        <v>16</v>
      </c>
      <c r="T149" s="108" t="n">
        <f aca="false">IF(T148=1,COUNTIF($D148:T148,1),0)</f>
        <v>17</v>
      </c>
      <c r="U149" s="108" t="n">
        <f aca="false">IF(U148=1,COUNTIF($D148:U148,1),0)</f>
        <v>18</v>
      </c>
      <c r="V149" s="108" t="n">
        <f aca="false">IF(V148=1,COUNTIF($D148:V148,1),0)</f>
        <v>19</v>
      </c>
      <c r="W149" s="108" t="n">
        <f aca="false">IF(W148=1,COUNTIF($D148:W148,1),0)</f>
        <v>20</v>
      </c>
      <c r="X149" s="108" t="n">
        <f aca="false">IF(X148=1,COUNTIF($D148:X148,1),0)</f>
        <v>0</v>
      </c>
      <c r="Y149" s="108" t="n">
        <f aca="false">IF(Y148=1,COUNTIF($D148:Y148,1),0)</f>
        <v>0</v>
      </c>
      <c r="Z149" s="108" t="n">
        <f aca="false">IF(Z148=1,COUNTIF($D148:Z148,1),0)</f>
        <v>0</v>
      </c>
      <c r="AA149" s="108" t="n">
        <f aca="false">IF(AA148=1,COUNTIF($D148:AA148,1),0)</f>
        <v>0</v>
      </c>
      <c r="AB149" s="108" t="n">
        <f aca="false">IF(AB148=1,COUNTIF($D148:AB148,1),0)</f>
        <v>0</v>
      </c>
      <c r="AC149" s="108" t="n">
        <f aca="false">IF(AC148=1,COUNTIF($D148:AC148,1),0)</f>
        <v>0</v>
      </c>
      <c r="AD149" s="108" t="n">
        <f aca="false">IF(AD148=1,COUNTIF($D148:AD148,1),0)</f>
        <v>0</v>
      </c>
      <c r="AE149" s="108" t="n">
        <f aca="false">IF(AE148=1,COUNTIF($D148:AE148,1),0)</f>
        <v>0</v>
      </c>
      <c r="AF149" s="108" t="n">
        <f aca="false">IF(AF148=1,COUNTIF($D148:AF148,1),0)</f>
        <v>0</v>
      </c>
      <c r="AG149" s="108" t="n">
        <f aca="false">IF(AG148=1,COUNTIF($D148:AG148,1),0)</f>
        <v>0</v>
      </c>
      <c r="AH149" s="108" t="n">
        <f aca="false">IF(AH148=1,COUNTIF($D148:AH148,1),0)</f>
        <v>0</v>
      </c>
      <c r="AI149" s="108" t="n">
        <f aca="false">IF(AI148=1,COUNTIF($D148:AI148,1),0)</f>
        <v>0</v>
      </c>
      <c r="AJ149" s="108" t="n">
        <f aca="false">IF(AJ148=1,COUNTIF($D148:AJ148,1),0)</f>
        <v>0</v>
      </c>
      <c r="AK149" s="108" t="n">
        <f aca="false">IF(AK148=1,COUNTIF($D148:AK148,1),0)</f>
        <v>0</v>
      </c>
      <c r="AL149" s="108" t="n">
        <f aca="false">IF(AL148=1,COUNTIF($D148:AL148,1),0)</f>
        <v>0</v>
      </c>
      <c r="AM149" s="108" t="n">
        <f aca="false">IF(AM148=1,COUNTIF($D148:AM148,1),0)</f>
        <v>0</v>
      </c>
      <c r="AN149" s="108" t="n">
        <f aca="false">IF(AN148=1,COUNTIF($D148:AN148,1),0)</f>
        <v>0</v>
      </c>
      <c r="AO149" s="108" t="n">
        <f aca="false">IF(AO148=1,COUNTIF($D148:AO148,1),0)</f>
        <v>0</v>
      </c>
      <c r="AP149" s="108" t="n">
        <f aca="false">IF(AP148=1,COUNTIF($D148:AP148,1),0)</f>
        <v>0</v>
      </c>
      <c r="AQ149" s="108" t="n">
        <f aca="false">IF(AQ148=1,COUNTIF($D148:AQ148,1),0)</f>
        <v>0</v>
      </c>
    </row>
    <row r="150" customFormat="false" ht="15" hidden="false" customHeight="false" outlineLevel="0" collapsed="false">
      <c r="B150" s="17" t="s">
        <v>651</v>
      </c>
      <c r="C150" s="105" t="str">
        <f aca="false">IF(INPUTS!$M$138="","",IF(INPUTS!$M$138&lt;&gt;"OK","ERROR",IF(C148=IF(INPUTS!$F$138&lt;&gt;"Yes",0,IF(OR(INPUTS!$J$138="Upfront",INPUTS!$J$138="Even",INPUTS!$J$138="Front-loaded",INPUTS!$J$138="Back-loaded",INPUTS!$J$138="S-curve"),IF(ISNUMBER(INPUTS!$K$138),IF(INPUTS!$J$138="Upfront",INPUTS!$K$138,INPUTS!$L$138)-INPUTS!$K$138+1,0),IF(INPUTS!$J$138="Follow Project Life",INPUTS!$C$29,IF(INPUTS!$J$138="At Project End",1,0)))),"OK","ERROR")))</f>
        <v>OK</v>
      </c>
    </row>
    <row r="151" customFormat="false" ht="15" hidden="false" customHeight="false" outlineLevel="0" collapsed="false">
      <c r="B151" s="110" t="str">
        <f aca="false">IF(INPUTS!$B$139="","Spare cost row",INPUTS!$B$139)</f>
        <v>Marketing &amp; Sales @ %</v>
      </c>
      <c r="C151" s="111" t="str">
        <f aca="false">IF(INPUTS!$J$139="","",INPUTS!$J$139)</f>
        <v>Follow Sales</v>
      </c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</row>
    <row r="152" customFormat="false" ht="15" hidden="false" customHeight="false" outlineLevel="0" collapsed="false">
      <c r="B152" s="3" t="s">
        <v>649</v>
      </c>
      <c r="C152" s="107" t="n">
        <f aca="false">SUM(D152:AQ152)</f>
        <v>0</v>
      </c>
      <c r="D152" s="108" t="n">
        <f aca="false">IF(OR(INPUTS!$F$139&lt;&gt;"Yes",D$16=0),0,IF(OR(INPUTS!$J$139="Upfront",INPUTS!$J$139="Even",INPUTS!$J$139="Front-loaded",INPUTS!$J$139="Back-loaded",INPUTS!$J$139="S-curve"),IF(AND(ISNUMBER(INPUTS!$K$139),D$7&gt;=INPUTS!$K$139,D$7&lt;=IF(INPUTS!$J$139="Upfront",INPUTS!$K$139,INPUTS!$L$139)),1,0),IF(INPUTS!$J$139="Follow Project Life",D$17,IF(INPUTS!$J$139="At Project End",--(D$7=INPUTS!$C$29),0))))</f>
        <v>0</v>
      </c>
      <c r="E152" s="108" t="n">
        <f aca="false">IF(OR(INPUTS!$F$139&lt;&gt;"Yes",E$16=0),0,IF(OR(INPUTS!$J$139="Upfront",INPUTS!$J$139="Even",INPUTS!$J$139="Front-loaded",INPUTS!$J$139="Back-loaded",INPUTS!$J$139="S-curve"),IF(AND(ISNUMBER(INPUTS!$K$139),E$7&gt;=INPUTS!$K$139,E$7&lt;=IF(INPUTS!$J$139="Upfront",INPUTS!$K$139,INPUTS!$L$139)),1,0),IF(INPUTS!$J$139="Follow Project Life",E$17,IF(INPUTS!$J$139="At Project End",--(E$7=INPUTS!$C$29),0))))</f>
        <v>0</v>
      </c>
      <c r="F152" s="108" t="n">
        <f aca="false">IF(OR(INPUTS!$F$139&lt;&gt;"Yes",F$16=0),0,IF(OR(INPUTS!$J$139="Upfront",INPUTS!$J$139="Even",INPUTS!$J$139="Front-loaded",INPUTS!$J$139="Back-loaded",INPUTS!$J$139="S-curve"),IF(AND(ISNUMBER(INPUTS!$K$139),F$7&gt;=INPUTS!$K$139,F$7&lt;=IF(INPUTS!$J$139="Upfront",INPUTS!$K$139,INPUTS!$L$139)),1,0),IF(INPUTS!$J$139="Follow Project Life",F$17,IF(INPUTS!$J$139="At Project End",--(F$7=INPUTS!$C$29),0))))</f>
        <v>0</v>
      </c>
      <c r="G152" s="108" t="n">
        <f aca="false">IF(OR(INPUTS!$F$139&lt;&gt;"Yes",G$16=0),0,IF(OR(INPUTS!$J$139="Upfront",INPUTS!$J$139="Even",INPUTS!$J$139="Front-loaded",INPUTS!$J$139="Back-loaded",INPUTS!$J$139="S-curve"),IF(AND(ISNUMBER(INPUTS!$K$139),G$7&gt;=INPUTS!$K$139,G$7&lt;=IF(INPUTS!$J$139="Upfront",INPUTS!$K$139,INPUTS!$L$139)),1,0),IF(INPUTS!$J$139="Follow Project Life",G$17,IF(INPUTS!$J$139="At Project End",--(G$7=INPUTS!$C$29),0))))</f>
        <v>0</v>
      </c>
      <c r="H152" s="108" t="n">
        <f aca="false">IF(OR(INPUTS!$F$139&lt;&gt;"Yes",H$16=0),0,IF(OR(INPUTS!$J$139="Upfront",INPUTS!$J$139="Even",INPUTS!$J$139="Front-loaded",INPUTS!$J$139="Back-loaded",INPUTS!$J$139="S-curve"),IF(AND(ISNUMBER(INPUTS!$K$139),H$7&gt;=INPUTS!$K$139,H$7&lt;=IF(INPUTS!$J$139="Upfront",INPUTS!$K$139,INPUTS!$L$139)),1,0),IF(INPUTS!$J$139="Follow Project Life",H$17,IF(INPUTS!$J$139="At Project End",--(H$7=INPUTS!$C$29),0))))</f>
        <v>0</v>
      </c>
      <c r="I152" s="108" t="n">
        <f aca="false">IF(OR(INPUTS!$F$139&lt;&gt;"Yes",I$16=0),0,IF(OR(INPUTS!$J$139="Upfront",INPUTS!$J$139="Even",INPUTS!$J$139="Front-loaded",INPUTS!$J$139="Back-loaded",INPUTS!$J$139="S-curve"),IF(AND(ISNUMBER(INPUTS!$K$139),I$7&gt;=INPUTS!$K$139,I$7&lt;=IF(INPUTS!$J$139="Upfront",INPUTS!$K$139,INPUTS!$L$139)),1,0),IF(INPUTS!$J$139="Follow Project Life",I$17,IF(INPUTS!$J$139="At Project End",--(I$7=INPUTS!$C$29),0))))</f>
        <v>0</v>
      </c>
      <c r="J152" s="108" t="n">
        <f aca="false">IF(OR(INPUTS!$F$139&lt;&gt;"Yes",J$16=0),0,IF(OR(INPUTS!$J$139="Upfront",INPUTS!$J$139="Even",INPUTS!$J$139="Front-loaded",INPUTS!$J$139="Back-loaded",INPUTS!$J$139="S-curve"),IF(AND(ISNUMBER(INPUTS!$K$139),J$7&gt;=INPUTS!$K$139,J$7&lt;=IF(INPUTS!$J$139="Upfront",INPUTS!$K$139,INPUTS!$L$139)),1,0),IF(INPUTS!$J$139="Follow Project Life",J$17,IF(INPUTS!$J$139="At Project End",--(J$7=INPUTS!$C$29),0))))</f>
        <v>0</v>
      </c>
      <c r="K152" s="108" t="n">
        <f aca="false">IF(OR(INPUTS!$F$139&lt;&gt;"Yes",K$16=0),0,IF(OR(INPUTS!$J$139="Upfront",INPUTS!$J$139="Even",INPUTS!$J$139="Front-loaded",INPUTS!$J$139="Back-loaded",INPUTS!$J$139="S-curve"),IF(AND(ISNUMBER(INPUTS!$K$139),K$7&gt;=INPUTS!$K$139,K$7&lt;=IF(INPUTS!$J$139="Upfront",INPUTS!$K$139,INPUTS!$L$139)),1,0),IF(INPUTS!$J$139="Follow Project Life",K$17,IF(INPUTS!$J$139="At Project End",--(K$7=INPUTS!$C$29),0))))</f>
        <v>0</v>
      </c>
      <c r="L152" s="108" t="n">
        <f aca="false">IF(OR(INPUTS!$F$139&lt;&gt;"Yes",L$16=0),0,IF(OR(INPUTS!$J$139="Upfront",INPUTS!$J$139="Even",INPUTS!$J$139="Front-loaded",INPUTS!$J$139="Back-loaded",INPUTS!$J$139="S-curve"),IF(AND(ISNUMBER(INPUTS!$K$139),L$7&gt;=INPUTS!$K$139,L$7&lt;=IF(INPUTS!$J$139="Upfront",INPUTS!$K$139,INPUTS!$L$139)),1,0),IF(INPUTS!$J$139="Follow Project Life",L$17,IF(INPUTS!$J$139="At Project End",--(L$7=INPUTS!$C$29),0))))</f>
        <v>0</v>
      </c>
      <c r="M152" s="108" t="n">
        <f aca="false">IF(OR(INPUTS!$F$139&lt;&gt;"Yes",M$16=0),0,IF(OR(INPUTS!$J$139="Upfront",INPUTS!$J$139="Even",INPUTS!$J$139="Front-loaded",INPUTS!$J$139="Back-loaded",INPUTS!$J$139="S-curve"),IF(AND(ISNUMBER(INPUTS!$K$139),M$7&gt;=INPUTS!$K$139,M$7&lt;=IF(INPUTS!$J$139="Upfront",INPUTS!$K$139,INPUTS!$L$139)),1,0),IF(INPUTS!$J$139="Follow Project Life",M$17,IF(INPUTS!$J$139="At Project End",--(M$7=INPUTS!$C$29),0))))</f>
        <v>0</v>
      </c>
      <c r="N152" s="108" t="n">
        <f aca="false">IF(OR(INPUTS!$F$139&lt;&gt;"Yes",N$16=0),0,IF(OR(INPUTS!$J$139="Upfront",INPUTS!$J$139="Even",INPUTS!$J$139="Front-loaded",INPUTS!$J$139="Back-loaded",INPUTS!$J$139="S-curve"),IF(AND(ISNUMBER(INPUTS!$K$139),N$7&gt;=INPUTS!$K$139,N$7&lt;=IF(INPUTS!$J$139="Upfront",INPUTS!$K$139,INPUTS!$L$139)),1,0),IF(INPUTS!$J$139="Follow Project Life",N$17,IF(INPUTS!$J$139="At Project End",--(N$7=INPUTS!$C$29),0))))</f>
        <v>0</v>
      </c>
      <c r="O152" s="108" t="n">
        <f aca="false">IF(OR(INPUTS!$F$139&lt;&gt;"Yes",O$16=0),0,IF(OR(INPUTS!$J$139="Upfront",INPUTS!$J$139="Even",INPUTS!$J$139="Front-loaded",INPUTS!$J$139="Back-loaded",INPUTS!$J$139="S-curve"),IF(AND(ISNUMBER(INPUTS!$K$139),O$7&gt;=INPUTS!$K$139,O$7&lt;=IF(INPUTS!$J$139="Upfront",INPUTS!$K$139,INPUTS!$L$139)),1,0),IF(INPUTS!$J$139="Follow Project Life",O$17,IF(INPUTS!$J$139="At Project End",--(O$7=INPUTS!$C$29),0))))</f>
        <v>0</v>
      </c>
      <c r="P152" s="108" t="n">
        <f aca="false">IF(OR(INPUTS!$F$139&lt;&gt;"Yes",P$16=0),0,IF(OR(INPUTS!$J$139="Upfront",INPUTS!$J$139="Even",INPUTS!$J$139="Front-loaded",INPUTS!$J$139="Back-loaded",INPUTS!$J$139="S-curve"),IF(AND(ISNUMBER(INPUTS!$K$139),P$7&gt;=INPUTS!$K$139,P$7&lt;=IF(INPUTS!$J$139="Upfront",INPUTS!$K$139,INPUTS!$L$139)),1,0),IF(INPUTS!$J$139="Follow Project Life",P$17,IF(INPUTS!$J$139="At Project End",--(P$7=INPUTS!$C$29),0))))</f>
        <v>0</v>
      </c>
      <c r="Q152" s="108" t="n">
        <f aca="false">IF(OR(INPUTS!$F$139&lt;&gt;"Yes",Q$16=0),0,IF(OR(INPUTS!$J$139="Upfront",INPUTS!$J$139="Even",INPUTS!$J$139="Front-loaded",INPUTS!$J$139="Back-loaded",INPUTS!$J$139="S-curve"),IF(AND(ISNUMBER(INPUTS!$K$139),Q$7&gt;=INPUTS!$K$139,Q$7&lt;=IF(INPUTS!$J$139="Upfront",INPUTS!$K$139,INPUTS!$L$139)),1,0),IF(INPUTS!$J$139="Follow Project Life",Q$17,IF(INPUTS!$J$139="At Project End",--(Q$7=INPUTS!$C$29),0))))</f>
        <v>0</v>
      </c>
      <c r="R152" s="108" t="n">
        <f aca="false">IF(OR(INPUTS!$F$139&lt;&gt;"Yes",R$16=0),0,IF(OR(INPUTS!$J$139="Upfront",INPUTS!$J$139="Even",INPUTS!$J$139="Front-loaded",INPUTS!$J$139="Back-loaded",INPUTS!$J$139="S-curve"),IF(AND(ISNUMBER(INPUTS!$K$139),R$7&gt;=INPUTS!$K$139,R$7&lt;=IF(INPUTS!$J$139="Upfront",INPUTS!$K$139,INPUTS!$L$139)),1,0),IF(INPUTS!$J$139="Follow Project Life",R$17,IF(INPUTS!$J$139="At Project End",--(R$7=INPUTS!$C$29),0))))</f>
        <v>0</v>
      </c>
      <c r="S152" s="108" t="n">
        <f aca="false">IF(OR(INPUTS!$F$139&lt;&gt;"Yes",S$16=0),0,IF(OR(INPUTS!$J$139="Upfront",INPUTS!$J$139="Even",INPUTS!$J$139="Front-loaded",INPUTS!$J$139="Back-loaded",INPUTS!$J$139="S-curve"),IF(AND(ISNUMBER(INPUTS!$K$139),S$7&gt;=INPUTS!$K$139,S$7&lt;=IF(INPUTS!$J$139="Upfront",INPUTS!$K$139,INPUTS!$L$139)),1,0),IF(INPUTS!$J$139="Follow Project Life",S$17,IF(INPUTS!$J$139="At Project End",--(S$7=INPUTS!$C$29),0))))</f>
        <v>0</v>
      </c>
      <c r="T152" s="108" t="n">
        <f aca="false">IF(OR(INPUTS!$F$139&lt;&gt;"Yes",T$16=0),0,IF(OR(INPUTS!$J$139="Upfront",INPUTS!$J$139="Even",INPUTS!$J$139="Front-loaded",INPUTS!$J$139="Back-loaded",INPUTS!$J$139="S-curve"),IF(AND(ISNUMBER(INPUTS!$K$139),T$7&gt;=INPUTS!$K$139,T$7&lt;=IF(INPUTS!$J$139="Upfront",INPUTS!$K$139,INPUTS!$L$139)),1,0),IF(INPUTS!$J$139="Follow Project Life",T$17,IF(INPUTS!$J$139="At Project End",--(T$7=INPUTS!$C$29),0))))</f>
        <v>0</v>
      </c>
      <c r="U152" s="108" t="n">
        <f aca="false">IF(OR(INPUTS!$F$139&lt;&gt;"Yes",U$16=0),0,IF(OR(INPUTS!$J$139="Upfront",INPUTS!$J$139="Even",INPUTS!$J$139="Front-loaded",INPUTS!$J$139="Back-loaded",INPUTS!$J$139="S-curve"),IF(AND(ISNUMBER(INPUTS!$K$139),U$7&gt;=INPUTS!$K$139,U$7&lt;=IF(INPUTS!$J$139="Upfront",INPUTS!$K$139,INPUTS!$L$139)),1,0),IF(INPUTS!$J$139="Follow Project Life",U$17,IF(INPUTS!$J$139="At Project End",--(U$7=INPUTS!$C$29),0))))</f>
        <v>0</v>
      </c>
      <c r="V152" s="108" t="n">
        <f aca="false">IF(OR(INPUTS!$F$139&lt;&gt;"Yes",V$16=0),0,IF(OR(INPUTS!$J$139="Upfront",INPUTS!$J$139="Even",INPUTS!$J$139="Front-loaded",INPUTS!$J$139="Back-loaded",INPUTS!$J$139="S-curve"),IF(AND(ISNUMBER(INPUTS!$K$139),V$7&gt;=INPUTS!$K$139,V$7&lt;=IF(INPUTS!$J$139="Upfront",INPUTS!$K$139,INPUTS!$L$139)),1,0),IF(INPUTS!$J$139="Follow Project Life",V$17,IF(INPUTS!$J$139="At Project End",--(V$7=INPUTS!$C$29),0))))</f>
        <v>0</v>
      </c>
      <c r="W152" s="108" t="n">
        <f aca="false">IF(OR(INPUTS!$F$139&lt;&gt;"Yes",W$16=0),0,IF(OR(INPUTS!$J$139="Upfront",INPUTS!$J$139="Even",INPUTS!$J$139="Front-loaded",INPUTS!$J$139="Back-loaded",INPUTS!$J$139="S-curve"),IF(AND(ISNUMBER(INPUTS!$K$139),W$7&gt;=INPUTS!$K$139,W$7&lt;=IF(INPUTS!$J$139="Upfront",INPUTS!$K$139,INPUTS!$L$139)),1,0),IF(INPUTS!$J$139="Follow Project Life",W$17,IF(INPUTS!$J$139="At Project End",--(W$7=INPUTS!$C$29),0))))</f>
        <v>0</v>
      </c>
      <c r="X152" s="108" t="n">
        <f aca="false">IF(OR(INPUTS!$F$139&lt;&gt;"Yes",X$16=0),0,IF(OR(INPUTS!$J$139="Upfront",INPUTS!$J$139="Even",INPUTS!$J$139="Front-loaded",INPUTS!$J$139="Back-loaded",INPUTS!$J$139="S-curve"),IF(AND(ISNUMBER(INPUTS!$K$139),X$7&gt;=INPUTS!$K$139,X$7&lt;=IF(INPUTS!$J$139="Upfront",INPUTS!$K$139,INPUTS!$L$139)),1,0),IF(INPUTS!$J$139="Follow Project Life",X$17,IF(INPUTS!$J$139="At Project End",--(X$7=INPUTS!$C$29),0))))</f>
        <v>0</v>
      </c>
      <c r="Y152" s="108" t="n">
        <f aca="false">IF(OR(INPUTS!$F$139&lt;&gt;"Yes",Y$16=0),0,IF(OR(INPUTS!$J$139="Upfront",INPUTS!$J$139="Even",INPUTS!$J$139="Front-loaded",INPUTS!$J$139="Back-loaded",INPUTS!$J$139="S-curve"),IF(AND(ISNUMBER(INPUTS!$K$139),Y$7&gt;=INPUTS!$K$139,Y$7&lt;=IF(INPUTS!$J$139="Upfront",INPUTS!$K$139,INPUTS!$L$139)),1,0),IF(INPUTS!$J$139="Follow Project Life",Y$17,IF(INPUTS!$J$139="At Project End",--(Y$7=INPUTS!$C$29),0))))</f>
        <v>0</v>
      </c>
      <c r="Z152" s="108" t="n">
        <f aca="false">IF(OR(INPUTS!$F$139&lt;&gt;"Yes",Z$16=0),0,IF(OR(INPUTS!$J$139="Upfront",INPUTS!$J$139="Even",INPUTS!$J$139="Front-loaded",INPUTS!$J$139="Back-loaded",INPUTS!$J$139="S-curve"),IF(AND(ISNUMBER(INPUTS!$K$139),Z$7&gt;=INPUTS!$K$139,Z$7&lt;=IF(INPUTS!$J$139="Upfront",INPUTS!$K$139,INPUTS!$L$139)),1,0),IF(INPUTS!$J$139="Follow Project Life",Z$17,IF(INPUTS!$J$139="At Project End",--(Z$7=INPUTS!$C$29),0))))</f>
        <v>0</v>
      </c>
      <c r="AA152" s="108" t="n">
        <f aca="false">IF(OR(INPUTS!$F$139&lt;&gt;"Yes",AA$16=0),0,IF(OR(INPUTS!$J$139="Upfront",INPUTS!$J$139="Even",INPUTS!$J$139="Front-loaded",INPUTS!$J$139="Back-loaded",INPUTS!$J$139="S-curve"),IF(AND(ISNUMBER(INPUTS!$K$139),AA$7&gt;=INPUTS!$K$139,AA$7&lt;=IF(INPUTS!$J$139="Upfront",INPUTS!$K$139,INPUTS!$L$139)),1,0),IF(INPUTS!$J$139="Follow Project Life",AA$17,IF(INPUTS!$J$139="At Project End",--(AA$7=INPUTS!$C$29),0))))</f>
        <v>0</v>
      </c>
      <c r="AB152" s="108" t="n">
        <f aca="false">IF(OR(INPUTS!$F$139&lt;&gt;"Yes",AB$16=0),0,IF(OR(INPUTS!$J$139="Upfront",INPUTS!$J$139="Even",INPUTS!$J$139="Front-loaded",INPUTS!$J$139="Back-loaded",INPUTS!$J$139="S-curve"),IF(AND(ISNUMBER(INPUTS!$K$139),AB$7&gt;=INPUTS!$K$139,AB$7&lt;=IF(INPUTS!$J$139="Upfront",INPUTS!$K$139,INPUTS!$L$139)),1,0),IF(INPUTS!$J$139="Follow Project Life",AB$17,IF(INPUTS!$J$139="At Project End",--(AB$7=INPUTS!$C$29),0))))</f>
        <v>0</v>
      </c>
      <c r="AC152" s="108" t="n">
        <f aca="false">IF(OR(INPUTS!$F$139&lt;&gt;"Yes",AC$16=0),0,IF(OR(INPUTS!$J$139="Upfront",INPUTS!$J$139="Even",INPUTS!$J$139="Front-loaded",INPUTS!$J$139="Back-loaded",INPUTS!$J$139="S-curve"),IF(AND(ISNUMBER(INPUTS!$K$139),AC$7&gt;=INPUTS!$K$139,AC$7&lt;=IF(INPUTS!$J$139="Upfront",INPUTS!$K$139,INPUTS!$L$139)),1,0),IF(INPUTS!$J$139="Follow Project Life",AC$17,IF(INPUTS!$J$139="At Project End",--(AC$7=INPUTS!$C$29),0))))</f>
        <v>0</v>
      </c>
      <c r="AD152" s="108" t="n">
        <f aca="false">IF(OR(INPUTS!$F$139&lt;&gt;"Yes",AD$16=0),0,IF(OR(INPUTS!$J$139="Upfront",INPUTS!$J$139="Even",INPUTS!$J$139="Front-loaded",INPUTS!$J$139="Back-loaded",INPUTS!$J$139="S-curve"),IF(AND(ISNUMBER(INPUTS!$K$139),AD$7&gt;=INPUTS!$K$139,AD$7&lt;=IF(INPUTS!$J$139="Upfront",INPUTS!$K$139,INPUTS!$L$139)),1,0),IF(INPUTS!$J$139="Follow Project Life",AD$17,IF(INPUTS!$J$139="At Project End",--(AD$7=INPUTS!$C$29),0))))</f>
        <v>0</v>
      </c>
      <c r="AE152" s="108" t="n">
        <f aca="false">IF(OR(INPUTS!$F$139&lt;&gt;"Yes",AE$16=0),0,IF(OR(INPUTS!$J$139="Upfront",INPUTS!$J$139="Even",INPUTS!$J$139="Front-loaded",INPUTS!$J$139="Back-loaded",INPUTS!$J$139="S-curve"),IF(AND(ISNUMBER(INPUTS!$K$139),AE$7&gt;=INPUTS!$K$139,AE$7&lt;=IF(INPUTS!$J$139="Upfront",INPUTS!$K$139,INPUTS!$L$139)),1,0),IF(INPUTS!$J$139="Follow Project Life",AE$17,IF(INPUTS!$J$139="At Project End",--(AE$7=INPUTS!$C$29),0))))</f>
        <v>0</v>
      </c>
      <c r="AF152" s="108" t="n">
        <f aca="false">IF(OR(INPUTS!$F$139&lt;&gt;"Yes",AF$16=0),0,IF(OR(INPUTS!$J$139="Upfront",INPUTS!$J$139="Even",INPUTS!$J$139="Front-loaded",INPUTS!$J$139="Back-loaded",INPUTS!$J$139="S-curve"),IF(AND(ISNUMBER(INPUTS!$K$139),AF$7&gt;=INPUTS!$K$139,AF$7&lt;=IF(INPUTS!$J$139="Upfront",INPUTS!$K$139,INPUTS!$L$139)),1,0),IF(INPUTS!$J$139="Follow Project Life",AF$17,IF(INPUTS!$J$139="At Project End",--(AF$7=INPUTS!$C$29),0))))</f>
        <v>0</v>
      </c>
      <c r="AG152" s="108" t="n">
        <f aca="false">IF(OR(INPUTS!$F$139&lt;&gt;"Yes",AG$16=0),0,IF(OR(INPUTS!$J$139="Upfront",INPUTS!$J$139="Even",INPUTS!$J$139="Front-loaded",INPUTS!$J$139="Back-loaded",INPUTS!$J$139="S-curve"),IF(AND(ISNUMBER(INPUTS!$K$139),AG$7&gt;=INPUTS!$K$139,AG$7&lt;=IF(INPUTS!$J$139="Upfront",INPUTS!$K$139,INPUTS!$L$139)),1,0),IF(INPUTS!$J$139="Follow Project Life",AG$17,IF(INPUTS!$J$139="At Project End",--(AG$7=INPUTS!$C$29),0))))</f>
        <v>0</v>
      </c>
      <c r="AH152" s="108" t="n">
        <f aca="false">IF(OR(INPUTS!$F$139&lt;&gt;"Yes",AH$16=0),0,IF(OR(INPUTS!$J$139="Upfront",INPUTS!$J$139="Even",INPUTS!$J$139="Front-loaded",INPUTS!$J$139="Back-loaded",INPUTS!$J$139="S-curve"),IF(AND(ISNUMBER(INPUTS!$K$139),AH$7&gt;=INPUTS!$K$139,AH$7&lt;=IF(INPUTS!$J$139="Upfront",INPUTS!$K$139,INPUTS!$L$139)),1,0),IF(INPUTS!$J$139="Follow Project Life",AH$17,IF(INPUTS!$J$139="At Project End",--(AH$7=INPUTS!$C$29),0))))</f>
        <v>0</v>
      </c>
      <c r="AI152" s="108" t="n">
        <f aca="false">IF(OR(INPUTS!$F$139&lt;&gt;"Yes",AI$16=0),0,IF(OR(INPUTS!$J$139="Upfront",INPUTS!$J$139="Even",INPUTS!$J$139="Front-loaded",INPUTS!$J$139="Back-loaded",INPUTS!$J$139="S-curve"),IF(AND(ISNUMBER(INPUTS!$K$139),AI$7&gt;=INPUTS!$K$139,AI$7&lt;=IF(INPUTS!$J$139="Upfront",INPUTS!$K$139,INPUTS!$L$139)),1,0),IF(INPUTS!$J$139="Follow Project Life",AI$17,IF(INPUTS!$J$139="At Project End",--(AI$7=INPUTS!$C$29),0))))</f>
        <v>0</v>
      </c>
      <c r="AJ152" s="108" t="n">
        <f aca="false">IF(OR(INPUTS!$F$139&lt;&gt;"Yes",AJ$16=0),0,IF(OR(INPUTS!$J$139="Upfront",INPUTS!$J$139="Even",INPUTS!$J$139="Front-loaded",INPUTS!$J$139="Back-loaded",INPUTS!$J$139="S-curve"),IF(AND(ISNUMBER(INPUTS!$K$139),AJ$7&gt;=INPUTS!$K$139,AJ$7&lt;=IF(INPUTS!$J$139="Upfront",INPUTS!$K$139,INPUTS!$L$139)),1,0),IF(INPUTS!$J$139="Follow Project Life",AJ$17,IF(INPUTS!$J$139="At Project End",--(AJ$7=INPUTS!$C$29),0))))</f>
        <v>0</v>
      </c>
      <c r="AK152" s="108" t="n">
        <f aca="false">IF(OR(INPUTS!$F$139&lt;&gt;"Yes",AK$16=0),0,IF(OR(INPUTS!$J$139="Upfront",INPUTS!$J$139="Even",INPUTS!$J$139="Front-loaded",INPUTS!$J$139="Back-loaded",INPUTS!$J$139="S-curve"),IF(AND(ISNUMBER(INPUTS!$K$139),AK$7&gt;=INPUTS!$K$139,AK$7&lt;=IF(INPUTS!$J$139="Upfront",INPUTS!$K$139,INPUTS!$L$139)),1,0),IF(INPUTS!$J$139="Follow Project Life",AK$17,IF(INPUTS!$J$139="At Project End",--(AK$7=INPUTS!$C$29),0))))</f>
        <v>0</v>
      </c>
      <c r="AL152" s="108" t="n">
        <f aca="false">IF(OR(INPUTS!$F$139&lt;&gt;"Yes",AL$16=0),0,IF(OR(INPUTS!$J$139="Upfront",INPUTS!$J$139="Even",INPUTS!$J$139="Front-loaded",INPUTS!$J$139="Back-loaded",INPUTS!$J$139="S-curve"),IF(AND(ISNUMBER(INPUTS!$K$139),AL$7&gt;=INPUTS!$K$139,AL$7&lt;=IF(INPUTS!$J$139="Upfront",INPUTS!$K$139,INPUTS!$L$139)),1,0),IF(INPUTS!$J$139="Follow Project Life",AL$17,IF(INPUTS!$J$139="At Project End",--(AL$7=INPUTS!$C$29),0))))</f>
        <v>0</v>
      </c>
      <c r="AM152" s="108" t="n">
        <f aca="false">IF(OR(INPUTS!$F$139&lt;&gt;"Yes",AM$16=0),0,IF(OR(INPUTS!$J$139="Upfront",INPUTS!$J$139="Even",INPUTS!$J$139="Front-loaded",INPUTS!$J$139="Back-loaded",INPUTS!$J$139="S-curve"),IF(AND(ISNUMBER(INPUTS!$K$139),AM$7&gt;=INPUTS!$K$139,AM$7&lt;=IF(INPUTS!$J$139="Upfront",INPUTS!$K$139,INPUTS!$L$139)),1,0),IF(INPUTS!$J$139="Follow Project Life",AM$17,IF(INPUTS!$J$139="At Project End",--(AM$7=INPUTS!$C$29),0))))</f>
        <v>0</v>
      </c>
      <c r="AN152" s="108" t="n">
        <f aca="false">IF(OR(INPUTS!$F$139&lt;&gt;"Yes",AN$16=0),0,IF(OR(INPUTS!$J$139="Upfront",INPUTS!$J$139="Even",INPUTS!$J$139="Front-loaded",INPUTS!$J$139="Back-loaded",INPUTS!$J$139="S-curve"),IF(AND(ISNUMBER(INPUTS!$K$139),AN$7&gt;=INPUTS!$K$139,AN$7&lt;=IF(INPUTS!$J$139="Upfront",INPUTS!$K$139,INPUTS!$L$139)),1,0),IF(INPUTS!$J$139="Follow Project Life",AN$17,IF(INPUTS!$J$139="At Project End",--(AN$7=INPUTS!$C$29),0))))</f>
        <v>0</v>
      </c>
      <c r="AO152" s="108" t="n">
        <f aca="false">IF(OR(INPUTS!$F$139&lt;&gt;"Yes",AO$16=0),0,IF(OR(INPUTS!$J$139="Upfront",INPUTS!$J$139="Even",INPUTS!$J$139="Front-loaded",INPUTS!$J$139="Back-loaded",INPUTS!$J$139="S-curve"),IF(AND(ISNUMBER(INPUTS!$K$139),AO$7&gt;=INPUTS!$K$139,AO$7&lt;=IF(INPUTS!$J$139="Upfront",INPUTS!$K$139,INPUTS!$L$139)),1,0),IF(INPUTS!$J$139="Follow Project Life",AO$17,IF(INPUTS!$J$139="At Project End",--(AO$7=INPUTS!$C$29),0))))</f>
        <v>0</v>
      </c>
      <c r="AP152" s="108" t="n">
        <f aca="false">IF(OR(INPUTS!$F$139&lt;&gt;"Yes",AP$16=0),0,IF(OR(INPUTS!$J$139="Upfront",INPUTS!$J$139="Even",INPUTS!$J$139="Front-loaded",INPUTS!$J$139="Back-loaded",INPUTS!$J$139="S-curve"),IF(AND(ISNUMBER(INPUTS!$K$139),AP$7&gt;=INPUTS!$K$139,AP$7&lt;=IF(INPUTS!$J$139="Upfront",INPUTS!$K$139,INPUTS!$L$139)),1,0),IF(INPUTS!$J$139="Follow Project Life",AP$17,IF(INPUTS!$J$139="At Project End",--(AP$7=INPUTS!$C$29),0))))</f>
        <v>0</v>
      </c>
      <c r="AQ152" s="108" t="n">
        <f aca="false">IF(OR(INPUTS!$F$139&lt;&gt;"Yes",AQ$16=0),0,IF(OR(INPUTS!$J$139="Upfront",INPUTS!$J$139="Even",INPUTS!$J$139="Front-loaded",INPUTS!$J$139="Back-loaded",INPUTS!$J$139="S-curve"),IF(AND(ISNUMBER(INPUTS!$K$139),AQ$7&gt;=INPUTS!$K$139,AQ$7&lt;=IF(INPUTS!$J$139="Upfront",INPUTS!$K$139,INPUTS!$L$139)),1,0),IF(INPUTS!$J$139="Follow Project Life",AQ$17,IF(INPUTS!$J$139="At Project End",--(AQ$7=INPUTS!$C$29),0))))</f>
        <v>0</v>
      </c>
    </row>
    <row r="153" customFormat="false" ht="15" hidden="false" customHeight="false" outlineLevel="0" collapsed="false">
      <c r="B153" s="3" t="s">
        <v>650</v>
      </c>
      <c r="C153" s="107" t="n">
        <f aca="false">MAX(D153:AQ153)</f>
        <v>0</v>
      </c>
      <c r="D153" s="108" t="n">
        <f aca="false">IF(D152=1,COUNTIF($D152:D152,1),0)</f>
        <v>0</v>
      </c>
      <c r="E153" s="108" t="n">
        <f aca="false">IF(E152=1,COUNTIF($D152:E152,1),0)</f>
        <v>0</v>
      </c>
      <c r="F153" s="108" t="n">
        <f aca="false">IF(F152=1,COUNTIF($D152:F152,1),0)</f>
        <v>0</v>
      </c>
      <c r="G153" s="108" t="n">
        <f aca="false">IF(G152=1,COUNTIF($D152:G152,1),0)</f>
        <v>0</v>
      </c>
      <c r="H153" s="108" t="n">
        <f aca="false">IF(H152=1,COUNTIF($D152:H152,1),0)</f>
        <v>0</v>
      </c>
      <c r="I153" s="108" t="n">
        <f aca="false">IF(I152=1,COUNTIF($D152:I152,1),0)</f>
        <v>0</v>
      </c>
      <c r="J153" s="108" t="n">
        <f aca="false">IF(J152=1,COUNTIF($D152:J152,1),0)</f>
        <v>0</v>
      </c>
      <c r="K153" s="108" t="n">
        <f aca="false">IF(K152=1,COUNTIF($D152:K152,1),0)</f>
        <v>0</v>
      </c>
      <c r="L153" s="108" t="n">
        <f aca="false">IF(L152=1,COUNTIF($D152:L152,1),0)</f>
        <v>0</v>
      </c>
      <c r="M153" s="108" t="n">
        <f aca="false">IF(M152=1,COUNTIF($D152:M152,1),0)</f>
        <v>0</v>
      </c>
      <c r="N153" s="108" t="n">
        <f aca="false">IF(N152=1,COUNTIF($D152:N152,1),0)</f>
        <v>0</v>
      </c>
      <c r="O153" s="108" t="n">
        <f aca="false">IF(O152=1,COUNTIF($D152:O152,1),0)</f>
        <v>0</v>
      </c>
      <c r="P153" s="108" t="n">
        <f aca="false">IF(P152=1,COUNTIF($D152:P152,1),0)</f>
        <v>0</v>
      </c>
      <c r="Q153" s="108" t="n">
        <f aca="false">IF(Q152=1,COUNTIF($D152:Q152,1),0)</f>
        <v>0</v>
      </c>
      <c r="R153" s="108" t="n">
        <f aca="false">IF(R152=1,COUNTIF($D152:R152,1),0)</f>
        <v>0</v>
      </c>
      <c r="S153" s="108" t="n">
        <f aca="false">IF(S152=1,COUNTIF($D152:S152,1),0)</f>
        <v>0</v>
      </c>
      <c r="T153" s="108" t="n">
        <f aca="false">IF(T152=1,COUNTIF($D152:T152,1),0)</f>
        <v>0</v>
      </c>
      <c r="U153" s="108" t="n">
        <f aca="false">IF(U152=1,COUNTIF($D152:U152,1),0)</f>
        <v>0</v>
      </c>
      <c r="V153" s="108" t="n">
        <f aca="false">IF(V152=1,COUNTIF($D152:V152,1),0)</f>
        <v>0</v>
      </c>
      <c r="W153" s="108" t="n">
        <f aca="false">IF(W152=1,COUNTIF($D152:W152,1),0)</f>
        <v>0</v>
      </c>
      <c r="X153" s="108" t="n">
        <f aca="false">IF(X152=1,COUNTIF($D152:X152,1),0)</f>
        <v>0</v>
      </c>
      <c r="Y153" s="108" t="n">
        <f aca="false">IF(Y152=1,COUNTIF($D152:Y152,1),0)</f>
        <v>0</v>
      </c>
      <c r="Z153" s="108" t="n">
        <f aca="false">IF(Z152=1,COUNTIF($D152:Z152,1),0)</f>
        <v>0</v>
      </c>
      <c r="AA153" s="108" t="n">
        <f aca="false">IF(AA152=1,COUNTIF($D152:AA152,1),0)</f>
        <v>0</v>
      </c>
      <c r="AB153" s="108" t="n">
        <f aca="false">IF(AB152=1,COUNTIF($D152:AB152,1),0)</f>
        <v>0</v>
      </c>
      <c r="AC153" s="108" t="n">
        <f aca="false">IF(AC152=1,COUNTIF($D152:AC152,1),0)</f>
        <v>0</v>
      </c>
      <c r="AD153" s="108" t="n">
        <f aca="false">IF(AD152=1,COUNTIF($D152:AD152,1),0)</f>
        <v>0</v>
      </c>
      <c r="AE153" s="108" t="n">
        <f aca="false">IF(AE152=1,COUNTIF($D152:AE152,1),0)</f>
        <v>0</v>
      </c>
      <c r="AF153" s="108" t="n">
        <f aca="false">IF(AF152=1,COUNTIF($D152:AF152,1),0)</f>
        <v>0</v>
      </c>
      <c r="AG153" s="108" t="n">
        <f aca="false">IF(AG152=1,COUNTIF($D152:AG152,1),0)</f>
        <v>0</v>
      </c>
      <c r="AH153" s="108" t="n">
        <f aca="false">IF(AH152=1,COUNTIF($D152:AH152,1),0)</f>
        <v>0</v>
      </c>
      <c r="AI153" s="108" t="n">
        <f aca="false">IF(AI152=1,COUNTIF($D152:AI152,1),0)</f>
        <v>0</v>
      </c>
      <c r="AJ153" s="108" t="n">
        <f aca="false">IF(AJ152=1,COUNTIF($D152:AJ152,1),0)</f>
        <v>0</v>
      </c>
      <c r="AK153" s="108" t="n">
        <f aca="false">IF(AK152=1,COUNTIF($D152:AK152,1),0)</f>
        <v>0</v>
      </c>
      <c r="AL153" s="108" t="n">
        <f aca="false">IF(AL152=1,COUNTIF($D152:AL152,1),0)</f>
        <v>0</v>
      </c>
      <c r="AM153" s="108" t="n">
        <f aca="false">IF(AM152=1,COUNTIF($D152:AM152,1),0)</f>
        <v>0</v>
      </c>
      <c r="AN153" s="108" t="n">
        <f aca="false">IF(AN152=1,COUNTIF($D152:AN152,1),0)</f>
        <v>0</v>
      </c>
      <c r="AO153" s="108" t="n">
        <f aca="false">IF(AO152=1,COUNTIF($D152:AO152,1),0)</f>
        <v>0</v>
      </c>
      <c r="AP153" s="108" t="n">
        <f aca="false">IF(AP152=1,COUNTIF($D152:AP152,1),0)</f>
        <v>0</v>
      </c>
      <c r="AQ153" s="108" t="n">
        <f aca="false">IF(AQ152=1,COUNTIF($D152:AQ152,1),0)</f>
        <v>0</v>
      </c>
    </row>
    <row r="154" customFormat="false" ht="15" hidden="false" customHeight="false" outlineLevel="0" collapsed="false">
      <c r="B154" s="17" t="s">
        <v>651</v>
      </c>
      <c r="C154" s="105" t="str">
        <f aca="false">IF(INPUTS!$M$139="","",IF(INPUTS!$M$139&lt;&gt;"OK","ERROR",IF(C152=IF(INPUTS!$F$139&lt;&gt;"Yes",0,IF(OR(INPUTS!$J$139="Upfront",INPUTS!$J$139="Even",INPUTS!$J$139="Front-loaded",INPUTS!$J$139="Back-loaded",INPUTS!$J$139="S-curve"),IF(ISNUMBER(INPUTS!$K$139),IF(INPUTS!$J$139="Upfront",INPUTS!$K$139,INPUTS!$L$139)-INPUTS!$K$139+1,0),IF(INPUTS!$J$139="Follow Project Life",INPUTS!$C$29,IF(INPUTS!$J$139="At Project End",1,0)))),"OK","ERROR")))</f>
        <v>OK</v>
      </c>
    </row>
    <row r="155" customFormat="false" ht="15" hidden="false" customHeight="false" outlineLevel="0" collapsed="false">
      <c r="B155" s="110" t="str">
        <f aca="false">IF(INPUTS!$B$140="","Spare cost row",INPUTS!$B$140)</f>
        <v>Legal &amp; Compliance (₹/Sq Ft SA)</v>
      </c>
      <c r="C155" s="111" t="str">
        <f aca="false">IF(INPUTS!$J$140="","",INPUTS!$J$140)</f>
        <v>Front-loaded</v>
      </c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</row>
    <row r="156" customFormat="false" ht="15" hidden="false" customHeight="false" outlineLevel="0" collapsed="false">
      <c r="B156" s="3" t="s">
        <v>649</v>
      </c>
      <c r="C156" s="107" t="n">
        <f aca="false">SUM(D156:AQ156)</f>
        <v>8</v>
      </c>
      <c r="D156" s="108" t="n">
        <f aca="false">IF(OR(INPUTS!$F$140&lt;&gt;"Yes",D$16=0),0,IF(OR(INPUTS!$J$140="Upfront",INPUTS!$J$140="Even",INPUTS!$J$140="Front-loaded",INPUTS!$J$140="Back-loaded",INPUTS!$J$140="S-curve"),IF(AND(ISNUMBER(INPUTS!$K$140),D$7&gt;=INPUTS!$K$140,D$7&lt;=IF(INPUTS!$J$140="Upfront",INPUTS!$K$140,INPUTS!$L$140)),1,0),IF(INPUTS!$J$140="Follow Project Life",D$17,IF(INPUTS!$J$140="At Project End",--(D$7=INPUTS!$C$29),0))))</f>
        <v>1</v>
      </c>
      <c r="E156" s="108" t="n">
        <f aca="false">IF(OR(INPUTS!$F$140&lt;&gt;"Yes",E$16=0),0,IF(OR(INPUTS!$J$140="Upfront",INPUTS!$J$140="Even",INPUTS!$J$140="Front-loaded",INPUTS!$J$140="Back-loaded",INPUTS!$J$140="S-curve"),IF(AND(ISNUMBER(INPUTS!$K$140),E$7&gt;=INPUTS!$K$140,E$7&lt;=IF(INPUTS!$J$140="Upfront",INPUTS!$K$140,INPUTS!$L$140)),1,0),IF(INPUTS!$J$140="Follow Project Life",E$17,IF(INPUTS!$J$140="At Project End",--(E$7=INPUTS!$C$29),0))))</f>
        <v>1</v>
      </c>
      <c r="F156" s="108" t="n">
        <f aca="false">IF(OR(INPUTS!$F$140&lt;&gt;"Yes",F$16=0),0,IF(OR(INPUTS!$J$140="Upfront",INPUTS!$J$140="Even",INPUTS!$J$140="Front-loaded",INPUTS!$J$140="Back-loaded",INPUTS!$J$140="S-curve"),IF(AND(ISNUMBER(INPUTS!$K$140),F$7&gt;=INPUTS!$K$140,F$7&lt;=IF(INPUTS!$J$140="Upfront",INPUTS!$K$140,INPUTS!$L$140)),1,0),IF(INPUTS!$J$140="Follow Project Life",F$17,IF(INPUTS!$J$140="At Project End",--(F$7=INPUTS!$C$29),0))))</f>
        <v>1</v>
      </c>
      <c r="G156" s="108" t="n">
        <f aca="false">IF(OR(INPUTS!$F$140&lt;&gt;"Yes",G$16=0),0,IF(OR(INPUTS!$J$140="Upfront",INPUTS!$J$140="Even",INPUTS!$J$140="Front-loaded",INPUTS!$J$140="Back-loaded",INPUTS!$J$140="S-curve"),IF(AND(ISNUMBER(INPUTS!$K$140),G$7&gt;=INPUTS!$K$140,G$7&lt;=IF(INPUTS!$J$140="Upfront",INPUTS!$K$140,INPUTS!$L$140)),1,0),IF(INPUTS!$J$140="Follow Project Life",G$17,IF(INPUTS!$J$140="At Project End",--(G$7=INPUTS!$C$29),0))))</f>
        <v>1</v>
      </c>
      <c r="H156" s="108" t="n">
        <f aca="false">IF(OR(INPUTS!$F$140&lt;&gt;"Yes",H$16=0),0,IF(OR(INPUTS!$J$140="Upfront",INPUTS!$J$140="Even",INPUTS!$J$140="Front-loaded",INPUTS!$J$140="Back-loaded",INPUTS!$J$140="S-curve"),IF(AND(ISNUMBER(INPUTS!$K$140),H$7&gt;=INPUTS!$K$140,H$7&lt;=IF(INPUTS!$J$140="Upfront",INPUTS!$K$140,INPUTS!$L$140)),1,0),IF(INPUTS!$J$140="Follow Project Life",H$17,IF(INPUTS!$J$140="At Project End",--(H$7=INPUTS!$C$29),0))))</f>
        <v>1</v>
      </c>
      <c r="I156" s="108" t="n">
        <f aca="false">IF(OR(INPUTS!$F$140&lt;&gt;"Yes",I$16=0),0,IF(OR(INPUTS!$J$140="Upfront",INPUTS!$J$140="Even",INPUTS!$J$140="Front-loaded",INPUTS!$J$140="Back-loaded",INPUTS!$J$140="S-curve"),IF(AND(ISNUMBER(INPUTS!$K$140),I$7&gt;=INPUTS!$K$140,I$7&lt;=IF(INPUTS!$J$140="Upfront",INPUTS!$K$140,INPUTS!$L$140)),1,0),IF(INPUTS!$J$140="Follow Project Life",I$17,IF(INPUTS!$J$140="At Project End",--(I$7=INPUTS!$C$29),0))))</f>
        <v>1</v>
      </c>
      <c r="J156" s="108" t="n">
        <f aca="false">IF(OR(INPUTS!$F$140&lt;&gt;"Yes",J$16=0),0,IF(OR(INPUTS!$J$140="Upfront",INPUTS!$J$140="Even",INPUTS!$J$140="Front-loaded",INPUTS!$J$140="Back-loaded",INPUTS!$J$140="S-curve"),IF(AND(ISNUMBER(INPUTS!$K$140),J$7&gt;=INPUTS!$K$140,J$7&lt;=IF(INPUTS!$J$140="Upfront",INPUTS!$K$140,INPUTS!$L$140)),1,0),IF(INPUTS!$J$140="Follow Project Life",J$17,IF(INPUTS!$J$140="At Project End",--(J$7=INPUTS!$C$29),0))))</f>
        <v>1</v>
      </c>
      <c r="K156" s="108" t="n">
        <f aca="false">IF(OR(INPUTS!$F$140&lt;&gt;"Yes",K$16=0),0,IF(OR(INPUTS!$J$140="Upfront",INPUTS!$J$140="Even",INPUTS!$J$140="Front-loaded",INPUTS!$J$140="Back-loaded",INPUTS!$J$140="S-curve"),IF(AND(ISNUMBER(INPUTS!$K$140),K$7&gt;=INPUTS!$K$140,K$7&lt;=IF(INPUTS!$J$140="Upfront",INPUTS!$K$140,INPUTS!$L$140)),1,0),IF(INPUTS!$J$140="Follow Project Life",K$17,IF(INPUTS!$J$140="At Project End",--(K$7=INPUTS!$C$29),0))))</f>
        <v>1</v>
      </c>
      <c r="L156" s="108" t="n">
        <f aca="false">IF(OR(INPUTS!$F$140&lt;&gt;"Yes",L$16=0),0,IF(OR(INPUTS!$J$140="Upfront",INPUTS!$J$140="Even",INPUTS!$J$140="Front-loaded",INPUTS!$J$140="Back-loaded",INPUTS!$J$140="S-curve"),IF(AND(ISNUMBER(INPUTS!$K$140),L$7&gt;=INPUTS!$K$140,L$7&lt;=IF(INPUTS!$J$140="Upfront",INPUTS!$K$140,INPUTS!$L$140)),1,0),IF(INPUTS!$J$140="Follow Project Life",L$17,IF(INPUTS!$J$140="At Project End",--(L$7=INPUTS!$C$29),0))))</f>
        <v>0</v>
      </c>
      <c r="M156" s="108" t="n">
        <f aca="false">IF(OR(INPUTS!$F$140&lt;&gt;"Yes",M$16=0),0,IF(OR(INPUTS!$J$140="Upfront",INPUTS!$J$140="Even",INPUTS!$J$140="Front-loaded",INPUTS!$J$140="Back-loaded",INPUTS!$J$140="S-curve"),IF(AND(ISNUMBER(INPUTS!$K$140),M$7&gt;=INPUTS!$K$140,M$7&lt;=IF(INPUTS!$J$140="Upfront",INPUTS!$K$140,INPUTS!$L$140)),1,0),IF(INPUTS!$J$140="Follow Project Life",M$17,IF(INPUTS!$J$140="At Project End",--(M$7=INPUTS!$C$29),0))))</f>
        <v>0</v>
      </c>
      <c r="N156" s="108" t="n">
        <f aca="false">IF(OR(INPUTS!$F$140&lt;&gt;"Yes",N$16=0),0,IF(OR(INPUTS!$J$140="Upfront",INPUTS!$J$140="Even",INPUTS!$J$140="Front-loaded",INPUTS!$J$140="Back-loaded",INPUTS!$J$140="S-curve"),IF(AND(ISNUMBER(INPUTS!$K$140),N$7&gt;=INPUTS!$K$140,N$7&lt;=IF(INPUTS!$J$140="Upfront",INPUTS!$K$140,INPUTS!$L$140)),1,0),IF(INPUTS!$J$140="Follow Project Life",N$17,IF(INPUTS!$J$140="At Project End",--(N$7=INPUTS!$C$29),0))))</f>
        <v>0</v>
      </c>
      <c r="O156" s="108" t="n">
        <f aca="false">IF(OR(INPUTS!$F$140&lt;&gt;"Yes",O$16=0),0,IF(OR(INPUTS!$J$140="Upfront",INPUTS!$J$140="Even",INPUTS!$J$140="Front-loaded",INPUTS!$J$140="Back-loaded",INPUTS!$J$140="S-curve"),IF(AND(ISNUMBER(INPUTS!$K$140),O$7&gt;=INPUTS!$K$140,O$7&lt;=IF(INPUTS!$J$140="Upfront",INPUTS!$K$140,INPUTS!$L$140)),1,0),IF(INPUTS!$J$140="Follow Project Life",O$17,IF(INPUTS!$J$140="At Project End",--(O$7=INPUTS!$C$29),0))))</f>
        <v>0</v>
      </c>
      <c r="P156" s="108" t="n">
        <f aca="false">IF(OR(INPUTS!$F$140&lt;&gt;"Yes",P$16=0),0,IF(OR(INPUTS!$J$140="Upfront",INPUTS!$J$140="Even",INPUTS!$J$140="Front-loaded",INPUTS!$J$140="Back-loaded",INPUTS!$J$140="S-curve"),IF(AND(ISNUMBER(INPUTS!$K$140),P$7&gt;=INPUTS!$K$140,P$7&lt;=IF(INPUTS!$J$140="Upfront",INPUTS!$K$140,INPUTS!$L$140)),1,0),IF(INPUTS!$J$140="Follow Project Life",P$17,IF(INPUTS!$J$140="At Project End",--(P$7=INPUTS!$C$29),0))))</f>
        <v>0</v>
      </c>
      <c r="Q156" s="108" t="n">
        <f aca="false">IF(OR(INPUTS!$F$140&lt;&gt;"Yes",Q$16=0),0,IF(OR(INPUTS!$J$140="Upfront",INPUTS!$J$140="Even",INPUTS!$J$140="Front-loaded",INPUTS!$J$140="Back-loaded",INPUTS!$J$140="S-curve"),IF(AND(ISNUMBER(INPUTS!$K$140),Q$7&gt;=INPUTS!$K$140,Q$7&lt;=IF(INPUTS!$J$140="Upfront",INPUTS!$K$140,INPUTS!$L$140)),1,0),IF(INPUTS!$J$140="Follow Project Life",Q$17,IF(INPUTS!$J$140="At Project End",--(Q$7=INPUTS!$C$29),0))))</f>
        <v>0</v>
      </c>
      <c r="R156" s="108" t="n">
        <f aca="false">IF(OR(INPUTS!$F$140&lt;&gt;"Yes",R$16=0),0,IF(OR(INPUTS!$J$140="Upfront",INPUTS!$J$140="Even",INPUTS!$J$140="Front-loaded",INPUTS!$J$140="Back-loaded",INPUTS!$J$140="S-curve"),IF(AND(ISNUMBER(INPUTS!$K$140),R$7&gt;=INPUTS!$K$140,R$7&lt;=IF(INPUTS!$J$140="Upfront",INPUTS!$K$140,INPUTS!$L$140)),1,0),IF(INPUTS!$J$140="Follow Project Life",R$17,IF(INPUTS!$J$140="At Project End",--(R$7=INPUTS!$C$29),0))))</f>
        <v>0</v>
      </c>
      <c r="S156" s="108" t="n">
        <f aca="false">IF(OR(INPUTS!$F$140&lt;&gt;"Yes",S$16=0),0,IF(OR(INPUTS!$J$140="Upfront",INPUTS!$J$140="Even",INPUTS!$J$140="Front-loaded",INPUTS!$J$140="Back-loaded",INPUTS!$J$140="S-curve"),IF(AND(ISNUMBER(INPUTS!$K$140),S$7&gt;=INPUTS!$K$140,S$7&lt;=IF(INPUTS!$J$140="Upfront",INPUTS!$K$140,INPUTS!$L$140)),1,0),IF(INPUTS!$J$140="Follow Project Life",S$17,IF(INPUTS!$J$140="At Project End",--(S$7=INPUTS!$C$29),0))))</f>
        <v>0</v>
      </c>
      <c r="T156" s="108" t="n">
        <f aca="false">IF(OR(INPUTS!$F$140&lt;&gt;"Yes",T$16=0),0,IF(OR(INPUTS!$J$140="Upfront",INPUTS!$J$140="Even",INPUTS!$J$140="Front-loaded",INPUTS!$J$140="Back-loaded",INPUTS!$J$140="S-curve"),IF(AND(ISNUMBER(INPUTS!$K$140),T$7&gt;=INPUTS!$K$140,T$7&lt;=IF(INPUTS!$J$140="Upfront",INPUTS!$K$140,INPUTS!$L$140)),1,0),IF(INPUTS!$J$140="Follow Project Life",T$17,IF(INPUTS!$J$140="At Project End",--(T$7=INPUTS!$C$29),0))))</f>
        <v>0</v>
      </c>
      <c r="U156" s="108" t="n">
        <f aca="false">IF(OR(INPUTS!$F$140&lt;&gt;"Yes",U$16=0),0,IF(OR(INPUTS!$J$140="Upfront",INPUTS!$J$140="Even",INPUTS!$J$140="Front-loaded",INPUTS!$J$140="Back-loaded",INPUTS!$J$140="S-curve"),IF(AND(ISNUMBER(INPUTS!$K$140),U$7&gt;=INPUTS!$K$140,U$7&lt;=IF(INPUTS!$J$140="Upfront",INPUTS!$K$140,INPUTS!$L$140)),1,0),IF(INPUTS!$J$140="Follow Project Life",U$17,IF(INPUTS!$J$140="At Project End",--(U$7=INPUTS!$C$29),0))))</f>
        <v>0</v>
      </c>
      <c r="V156" s="108" t="n">
        <f aca="false">IF(OR(INPUTS!$F$140&lt;&gt;"Yes",V$16=0),0,IF(OR(INPUTS!$J$140="Upfront",INPUTS!$J$140="Even",INPUTS!$J$140="Front-loaded",INPUTS!$J$140="Back-loaded",INPUTS!$J$140="S-curve"),IF(AND(ISNUMBER(INPUTS!$K$140),V$7&gt;=INPUTS!$K$140,V$7&lt;=IF(INPUTS!$J$140="Upfront",INPUTS!$K$140,INPUTS!$L$140)),1,0),IF(INPUTS!$J$140="Follow Project Life",V$17,IF(INPUTS!$J$140="At Project End",--(V$7=INPUTS!$C$29),0))))</f>
        <v>0</v>
      </c>
      <c r="W156" s="108" t="n">
        <f aca="false">IF(OR(INPUTS!$F$140&lt;&gt;"Yes",W$16=0),0,IF(OR(INPUTS!$J$140="Upfront",INPUTS!$J$140="Even",INPUTS!$J$140="Front-loaded",INPUTS!$J$140="Back-loaded",INPUTS!$J$140="S-curve"),IF(AND(ISNUMBER(INPUTS!$K$140),W$7&gt;=INPUTS!$K$140,W$7&lt;=IF(INPUTS!$J$140="Upfront",INPUTS!$K$140,INPUTS!$L$140)),1,0),IF(INPUTS!$J$140="Follow Project Life",W$17,IF(INPUTS!$J$140="At Project End",--(W$7=INPUTS!$C$29),0))))</f>
        <v>0</v>
      </c>
      <c r="X156" s="108" t="n">
        <f aca="false">IF(OR(INPUTS!$F$140&lt;&gt;"Yes",X$16=0),0,IF(OR(INPUTS!$J$140="Upfront",INPUTS!$J$140="Even",INPUTS!$J$140="Front-loaded",INPUTS!$J$140="Back-loaded",INPUTS!$J$140="S-curve"),IF(AND(ISNUMBER(INPUTS!$K$140),X$7&gt;=INPUTS!$K$140,X$7&lt;=IF(INPUTS!$J$140="Upfront",INPUTS!$K$140,INPUTS!$L$140)),1,0),IF(INPUTS!$J$140="Follow Project Life",X$17,IF(INPUTS!$J$140="At Project End",--(X$7=INPUTS!$C$29),0))))</f>
        <v>0</v>
      </c>
      <c r="Y156" s="108" t="n">
        <f aca="false">IF(OR(INPUTS!$F$140&lt;&gt;"Yes",Y$16=0),0,IF(OR(INPUTS!$J$140="Upfront",INPUTS!$J$140="Even",INPUTS!$J$140="Front-loaded",INPUTS!$J$140="Back-loaded",INPUTS!$J$140="S-curve"),IF(AND(ISNUMBER(INPUTS!$K$140),Y$7&gt;=INPUTS!$K$140,Y$7&lt;=IF(INPUTS!$J$140="Upfront",INPUTS!$K$140,INPUTS!$L$140)),1,0),IF(INPUTS!$J$140="Follow Project Life",Y$17,IF(INPUTS!$J$140="At Project End",--(Y$7=INPUTS!$C$29),0))))</f>
        <v>0</v>
      </c>
      <c r="Z156" s="108" t="n">
        <f aca="false">IF(OR(INPUTS!$F$140&lt;&gt;"Yes",Z$16=0),0,IF(OR(INPUTS!$J$140="Upfront",INPUTS!$J$140="Even",INPUTS!$J$140="Front-loaded",INPUTS!$J$140="Back-loaded",INPUTS!$J$140="S-curve"),IF(AND(ISNUMBER(INPUTS!$K$140),Z$7&gt;=INPUTS!$K$140,Z$7&lt;=IF(INPUTS!$J$140="Upfront",INPUTS!$K$140,INPUTS!$L$140)),1,0),IF(INPUTS!$J$140="Follow Project Life",Z$17,IF(INPUTS!$J$140="At Project End",--(Z$7=INPUTS!$C$29),0))))</f>
        <v>0</v>
      </c>
      <c r="AA156" s="108" t="n">
        <f aca="false">IF(OR(INPUTS!$F$140&lt;&gt;"Yes",AA$16=0),0,IF(OR(INPUTS!$J$140="Upfront",INPUTS!$J$140="Even",INPUTS!$J$140="Front-loaded",INPUTS!$J$140="Back-loaded",INPUTS!$J$140="S-curve"),IF(AND(ISNUMBER(INPUTS!$K$140),AA$7&gt;=INPUTS!$K$140,AA$7&lt;=IF(INPUTS!$J$140="Upfront",INPUTS!$K$140,INPUTS!$L$140)),1,0),IF(INPUTS!$J$140="Follow Project Life",AA$17,IF(INPUTS!$J$140="At Project End",--(AA$7=INPUTS!$C$29),0))))</f>
        <v>0</v>
      </c>
      <c r="AB156" s="108" t="n">
        <f aca="false">IF(OR(INPUTS!$F$140&lt;&gt;"Yes",AB$16=0),0,IF(OR(INPUTS!$J$140="Upfront",INPUTS!$J$140="Even",INPUTS!$J$140="Front-loaded",INPUTS!$J$140="Back-loaded",INPUTS!$J$140="S-curve"),IF(AND(ISNUMBER(INPUTS!$K$140),AB$7&gt;=INPUTS!$K$140,AB$7&lt;=IF(INPUTS!$J$140="Upfront",INPUTS!$K$140,INPUTS!$L$140)),1,0),IF(INPUTS!$J$140="Follow Project Life",AB$17,IF(INPUTS!$J$140="At Project End",--(AB$7=INPUTS!$C$29),0))))</f>
        <v>0</v>
      </c>
      <c r="AC156" s="108" t="n">
        <f aca="false">IF(OR(INPUTS!$F$140&lt;&gt;"Yes",AC$16=0),0,IF(OR(INPUTS!$J$140="Upfront",INPUTS!$J$140="Even",INPUTS!$J$140="Front-loaded",INPUTS!$J$140="Back-loaded",INPUTS!$J$140="S-curve"),IF(AND(ISNUMBER(INPUTS!$K$140),AC$7&gt;=INPUTS!$K$140,AC$7&lt;=IF(INPUTS!$J$140="Upfront",INPUTS!$K$140,INPUTS!$L$140)),1,0),IF(INPUTS!$J$140="Follow Project Life",AC$17,IF(INPUTS!$J$140="At Project End",--(AC$7=INPUTS!$C$29),0))))</f>
        <v>0</v>
      </c>
      <c r="AD156" s="108" t="n">
        <f aca="false">IF(OR(INPUTS!$F$140&lt;&gt;"Yes",AD$16=0),0,IF(OR(INPUTS!$J$140="Upfront",INPUTS!$J$140="Even",INPUTS!$J$140="Front-loaded",INPUTS!$J$140="Back-loaded",INPUTS!$J$140="S-curve"),IF(AND(ISNUMBER(INPUTS!$K$140),AD$7&gt;=INPUTS!$K$140,AD$7&lt;=IF(INPUTS!$J$140="Upfront",INPUTS!$K$140,INPUTS!$L$140)),1,0),IF(INPUTS!$J$140="Follow Project Life",AD$17,IF(INPUTS!$J$140="At Project End",--(AD$7=INPUTS!$C$29),0))))</f>
        <v>0</v>
      </c>
      <c r="AE156" s="108" t="n">
        <f aca="false">IF(OR(INPUTS!$F$140&lt;&gt;"Yes",AE$16=0),0,IF(OR(INPUTS!$J$140="Upfront",INPUTS!$J$140="Even",INPUTS!$J$140="Front-loaded",INPUTS!$J$140="Back-loaded",INPUTS!$J$140="S-curve"),IF(AND(ISNUMBER(INPUTS!$K$140),AE$7&gt;=INPUTS!$K$140,AE$7&lt;=IF(INPUTS!$J$140="Upfront",INPUTS!$K$140,INPUTS!$L$140)),1,0),IF(INPUTS!$J$140="Follow Project Life",AE$17,IF(INPUTS!$J$140="At Project End",--(AE$7=INPUTS!$C$29),0))))</f>
        <v>0</v>
      </c>
      <c r="AF156" s="108" t="n">
        <f aca="false">IF(OR(INPUTS!$F$140&lt;&gt;"Yes",AF$16=0),0,IF(OR(INPUTS!$J$140="Upfront",INPUTS!$J$140="Even",INPUTS!$J$140="Front-loaded",INPUTS!$J$140="Back-loaded",INPUTS!$J$140="S-curve"),IF(AND(ISNUMBER(INPUTS!$K$140),AF$7&gt;=INPUTS!$K$140,AF$7&lt;=IF(INPUTS!$J$140="Upfront",INPUTS!$K$140,INPUTS!$L$140)),1,0),IF(INPUTS!$J$140="Follow Project Life",AF$17,IF(INPUTS!$J$140="At Project End",--(AF$7=INPUTS!$C$29),0))))</f>
        <v>0</v>
      </c>
      <c r="AG156" s="108" t="n">
        <f aca="false">IF(OR(INPUTS!$F$140&lt;&gt;"Yes",AG$16=0),0,IF(OR(INPUTS!$J$140="Upfront",INPUTS!$J$140="Even",INPUTS!$J$140="Front-loaded",INPUTS!$J$140="Back-loaded",INPUTS!$J$140="S-curve"),IF(AND(ISNUMBER(INPUTS!$K$140),AG$7&gt;=INPUTS!$K$140,AG$7&lt;=IF(INPUTS!$J$140="Upfront",INPUTS!$K$140,INPUTS!$L$140)),1,0),IF(INPUTS!$J$140="Follow Project Life",AG$17,IF(INPUTS!$J$140="At Project End",--(AG$7=INPUTS!$C$29),0))))</f>
        <v>0</v>
      </c>
      <c r="AH156" s="108" t="n">
        <f aca="false">IF(OR(INPUTS!$F$140&lt;&gt;"Yes",AH$16=0),0,IF(OR(INPUTS!$J$140="Upfront",INPUTS!$J$140="Even",INPUTS!$J$140="Front-loaded",INPUTS!$J$140="Back-loaded",INPUTS!$J$140="S-curve"),IF(AND(ISNUMBER(INPUTS!$K$140),AH$7&gt;=INPUTS!$K$140,AH$7&lt;=IF(INPUTS!$J$140="Upfront",INPUTS!$K$140,INPUTS!$L$140)),1,0),IF(INPUTS!$J$140="Follow Project Life",AH$17,IF(INPUTS!$J$140="At Project End",--(AH$7=INPUTS!$C$29),0))))</f>
        <v>0</v>
      </c>
      <c r="AI156" s="108" t="n">
        <f aca="false">IF(OR(INPUTS!$F$140&lt;&gt;"Yes",AI$16=0),0,IF(OR(INPUTS!$J$140="Upfront",INPUTS!$J$140="Even",INPUTS!$J$140="Front-loaded",INPUTS!$J$140="Back-loaded",INPUTS!$J$140="S-curve"),IF(AND(ISNUMBER(INPUTS!$K$140),AI$7&gt;=INPUTS!$K$140,AI$7&lt;=IF(INPUTS!$J$140="Upfront",INPUTS!$K$140,INPUTS!$L$140)),1,0),IF(INPUTS!$J$140="Follow Project Life",AI$17,IF(INPUTS!$J$140="At Project End",--(AI$7=INPUTS!$C$29),0))))</f>
        <v>0</v>
      </c>
      <c r="AJ156" s="108" t="n">
        <f aca="false">IF(OR(INPUTS!$F$140&lt;&gt;"Yes",AJ$16=0),0,IF(OR(INPUTS!$J$140="Upfront",INPUTS!$J$140="Even",INPUTS!$J$140="Front-loaded",INPUTS!$J$140="Back-loaded",INPUTS!$J$140="S-curve"),IF(AND(ISNUMBER(INPUTS!$K$140),AJ$7&gt;=INPUTS!$K$140,AJ$7&lt;=IF(INPUTS!$J$140="Upfront",INPUTS!$K$140,INPUTS!$L$140)),1,0),IF(INPUTS!$J$140="Follow Project Life",AJ$17,IF(INPUTS!$J$140="At Project End",--(AJ$7=INPUTS!$C$29),0))))</f>
        <v>0</v>
      </c>
      <c r="AK156" s="108" t="n">
        <f aca="false">IF(OR(INPUTS!$F$140&lt;&gt;"Yes",AK$16=0),0,IF(OR(INPUTS!$J$140="Upfront",INPUTS!$J$140="Even",INPUTS!$J$140="Front-loaded",INPUTS!$J$140="Back-loaded",INPUTS!$J$140="S-curve"),IF(AND(ISNUMBER(INPUTS!$K$140),AK$7&gt;=INPUTS!$K$140,AK$7&lt;=IF(INPUTS!$J$140="Upfront",INPUTS!$K$140,INPUTS!$L$140)),1,0),IF(INPUTS!$J$140="Follow Project Life",AK$17,IF(INPUTS!$J$140="At Project End",--(AK$7=INPUTS!$C$29),0))))</f>
        <v>0</v>
      </c>
      <c r="AL156" s="108" t="n">
        <f aca="false">IF(OR(INPUTS!$F$140&lt;&gt;"Yes",AL$16=0),0,IF(OR(INPUTS!$J$140="Upfront",INPUTS!$J$140="Even",INPUTS!$J$140="Front-loaded",INPUTS!$J$140="Back-loaded",INPUTS!$J$140="S-curve"),IF(AND(ISNUMBER(INPUTS!$K$140),AL$7&gt;=INPUTS!$K$140,AL$7&lt;=IF(INPUTS!$J$140="Upfront",INPUTS!$K$140,INPUTS!$L$140)),1,0),IF(INPUTS!$J$140="Follow Project Life",AL$17,IF(INPUTS!$J$140="At Project End",--(AL$7=INPUTS!$C$29),0))))</f>
        <v>0</v>
      </c>
      <c r="AM156" s="108" t="n">
        <f aca="false">IF(OR(INPUTS!$F$140&lt;&gt;"Yes",AM$16=0),0,IF(OR(INPUTS!$J$140="Upfront",INPUTS!$J$140="Even",INPUTS!$J$140="Front-loaded",INPUTS!$J$140="Back-loaded",INPUTS!$J$140="S-curve"),IF(AND(ISNUMBER(INPUTS!$K$140),AM$7&gt;=INPUTS!$K$140,AM$7&lt;=IF(INPUTS!$J$140="Upfront",INPUTS!$K$140,INPUTS!$L$140)),1,0),IF(INPUTS!$J$140="Follow Project Life",AM$17,IF(INPUTS!$J$140="At Project End",--(AM$7=INPUTS!$C$29),0))))</f>
        <v>0</v>
      </c>
      <c r="AN156" s="108" t="n">
        <f aca="false">IF(OR(INPUTS!$F$140&lt;&gt;"Yes",AN$16=0),0,IF(OR(INPUTS!$J$140="Upfront",INPUTS!$J$140="Even",INPUTS!$J$140="Front-loaded",INPUTS!$J$140="Back-loaded",INPUTS!$J$140="S-curve"),IF(AND(ISNUMBER(INPUTS!$K$140),AN$7&gt;=INPUTS!$K$140,AN$7&lt;=IF(INPUTS!$J$140="Upfront",INPUTS!$K$140,INPUTS!$L$140)),1,0),IF(INPUTS!$J$140="Follow Project Life",AN$17,IF(INPUTS!$J$140="At Project End",--(AN$7=INPUTS!$C$29),0))))</f>
        <v>0</v>
      </c>
      <c r="AO156" s="108" t="n">
        <f aca="false">IF(OR(INPUTS!$F$140&lt;&gt;"Yes",AO$16=0),0,IF(OR(INPUTS!$J$140="Upfront",INPUTS!$J$140="Even",INPUTS!$J$140="Front-loaded",INPUTS!$J$140="Back-loaded",INPUTS!$J$140="S-curve"),IF(AND(ISNUMBER(INPUTS!$K$140),AO$7&gt;=INPUTS!$K$140,AO$7&lt;=IF(INPUTS!$J$140="Upfront",INPUTS!$K$140,INPUTS!$L$140)),1,0),IF(INPUTS!$J$140="Follow Project Life",AO$17,IF(INPUTS!$J$140="At Project End",--(AO$7=INPUTS!$C$29),0))))</f>
        <v>0</v>
      </c>
      <c r="AP156" s="108" t="n">
        <f aca="false">IF(OR(INPUTS!$F$140&lt;&gt;"Yes",AP$16=0),0,IF(OR(INPUTS!$J$140="Upfront",INPUTS!$J$140="Even",INPUTS!$J$140="Front-loaded",INPUTS!$J$140="Back-loaded",INPUTS!$J$140="S-curve"),IF(AND(ISNUMBER(INPUTS!$K$140),AP$7&gt;=INPUTS!$K$140,AP$7&lt;=IF(INPUTS!$J$140="Upfront",INPUTS!$K$140,INPUTS!$L$140)),1,0),IF(INPUTS!$J$140="Follow Project Life",AP$17,IF(INPUTS!$J$140="At Project End",--(AP$7=INPUTS!$C$29),0))))</f>
        <v>0</v>
      </c>
      <c r="AQ156" s="108" t="n">
        <f aca="false">IF(OR(INPUTS!$F$140&lt;&gt;"Yes",AQ$16=0),0,IF(OR(INPUTS!$J$140="Upfront",INPUTS!$J$140="Even",INPUTS!$J$140="Front-loaded",INPUTS!$J$140="Back-loaded",INPUTS!$J$140="S-curve"),IF(AND(ISNUMBER(INPUTS!$K$140),AQ$7&gt;=INPUTS!$K$140,AQ$7&lt;=IF(INPUTS!$J$140="Upfront",INPUTS!$K$140,INPUTS!$L$140)),1,0),IF(INPUTS!$J$140="Follow Project Life",AQ$17,IF(INPUTS!$J$140="At Project End",--(AQ$7=INPUTS!$C$29),0))))</f>
        <v>0</v>
      </c>
    </row>
    <row r="157" customFormat="false" ht="15" hidden="false" customHeight="false" outlineLevel="0" collapsed="false">
      <c r="B157" s="3" t="s">
        <v>650</v>
      </c>
      <c r="C157" s="107" t="n">
        <f aca="false">MAX(D157:AQ157)</f>
        <v>8</v>
      </c>
      <c r="D157" s="108" t="n">
        <f aca="false">IF(D156=1,COUNTIF($D156:D156,1),0)</f>
        <v>1</v>
      </c>
      <c r="E157" s="108" t="n">
        <f aca="false">IF(E156=1,COUNTIF($D156:E156,1),0)</f>
        <v>2</v>
      </c>
      <c r="F157" s="108" t="n">
        <f aca="false">IF(F156=1,COUNTIF($D156:F156,1),0)</f>
        <v>3</v>
      </c>
      <c r="G157" s="108" t="n">
        <f aca="false">IF(G156=1,COUNTIF($D156:G156,1),0)</f>
        <v>4</v>
      </c>
      <c r="H157" s="108" t="n">
        <f aca="false">IF(H156=1,COUNTIF($D156:H156,1),0)</f>
        <v>5</v>
      </c>
      <c r="I157" s="108" t="n">
        <f aca="false">IF(I156=1,COUNTIF($D156:I156,1),0)</f>
        <v>6</v>
      </c>
      <c r="J157" s="108" t="n">
        <f aca="false">IF(J156=1,COUNTIF($D156:J156,1),0)</f>
        <v>7</v>
      </c>
      <c r="K157" s="108" t="n">
        <f aca="false">IF(K156=1,COUNTIF($D156:K156,1),0)</f>
        <v>8</v>
      </c>
      <c r="L157" s="108" t="n">
        <f aca="false">IF(L156=1,COUNTIF($D156:L156,1),0)</f>
        <v>0</v>
      </c>
      <c r="M157" s="108" t="n">
        <f aca="false">IF(M156=1,COUNTIF($D156:M156,1),0)</f>
        <v>0</v>
      </c>
      <c r="N157" s="108" t="n">
        <f aca="false">IF(N156=1,COUNTIF($D156:N156,1),0)</f>
        <v>0</v>
      </c>
      <c r="O157" s="108" t="n">
        <f aca="false">IF(O156=1,COUNTIF($D156:O156,1),0)</f>
        <v>0</v>
      </c>
      <c r="P157" s="108" t="n">
        <f aca="false">IF(P156=1,COUNTIF($D156:P156,1),0)</f>
        <v>0</v>
      </c>
      <c r="Q157" s="108" t="n">
        <f aca="false">IF(Q156=1,COUNTIF($D156:Q156,1),0)</f>
        <v>0</v>
      </c>
      <c r="R157" s="108" t="n">
        <f aca="false">IF(R156=1,COUNTIF($D156:R156,1),0)</f>
        <v>0</v>
      </c>
      <c r="S157" s="108" t="n">
        <f aca="false">IF(S156=1,COUNTIF($D156:S156,1),0)</f>
        <v>0</v>
      </c>
      <c r="T157" s="108" t="n">
        <f aca="false">IF(T156=1,COUNTIF($D156:T156,1),0)</f>
        <v>0</v>
      </c>
      <c r="U157" s="108" t="n">
        <f aca="false">IF(U156=1,COUNTIF($D156:U156,1),0)</f>
        <v>0</v>
      </c>
      <c r="V157" s="108" t="n">
        <f aca="false">IF(V156=1,COUNTIF($D156:V156,1),0)</f>
        <v>0</v>
      </c>
      <c r="W157" s="108" t="n">
        <f aca="false">IF(W156=1,COUNTIF($D156:W156,1),0)</f>
        <v>0</v>
      </c>
      <c r="X157" s="108" t="n">
        <f aca="false">IF(X156=1,COUNTIF($D156:X156,1),0)</f>
        <v>0</v>
      </c>
      <c r="Y157" s="108" t="n">
        <f aca="false">IF(Y156=1,COUNTIF($D156:Y156,1),0)</f>
        <v>0</v>
      </c>
      <c r="Z157" s="108" t="n">
        <f aca="false">IF(Z156=1,COUNTIF($D156:Z156,1),0)</f>
        <v>0</v>
      </c>
      <c r="AA157" s="108" t="n">
        <f aca="false">IF(AA156=1,COUNTIF($D156:AA156,1),0)</f>
        <v>0</v>
      </c>
      <c r="AB157" s="108" t="n">
        <f aca="false">IF(AB156=1,COUNTIF($D156:AB156,1),0)</f>
        <v>0</v>
      </c>
      <c r="AC157" s="108" t="n">
        <f aca="false">IF(AC156=1,COUNTIF($D156:AC156,1),0)</f>
        <v>0</v>
      </c>
      <c r="AD157" s="108" t="n">
        <f aca="false">IF(AD156=1,COUNTIF($D156:AD156,1),0)</f>
        <v>0</v>
      </c>
      <c r="AE157" s="108" t="n">
        <f aca="false">IF(AE156=1,COUNTIF($D156:AE156,1),0)</f>
        <v>0</v>
      </c>
      <c r="AF157" s="108" t="n">
        <f aca="false">IF(AF156=1,COUNTIF($D156:AF156,1),0)</f>
        <v>0</v>
      </c>
      <c r="AG157" s="108" t="n">
        <f aca="false">IF(AG156=1,COUNTIF($D156:AG156,1),0)</f>
        <v>0</v>
      </c>
      <c r="AH157" s="108" t="n">
        <f aca="false">IF(AH156=1,COUNTIF($D156:AH156,1),0)</f>
        <v>0</v>
      </c>
      <c r="AI157" s="108" t="n">
        <f aca="false">IF(AI156=1,COUNTIF($D156:AI156,1),0)</f>
        <v>0</v>
      </c>
      <c r="AJ157" s="108" t="n">
        <f aca="false">IF(AJ156=1,COUNTIF($D156:AJ156,1),0)</f>
        <v>0</v>
      </c>
      <c r="AK157" s="108" t="n">
        <f aca="false">IF(AK156=1,COUNTIF($D156:AK156,1),0)</f>
        <v>0</v>
      </c>
      <c r="AL157" s="108" t="n">
        <f aca="false">IF(AL156=1,COUNTIF($D156:AL156,1),0)</f>
        <v>0</v>
      </c>
      <c r="AM157" s="108" t="n">
        <f aca="false">IF(AM156=1,COUNTIF($D156:AM156,1),0)</f>
        <v>0</v>
      </c>
      <c r="AN157" s="108" t="n">
        <f aca="false">IF(AN156=1,COUNTIF($D156:AN156,1),0)</f>
        <v>0</v>
      </c>
      <c r="AO157" s="108" t="n">
        <f aca="false">IF(AO156=1,COUNTIF($D156:AO156,1),0)</f>
        <v>0</v>
      </c>
      <c r="AP157" s="108" t="n">
        <f aca="false">IF(AP156=1,COUNTIF($D156:AP156,1),0)</f>
        <v>0</v>
      </c>
      <c r="AQ157" s="108" t="n">
        <f aca="false">IF(AQ156=1,COUNTIF($D156:AQ156,1),0)</f>
        <v>0</v>
      </c>
    </row>
    <row r="158" customFormat="false" ht="15" hidden="false" customHeight="false" outlineLevel="0" collapsed="false">
      <c r="B158" s="17" t="s">
        <v>651</v>
      </c>
      <c r="C158" s="105" t="str">
        <f aca="false">IF(INPUTS!$M$140="","",IF(INPUTS!$M$140&lt;&gt;"OK","ERROR",IF(C156=IF(INPUTS!$F$140&lt;&gt;"Yes",0,IF(OR(INPUTS!$J$140="Upfront",INPUTS!$J$140="Even",INPUTS!$J$140="Front-loaded",INPUTS!$J$140="Back-loaded",INPUTS!$J$140="S-curve"),IF(ISNUMBER(INPUTS!$K$140),IF(INPUTS!$J$140="Upfront",INPUTS!$K$140,INPUTS!$L$140)-INPUTS!$K$140+1,0),IF(INPUTS!$J$140="Follow Project Life",INPUTS!$C$29,IF(INPUTS!$J$140="At Project End",1,0)))),"OK","ERROR")))</f>
        <v>OK</v>
      </c>
    </row>
    <row r="159" customFormat="false" ht="15" hidden="false" customHeight="false" outlineLevel="0" collapsed="false">
      <c r="B159" s="110" t="str">
        <f aca="false">IF(INPUTS!$B$141="","Spare cost row",INPUTS!$B$141)</f>
        <v>EWS / LIG @ ₹/Sq Ft (Builtup)</v>
      </c>
      <c r="C159" s="111" t="str">
        <f aca="false">IF(INPUTS!$J$141="","",INPUTS!$J$141)</f>
        <v>Follow Construction</v>
      </c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</row>
    <row r="160" customFormat="false" ht="15" hidden="false" customHeight="false" outlineLevel="0" collapsed="false">
      <c r="B160" s="3" t="s">
        <v>649</v>
      </c>
      <c r="C160" s="107" t="n">
        <f aca="false">SUM(D160:AQ160)</f>
        <v>0</v>
      </c>
      <c r="D160" s="108" t="n">
        <f aca="false">IF(OR(INPUTS!$F$141&lt;&gt;"Yes",D$16=0),0,IF(OR(INPUTS!$J$141="Upfront",INPUTS!$J$141="Even",INPUTS!$J$141="Front-loaded",INPUTS!$J$141="Back-loaded",INPUTS!$J$141="S-curve"),IF(AND(ISNUMBER(INPUTS!$K$141),D$7&gt;=INPUTS!$K$141,D$7&lt;=IF(INPUTS!$J$141="Upfront",INPUTS!$K$141,INPUTS!$L$141)),1,0),IF(INPUTS!$J$141="Follow Project Life",D$17,IF(INPUTS!$J$141="At Project End",--(D$7=INPUTS!$C$29),0))))</f>
        <v>0</v>
      </c>
      <c r="E160" s="108" t="n">
        <f aca="false">IF(OR(INPUTS!$F$141&lt;&gt;"Yes",E$16=0),0,IF(OR(INPUTS!$J$141="Upfront",INPUTS!$J$141="Even",INPUTS!$J$141="Front-loaded",INPUTS!$J$141="Back-loaded",INPUTS!$J$141="S-curve"),IF(AND(ISNUMBER(INPUTS!$K$141),E$7&gt;=INPUTS!$K$141,E$7&lt;=IF(INPUTS!$J$141="Upfront",INPUTS!$K$141,INPUTS!$L$141)),1,0),IF(INPUTS!$J$141="Follow Project Life",E$17,IF(INPUTS!$J$141="At Project End",--(E$7=INPUTS!$C$29),0))))</f>
        <v>0</v>
      </c>
      <c r="F160" s="108" t="n">
        <f aca="false">IF(OR(INPUTS!$F$141&lt;&gt;"Yes",F$16=0),0,IF(OR(INPUTS!$J$141="Upfront",INPUTS!$J$141="Even",INPUTS!$J$141="Front-loaded",INPUTS!$J$141="Back-loaded",INPUTS!$J$141="S-curve"),IF(AND(ISNUMBER(INPUTS!$K$141),F$7&gt;=INPUTS!$K$141,F$7&lt;=IF(INPUTS!$J$141="Upfront",INPUTS!$K$141,INPUTS!$L$141)),1,0),IF(INPUTS!$J$141="Follow Project Life",F$17,IF(INPUTS!$J$141="At Project End",--(F$7=INPUTS!$C$29),0))))</f>
        <v>0</v>
      </c>
      <c r="G160" s="108" t="n">
        <f aca="false">IF(OR(INPUTS!$F$141&lt;&gt;"Yes",G$16=0),0,IF(OR(INPUTS!$J$141="Upfront",INPUTS!$J$141="Even",INPUTS!$J$141="Front-loaded",INPUTS!$J$141="Back-loaded",INPUTS!$J$141="S-curve"),IF(AND(ISNUMBER(INPUTS!$K$141),G$7&gt;=INPUTS!$K$141,G$7&lt;=IF(INPUTS!$J$141="Upfront",INPUTS!$K$141,INPUTS!$L$141)),1,0),IF(INPUTS!$J$141="Follow Project Life",G$17,IF(INPUTS!$J$141="At Project End",--(G$7=INPUTS!$C$29),0))))</f>
        <v>0</v>
      </c>
      <c r="H160" s="108" t="n">
        <f aca="false">IF(OR(INPUTS!$F$141&lt;&gt;"Yes",H$16=0),0,IF(OR(INPUTS!$J$141="Upfront",INPUTS!$J$141="Even",INPUTS!$J$141="Front-loaded",INPUTS!$J$141="Back-loaded",INPUTS!$J$141="S-curve"),IF(AND(ISNUMBER(INPUTS!$K$141),H$7&gt;=INPUTS!$K$141,H$7&lt;=IF(INPUTS!$J$141="Upfront",INPUTS!$K$141,INPUTS!$L$141)),1,0),IF(INPUTS!$J$141="Follow Project Life",H$17,IF(INPUTS!$J$141="At Project End",--(H$7=INPUTS!$C$29),0))))</f>
        <v>0</v>
      </c>
      <c r="I160" s="108" t="n">
        <f aca="false">IF(OR(INPUTS!$F$141&lt;&gt;"Yes",I$16=0),0,IF(OR(INPUTS!$J$141="Upfront",INPUTS!$J$141="Even",INPUTS!$J$141="Front-loaded",INPUTS!$J$141="Back-loaded",INPUTS!$J$141="S-curve"),IF(AND(ISNUMBER(INPUTS!$K$141),I$7&gt;=INPUTS!$K$141,I$7&lt;=IF(INPUTS!$J$141="Upfront",INPUTS!$K$141,INPUTS!$L$141)),1,0),IF(INPUTS!$J$141="Follow Project Life",I$17,IF(INPUTS!$J$141="At Project End",--(I$7=INPUTS!$C$29),0))))</f>
        <v>0</v>
      </c>
      <c r="J160" s="108" t="n">
        <f aca="false">IF(OR(INPUTS!$F$141&lt;&gt;"Yes",J$16=0),0,IF(OR(INPUTS!$J$141="Upfront",INPUTS!$J$141="Even",INPUTS!$J$141="Front-loaded",INPUTS!$J$141="Back-loaded",INPUTS!$J$141="S-curve"),IF(AND(ISNUMBER(INPUTS!$K$141),J$7&gt;=INPUTS!$K$141,J$7&lt;=IF(INPUTS!$J$141="Upfront",INPUTS!$K$141,INPUTS!$L$141)),1,0),IF(INPUTS!$J$141="Follow Project Life",J$17,IF(INPUTS!$J$141="At Project End",--(J$7=INPUTS!$C$29),0))))</f>
        <v>0</v>
      </c>
      <c r="K160" s="108" t="n">
        <f aca="false">IF(OR(INPUTS!$F$141&lt;&gt;"Yes",K$16=0),0,IF(OR(INPUTS!$J$141="Upfront",INPUTS!$J$141="Even",INPUTS!$J$141="Front-loaded",INPUTS!$J$141="Back-loaded",INPUTS!$J$141="S-curve"),IF(AND(ISNUMBER(INPUTS!$K$141),K$7&gt;=INPUTS!$K$141,K$7&lt;=IF(INPUTS!$J$141="Upfront",INPUTS!$K$141,INPUTS!$L$141)),1,0),IF(INPUTS!$J$141="Follow Project Life",K$17,IF(INPUTS!$J$141="At Project End",--(K$7=INPUTS!$C$29),0))))</f>
        <v>0</v>
      </c>
      <c r="L160" s="108" t="n">
        <f aca="false">IF(OR(INPUTS!$F$141&lt;&gt;"Yes",L$16=0),0,IF(OR(INPUTS!$J$141="Upfront",INPUTS!$J$141="Even",INPUTS!$J$141="Front-loaded",INPUTS!$J$141="Back-loaded",INPUTS!$J$141="S-curve"),IF(AND(ISNUMBER(INPUTS!$K$141),L$7&gt;=INPUTS!$K$141,L$7&lt;=IF(INPUTS!$J$141="Upfront",INPUTS!$K$141,INPUTS!$L$141)),1,0),IF(INPUTS!$J$141="Follow Project Life",L$17,IF(INPUTS!$J$141="At Project End",--(L$7=INPUTS!$C$29),0))))</f>
        <v>0</v>
      </c>
      <c r="M160" s="108" t="n">
        <f aca="false">IF(OR(INPUTS!$F$141&lt;&gt;"Yes",M$16=0),0,IF(OR(INPUTS!$J$141="Upfront",INPUTS!$J$141="Even",INPUTS!$J$141="Front-loaded",INPUTS!$J$141="Back-loaded",INPUTS!$J$141="S-curve"),IF(AND(ISNUMBER(INPUTS!$K$141),M$7&gt;=INPUTS!$K$141,M$7&lt;=IF(INPUTS!$J$141="Upfront",INPUTS!$K$141,INPUTS!$L$141)),1,0),IF(INPUTS!$J$141="Follow Project Life",M$17,IF(INPUTS!$J$141="At Project End",--(M$7=INPUTS!$C$29),0))))</f>
        <v>0</v>
      </c>
      <c r="N160" s="108" t="n">
        <f aca="false">IF(OR(INPUTS!$F$141&lt;&gt;"Yes",N$16=0),0,IF(OR(INPUTS!$J$141="Upfront",INPUTS!$J$141="Even",INPUTS!$J$141="Front-loaded",INPUTS!$J$141="Back-loaded",INPUTS!$J$141="S-curve"),IF(AND(ISNUMBER(INPUTS!$K$141),N$7&gt;=INPUTS!$K$141,N$7&lt;=IF(INPUTS!$J$141="Upfront",INPUTS!$K$141,INPUTS!$L$141)),1,0),IF(INPUTS!$J$141="Follow Project Life",N$17,IF(INPUTS!$J$141="At Project End",--(N$7=INPUTS!$C$29),0))))</f>
        <v>0</v>
      </c>
      <c r="O160" s="108" t="n">
        <f aca="false">IF(OR(INPUTS!$F$141&lt;&gt;"Yes",O$16=0),0,IF(OR(INPUTS!$J$141="Upfront",INPUTS!$J$141="Even",INPUTS!$J$141="Front-loaded",INPUTS!$J$141="Back-loaded",INPUTS!$J$141="S-curve"),IF(AND(ISNUMBER(INPUTS!$K$141),O$7&gt;=INPUTS!$K$141,O$7&lt;=IF(INPUTS!$J$141="Upfront",INPUTS!$K$141,INPUTS!$L$141)),1,0),IF(INPUTS!$J$141="Follow Project Life",O$17,IF(INPUTS!$J$141="At Project End",--(O$7=INPUTS!$C$29),0))))</f>
        <v>0</v>
      </c>
      <c r="P160" s="108" t="n">
        <f aca="false">IF(OR(INPUTS!$F$141&lt;&gt;"Yes",P$16=0),0,IF(OR(INPUTS!$J$141="Upfront",INPUTS!$J$141="Even",INPUTS!$J$141="Front-loaded",INPUTS!$J$141="Back-loaded",INPUTS!$J$141="S-curve"),IF(AND(ISNUMBER(INPUTS!$K$141),P$7&gt;=INPUTS!$K$141,P$7&lt;=IF(INPUTS!$J$141="Upfront",INPUTS!$K$141,INPUTS!$L$141)),1,0),IF(INPUTS!$J$141="Follow Project Life",P$17,IF(INPUTS!$J$141="At Project End",--(P$7=INPUTS!$C$29),0))))</f>
        <v>0</v>
      </c>
      <c r="Q160" s="108" t="n">
        <f aca="false">IF(OR(INPUTS!$F$141&lt;&gt;"Yes",Q$16=0),0,IF(OR(INPUTS!$J$141="Upfront",INPUTS!$J$141="Even",INPUTS!$J$141="Front-loaded",INPUTS!$J$141="Back-loaded",INPUTS!$J$141="S-curve"),IF(AND(ISNUMBER(INPUTS!$K$141),Q$7&gt;=INPUTS!$K$141,Q$7&lt;=IF(INPUTS!$J$141="Upfront",INPUTS!$K$141,INPUTS!$L$141)),1,0),IF(INPUTS!$J$141="Follow Project Life",Q$17,IF(INPUTS!$J$141="At Project End",--(Q$7=INPUTS!$C$29),0))))</f>
        <v>0</v>
      </c>
      <c r="R160" s="108" t="n">
        <f aca="false">IF(OR(INPUTS!$F$141&lt;&gt;"Yes",R$16=0),0,IF(OR(INPUTS!$J$141="Upfront",INPUTS!$J$141="Even",INPUTS!$J$141="Front-loaded",INPUTS!$J$141="Back-loaded",INPUTS!$J$141="S-curve"),IF(AND(ISNUMBER(INPUTS!$K$141),R$7&gt;=INPUTS!$K$141,R$7&lt;=IF(INPUTS!$J$141="Upfront",INPUTS!$K$141,INPUTS!$L$141)),1,0),IF(INPUTS!$J$141="Follow Project Life",R$17,IF(INPUTS!$J$141="At Project End",--(R$7=INPUTS!$C$29),0))))</f>
        <v>0</v>
      </c>
      <c r="S160" s="108" t="n">
        <f aca="false">IF(OR(INPUTS!$F$141&lt;&gt;"Yes",S$16=0),0,IF(OR(INPUTS!$J$141="Upfront",INPUTS!$J$141="Even",INPUTS!$J$141="Front-loaded",INPUTS!$J$141="Back-loaded",INPUTS!$J$141="S-curve"),IF(AND(ISNUMBER(INPUTS!$K$141),S$7&gt;=INPUTS!$K$141,S$7&lt;=IF(INPUTS!$J$141="Upfront",INPUTS!$K$141,INPUTS!$L$141)),1,0),IF(INPUTS!$J$141="Follow Project Life",S$17,IF(INPUTS!$J$141="At Project End",--(S$7=INPUTS!$C$29),0))))</f>
        <v>0</v>
      </c>
      <c r="T160" s="108" t="n">
        <f aca="false">IF(OR(INPUTS!$F$141&lt;&gt;"Yes",T$16=0),0,IF(OR(INPUTS!$J$141="Upfront",INPUTS!$J$141="Even",INPUTS!$J$141="Front-loaded",INPUTS!$J$141="Back-loaded",INPUTS!$J$141="S-curve"),IF(AND(ISNUMBER(INPUTS!$K$141),T$7&gt;=INPUTS!$K$141,T$7&lt;=IF(INPUTS!$J$141="Upfront",INPUTS!$K$141,INPUTS!$L$141)),1,0),IF(INPUTS!$J$141="Follow Project Life",T$17,IF(INPUTS!$J$141="At Project End",--(T$7=INPUTS!$C$29),0))))</f>
        <v>0</v>
      </c>
      <c r="U160" s="108" t="n">
        <f aca="false">IF(OR(INPUTS!$F$141&lt;&gt;"Yes",U$16=0),0,IF(OR(INPUTS!$J$141="Upfront",INPUTS!$J$141="Even",INPUTS!$J$141="Front-loaded",INPUTS!$J$141="Back-loaded",INPUTS!$J$141="S-curve"),IF(AND(ISNUMBER(INPUTS!$K$141),U$7&gt;=INPUTS!$K$141,U$7&lt;=IF(INPUTS!$J$141="Upfront",INPUTS!$K$141,INPUTS!$L$141)),1,0),IF(INPUTS!$J$141="Follow Project Life",U$17,IF(INPUTS!$J$141="At Project End",--(U$7=INPUTS!$C$29),0))))</f>
        <v>0</v>
      </c>
      <c r="V160" s="108" t="n">
        <f aca="false">IF(OR(INPUTS!$F$141&lt;&gt;"Yes",V$16=0),0,IF(OR(INPUTS!$J$141="Upfront",INPUTS!$J$141="Even",INPUTS!$J$141="Front-loaded",INPUTS!$J$141="Back-loaded",INPUTS!$J$141="S-curve"),IF(AND(ISNUMBER(INPUTS!$K$141),V$7&gt;=INPUTS!$K$141,V$7&lt;=IF(INPUTS!$J$141="Upfront",INPUTS!$K$141,INPUTS!$L$141)),1,0),IF(INPUTS!$J$141="Follow Project Life",V$17,IF(INPUTS!$J$141="At Project End",--(V$7=INPUTS!$C$29),0))))</f>
        <v>0</v>
      </c>
      <c r="W160" s="108" t="n">
        <f aca="false">IF(OR(INPUTS!$F$141&lt;&gt;"Yes",W$16=0),0,IF(OR(INPUTS!$J$141="Upfront",INPUTS!$J$141="Even",INPUTS!$J$141="Front-loaded",INPUTS!$J$141="Back-loaded",INPUTS!$J$141="S-curve"),IF(AND(ISNUMBER(INPUTS!$K$141),W$7&gt;=INPUTS!$K$141,W$7&lt;=IF(INPUTS!$J$141="Upfront",INPUTS!$K$141,INPUTS!$L$141)),1,0),IF(INPUTS!$J$141="Follow Project Life",W$17,IF(INPUTS!$J$141="At Project End",--(W$7=INPUTS!$C$29),0))))</f>
        <v>0</v>
      </c>
      <c r="X160" s="108" t="n">
        <f aca="false">IF(OR(INPUTS!$F$141&lt;&gt;"Yes",X$16=0),0,IF(OR(INPUTS!$J$141="Upfront",INPUTS!$J$141="Even",INPUTS!$J$141="Front-loaded",INPUTS!$J$141="Back-loaded",INPUTS!$J$141="S-curve"),IF(AND(ISNUMBER(INPUTS!$K$141),X$7&gt;=INPUTS!$K$141,X$7&lt;=IF(INPUTS!$J$141="Upfront",INPUTS!$K$141,INPUTS!$L$141)),1,0),IF(INPUTS!$J$141="Follow Project Life",X$17,IF(INPUTS!$J$141="At Project End",--(X$7=INPUTS!$C$29),0))))</f>
        <v>0</v>
      </c>
      <c r="Y160" s="108" t="n">
        <f aca="false">IF(OR(INPUTS!$F$141&lt;&gt;"Yes",Y$16=0),0,IF(OR(INPUTS!$J$141="Upfront",INPUTS!$J$141="Even",INPUTS!$J$141="Front-loaded",INPUTS!$J$141="Back-loaded",INPUTS!$J$141="S-curve"),IF(AND(ISNUMBER(INPUTS!$K$141),Y$7&gt;=INPUTS!$K$141,Y$7&lt;=IF(INPUTS!$J$141="Upfront",INPUTS!$K$141,INPUTS!$L$141)),1,0),IF(INPUTS!$J$141="Follow Project Life",Y$17,IF(INPUTS!$J$141="At Project End",--(Y$7=INPUTS!$C$29),0))))</f>
        <v>0</v>
      </c>
      <c r="Z160" s="108" t="n">
        <f aca="false">IF(OR(INPUTS!$F$141&lt;&gt;"Yes",Z$16=0),0,IF(OR(INPUTS!$J$141="Upfront",INPUTS!$J$141="Even",INPUTS!$J$141="Front-loaded",INPUTS!$J$141="Back-loaded",INPUTS!$J$141="S-curve"),IF(AND(ISNUMBER(INPUTS!$K$141),Z$7&gt;=INPUTS!$K$141,Z$7&lt;=IF(INPUTS!$J$141="Upfront",INPUTS!$K$141,INPUTS!$L$141)),1,0),IF(INPUTS!$J$141="Follow Project Life",Z$17,IF(INPUTS!$J$141="At Project End",--(Z$7=INPUTS!$C$29),0))))</f>
        <v>0</v>
      </c>
      <c r="AA160" s="108" t="n">
        <f aca="false">IF(OR(INPUTS!$F$141&lt;&gt;"Yes",AA$16=0),0,IF(OR(INPUTS!$J$141="Upfront",INPUTS!$J$141="Even",INPUTS!$J$141="Front-loaded",INPUTS!$J$141="Back-loaded",INPUTS!$J$141="S-curve"),IF(AND(ISNUMBER(INPUTS!$K$141),AA$7&gt;=INPUTS!$K$141,AA$7&lt;=IF(INPUTS!$J$141="Upfront",INPUTS!$K$141,INPUTS!$L$141)),1,0),IF(INPUTS!$J$141="Follow Project Life",AA$17,IF(INPUTS!$J$141="At Project End",--(AA$7=INPUTS!$C$29),0))))</f>
        <v>0</v>
      </c>
      <c r="AB160" s="108" t="n">
        <f aca="false">IF(OR(INPUTS!$F$141&lt;&gt;"Yes",AB$16=0),0,IF(OR(INPUTS!$J$141="Upfront",INPUTS!$J$141="Even",INPUTS!$J$141="Front-loaded",INPUTS!$J$141="Back-loaded",INPUTS!$J$141="S-curve"),IF(AND(ISNUMBER(INPUTS!$K$141),AB$7&gt;=INPUTS!$K$141,AB$7&lt;=IF(INPUTS!$J$141="Upfront",INPUTS!$K$141,INPUTS!$L$141)),1,0),IF(INPUTS!$J$141="Follow Project Life",AB$17,IF(INPUTS!$J$141="At Project End",--(AB$7=INPUTS!$C$29),0))))</f>
        <v>0</v>
      </c>
      <c r="AC160" s="108" t="n">
        <f aca="false">IF(OR(INPUTS!$F$141&lt;&gt;"Yes",AC$16=0),0,IF(OR(INPUTS!$J$141="Upfront",INPUTS!$J$141="Even",INPUTS!$J$141="Front-loaded",INPUTS!$J$141="Back-loaded",INPUTS!$J$141="S-curve"),IF(AND(ISNUMBER(INPUTS!$K$141),AC$7&gt;=INPUTS!$K$141,AC$7&lt;=IF(INPUTS!$J$141="Upfront",INPUTS!$K$141,INPUTS!$L$141)),1,0),IF(INPUTS!$J$141="Follow Project Life",AC$17,IF(INPUTS!$J$141="At Project End",--(AC$7=INPUTS!$C$29),0))))</f>
        <v>0</v>
      </c>
      <c r="AD160" s="108" t="n">
        <f aca="false">IF(OR(INPUTS!$F$141&lt;&gt;"Yes",AD$16=0),0,IF(OR(INPUTS!$J$141="Upfront",INPUTS!$J$141="Even",INPUTS!$J$141="Front-loaded",INPUTS!$J$141="Back-loaded",INPUTS!$J$141="S-curve"),IF(AND(ISNUMBER(INPUTS!$K$141),AD$7&gt;=INPUTS!$K$141,AD$7&lt;=IF(INPUTS!$J$141="Upfront",INPUTS!$K$141,INPUTS!$L$141)),1,0),IF(INPUTS!$J$141="Follow Project Life",AD$17,IF(INPUTS!$J$141="At Project End",--(AD$7=INPUTS!$C$29),0))))</f>
        <v>0</v>
      </c>
      <c r="AE160" s="108" t="n">
        <f aca="false">IF(OR(INPUTS!$F$141&lt;&gt;"Yes",AE$16=0),0,IF(OR(INPUTS!$J$141="Upfront",INPUTS!$J$141="Even",INPUTS!$J$141="Front-loaded",INPUTS!$J$141="Back-loaded",INPUTS!$J$141="S-curve"),IF(AND(ISNUMBER(INPUTS!$K$141),AE$7&gt;=INPUTS!$K$141,AE$7&lt;=IF(INPUTS!$J$141="Upfront",INPUTS!$K$141,INPUTS!$L$141)),1,0),IF(INPUTS!$J$141="Follow Project Life",AE$17,IF(INPUTS!$J$141="At Project End",--(AE$7=INPUTS!$C$29),0))))</f>
        <v>0</v>
      </c>
      <c r="AF160" s="108" t="n">
        <f aca="false">IF(OR(INPUTS!$F$141&lt;&gt;"Yes",AF$16=0),0,IF(OR(INPUTS!$J$141="Upfront",INPUTS!$J$141="Even",INPUTS!$J$141="Front-loaded",INPUTS!$J$141="Back-loaded",INPUTS!$J$141="S-curve"),IF(AND(ISNUMBER(INPUTS!$K$141),AF$7&gt;=INPUTS!$K$141,AF$7&lt;=IF(INPUTS!$J$141="Upfront",INPUTS!$K$141,INPUTS!$L$141)),1,0),IF(INPUTS!$J$141="Follow Project Life",AF$17,IF(INPUTS!$J$141="At Project End",--(AF$7=INPUTS!$C$29),0))))</f>
        <v>0</v>
      </c>
      <c r="AG160" s="108" t="n">
        <f aca="false">IF(OR(INPUTS!$F$141&lt;&gt;"Yes",AG$16=0),0,IF(OR(INPUTS!$J$141="Upfront",INPUTS!$J$141="Even",INPUTS!$J$141="Front-loaded",INPUTS!$J$141="Back-loaded",INPUTS!$J$141="S-curve"),IF(AND(ISNUMBER(INPUTS!$K$141),AG$7&gt;=INPUTS!$K$141,AG$7&lt;=IF(INPUTS!$J$141="Upfront",INPUTS!$K$141,INPUTS!$L$141)),1,0),IF(INPUTS!$J$141="Follow Project Life",AG$17,IF(INPUTS!$J$141="At Project End",--(AG$7=INPUTS!$C$29),0))))</f>
        <v>0</v>
      </c>
      <c r="AH160" s="108" t="n">
        <f aca="false">IF(OR(INPUTS!$F$141&lt;&gt;"Yes",AH$16=0),0,IF(OR(INPUTS!$J$141="Upfront",INPUTS!$J$141="Even",INPUTS!$J$141="Front-loaded",INPUTS!$J$141="Back-loaded",INPUTS!$J$141="S-curve"),IF(AND(ISNUMBER(INPUTS!$K$141),AH$7&gt;=INPUTS!$K$141,AH$7&lt;=IF(INPUTS!$J$141="Upfront",INPUTS!$K$141,INPUTS!$L$141)),1,0),IF(INPUTS!$J$141="Follow Project Life",AH$17,IF(INPUTS!$J$141="At Project End",--(AH$7=INPUTS!$C$29),0))))</f>
        <v>0</v>
      </c>
      <c r="AI160" s="108" t="n">
        <f aca="false">IF(OR(INPUTS!$F$141&lt;&gt;"Yes",AI$16=0),0,IF(OR(INPUTS!$J$141="Upfront",INPUTS!$J$141="Even",INPUTS!$J$141="Front-loaded",INPUTS!$J$141="Back-loaded",INPUTS!$J$141="S-curve"),IF(AND(ISNUMBER(INPUTS!$K$141),AI$7&gt;=INPUTS!$K$141,AI$7&lt;=IF(INPUTS!$J$141="Upfront",INPUTS!$K$141,INPUTS!$L$141)),1,0),IF(INPUTS!$J$141="Follow Project Life",AI$17,IF(INPUTS!$J$141="At Project End",--(AI$7=INPUTS!$C$29),0))))</f>
        <v>0</v>
      </c>
      <c r="AJ160" s="108" t="n">
        <f aca="false">IF(OR(INPUTS!$F$141&lt;&gt;"Yes",AJ$16=0),0,IF(OR(INPUTS!$J$141="Upfront",INPUTS!$J$141="Even",INPUTS!$J$141="Front-loaded",INPUTS!$J$141="Back-loaded",INPUTS!$J$141="S-curve"),IF(AND(ISNUMBER(INPUTS!$K$141),AJ$7&gt;=INPUTS!$K$141,AJ$7&lt;=IF(INPUTS!$J$141="Upfront",INPUTS!$K$141,INPUTS!$L$141)),1,0),IF(INPUTS!$J$141="Follow Project Life",AJ$17,IF(INPUTS!$J$141="At Project End",--(AJ$7=INPUTS!$C$29),0))))</f>
        <v>0</v>
      </c>
      <c r="AK160" s="108" t="n">
        <f aca="false">IF(OR(INPUTS!$F$141&lt;&gt;"Yes",AK$16=0),0,IF(OR(INPUTS!$J$141="Upfront",INPUTS!$J$141="Even",INPUTS!$J$141="Front-loaded",INPUTS!$J$141="Back-loaded",INPUTS!$J$141="S-curve"),IF(AND(ISNUMBER(INPUTS!$K$141),AK$7&gt;=INPUTS!$K$141,AK$7&lt;=IF(INPUTS!$J$141="Upfront",INPUTS!$K$141,INPUTS!$L$141)),1,0),IF(INPUTS!$J$141="Follow Project Life",AK$17,IF(INPUTS!$J$141="At Project End",--(AK$7=INPUTS!$C$29),0))))</f>
        <v>0</v>
      </c>
      <c r="AL160" s="108" t="n">
        <f aca="false">IF(OR(INPUTS!$F$141&lt;&gt;"Yes",AL$16=0),0,IF(OR(INPUTS!$J$141="Upfront",INPUTS!$J$141="Even",INPUTS!$J$141="Front-loaded",INPUTS!$J$141="Back-loaded",INPUTS!$J$141="S-curve"),IF(AND(ISNUMBER(INPUTS!$K$141),AL$7&gt;=INPUTS!$K$141,AL$7&lt;=IF(INPUTS!$J$141="Upfront",INPUTS!$K$141,INPUTS!$L$141)),1,0),IF(INPUTS!$J$141="Follow Project Life",AL$17,IF(INPUTS!$J$141="At Project End",--(AL$7=INPUTS!$C$29),0))))</f>
        <v>0</v>
      </c>
      <c r="AM160" s="108" t="n">
        <f aca="false">IF(OR(INPUTS!$F$141&lt;&gt;"Yes",AM$16=0),0,IF(OR(INPUTS!$J$141="Upfront",INPUTS!$J$141="Even",INPUTS!$J$141="Front-loaded",INPUTS!$J$141="Back-loaded",INPUTS!$J$141="S-curve"),IF(AND(ISNUMBER(INPUTS!$K$141),AM$7&gt;=INPUTS!$K$141,AM$7&lt;=IF(INPUTS!$J$141="Upfront",INPUTS!$K$141,INPUTS!$L$141)),1,0),IF(INPUTS!$J$141="Follow Project Life",AM$17,IF(INPUTS!$J$141="At Project End",--(AM$7=INPUTS!$C$29),0))))</f>
        <v>0</v>
      </c>
      <c r="AN160" s="108" t="n">
        <f aca="false">IF(OR(INPUTS!$F$141&lt;&gt;"Yes",AN$16=0),0,IF(OR(INPUTS!$J$141="Upfront",INPUTS!$J$141="Even",INPUTS!$J$141="Front-loaded",INPUTS!$J$141="Back-loaded",INPUTS!$J$141="S-curve"),IF(AND(ISNUMBER(INPUTS!$K$141),AN$7&gt;=INPUTS!$K$141,AN$7&lt;=IF(INPUTS!$J$141="Upfront",INPUTS!$K$141,INPUTS!$L$141)),1,0),IF(INPUTS!$J$141="Follow Project Life",AN$17,IF(INPUTS!$J$141="At Project End",--(AN$7=INPUTS!$C$29),0))))</f>
        <v>0</v>
      </c>
      <c r="AO160" s="108" t="n">
        <f aca="false">IF(OR(INPUTS!$F$141&lt;&gt;"Yes",AO$16=0),0,IF(OR(INPUTS!$J$141="Upfront",INPUTS!$J$141="Even",INPUTS!$J$141="Front-loaded",INPUTS!$J$141="Back-loaded",INPUTS!$J$141="S-curve"),IF(AND(ISNUMBER(INPUTS!$K$141),AO$7&gt;=INPUTS!$K$141,AO$7&lt;=IF(INPUTS!$J$141="Upfront",INPUTS!$K$141,INPUTS!$L$141)),1,0),IF(INPUTS!$J$141="Follow Project Life",AO$17,IF(INPUTS!$J$141="At Project End",--(AO$7=INPUTS!$C$29),0))))</f>
        <v>0</v>
      </c>
      <c r="AP160" s="108" t="n">
        <f aca="false">IF(OR(INPUTS!$F$141&lt;&gt;"Yes",AP$16=0),0,IF(OR(INPUTS!$J$141="Upfront",INPUTS!$J$141="Even",INPUTS!$J$141="Front-loaded",INPUTS!$J$141="Back-loaded",INPUTS!$J$141="S-curve"),IF(AND(ISNUMBER(INPUTS!$K$141),AP$7&gt;=INPUTS!$K$141,AP$7&lt;=IF(INPUTS!$J$141="Upfront",INPUTS!$K$141,INPUTS!$L$141)),1,0),IF(INPUTS!$J$141="Follow Project Life",AP$17,IF(INPUTS!$J$141="At Project End",--(AP$7=INPUTS!$C$29),0))))</f>
        <v>0</v>
      </c>
      <c r="AQ160" s="108" t="n">
        <f aca="false">IF(OR(INPUTS!$F$141&lt;&gt;"Yes",AQ$16=0),0,IF(OR(INPUTS!$J$141="Upfront",INPUTS!$J$141="Even",INPUTS!$J$141="Front-loaded",INPUTS!$J$141="Back-loaded",INPUTS!$J$141="S-curve"),IF(AND(ISNUMBER(INPUTS!$K$141),AQ$7&gt;=INPUTS!$K$141,AQ$7&lt;=IF(INPUTS!$J$141="Upfront",INPUTS!$K$141,INPUTS!$L$141)),1,0),IF(INPUTS!$J$141="Follow Project Life",AQ$17,IF(INPUTS!$J$141="At Project End",--(AQ$7=INPUTS!$C$29),0))))</f>
        <v>0</v>
      </c>
    </row>
    <row r="161" customFormat="false" ht="15" hidden="false" customHeight="false" outlineLevel="0" collapsed="false">
      <c r="B161" s="3" t="s">
        <v>650</v>
      </c>
      <c r="C161" s="107" t="n">
        <f aca="false">MAX(D161:AQ161)</f>
        <v>0</v>
      </c>
      <c r="D161" s="108" t="n">
        <f aca="false">IF(D160=1,COUNTIF($D160:D160,1),0)</f>
        <v>0</v>
      </c>
      <c r="E161" s="108" t="n">
        <f aca="false">IF(E160=1,COUNTIF($D160:E160,1),0)</f>
        <v>0</v>
      </c>
      <c r="F161" s="108" t="n">
        <f aca="false">IF(F160=1,COUNTIF($D160:F160,1),0)</f>
        <v>0</v>
      </c>
      <c r="G161" s="108" t="n">
        <f aca="false">IF(G160=1,COUNTIF($D160:G160,1),0)</f>
        <v>0</v>
      </c>
      <c r="H161" s="108" t="n">
        <f aca="false">IF(H160=1,COUNTIF($D160:H160,1),0)</f>
        <v>0</v>
      </c>
      <c r="I161" s="108" t="n">
        <f aca="false">IF(I160=1,COUNTIF($D160:I160,1),0)</f>
        <v>0</v>
      </c>
      <c r="J161" s="108" t="n">
        <f aca="false">IF(J160=1,COUNTIF($D160:J160,1),0)</f>
        <v>0</v>
      </c>
      <c r="K161" s="108" t="n">
        <f aca="false">IF(K160=1,COUNTIF($D160:K160,1),0)</f>
        <v>0</v>
      </c>
      <c r="L161" s="108" t="n">
        <f aca="false">IF(L160=1,COUNTIF($D160:L160,1),0)</f>
        <v>0</v>
      </c>
      <c r="M161" s="108" t="n">
        <f aca="false">IF(M160=1,COUNTIF($D160:M160,1),0)</f>
        <v>0</v>
      </c>
      <c r="N161" s="108" t="n">
        <f aca="false">IF(N160=1,COUNTIF($D160:N160,1),0)</f>
        <v>0</v>
      </c>
      <c r="O161" s="108" t="n">
        <f aca="false">IF(O160=1,COUNTIF($D160:O160,1),0)</f>
        <v>0</v>
      </c>
      <c r="P161" s="108" t="n">
        <f aca="false">IF(P160=1,COUNTIF($D160:P160,1),0)</f>
        <v>0</v>
      </c>
      <c r="Q161" s="108" t="n">
        <f aca="false">IF(Q160=1,COUNTIF($D160:Q160,1),0)</f>
        <v>0</v>
      </c>
      <c r="R161" s="108" t="n">
        <f aca="false">IF(R160=1,COUNTIF($D160:R160,1),0)</f>
        <v>0</v>
      </c>
      <c r="S161" s="108" t="n">
        <f aca="false">IF(S160=1,COUNTIF($D160:S160,1),0)</f>
        <v>0</v>
      </c>
      <c r="T161" s="108" t="n">
        <f aca="false">IF(T160=1,COUNTIF($D160:T160,1),0)</f>
        <v>0</v>
      </c>
      <c r="U161" s="108" t="n">
        <f aca="false">IF(U160=1,COUNTIF($D160:U160,1),0)</f>
        <v>0</v>
      </c>
      <c r="V161" s="108" t="n">
        <f aca="false">IF(V160=1,COUNTIF($D160:V160,1),0)</f>
        <v>0</v>
      </c>
      <c r="W161" s="108" t="n">
        <f aca="false">IF(W160=1,COUNTIF($D160:W160,1),0)</f>
        <v>0</v>
      </c>
      <c r="X161" s="108" t="n">
        <f aca="false">IF(X160=1,COUNTIF($D160:X160,1),0)</f>
        <v>0</v>
      </c>
      <c r="Y161" s="108" t="n">
        <f aca="false">IF(Y160=1,COUNTIF($D160:Y160,1),0)</f>
        <v>0</v>
      </c>
      <c r="Z161" s="108" t="n">
        <f aca="false">IF(Z160=1,COUNTIF($D160:Z160,1),0)</f>
        <v>0</v>
      </c>
      <c r="AA161" s="108" t="n">
        <f aca="false">IF(AA160=1,COUNTIF($D160:AA160,1),0)</f>
        <v>0</v>
      </c>
      <c r="AB161" s="108" t="n">
        <f aca="false">IF(AB160=1,COUNTIF($D160:AB160,1),0)</f>
        <v>0</v>
      </c>
      <c r="AC161" s="108" t="n">
        <f aca="false">IF(AC160=1,COUNTIF($D160:AC160,1),0)</f>
        <v>0</v>
      </c>
      <c r="AD161" s="108" t="n">
        <f aca="false">IF(AD160=1,COUNTIF($D160:AD160,1),0)</f>
        <v>0</v>
      </c>
      <c r="AE161" s="108" t="n">
        <f aca="false">IF(AE160=1,COUNTIF($D160:AE160,1),0)</f>
        <v>0</v>
      </c>
      <c r="AF161" s="108" t="n">
        <f aca="false">IF(AF160=1,COUNTIF($D160:AF160,1),0)</f>
        <v>0</v>
      </c>
      <c r="AG161" s="108" t="n">
        <f aca="false">IF(AG160=1,COUNTIF($D160:AG160,1),0)</f>
        <v>0</v>
      </c>
      <c r="AH161" s="108" t="n">
        <f aca="false">IF(AH160=1,COUNTIF($D160:AH160,1),0)</f>
        <v>0</v>
      </c>
      <c r="AI161" s="108" t="n">
        <f aca="false">IF(AI160=1,COUNTIF($D160:AI160,1),0)</f>
        <v>0</v>
      </c>
      <c r="AJ161" s="108" t="n">
        <f aca="false">IF(AJ160=1,COUNTIF($D160:AJ160,1),0)</f>
        <v>0</v>
      </c>
      <c r="AK161" s="108" t="n">
        <f aca="false">IF(AK160=1,COUNTIF($D160:AK160,1),0)</f>
        <v>0</v>
      </c>
      <c r="AL161" s="108" t="n">
        <f aca="false">IF(AL160=1,COUNTIF($D160:AL160,1),0)</f>
        <v>0</v>
      </c>
      <c r="AM161" s="108" t="n">
        <f aca="false">IF(AM160=1,COUNTIF($D160:AM160,1),0)</f>
        <v>0</v>
      </c>
      <c r="AN161" s="108" t="n">
        <f aca="false">IF(AN160=1,COUNTIF($D160:AN160,1),0)</f>
        <v>0</v>
      </c>
      <c r="AO161" s="108" t="n">
        <f aca="false">IF(AO160=1,COUNTIF($D160:AO160,1),0)</f>
        <v>0</v>
      </c>
      <c r="AP161" s="108" t="n">
        <f aca="false">IF(AP160=1,COUNTIF($D160:AP160,1),0)</f>
        <v>0</v>
      </c>
      <c r="AQ161" s="108" t="n">
        <f aca="false">IF(AQ160=1,COUNTIF($D160:AQ160,1),0)</f>
        <v>0</v>
      </c>
    </row>
    <row r="162" customFormat="false" ht="15" hidden="false" customHeight="false" outlineLevel="0" collapsed="false">
      <c r="B162" s="17" t="s">
        <v>651</v>
      </c>
      <c r="C162" s="105" t="str">
        <f aca="false">IF(INPUTS!$M$141="","",IF(INPUTS!$M$141&lt;&gt;"OK","ERROR",IF(C160=IF(INPUTS!$F$141&lt;&gt;"Yes",0,IF(OR(INPUTS!$J$141="Upfront",INPUTS!$J$141="Even",INPUTS!$J$141="Front-loaded",INPUTS!$J$141="Back-loaded",INPUTS!$J$141="S-curve"),IF(ISNUMBER(INPUTS!$K$141),IF(INPUTS!$J$141="Upfront",INPUTS!$K$141,INPUTS!$L$141)-INPUTS!$K$141+1,0),IF(INPUTS!$J$141="Follow Project Life",INPUTS!$C$29,IF(INPUTS!$J$141="At Project End",1,0)))),"OK","ERROR")))</f>
        <v>OK</v>
      </c>
    </row>
    <row r="163" customFormat="false" ht="15" hidden="false" customHeight="false" outlineLevel="0" collapsed="false">
      <c r="B163" s="110" t="str">
        <f aca="false">IF(INPUTS!$B$142="","Spare cost row",INPUTS!$B$142)</f>
        <v>Contingency @ %</v>
      </c>
      <c r="C163" s="111" t="str">
        <f aca="false">IF(INPUTS!$J$142="","",INPUTS!$J$142)</f>
        <v>Follow Construction</v>
      </c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</row>
    <row r="164" customFormat="false" ht="15" hidden="false" customHeight="false" outlineLevel="0" collapsed="false">
      <c r="B164" s="3" t="s">
        <v>649</v>
      </c>
      <c r="C164" s="107" t="n">
        <f aca="false">SUM(D164:AQ164)</f>
        <v>0</v>
      </c>
      <c r="D164" s="108" t="n">
        <f aca="false">IF(OR(INPUTS!$F$142&lt;&gt;"Yes",D$16=0),0,IF(OR(INPUTS!$J$142="Upfront",INPUTS!$J$142="Even",INPUTS!$J$142="Front-loaded",INPUTS!$J$142="Back-loaded",INPUTS!$J$142="S-curve"),IF(AND(ISNUMBER(INPUTS!$K$142),D$7&gt;=INPUTS!$K$142,D$7&lt;=IF(INPUTS!$J$142="Upfront",INPUTS!$K$142,INPUTS!$L$142)),1,0),IF(INPUTS!$J$142="Follow Project Life",D$17,IF(INPUTS!$J$142="At Project End",--(D$7=INPUTS!$C$29),0))))</f>
        <v>0</v>
      </c>
      <c r="E164" s="108" t="n">
        <f aca="false">IF(OR(INPUTS!$F$142&lt;&gt;"Yes",E$16=0),0,IF(OR(INPUTS!$J$142="Upfront",INPUTS!$J$142="Even",INPUTS!$J$142="Front-loaded",INPUTS!$J$142="Back-loaded",INPUTS!$J$142="S-curve"),IF(AND(ISNUMBER(INPUTS!$K$142),E$7&gt;=INPUTS!$K$142,E$7&lt;=IF(INPUTS!$J$142="Upfront",INPUTS!$K$142,INPUTS!$L$142)),1,0),IF(INPUTS!$J$142="Follow Project Life",E$17,IF(INPUTS!$J$142="At Project End",--(E$7=INPUTS!$C$29),0))))</f>
        <v>0</v>
      </c>
      <c r="F164" s="108" t="n">
        <f aca="false">IF(OR(INPUTS!$F$142&lt;&gt;"Yes",F$16=0),0,IF(OR(INPUTS!$J$142="Upfront",INPUTS!$J$142="Even",INPUTS!$J$142="Front-loaded",INPUTS!$J$142="Back-loaded",INPUTS!$J$142="S-curve"),IF(AND(ISNUMBER(INPUTS!$K$142),F$7&gt;=INPUTS!$K$142,F$7&lt;=IF(INPUTS!$J$142="Upfront",INPUTS!$K$142,INPUTS!$L$142)),1,0),IF(INPUTS!$J$142="Follow Project Life",F$17,IF(INPUTS!$J$142="At Project End",--(F$7=INPUTS!$C$29),0))))</f>
        <v>0</v>
      </c>
      <c r="G164" s="108" t="n">
        <f aca="false">IF(OR(INPUTS!$F$142&lt;&gt;"Yes",G$16=0),0,IF(OR(INPUTS!$J$142="Upfront",INPUTS!$J$142="Even",INPUTS!$J$142="Front-loaded",INPUTS!$J$142="Back-loaded",INPUTS!$J$142="S-curve"),IF(AND(ISNUMBER(INPUTS!$K$142),G$7&gt;=INPUTS!$K$142,G$7&lt;=IF(INPUTS!$J$142="Upfront",INPUTS!$K$142,INPUTS!$L$142)),1,0),IF(INPUTS!$J$142="Follow Project Life",G$17,IF(INPUTS!$J$142="At Project End",--(G$7=INPUTS!$C$29),0))))</f>
        <v>0</v>
      </c>
      <c r="H164" s="108" t="n">
        <f aca="false">IF(OR(INPUTS!$F$142&lt;&gt;"Yes",H$16=0),0,IF(OR(INPUTS!$J$142="Upfront",INPUTS!$J$142="Even",INPUTS!$J$142="Front-loaded",INPUTS!$J$142="Back-loaded",INPUTS!$J$142="S-curve"),IF(AND(ISNUMBER(INPUTS!$K$142),H$7&gt;=INPUTS!$K$142,H$7&lt;=IF(INPUTS!$J$142="Upfront",INPUTS!$K$142,INPUTS!$L$142)),1,0),IF(INPUTS!$J$142="Follow Project Life",H$17,IF(INPUTS!$J$142="At Project End",--(H$7=INPUTS!$C$29),0))))</f>
        <v>0</v>
      </c>
      <c r="I164" s="108" t="n">
        <f aca="false">IF(OR(INPUTS!$F$142&lt;&gt;"Yes",I$16=0),0,IF(OR(INPUTS!$J$142="Upfront",INPUTS!$J$142="Even",INPUTS!$J$142="Front-loaded",INPUTS!$J$142="Back-loaded",INPUTS!$J$142="S-curve"),IF(AND(ISNUMBER(INPUTS!$K$142),I$7&gt;=INPUTS!$K$142,I$7&lt;=IF(INPUTS!$J$142="Upfront",INPUTS!$K$142,INPUTS!$L$142)),1,0),IF(INPUTS!$J$142="Follow Project Life",I$17,IF(INPUTS!$J$142="At Project End",--(I$7=INPUTS!$C$29),0))))</f>
        <v>0</v>
      </c>
      <c r="J164" s="108" t="n">
        <f aca="false">IF(OR(INPUTS!$F$142&lt;&gt;"Yes",J$16=0),0,IF(OR(INPUTS!$J$142="Upfront",INPUTS!$J$142="Even",INPUTS!$J$142="Front-loaded",INPUTS!$J$142="Back-loaded",INPUTS!$J$142="S-curve"),IF(AND(ISNUMBER(INPUTS!$K$142),J$7&gt;=INPUTS!$K$142,J$7&lt;=IF(INPUTS!$J$142="Upfront",INPUTS!$K$142,INPUTS!$L$142)),1,0),IF(INPUTS!$J$142="Follow Project Life",J$17,IF(INPUTS!$J$142="At Project End",--(J$7=INPUTS!$C$29),0))))</f>
        <v>0</v>
      </c>
      <c r="K164" s="108" t="n">
        <f aca="false">IF(OR(INPUTS!$F$142&lt;&gt;"Yes",K$16=0),0,IF(OR(INPUTS!$J$142="Upfront",INPUTS!$J$142="Even",INPUTS!$J$142="Front-loaded",INPUTS!$J$142="Back-loaded",INPUTS!$J$142="S-curve"),IF(AND(ISNUMBER(INPUTS!$K$142),K$7&gt;=INPUTS!$K$142,K$7&lt;=IF(INPUTS!$J$142="Upfront",INPUTS!$K$142,INPUTS!$L$142)),1,0),IF(INPUTS!$J$142="Follow Project Life",K$17,IF(INPUTS!$J$142="At Project End",--(K$7=INPUTS!$C$29),0))))</f>
        <v>0</v>
      </c>
      <c r="L164" s="108" t="n">
        <f aca="false">IF(OR(INPUTS!$F$142&lt;&gt;"Yes",L$16=0),0,IF(OR(INPUTS!$J$142="Upfront",INPUTS!$J$142="Even",INPUTS!$J$142="Front-loaded",INPUTS!$J$142="Back-loaded",INPUTS!$J$142="S-curve"),IF(AND(ISNUMBER(INPUTS!$K$142),L$7&gt;=INPUTS!$K$142,L$7&lt;=IF(INPUTS!$J$142="Upfront",INPUTS!$K$142,INPUTS!$L$142)),1,0),IF(INPUTS!$J$142="Follow Project Life",L$17,IF(INPUTS!$J$142="At Project End",--(L$7=INPUTS!$C$29),0))))</f>
        <v>0</v>
      </c>
      <c r="M164" s="108" t="n">
        <f aca="false">IF(OR(INPUTS!$F$142&lt;&gt;"Yes",M$16=0),0,IF(OR(INPUTS!$J$142="Upfront",INPUTS!$J$142="Even",INPUTS!$J$142="Front-loaded",INPUTS!$J$142="Back-loaded",INPUTS!$J$142="S-curve"),IF(AND(ISNUMBER(INPUTS!$K$142),M$7&gt;=INPUTS!$K$142,M$7&lt;=IF(INPUTS!$J$142="Upfront",INPUTS!$K$142,INPUTS!$L$142)),1,0),IF(INPUTS!$J$142="Follow Project Life",M$17,IF(INPUTS!$J$142="At Project End",--(M$7=INPUTS!$C$29),0))))</f>
        <v>0</v>
      </c>
      <c r="N164" s="108" t="n">
        <f aca="false">IF(OR(INPUTS!$F$142&lt;&gt;"Yes",N$16=0),0,IF(OR(INPUTS!$J$142="Upfront",INPUTS!$J$142="Even",INPUTS!$J$142="Front-loaded",INPUTS!$J$142="Back-loaded",INPUTS!$J$142="S-curve"),IF(AND(ISNUMBER(INPUTS!$K$142),N$7&gt;=INPUTS!$K$142,N$7&lt;=IF(INPUTS!$J$142="Upfront",INPUTS!$K$142,INPUTS!$L$142)),1,0),IF(INPUTS!$J$142="Follow Project Life",N$17,IF(INPUTS!$J$142="At Project End",--(N$7=INPUTS!$C$29),0))))</f>
        <v>0</v>
      </c>
      <c r="O164" s="108" t="n">
        <f aca="false">IF(OR(INPUTS!$F$142&lt;&gt;"Yes",O$16=0),0,IF(OR(INPUTS!$J$142="Upfront",INPUTS!$J$142="Even",INPUTS!$J$142="Front-loaded",INPUTS!$J$142="Back-loaded",INPUTS!$J$142="S-curve"),IF(AND(ISNUMBER(INPUTS!$K$142),O$7&gt;=INPUTS!$K$142,O$7&lt;=IF(INPUTS!$J$142="Upfront",INPUTS!$K$142,INPUTS!$L$142)),1,0),IF(INPUTS!$J$142="Follow Project Life",O$17,IF(INPUTS!$J$142="At Project End",--(O$7=INPUTS!$C$29),0))))</f>
        <v>0</v>
      </c>
      <c r="P164" s="108" t="n">
        <f aca="false">IF(OR(INPUTS!$F$142&lt;&gt;"Yes",P$16=0),0,IF(OR(INPUTS!$J$142="Upfront",INPUTS!$J$142="Even",INPUTS!$J$142="Front-loaded",INPUTS!$J$142="Back-loaded",INPUTS!$J$142="S-curve"),IF(AND(ISNUMBER(INPUTS!$K$142),P$7&gt;=INPUTS!$K$142,P$7&lt;=IF(INPUTS!$J$142="Upfront",INPUTS!$K$142,INPUTS!$L$142)),1,0),IF(INPUTS!$J$142="Follow Project Life",P$17,IF(INPUTS!$J$142="At Project End",--(P$7=INPUTS!$C$29),0))))</f>
        <v>0</v>
      </c>
      <c r="Q164" s="108" t="n">
        <f aca="false">IF(OR(INPUTS!$F$142&lt;&gt;"Yes",Q$16=0),0,IF(OR(INPUTS!$J$142="Upfront",INPUTS!$J$142="Even",INPUTS!$J$142="Front-loaded",INPUTS!$J$142="Back-loaded",INPUTS!$J$142="S-curve"),IF(AND(ISNUMBER(INPUTS!$K$142),Q$7&gt;=INPUTS!$K$142,Q$7&lt;=IF(INPUTS!$J$142="Upfront",INPUTS!$K$142,INPUTS!$L$142)),1,0),IF(INPUTS!$J$142="Follow Project Life",Q$17,IF(INPUTS!$J$142="At Project End",--(Q$7=INPUTS!$C$29),0))))</f>
        <v>0</v>
      </c>
      <c r="R164" s="108" t="n">
        <f aca="false">IF(OR(INPUTS!$F$142&lt;&gt;"Yes",R$16=0),0,IF(OR(INPUTS!$J$142="Upfront",INPUTS!$J$142="Even",INPUTS!$J$142="Front-loaded",INPUTS!$J$142="Back-loaded",INPUTS!$J$142="S-curve"),IF(AND(ISNUMBER(INPUTS!$K$142),R$7&gt;=INPUTS!$K$142,R$7&lt;=IF(INPUTS!$J$142="Upfront",INPUTS!$K$142,INPUTS!$L$142)),1,0),IF(INPUTS!$J$142="Follow Project Life",R$17,IF(INPUTS!$J$142="At Project End",--(R$7=INPUTS!$C$29),0))))</f>
        <v>0</v>
      </c>
      <c r="S164" s="108" t="n">
        <f aca="false">IF(OR(INPUTS!$F$142&lt;&gt;"Yes",S$16=0),0,IF(OR(INPUTS!$J$142="Upfront",INPUTS!$J$142="Even",INPUTS!$J$142="Front-loaded",INPUTS!$J$142="Back-loaded",INPUTS!$J$142="S-curve"),IF(AND(ISNUMBER(INPUTS!$K$142),S$7&gt;=INPUTS!$K$142,S$7&lt;=IF(INPUTS!$J$142="Upfront",INPUTS!$K$142,INPUTS!$L$142)),1,0),IF(INPUTS!$J$142="Follow Project Life",S$17,IF(INPUTS!$J$142="At Project End",--(S$7=INPUTS!$C$29),0))))</f>
        <v>0</v>
      </c>
      <c r="T164" s="108" t="n">
        <f aca="false">IF(OR(INPUTS!$F$142&lt;&gt;"Yes",T$16=0),0,IF(OR(INPUTS!$J$142="Upfront",INPUTS!$J$142="Even",INPUTS!$J$142="Front-loaded",INPUTS!$J$142="Back-loaded",INPUTS!$J$142="S-curve"),IF(AND(ISNUMBER(INPUTS!$K$142),T$7&gt;=INPUTS!$K$142,T$7&lt;=IF(INPUTS!$J$142="Upfront",INPUTS!$K$142,INPUTS!$L$142)),1,0),IF(INPUTS!$J$142="Follow Project Life",T$17,IF(INPUTS!$J$142="At Project End",--(T$7=INPUTS!$C$29),0))))</f>
        <v>0</v>
      </c>
      <c r="U164" s="108" t="n">
        <f aca="false">IF(OR(INPUTS!$F$142&lt;&gt;"Yes",U$16=0),0,IF(OR(INPUTS!$J$142="Upfront",INPUTS!$J$142="Even",INPUTS!$J$142="Front-loaded",INPUTS!$J$142="Back-loaded",INPUTS!$J$142="S-curve"),IF(AND(ISNUMBER(INPUTS!$K$142),U$7&gt;=INPUTS!$K$142,U$7&lt;=IF(INPUTS!$J$142="Upfront",INPUTS!$K$142,INPUTS!$L$142)),1,0),IF(INPUTS!$J$142="Follow Project Life",U$17,IF(INPUTS!$J$142="At Project End",--(U$7=INPUTS!$C$29),0))))</f>
        <v>0</v>
      </c>
      <c r="V164" s="108" t="n">
        <f aca="false">IF(OR(INPUTS!$F$142&lt;&gt;"Yes",V$16=0),0,IF(OR(INPUTS!$J$142="Upfront",INPUTS!$J$142="Even",INPUTS!$J$142="Front-loaded",INPUTS!$J$142="Back-loaded",INPUTS!$J$142="S-curve"),IF(AND(ISNUMBER(INPUTS!$K$142),V$7&gt;=INPUTS!$K$142,V$7&lt;=IF(INPUTS!$J$142="Upfront",INPUTS!$K$142,INPUTS!$L$142)),1,0),IF(INPUTS!$J$142="Follow Project Life",V$17,IF(INPUTS!$J$142="At Project End",--(V$7=INPUTS!$C$29),0))))</f>
        <v>0</v>
      </c>
      <c r="W164" s="108" t="n">
        <f aca="false">IF(OR(INPUTS!$F$142&lt;&gt;"Yes",W$16=0),0,IF(OR(INPUTS!$J$142="Upfront",INPUTS!$J$142="Even",INPUTS!$J$142="Front-loaded",INPUTS!$J$142="Back-loaded",INPUTS!$J$142="S-curve"),IF(AND(ISNUMBER(INPUTS!$K$142),W$7&gt;=INPUTS!$K$142,W$7&lt;=IF(INPUTS!$J$142="Upfront",INPUTS!$K$142,INPUTS!$L$142)),1,0),IF(INPUTS!$J$142="Follow Project Life",W$17,IF(INPUTS!$J$142="At Project End",--(W$7=INPUTS!$C$29),0))))</f>
        <v>0</v>
      </c>
      <c r="X164" s="108" t="n">
        <f aca="false">IF(OR(INPUTS!$F$142&lt;&gt;"Yes",X$16=0),0,IF(OR(INPUTS!$J$142="Upfront",INPUTS!$J$142="Even",INPUTS!$J$142="Front-loaded",INPUTS!$J$142="Back-loaded",INPUTS!$J$142="S-curve"),IF(AND(ISNUMBER(INPUTS!$K$142),X$7&gt;=INPUTS!$K$142,X$7&lt;=IF(INPUTS!$J$142="Upfront",INPUTS!$K$142,INPUTS!$L$142)),1,0),IF(INPUTS!$J$142="Follow Project Life",X$17,IF(INPUTS!$J$142="At Project End",--(X$7=INPUTS!$C$29),0))))</f>
        <v>0</v>
      </c>
      <c r="Y164" s="108" t="n">
        <f aca="false">IF(OR(INPUTS!$F$142&lt;&gt;"Yes",Y$16=0),0,IF(OR(INPUTS!$J$142="Upfront",INPUTS!$J$142="Even",INPUTS!$J$142="Front-loaded",INPUTS!$J$142="Back-loaded",INPUTS!$J$142="S-curve"),IF(AND(ISNUMBER(INPUTS!$K$142),Y$7&gt;=INPUTS!$K$142,Y$7&lt;=IF(INPUTS!$J$142="Upfront",INPUTS!$K$142,INPUTS!$L$142)),1,0),IF(INPUTS!$J$142="Follow Project Life",Y$17,IF(INPUTS!$J$142="At Project End",--(Y$7=INPUTS!$C$29),0))))</f>
        <v>0</v>
      </c>
      <c r="Z164" s="108" t="n">
        <f aca="false">IF(OR(INPUTS!$F$142&lt;&gt;"Yes",Z$16=0),0,IF(OR(INPUTS!$J$142="Upfront",INPUTS!$J$142="Even",INPUTS!$J$142="Front-loaded",INPUTS!$J$142="Back-loaded",INPUTS!$J$142="S-curve"),IF(AND(ISNUMBER(INPUTS!$K$142),Z$7&gt;=INPUTS!$K$142,Z$7&lt;=IF(INPUTS!$J$142="Upfront",INPUTS!$K$142,INPUTS!$L$142)),1,0),IF(INPUTS!$J$142="Follow Project Life",Z$17,IF(INPUTS!$J$142="At Project End",--(Z$7=INPUTS!$C$29),0))))</f>
        <v>0</v>
      </c>
      <c r="AA164" s="108" t="n">
        <f aca="false">IF(OR(INPUTS!$F$142&lt;&gt;"Yes",AA$16=0),0,IF(OR(INPUTS!$J$142="Upfront",INPUTS!$J$142="Even",INPUTS!$J$142="Front-loaded",INPUTS!$J$142="Back-loaded",INPUTS!$J$142="S-curve"),IF(AND(ISNUMBER(INPUTS!$K$142),AA$7&gt;=INPUTS!$K$142,AA$7&lt;=IF(INPUTS!$J$142="Upfront",INPUTS!$K$142,INPUTS!$L$142)),1,0),IF(INPUTS!$J$142="Follow Project Life",AA$17,IF(INPUTS!$J$142="At Project End",--(AA$7=INPUTS!$C$29),0))))</f>
        <v>0</v>
      </c>
      <c r="AB164" s="108" t="n">
        <f aca="false">IF(OR(INPUTS!$F$142&lt;&gt;"Yes",AB$16=0),0,IF(OR(INPUTS!$J$142="Upfront",INPUTS!$J$142="Even",INPUTS!$J$142="Front-loaded",INPUTS!$J$142="Back-loaded",INPUTS!$J$142="S-curve"),IF(AND(ISNUMBER(INPUTS!$K$142),AB$7&gt;=INPUTS!$K$142,AB$7&lt;=IF(INPUTS!$J$142="Upfront",INPUTS!$K$142,INPUTS!$L$142)),1,0),IF(INPUTS!$J$142="Follow Project Life",AB$17,IF(INPUTS!$J$142="At Project End",--(AB$7=INPUTS!$C$29),0))))</f>
        <v>0</v>
      </c>
      <c r="AC164" s="108" t="n">
        <f aca="false">IF(OR(INPUTS!$F$142&lt;&gt;"Yes",AC$16=0),0,IF(OR(INPUTS!$J$142="Upfront",INPUTS!$J$142="Even",INPUTS!$J$142="Front-loaded",INPUTS!$J$142="Back-loaded",INPUTS!$J$142="S-curve"),IF(AND(ISNUMBER(INPUTS!$K$142),AC$7&gt;=INPUTS!$K$142,AC$7&lt;=IF(INPUTS!$J$142="Upfront",INPUTS!$K$142,INPUTS!$L$142)),1,0),IF(INPUTS!$J$142="Follow Project Life",AC$17,IF(INPUTS!$J$142="At Project End",--(AC$7=INPUTS!$C$29),0))))</f>
        <v>0</v>
      </c>
      <c r="AD164" s="108" t="n">
        <f aca="false">IF(OR(INPUTS!$F$142&lt;&gt;"Yes",AD$16=0),0,IF(OR(INPUTS!$J$142="Upfront",INPUTS!$J$142="Even",INPUTS!$J$142="Front-loaded",INPUTS!$J$142="Back-loaded",INPUTS!$J$142="S-curve"),IF(AND(ISNUMBER(INPUTS!$K$142),AD$7&gt;=INPUTS!$K$142,AD$7&lt;=IF(INPUTS!$J$142="Upfront",INPUTS!$K$142,INPUTS!$L$142)),1,0),IF(INPUTS!$J$142="Follow Project Life",AD$17,IF(INPUTS!$J$142="At Project End",--(AD$7=INPUTS!$C$29),0))))</f>
        <v>0</v>
      </c>
      <c r="AE164" s="108" t="n">
        <f aca="false">IF(OR(INPUTS!$F$142&lt;&gt;"Yes",AE$16=0),0,IF(OR(INPUTS!$J$142="Upfront",INPUTS!$J$142="Even",INPUTS!$J$142="Front-loaded",INPUTS!$J$142="Back-loaded",INPUTS!$J$142="S-curve"),IF(AND(ISNUMBER(INPUTS!$K$142),AE$7&gt;=INPUTS!$K$142,AE$7&lt;=IF(INPUTS!$J$142="Upfront",INPUTS!$K$142,INPUTS!$L$142)),1,0),IF(INPUTS!$J$142="Follow Project Life",AE$17,IF(INPUTS!$J$142="At Project End",--(AE$7=INPUTS!$C$29),0))))</f>
        <v>0</v>
      </c>
      <c r="AF164" s="108" t="n">
        <f aca="false">IF(OR(INPUTS!$F$142&lt;&gt;"Yes",AF$16=0),0,IF(OR(INPUTS!$J$142="Upfront",INPUTS!$J$142="Even",INPUTS!$J$142="Front-loaded",INPUTS!$J$142="Back-loaded",INPUTS!$J$142="S-curve"),IF(AND(ISNUMBER(INPUTS!$K$142),AF$7&gt;=INPUTS!$K$142,AF$7&lt;=IF(INPUTS!$J$142="Upfront",INPUTS!$K$142,INPUTS!$L$142)),1,0),IF(INPUTS!$J$142="Follow Project Life",AF$17,IF(INPUTS!$J$142="At Project End",--(AF$7=INPUTS!$C$29),0))))</f>
        <v>0</v>
      </c>
      <c r="AG164" s="108" t="n">
        <f aca="false">IF(OR(INPUTS!$F$142&lt;&gt;"Yes",AG$16=0),0,IF(OR(INPUTS!$J$142="Upfront",INPUTS!$J$142="Even",INPUTS!$J$142="Front-loaded",INPUTS!$J$142="Back-loaded",INPUTS!$J$142="S-curve"),IF(AND(ISNUMBER(INPUTS!$K$142),AG$7&gt;=INPUTS!$K$142,AG$7&lt;=IF(INPUTS!$J$142="Upfront",INPUTS!$K$142,INPUTS!$L$142)),1,0),IF(INPUTS!$J$142="Follow Project Life",AG$17,IF(INPUTS!$J$142="At Project End",--(AG$7=INPUTS!$C$29),0))))</f>
        <v>0</v>
      </c>
      <c r="AH164" s="108" t="n">
        <f aca="false">IF(OR(INPUTS!$F$142&lt;&gt;"Yes",AH$16=0),0,IF(OR(INPUTS!$J$142="Upfront",INPUTS!$J$142="Even",INPUTS!$J$142="Front-loaded",INPUTS!$J$142="Back-loaded",INPUTS!$J$142="S-curve"),IF(AND(ISNUMBER(INPUTS!$K$142),AH$7&gt;=INPUTS!$K$142,AH$7&lt;=IF(INPUTS!$J$142="Upfront",INPUTS!$K$142,INPUTS!$L$142)),1,0),IF(INPUTS!$J$142="Follow Project Life",AH$17,IF(INPUTS!$J$142="At Project End",--(AH$7=INPUTS!$C$29),0))))</f>
        <v>0</v>
      </c>
      <c r="AI164" s="108" t="n">
        <f aca="false">IF(OR(INPUTS!$F$142&lt;&gt;"Yes",AI$16=0),0,IF(OR(INPUTS!$J$142="Upfront",INPUTS!$J$142="Even",INPUTS!$J$142="Front-loaded",INPUTS!$J$142="Back-loaded",INPUTS!$J$142="S-curve"),IF(AND(ISNUMBER(INPUTS!$K$142),AI$7&gt;=INPUTS!$K$142,AI$7&lt;=IF(INPUTS!$J$142="Upfront",INPUTS!$K$142,INPUTS!$L$142)),1,0),IF(INPUTS!$J$142="Follow Project Life",AI$17,IF(INPUTS!$J$142="At Project End",--(AI$7=INPUTS!$C$29),0))))</f>
        <v>0</v>
      </c>
      <c r="AJ164" s="108" t="n">
        <f aca="false">IF(OR(INPUTS!$F$142&lt;&gt;"Yes",AJ$16=0),0,IF(OR(INPUTS!$J$142="Upfront",INPUTS!$J$142="Even",INPUTS!$J$142="Front-loaded",INPUTS!$J$142="Back-loaded",INPUTS!$J$142="S-curve"),IF(AND(ISNUMBER(INPUTS!$K$142),AJ$7&gt;=INPUTS!$K$142,AJ$7&lt;=IF(INPUTS!$J$142="Upfront",INPUTS!$K$142,INPUTS!$L$142)),1,0),IF(INPUTS!$J$142="Follow Project Life",AJ$17,IF(INPUTS!$J$142="At Project End",--(AJ$7=INPUTS!$C$29),0))))</f>
        <v>0</v>
      </c>
      <c r="AK164" s="108" t="n">
        <f aca="false">IF(OR(INPUTS!$F$142&lt;&gt;"Yes",AK$16=0),0,IF(OR(INPUTS!$J$142="Upfront",INPUTS!$J$142="Even",INPUTS!$J$142="Front-loaded",INPUTS!$J$142="Back-loaded",INPUTS!$J$142="S-curve"),IF(AND(ISNUMBER(INPUTS!$K$142),AK$7&gt;=INPUTS!$K$142,AK$7&lt;=IF(INPUTS!$J$142="Upfront",INPUTS!$K$142,INPUTS!$L$142)),1,0),IF(INPUTS!$J$142="Follow Project Life",AK$17,IF(INPUTS!$J$142="At Project End",--(AK$7=INPUTS!$C$29),0))))</f>
        <v>0</v>
      </c>
      <c r="AL164" s="108" t="n">
        <f aca="false">IF(OR(INPUTS!$F$142&lt;&gt;"Yes",AL$16=0),0,IF(OR(INPUTS!$J$142="Upfront",INPUTS!$J$142="Even",INPUTS!$J$142="Front-loaded",INPUTS!$J$142="Back-loaded",INPUTS!$J$142="S-curve"),IF(AND(ISNUMBER(INPUTS!$K$142),AL$7&gt;=INPUTS!$K$142,AL$7&lt;=IF(INPUTS!$J$142="Upfront",INPUTS!$K$142,INPUTS!$L$142)),1,0),IF(INPUTS!$J$142="Follow Project Life",AL$17,IF(INPUTS!$J$142="At Project End",--(AL$7=INPUTS!$C$29),0))))</f>
        <v>0</v>
      </c>
      <c r="AM164" s="108" t="n">
        <f aca="false">IF(OR(INPUTS!$F$142&lt;&gt;"Yes",AM$16=0),0,IF(OR(INPUTS!$J$142="Upfront",INPUTS!$J$142="Even",INPUTS!$J$142="Front-loaded",INPUTS!$J$142="Back-loaded",INPUTS!$J$142="S-curve"),IF(AND(ISNUMBER(INPUTS!$K$142),AM$7&gt;=INPUTS!$K$142,AM$7&lt;=IF(INPUTS!$J$142="Upfront",INPUTS!$K$142,INPUTS!$L$142)),1,0),IF(INPUTS!$J$142="Follow Project Life",AM$17,IF(INPUTS!$J$142="At Project End",--(AM$7=INPUTS!$C$29),0))))</f>
        <v>0</v>
      </c>
      <c r="AN164" s="108" t="n">
        <f aca="false">IF(OR(INPUTS!$F$142&lt;&gt;"Yes",AN$16=0),0,IF(OR(INPUTS!$J$142="Upfront",INPUTS!$J$142="Even",INPUTS!$J$142="Front-loaded",INPUTS!$J$142="Back-loaded",INPUTS!$J$142="S-curve"),IF(AND(ISNUMBER(INPUTS!$K$142),AN$7&gt;=INPUTS!$K$142,AN$7&lt;=IF(INPUTS!$J$142="Upfront",INPUTS!$K$142,INPUTS!$L$142)),1,0),IF(INPUTS!$J$142="Follow Project Life",AN$17,IF(INPUTS!$J$142="At Project End",--(AN$7=INPUTS!$C$29),0))))</f>
        <v>0</v>
      </c>
      <c r="AO164" s="108" t="n">
        <f aca="false">IF(OR(INPUTS!$F$142&lt;&gt;"Yes",AO$16=0),0,IF(OR(INPUTS!$J$142="Upfront",INPUTS!$J$142="Even",INPUTS!$J$142="Front-loaded",INPUTS!$J$142="Back-loaded",INPUTS!$J$142="S-curve"),IF(AND(ISNUMBER(INPUTS!$K$142),AO$7&gt;=INPUTS!$K$142,AO$7&lt;=IF(INPUTS!$J$142="Upfront",INPUTS!$K$142,INPUTS!$L$142)),1,0),IF(INPUTS!$J$142="Follow Project Life",AO$17,IF(INPUTS!$J$142="At Project End",--(AO$7=INPUTS!$C$29),0))))</f>
        <v>0</v>
      </c>
      <c r="AP164" s="108" t="n">
        <f aca="false">IF(OR(INPUTS!$F$142&lt;&gt;"Yes",AP$16=0),0,IF(OR(INPUTS!$J$142="Upfront",INPUTS!$J$142="Even",INPUTS!$J$142="Front-loaded",INPUTS!$J$142="Back-loaded",INPUTS!$J$142="S-curve"),IF(AND(ISNUMBER(INPUTS!$K$142),AP$7&gt;=INPUTS!$K$142,AP$7&lt;=IF(INPUTS!$J$142="Upfront",INPUTS!$K$142,INPUTS!$L$142)),1,0),IF(INPUTS!$J$142="Follow Project Life",AP$17,IF(INPUTS!$J$142="At Project End",--(AP$7=INPUTS!$C$29),0))))</f>
        <v>0</v>
      </c>
      <c r="AQ164" s="108" t="n">
        <f aca="false">IF(OR(INPUTS!$F$142&lt;&gt;"Yes",AQ$16=0),0,IF(OR(INPUTS!$J$142="Upfront",INPUTS!$J$142="Even",INPUTS!$J$142="Front-loaded",INPUTS!$J$142="Back-loaded",INPUTS!$J$142="S-curve"),IF(AND(ISNUMBER(INPUTS!$K$142),AQ$7&gt;=INPUTS!$K$142,AQ$7&lt;=IF(INPUTS!$J$142="Upfront",INPUTS!$K$142,INPUTS!$L$142)),1,0),IF(INPUTS!$J$142="Follow Project Life",AQ$17,IF(INPUTS!$J$142="At Project End",--(AQ$7=INPUTS!$C$29),0))))</f>
        <v>0</v>
      </c>
    </row>
    <row r="165" customFormat="false" ht="15" hidden="false" customHeight="false" outlineLevel="0" collapsed="false">
      <c r="B165" s="3" t="s">
        <v>650</v>
      </c>
      <c r="C165" s="107" t="n">
        <f aca="false">MAX(D165:AQ165)</f>
        <v>0</v>
      </c>
      <c r="D165" s="108" t="n">
        <f aca="false">IF(D164=1,COUNTIF($D164:D164,1),0)</f>
        <v>0</v>
      </c>
      <c r="E165" s="108" t="n">
        <f aca="false">IF(E164=1,COUNTIF($D164:E164,1),0)</f>
        <v>0</v>
      </c>
      <c r="F165" s="108" t="n">
        <f aca="false">IF(F164=1,COUNTIF($D164:F164,1),0)</f>
        <v>0</v>
      </c>
      <c r="G165" s="108" t="n">
        <f aca="false">IF(G164=1,COUNTIF($D164:G164,1),0)</f>
        <v>0</v>
      </c>
      <c r="H165" s="108" t="n">
        <f aca="false">IF(H164=1,COUNTIF($D164:H164,1),0)</f>
        <v>0</v>
      </c>
      <c r="I165" s="108" t="n">
        <f aca="false">IF(I164=1,COUNTIF($D164:I164,1),0)</f>
        <v>0</v>
      </c>
      <c r="J165" s="108" t="n">
        <f aca="false">IF(J164=1,COUNTIF($D164:J164,1),0)</f>
        <v>0</v>
      </c>
      <c r="K165" s="108" t="n">
        <f aca="false">IF(K164=1,COUNTIF($D164:K164,1),0)</f>
        <v>0</v>
      </c>
      <c r="L165" s="108" t="n">
        <f aca="false">IF(L164=1,COUNTIF($D164:L164,1),0)</f>
        <v>0</v>
      </c>
      <c r="M165" s="108" t="n">
        <f aca="false">IF(M164=1,COUNTIF($D164:M164,1),0)</f>
        <v>0</v>
      </c>
      <c r="N165" s="108" t="n">
        <f aca="false">IF(N164=1,COUNTIF($D164:N164,1),0)</f>
        <v>0</v>
      </c>
      <c r="O165" s="108" t="n">
        <f aca="false">IF(O164=1,COUNTIF($D164:O164,1),0)</f>
        <v>0</v>
      </c>
      <c r="P165" s="108" t="n">
        <f aca="false">IF(P164=1,COUNTIF($D164:P164,1),0)</f>
        <v>0</v>
      </c>
      <c r="Q165" s="108" t="n">
        <f aca="false">IF(Q164=1,COUNTIF($D164:Q164,1),0)</f>
        <v>0</v>
      </c>
      <c r="R165" s="108" t="n">
        <f aca="false">IF(R164=1,COUNTIF($D164:R164,1),0)</f>
        <v>0</v>
      </c>
      <c r="S165" s="108" t="n">
        <f aca="false">IF(S164=1,COUNTIF($D164:S164,1),0)</f>
        <v>0</v>
      </c>
      <c r="T165" s="108" t="n">
        <f aca="false">IF(T164=1,COUNTIF($D164:T164,1),0)</f>
        <v>0</v>
      </c>
      <c r="U165" s="108" t="n">
        <f aca="false">IF(U164=1,COUNTIF($D164:U164,1),0)</f>
        <v>0</v>
      </c>
      <c r="V165" s="108" t="n">
        <f aca="false">IF(V164=1,COUNTIF($D164:V164,1),0)</f>
        <v>0</v>
      </c>
      <c r="W165" s="108" t="n">
        <f aca="false">IF(W164=1,COUNTIF($D164:W164,1),0)</f>
        <v>0</v>
      </c>
      <c r="X165" s="108" t="n">
        <f aca="false">IF(X164=1,COUNTIF($D164:X164,1),0)</f>
        <v>0</v>
      </c>
      <c r="Y165" s="108" t="n">
        <f aca="false">IF(Y164=1,COUNTIF($D164:Y164,1),0)</f>
        <v>0</v>
      </c>
      <c r="Z165" s="108" t="n">
        <f aca="false">IF(Z164=1,COUNTIF($D164:Z164,1),0)</f>
        <v>0</v>
      </c>
      <c r="AA165" s="108" t="n">
        <f aca="false">IF(AA164=1,COUNTIF($D164:AA164,1),0)</f>
        <v>0</v>
      </c>
      <c r="AB165" s="108" t="n">
        <f aca="false">IF(AB164=1,COUNTIF($D164:AB164,1),0)</f>
        <v>0</v>
      </c>
      <c r="AC165" s="108" t="n">
        <f aca="false">IF(AC164=1,COUNTIF($D164:AC164,1),0)</f>
        <v>0</v>
      </c>
      <c r="AD165" s="108" t="n">
        <f aca="false">IF(AD164=1,COUNTIF($D164:AD164,1),0)</f>
        <v>0</v>
      </c>
      <c r="AE165" s="108" t="n">
        <f aca="false">IF(AE164=1,COUNTIF($D164:AE164,1),0)</f>
        <v>0</v>
      </c>
      <c r="AF165" s="108" t="n">
        <f aca="false">IF(AF164=1,COUNTIF($D164:AF164,1),0)</f>
        <v>0</v>
      </c>
      <c r="AG165" s="108" t="n">
        <f aca="false">IF(AG164=1,COUNTIF($D164:AG164,1),0)</f>
        <v>0</v>
      </c>
      <c r="AH165" s="108" t="n">
        <f aca="false">IF(AH164=1,COUNTIF($D164:AH164,1),0)</f>
        <v>0</v>
      </c>
      <c r="AI165" s="108" t="n">
        <f aca="false">IF(AI164=1,COUNTIF($D164:AI164,1),0)</f>
        <v>0</v>
      </c>
      <c r="AJ165" s="108" t="n">
        <f aca="false">IF(AJ164=1,COUNTIF($D164:AJ164,1),0)</f>
        <v>0</v>
      </c>
      <c r="AK165" s="108" t="n">
        <f aca="false">IF(AK164=1,COUNTIF($D164:AK164,1),0)</f>
        <v>0</v>
      </c>
      <c r="AL165" s="108" t="n">
        <f aca="false">IF(AL164=1,COUNTIF($D164:AL164,1),0)</f>
        <v>0</v>
      </c>
      <c r="AM165" s="108" t="n">
        <f aca="false">IF(AM164=1,COUNTIF($D164:AM164,1),0)</f>
        <v>0</v>
      </c>
      <c r="AN165" s="108" t="n">
        <f aca="false">IF(AN164=1,COUNTIF($D164:AN164,1),0)</f>
        <v>0</v>
      </c>
      <c r="AO165" s="108" t="n">
        <f aca="false">IF(AO164=1,COUNTIF($D164:AO164,1),0)</f>
        <v>0</v>
      </c>
      <c r="AP165" s="108" t="n">
        <f aca="false">IF(AP164=1,COUNTIF($D164:AP164,1),0)</f>
        <v>0</v>
      </c>
      <c r="AQ165" s="108" t="n">
        <f aca="false">IF(AQ164=1,COUNTIF($D164:AQ164,1),0)</f>
        <v>0</v>
      </c>
    </row>
    <row r="166" customFormat="false" ht="15" hidden="false" customHeight="false" outlineLevel="0" collapsed="false">
      <c r="B166" s="17" t="s">
        <v>651</v>
      </c>
      <c r="C166" s="105" t="str">
        <f aca="false">IF(INPUTS!$M$142="","",IF(INPUTS!$M$142&lt;&gt;"OK","ERROR",IF(C164=IF(INPUTS!$F$142&lt;&gt;"Yes",0,IF(OR(INPUTS!$J$142="Upfront",INPUTS!$J$142="Even",INPUTS!$J$142="Front-loaded",INPUTS!$J$142="Back-loaded",INPUTS!$J$142="S-curve"),IF(ISNUMBER(INPUTS!$K$142),IF(INPUTS!$J$142="Upfront",INPUTS!$K$142,INPUTS!$L$142)-INPUTS!$K$142+1,0),IF(INPUTS!$J$142="Follow Project Life",INPUTS!$C$29,IF(INPUTS!$J$142="At Project End",1,0)))),"OK","ERROR")))</f>
        <v>OK</v>
      </c>
    </row>
    <row r="167" customFormat="false" ht="15" hidden="false" customHeight="false" outlineLevel="0" collapsed="false">
      <c r="B167" s="110" t="str">
        <f aca="false">IF(INPUTS!$B$143="","Spare cost row",INPUTS!$B$143)</f>
        <v>External Development &amp; Landscaping</v>
      </c>
      <c r="C167" s="111" t="str">
        <f aca="false">IF(INPUTS!$J$143="","",INPUTS!$J$143)</f>
        <v>Follow Construction</v>
      </c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</row>
    <row r="168" customFormat="false" ht="15" hidden="false" customHeight="false" outlineLevel="0" collapsed="false">
      <c r="B168" s="3" t="s">
        <v>649</v>
      </c>
      <c r="C168" s="107" t="n">
        <f aca="false">SUM(D168:AQ168)</f>
        <v>0</v>
      </c>
      <c r="D168" s="108" t="n">
        <f aca="false">IF(OR(INPUTS!$F$143&lt;&gt;"Yes",D$16=0),0,IF(OR(INPUTS!$J$143="Upfront",INPUTS!$J$143="Even",INPUTS!$J$143="Front-loaded",INPUTS!$J$143="Back-loaded",INPUTS!$J$143="S-curve"),IF(AND(ISNUMBER(INPUTS!$K$143),D$7&gt;=INPUTS!$K$143,D$7&lt;=IF(INPUTS!$J$143="Upfront",INPUTS!$K$143,INPUTS!$L$143)),1,0),IF(INPUTS!$J$143="Follow Project Life",D$17,IF(INPUTS!$J$143="At Project End",--(D$7=INPUTS!$C$29),0))))</f>
        <v>0</v>
      </c>
      <c r="E168" s="108" t="n">
        <f aca="false">IF(OR(INPUTS!$F$143&lt;&gt;"Yes",E$16=0),0,IF(OR(INPUTS!$J$143="Upfront",INPUTS!$J$143="Even",INPUTS!$J$143="Front-loaded",INPUTS!$J$143="Back-loaded",INPUTS!$J$143="S-curve"),IF(AND(ISNUMBER(INPUTS!$K$143),E$7&gt;=INPUTS!$K$143,E$7&lt;=IF(INPUTS!$J$143="Upfront",INPUTS!$K$143,INPUTS!$L$143)),1,0),IF(INPUTS!$J$143="Follow Project Life",E$17,IF(INPUTS!$J$143="At Project End",--(E$7=INPUTS!$C$29),0))))</f>
        <v>0</v>
      </c>
      <c r="F168" s="108" t="n">
        <f aca="false">IF(OR(INPUTS!$F$143&lt;&gt;"Yes",F$16=0),0,IF(OR(INPUTS!$J$143="Upfront",INPUTS!$J$143="Even",INPUTS!$J$143="Front-loaded",INPUTS!$J$143="Back-loaded",INPUTS!$J$143="S-curve"),IF(AND(ISNUMBER(INPUTS!$K$143),F$7&gt;=INPUTS!$K$143,F$7&lt;=IF(INPUTS!$J$143="Upfront",INPUTS!$K$143,INPUTS!$L$143)),1,0),IF(INPUTS!$J$143="Follow Project Life",F$17,IF(INPUTS!$J$143="At Project End",--(F$7=INPUTS!$C$29),0))))</f>
        <v>0</v>
      </c>
      <c r="G168" s="108" t="n">
        <f aca="false">IF(OR(INPUTS!$F$143&lt;&gt;"Yes",G$16=0),0,IF(OR(INPUTS!$J$143="Upfront",INPUTS!$J$143="Even",INPUTS!$J$143="Front-loaded",INPUTS!$J$143="Back-loaded",INPUTS!$J$143="S-curve"),IF(AND(ISNUMBER(INPUTS!$K$143),G$7&gt;=INPUTS!$K$143,G$7&lt;=IF(INPUTS!$J$143="Upfront",INPUTS!$K$143,INPUTS!$L$143)),1,0),IF(INPUTS!$J$143="Follow Project Life",G$17,IF(INPUTS!$J$143="At Project End",--(G$7=INPUTS!$C$29),0))))</f>
        <v>0</v>
      </c>
      <c r="H168" s="108" t="n">
        <f aca="false">IF(OR(INPUTS!$F$143&lt;&gt;"Yes",H$16=0),0,IF(OR(INPUTS!$J$143="Upfront",INPUTS!$J$143="Even",INPUTS!$J$143="Front-loaded",INPUTS!$J$143="Back-loaded",INPUTS!$J$143="S-curve"),IF(AND(ISNUMBER(INPUTS!$K$143),H$7&gt;=INPUTS!$K$143,H$7&lt;=IF(INPUTS!$J$143="Upfront",INPUTS!$K$143,INPUTS!$L$143)),1,0),IF(INPUTS!$J$143="Follow Project Life",H$17,IF(INPUTS!$J$143="At Project End",--(H$7=INPUTS!$C$29),0))))</f>
        <v>0</v>
      </c>
      <c r="I168" s="108" t="n">
        <f aca="false">IF(OR(INPUTS!$F$143&lt;&gt;"Yes",I$16=0),0,IF(OR(INPUTS!$J$143="Upfront",INPUTS!$J$143="Even",INPUTS!$J$143="Front-loaded",INPUTS!$J$143="Back-loaded",INPUTS!$J$143="S-curve"),IF(AND(ISNUMBER(INPUTS!$K$143),I$7&gt;=INPUTS!$K$143,I$7&lt;=IF(INPUTS!$J$143="Upfront",INPUTS!$K$143,INPUTS!$L$143)),1,0),IF(INPUTS!$J$143="Follow Project Life",I$17,IF(INPUTS!$J$143="At Project End",--(I$7=INPUTS!$C$29),0))))</f>
        <v>0</v>
      </c>
      <c r="J168" s="108" t="n">
        <f aca="false">IF(OR(INPUTS!$F$143&lt;&gt;"Yes",J$16=0),0,IF(OR(INPUTS!$J$143="Upfront",INPUTS!$J$143="Even",INPUTS!$J$143="Front-loaded",INPUTS!$J$143="Back-loaded",INPUTS!$J$143="S-curve"),IF(AND(ISNUMBER(INPUTS!$K$143),J$7&gt;=INPUTS!$K$143,J$7&lt;=IF(INPUTS!$J$143="Upfront",INPUTS!$K$143,INPUTS!$L$143)),1,0),IF(INPUTS!$J$143="Follow Project Life",J$17,IF(INPUTS!$J$143="At Project End",--(J$7=INPUTS!$C$29),0))))</f>
        <v>0</v>
      </c>
      <c r="K168" s="108" t="n">
        <f aca="false">IF(OR(INPUTS!$F$143&lt;&gt;"Yes",K$16=0),0,IF(OR(INPUTS!$J$143="Upfront",INPUTS!$J$143="Even",INPUTS!$J$143="Front-loaded",INPUTS!$J$143="Back-loaded",INPUTS!$J$143="S-curve"),IF(AND(ISNUMBER(INPUTS!$K$143),K$7&gt;=INPUTS!$K$143,K$7&lt;=IF(INPUTS!$J$143="Upfront",INPUTS!$K$143,INPUTS!$L$143)),1,0),IF(INPUTS!$J$143="Follow Project Life",K$17,IF(INPUTS!$J$143="At Project End",--(K$7=INPUTS!$C$29),0))))</f>
        <v>0</v>
      </c>
      <c r="L168" s="108" t="n">
        <f aca="false">IF(OR(INPUTS!$F$143&lt;&gt;"Yes",L$16=0),0,IF(OR(INPUTS!$J$143="Upfront",INPUTS!$J$143="Even",INPUTS!$J$143="Front-loaded",INPUTS!$J$143="Back-loaded",INPUTS!$J$143="S-curve"),IF(AND(ISNUMBER(INPUTS!$K$143),L$7&gt;=INPUTS!$K$143,L$7&lt;=IF(INPUTS!$J$143="Upfront",INPUTS!$K$143,INPUTS!$L$143)),1,0),IF(INPUTS!$J$143="Follow Project Life",L$17,IF(INPUTS!$J$143="At Project End",--(L$7=INPUTS!$C$29),0))))</f>
        <v>0</v>
      </c>
      <c r="M168" s="108" t="n">
        <f aca="false">IF(OR(INPUTS!$F$143&lt;&gt;"Yes",M$16=0),0,IF(OR(INPUTS!$J$143="Upfront",INPUTS!$J$143="Even",INPUTS!$J$143="Front-loaded",INPUTS!$J$143="Back-loaded",INPUTS!$J$143="S-curve"),IF(AND(ISNUMBER(INPUTS!$K$143),M$7&gt;=INPUTS!$K$143,M$7&lt;=IF(INPUTS!$J$143="Upfront",INPUTS!$K$143,INPUTS!$L$143)),1,0),IF(INPUTS!$J$143="Follow Project Life",M$17,IF(INPUTS!$J$143="At Project End",--(M$7=INPUTS!$C$29),0))))</f>
        <v>0</v>
      </c>
      <c r="N168" s="108" t="n">
        <f aca="false">IF(OR(INPUTS!$F$143&lt;&gt;"Yes",N$16=0),0,IF(OR(INPUTS!$J$143="Upfront",INPUTS!$J$143="Even",INPUTS!$J$143="Front-loaded",INPUTS!$J$143="Back-loaded",INPUTS!$J$143="S-curve"),IF(AND(ISNUMBER(INPUTS!$K$143),N$7&gt;=INPUTS!$K$143,N$7&lt;=IF(INPUTS!$J$143="Upfront",INPUTS!$K$143,INPUTS!$L$143)),1,0),IF(INPUTS!$J$143="Follow Project Life",N$17,IF(INPUTS!$J$143="At Project End",--(N$7=INPUTS!$C$29),0))))</f>
        <v>0</v>
      </c>
      <c r="O168" s="108" t="n">
        <f aca="false">IF(OR(INPUTS!$F$143&lt;&gt;"Yes",O$16=0),0,IF(OR(INPUTS!$J$143="Upfront",INPUTS!$J$143="Even",INPUTS!$J$143="Front-loaded",INPUTS!$J$143="Back-loaded",INPUTS!$J$143="S-curve"),IF(AND(ISNUMBER(INPUTS!$K$143),O$7&gt;=INPUTS!$K$143,O$7&lt;=IF(INPUTS!$J$143="Upfront",INPUTS!$K$143,INPUTS!$L$143)),1,0),IF(INPUTS!$J$143="Follow Project Life",O$17,IF(INPUTS!$J$143="At Project End",--(O$7=INPUTS!$C$29),0))))</f>
        <v>0</v>
      </c>
      <c r="P168" s="108" t="n">
        <f aca="false">IF(OR(INPUTS!$F$143&lt;&gt;"Yes",P$16=0),0,IF(OR(INPUTS!$J$143="Upfront",INPUTS!$J$143="Even",INPUTS!$J$143="Front-loaded",INPUTS!$J$143="Back-loaded",INPUTS!$J$143="S-curve"),IF(AND(ISNUMBER(INPUTS!$K$143),P$7&gt;=INPUTS!$K$143,P$7&lt;=IF(INPUTS!$J$143="Upfront",INPUTS!$K$143,INPUTS!$L$143)),1,0),IF(INPUTS!$J$143="Follow Project Life",P$17,IF(INPUTS!$J$143="At Project End",--(P$7=INPUTS!$C$29),0))))</f>
        <v>0</v>
      </c>
      <c r="Q168" s="108" t="n">
        <f aca="false">IF(OR(INPUTS!$F$143&lt;&gt;"Yes",Q$16=0),0,IF(OR(INPUTS!$J$143="Upfront",INPUTS!$J$143="Even",INPUTS!$J$143="Front-loaded",INPUTS!$J$143="Back-loaded",INPUTS!$J$143="S-curve"),IF(AND(ISNUMBER(INPUTS!$K$143),Q$7&gt;=INPUTS!$K$143,Q$7&lt;=IF(INPUTS!$J$143="Upfront",INPUTS!$K$143,INPUTS!$L$143)),1,0),IF(INPUTS!$J$143="Follow Project Life",Q$17,IF(INPUTS!$J$143="At Project End",--(Q$7=INPUTS!$C$29),0))))</f>
        <v>0</v>
      </c>
      <c r="R168" s="108" t="n">
        <f aca="false">IF(OR(INPUTS!$F$143&lt;&gt;"Yes",R$16=0),0,IF(OR(INPUTS!$J$143="Upfront",INPUTS!$J$143="Even",INPUTS!$J$143="Front-loaded",INPUTS!$J$143="Back-loaded",INPUTS!$J$143="S-curve"),IF(AND(ISNUMBER(INPUTS!$K$143),R$7&gt;=INPUTS!$K$143,R$7&lt;=IF(INPUTS!$J$143="Upfront",INPUTS!$K$143,INPUTS!$L$143)),1,0),IF(INPUTS!$J$143="Follow Project Life",R$17,IF(INPUTS!$J$143="At Project End",--(R$7=INPUTS!$C$29),0))))</f>
        <v>0</v>
      </c>
      <c r="S168" s="108" t="n">
        <f aca="false">IF(OR(INPUTS!$F$143&lt;&gt;"Yes",S$16=0),0,IF(OR(INPUTS!$J$143="Upfront",INPUTS!$J$143="Even",INPUTS!$J$143="Front-loaded",INPUTS!$J$143="Back-loaded",INPUTS!$J$143="S-curve"),IF(AND(ISNUMBER(INPUTS!$K$143),S$7&gt;=INPUTS!$K$143,S$7&lt;=IF(INPUTS!$J$143="Upfront",INPUTS!$K$143,INPUTS!$L$143)),1,0),IF(INPUTS!$J$143="Follow Project Life",S$17,IF(INPUTS!$J$143="At Project End",--(S$7=INPUTS!$C$29),0))))</f>
        <v>0</v>
      </c>
      <c r="T168" s="108" t="n">
        <f aca="false">IF(OR(INPUTS!$F$143&lt;&gt;"Yes",T$16=0),0,IF(OR(INPUTS!$J$143="Upfront",INPUTS!$J$143="Even",INPUTS!$J$143="Front-loaded",INPUTS!$J$143="Back-loaded",INPUTS!$J$143="S-curve"),IF(AND(ISNUMBER(INPUTS!$K$143),T$7&gt;=INPUTS!$K$143,T$7&lt;=IF(INPUTS!$J$143="Upfront",INPUTS!$K$143,INPUTS!$L$143)),1,0),IF(INPUTS!$J$143="Follow Project Life",T$17,IF(INPUTS!$J$143="At Project End",--(T$7=INPUTS!$C$29),0))))</f>
        <v>0</v>
      </c>
      <c r="U168" s="108" t="n">
        <f aca="false">IF(OR(INPUTS!$F$143&lt;&gt;"Yes",U$16=0),0,IF(OR(INPUTS!$J$143="Upfront",INPUTS!$J$143="Even",INPUTS!$J$143="Front-loaded",INPUTS!$J$143="Back-loaded",INPUTS!$J$143="S-curve"),IF(AND(ISNUMBER(INPUTS!$K$143),U$7&gt;=INPUTS!$K$143,U$7&lt;=IF(INPUTS!$J$143="Upfront",INPUTS!$K$143,INPUTS!$L$143)),1,0),IF(INPUTS!$J$143="Follow Project Life",U$17,IF(INPUTS!$J$143="At Project End",--(U$7=INPUTS!$C$29),0))))</f>
        <v>0</v>
      </c>
      <c r="V168" s="108" t="n">
        <f aca="false">IF(OR(INPUTS!$F$143&lt;&gt;"Yes",V$16=0),0,IF(OR(INPUTS!$J$143="Upfront",INPUTS!$J$143="Even",INPUTS!$J$143="Front-loaded",INPUTS!$J$143="Back-loaded",INPUTS!$J$143="S-curve"),IF(AND(ISNUMBER(INPUTS!$K$143),V$7&gt;=INPUTS!$K$143,V$7&lt;=IF(INPUTS!$J$143="Upfront",INPUTS!$K$143,INPUTS!$L$143)),1,0),IF(INPUTS!$J$143="Follow Project Life",V$17,IF(INPUTS!$J$143="At Project End",--(V$7=INPUTS!$C$29),0))))</f>
        <v>0</v>
      </c>
      <c r="W168" s="108" t="n">
        <f aca="false">IF(OR(INPUTS!$F$143&lt;&gt;"Yes",W$16=0),0,IF(OR(INPUTS!$J$143="Upfront",INPUTS!$J$143="Even",INPUTS!$J$143="Front-loaded",INPUTS!$J$143="Back-loaded",INPUTS!$J$143="S-curve"),IF(AND(ISNUMBER(INPUTS!$K$143),W$7&gt;=INPUTS!$K$143,W$7&lt;=IF(INPUTS!$J$143="Upfront",INPUTS!$K$143,INPUTS!$L$143)),1,0),IF(INPUTS!$J$143="Follow Project Life",W$17,IF(INPUTS!$J$143="At Project End",--(W$7=INPUTS!$C$29),0))))</f>
        <v>0</v>
      </c>
      <c r="X168" s="108" t="n">
        <f aca="false">IF(OR(INPUTS!$F$143&lt;&gt;"Yes",X$16=0),0,IF(OR(INPUTS!$J$143="Upfront",INPUTS!$J$143="Even",INPUTS!$J$143="Front-loaded",INPUTS!$J$143="Back-loaded",INPUTS!$J$143="S-curve"),IF(AND(ISNUMBER(INPUTS!$K$143),X$7&gt;=INPUTS!$K$143,X$7&lt;=IF(INPUTS!$J$143="Upfront",INPUTS!$K$143,INPUTS!$L$143)),1,0),IF(INPUTS!$J$143="Follow Project Life",X$17,IF(INPUTS!$J$143="At Project End",--(X$7=INPUTS!$C$29),0))))</f>
        <v>0</v>
      </c>
      <c r="Y168" s="108" t="n">
        <f aca="false">IF(OR(INPUTS!$F$143&lt;&gt;"Yes",Y$16=0),0,IF(OR(INPUTS!$J$143="Upfront",INPUTS!$J$143="Even",INPUTS!$J$143="Front-loaded",INPUTS!$J$143="Back-loaded",INPUTS!$J$143="S-curve"),IF(AND(ISNUMBER(INPUTS!$K$143),Y$7&gt;=INPUTS!$K$143,Y$7&lt;=IF(INPUTS!$J$143="Upfront",INPUTS!$K$143,INPUTS!$L$143)),1,0),IF(INPUTS!$J$143="Follow Project Life",Y$17,IF(INPUTS!$J$143="At Project End",--(Y$7=INPUTS!$C$29),0))))</f>
        <v>0</v>
      </c>
      <c r="Z168" s="108" t="n">
        <f aca="false">IF(OR(INPUTS!$F$143&lt;&gt;"Yes",Z$16=0),0,IF(OR(INPUTS!$J$143="Upfront",INPUTS!$J$143="Even",INPUTS!$J$143="Front-loaded",INPUTS!$J$143="Back-loaded",INPUTS!$J$143="S-curve"),IF(AND(ISNUMBER(INPUTS!$K$143),Z$7&gt;=INPUTS!$K$143,Z$7&lt;=IF(INPUTS!$J$143="Upfront",INPUTS!$K$143,INPUTS!$L$143)),1,0),IF(INPUTS!$J$143="Follow Project Life",Z$17,IF(INPUTS!$J$143="At Project End",--(Z$7=INPUTS!$C$29),0))))</f>
        <v>0</v>
      </c>
      <c r="AA168" s="108" t="n">
        <f aca="false">IF(OR(INPUTS!$F$143&lt;&gt;"Yes",AA$16=0),0,IF(OR(INPUTS!$J$143="Upfront",INPUTS!$J$143="Even",INPUTS!$J$143="Front-loaded",INPUTS!$J$143="Back-loaded",INPUTS!$J$143="S-curve"),IF(AND(ISNUMBER(INPUTS!$K$143),AA$7&gt;=INPUTS!$K$143,AA$7&lt;=IF(INPUTS!$J$143="Upfront",INPUTS!$K$143,INPUTS!$L$143)),1,0),IF(INPUTS!$J$143="Follow Project Life",AA$17,IF(INPUTS!$J$143="At Project End",--(AA$7=INPUTS!$C$29),0))))</f>
        <v>0</v>
      </c>
      <c r="AB168" s="108" t="n">
        <f aca="false">IF(OR(INPUTS!$F$143&lt;&gt;"Yes",AB$16=0),0,IF(OR(INPUTS!$J$143="Upfront",INPUTS!$J$143="Even",INPUTS!$J$143="Front-loaded",INPUTS!$J$143="Back-loaded",INPUTS!$J$143="S-curve"),IF(AND(ISNUMBER(INPUTS!$K$143),AB$7&gt;=INPUTS!$K$143,AB$7&lt;=IF(INPUTS!$J$143="Upfront",INPUTS!$K$143,INPUTS!$L$143)),1,0),IF(INPUTS!$J$143="Follow Project Life",AB$17,IF(INPUTS!$J$143="At Project End",--(AB$7=INPUTS!$C$29),0))))</f>
        <v>0</v>
      </c>
      <c r="AC168" s="108" t="n">
        <f aca="false">IF(OR(INPUTS!$F$143&lt;&gt;"Yes",AC$16=0),0,IF(OR(INPUTS!$J$143="Upfront",INPUTS!$J$143="Even",INPUTS!$J$143="Front-loaded",INPUTS!$J$143="Back-loaded",INPUTS!$J$143="S-curve"),IF(AND(ISNUMBER(INPUTS!$K$143),AC$7&gt;=INPUTS!$K$143,AC$7&lt;=IF(INPUTS!$J$143="Upfront",INPUTS!$K$143,INPUTS!$L$143)),1,0),IF(INPUTS!$J$143="Follow Project Life",AC$17,IF(INPUTS!$J$143="At Project End",--(AC$7=INPUTS!$C$29),0))))</f>
        <v>0</v>
      </c>
      <c r="AD168" s="108" t="n">
        <f aca="false">IF(OR(INPUTS!$F$143&lt;&gt;"Yes",AD$16=0),0,IF(OR(INPUTS!$J$143="Upfront",INPUTS!$J$143="Even",INPUTS!$J$143="Front-loaded",INPUTS!$J$143="Back-loaded",INPUTS!$J$143="S-curve"),IF(AND(ISNUMBER(INPUTS!$K$143),AD$7&gt;=INPUTS!$K$143,AD$7&lt;=IF(INPUTS!$J$143="Upfront",INPUTS!$K$143,INPUTS!$L$143)),1,0),IF(INPUTS!$J$143="Follow Project Life",AD$17,IF(INPUTS!$J$143="At Project End",--(AD$7=INPUTS!$C$29),0))))</f>
        <v>0</v>
      </c>
      <c r="AE168" s="108" t="n">
        <f aca="false">IF(OR(INPUTS!$F$143&lt;&gt;"Yes",AE$16=0),0,IF(OR(INPUTS!$J$143="Upfront",INPUTS!$J$143="Even",INPUTS!$J$143="Front-loaded",INPUTS!$J$143="Back-loaded",INPUTS!$J$143="S-curve"),IF(AND(ISNUMBER(INPUTS!$K$143),AE$7&gt;=INPUTS!$K$143,AE$7&lt;=IF(INPUTS!$J$143="Upfront",INPUTS!$K$143,INPUTS!$L$143)),1,0),IF(INPUTS!$J$143="Follow Project Life",AE$17,IF(INPUTS!$J$143="At Project End",--(AE$7=INPUTS!$C$29),0))))</f>
        <v>0</v>
      </c>
      <c r="AF168" s="108" t="n">
        <f aca="false">IF(OR(INPUTS!$F$143&lt;&gt;"Yes",AF$16=0),0,IF(OR(INPUTS!$J$143="Upfront",INPUTS!$J$143="Even",INPUTS!$J$143="Front-loaded",INPUTS!$J$143="Back-loaded",INPUTS!$J$143="S-curve"),IF(AND(ISNUMBER(INPUTS!$K$143),AF$7&gt;=INPUTS!$K$143,AF$7&lt;=IF(INPUTS!$J$143="Upfront",INPUTS!$K$143,INPUTS!$L$143)),1,0),IF(INPUTS!$J$143="Follow Project Life",AF$17,IF(INPUTS!$J$143="At Project End",--(AF$7=INPUTS!$C$29),0))))</f>
        <v>0</v>
      </c>
      <c r="AG168" s="108" t="n">
        <f aca="false">IF(OR(INPUTS!$F$143&lt;&gt;"Yes",AG$16=0),0,IF(OR(INPUTS!$J$143="Upfront",INPUTS!$J$143="Even",INPUTS!$J$143="Front-loaded",INPUTS!$J$143="Back-loaded",INPUTS!$J$143="S-curve"),IF(AND(ISNUMBER(INPUTS!$K$143),AG$7&gt;=INPUTS!$K$143,AG$7&lt;=IF(INPUTS!$J$143="Upfront",INPUTS!$K$143,INPUTS!$L$143)),1,0),IF(INPUTS!$J$143="Follow Project Life",AG$17,IF(INPUTS!$J$143="At Project End",--(AG$7=INPUTS!$C$29),0))))</f>
        <v>0</v>
      </c>
      <c r="AH168" s="108" t="n">
        <f aca="false">IF(OR(INPUTS!$F$143&lt;&gt;"Yes",AH$16=0),0,IF(OR(INPUTS!$J$143="Upfront",INPUTS!$J$143="Even",INPUTS!$J$143="Front-loaded",INPUTS!$J$143="Back-loaded",INPUTS!$J$143="S-curve"),IF(AND(ISNUMBER(INPUTS!$K$143),AH$7&gt;=INPUTS!$K$143,AH$7&lt;=IF(INPUTS!$J$143="Upfront",INPUTS!$K$143,INPUTS!$L$143)),1,0),IF(INPUTS!$J$143="Follow Project Life",AH$17,IF(INPUTS!$J$143="At Project End",--(AH$7=INPUTS!$C$29),0))))</f>
        <v>0</v>
      </c>
      <c r="AI168" s="108" t="n">
        <f aca="false">IF(OR(INPUTS!$F$143&lt;&gt;"Yes",AI$16=0),0,IF(OR(INPUTS!$J$143="Upfront",INPUTS!$J$143="Even",INPUTS!$J$143="Front-loaded",INPUTS!$J$143="Back-loaded",INPUTS!$J$143="S-curve"),IF(AND(ISNUMBER(INPUTS!$K$143),AI$7&gt;=INPUTS!$K$143,AI$7&lt;=IF(INPUTS!$J$143="Upfront",INPUTS!$K$143,INPUTS!$L$143)),1,0),IF(INPUTS!$J$143="Follow Project Life",AI$17,IF(INPUTS!$J$143="At Project End",--(AI$7=INPUTS!$C$29),0))))</f>
        <v>0</v>
      </c>
      <c r="AJ168" s="108" t="n">
        <f aca="false">IF(OR(INPUTS!$F$143&lt;&gt;"Yes",AJ$16=0),0,IF(OR(INPUTS!$J$143="Upfront",INPUTS!$J$143="Even",INPUTS!$J$143="Front-loaded",INPUTS!$J$143="Back-loaded",INPUTS!$J$143="S-curve"),IF(AND(ISNUMBER(INPUTS!$K$143),AJ$7&gt;=INPUTS!$K$143,AJ$7&lt;=IF(INPUTS!$J$143="Upfront",INPUTS!$K$143,INPUTS!$L$143)),1,0),IF(INPUTS!$J$143="Follow Project Life",AJ$17,IF(INPUTS!$J$143="At Project End",--(AJ$7=INPUTS!$C$29),0))))</f>
        <v>0</v>
      </c>
      <c r="AK168" s="108" t="n">
        <f aca="false">IF(OR(INPUTS!$F$143&lt;&gt;"Yes",AK$16=0),0,IF(OR(INPUTS!$J$143="Upfront",INPUTS!$J$143="Even",INPUTS!$J$143="Front-loaded",INPUTS!$J$143="Back-loaded",INPUTS!$J$143="S-curve"),IF(AND(ISNUMBER(INPUTS!$K$143),AK$7&gt;=INPUTS!$K$143,AK$7&lt;=IF(INPUTS!$J$143="Upfront",INPUTS!$K$143,INPUTS!$L$143)),1,0),IF(INPUTS!$J$143="Follow Project Life",AK$17,IF(INPUTS!$J$143="At Project End",--(AK$7=INPUTS!$C$29),0))))</f>
        <v>0</v>
      </c>
      <c r="AL168" s="108" t="n">
        <f aca="false">IF(OR(INPUTS!$F$143&lt;&gt;"Yes",AL$16=0),0,IF(OR(INPUTS!$J$143="Upfront",INPUTS!$J$143="Even",INPUTS!$J$143="Front-loaded",INPUTS!$J$143="Back-loaded",INPUTS!$J$143="S-curve"),IF(AND(ISNUMBER(INPUTS!$K$143),AL$7&gt;=INPUTS!$K$143,AL$7&lt;=IF(INPUTS!$J$143="Upfront",INPUTS!$K$143,INPUTS!$L$143)),1,0),IF(INPUTS!$J$143="Follow Project Life",AL$17,IF(INPUTS!$J$143="At Project End",--(AL$7=INPUTS!$C$29),0))))</f>
        <v>0</v>
      </c>
      <c r="AM168" s="108" t="n">
        <f aca="false">IF(OR(INPUTS!$F$143&lt;&gt;"Yes",AM$16=0),0,IF(OR(INPUTS!$J$143="Upfront",INPUTS!$J$143="Even",INPUTS!$J$143="Front-loaded",INPUTS!$J$143="Back-loaded",INPUTS!$J$143="S-curve"),IF(AND(ISNUMBER(INPUTS!$K$143),AM$7&gt;=INPUTS!$K$143,AM$7&lt;=IF(INPUTS!$J$143="Upfront",INPUTS!$K$143,INPUTS!$L$143)),1,0),IF(INPUTS!$J$143="Follow Project Life",AM$17,IF(INPUTS!$J$143="At Project End",--(AM$7=INPUTS!$C$29),0))))</f>
        <v>0</v>
      </c>
      <c r="AN168" s="108" t="n">
        <f aca="false">IF(OR(INPUTS!$F$143&lt;&gt;"Yes",AN$16=0),0,IF(OR(INPUTS!$J$143="Upfront",INPUTS!$J$143="Even",INPUTS!$J$143="Front-loaded",INPUTS!$J$143="Back-loaded",INPUTS!$J$143="S-curve"),IF(AND(ISNUMBER(INPUTS!$K$143),AN$7&gt;=INPUTS!$K$143,AN$7&lt;=IF(INPUTS!$J$143="Upfront",INPUTS!$K$143,INPUTS!$L$143)),1,0),IF(INPUTS!$J$143="Follow Project Life",AN$17,IF(INPUTS!$J$143="At Project End",--(AN$7=INPUTS!$C$29),0))))</f>
        <v>0</v>
      </c>
      <c r="AO168" s="108" t="n">
        <f aca="false">IF(OR(INPUTS!$F$143&lt;&gt;"Yes",AO$16=0),0,IF(OR(INPUTS!$J$143="Upfront",INPUTS!$J$143="Even",INPUTS!$J$143="Front-loaded",INPUTS!$J$143="Back-loaded",INPUTS!$J$143="S-curve"),IF(AND(ISNUMBER(INPUTS!$K$143),AO$7&gt;=INPUTS!$K$143,AO$7&lt;=IF(INPUTS!$J$143="Upfront",INPUTS!$K$143,INPUTS!$L$143)),1,0),IF(INPUTS!$J$143="Follow Project Life",AO$17,IF(INPUTS!$J$143="At Project End",--(AO$7=INPUTS!$C$29),0))))</f>
        <v>0</v>
      </c>
      <c r="AP168" s="108" t="n">
        <f aca="false">IF(OR(INPUTS!$F$143&lt;&gt;"Yes",AP$16=0),0,IF(OR(INPUTS!$J$143="Upfront",INPUTS!$J$143="Even",INPUTS!$J$143="Front-loaded",INPUTS!$J$143="Back-loaded",INPUTS!$J$143="S-curve"),IF(AND(ISNUMBER(INPUTS!$K$143),AP$7&gt;=INPUTS!$K$143,AP$7&lt;=IF(INPUTS!$J$143="Upfront",INPUTS!$K$143,INPUTS!$L$143)),1,0),IF(INPUTS!$J$143="Follow Project Life",AP$17,IF(INPUTS!$J$143="At Project End",--(AP$7=INPUTS!$C$29),0))))</f>
        <v>0</v>
      </c>
      <c r="AQ168" s="108" t="n">
        <f aca="false">IF(OR(INPUTS!$F$143&lt;&gt;"Yes",AQ$16=0),0,IF(OR(INPUTS!$J$143="Upfront",INPUTS!$J$143="Even",INPUTS!$J$143="Front-loaded",INPUTS!$J$143="Back-loaded",INPUTS!$J$143="S-curve"),IF(AND(ISNUMBER(INPUTS!$K$143),AQ$7&gt;=INPUTS!$K$143,AQ$7&lt;=IF(INPUTS!$J$143="Upfront",INPUTS!$K$143,INPUTS!$L$143)),1,0),IF(INPUTS!$J$143="Follow Project Life",AQ$17,IF(INPUTS!$J$143="At Project End",--(AQ$7=INPUTS!$C$29),0))))</f>
        <v>0</v>
      </c>
    </row>
    <row r="169" customFormat="false" ht="15" hidden="false" customHeight="false" outlineLevel="0" collapsed="false">
      <c r="B169" s="3" t="s">
        <v>650</v>
      </c>
      <c r="C169" s="107" t="n">
        <f aca="false">MAX(D169:AQ169)</f>
        <v>0</v>
      </c>
      <c r="D169" s="108" t="n">
        <f aca="false">IF(D168=1,COUNTIF($D168:D168,1),0)</f>
        <v>0</v>
      </c>
      <c r="E169" s="108" t="n">
        <f aca="false">IF(E168=1,COUNTIF($D168:E168,1),0)</f>
        <v>0</v>
      </c>
      <c r="F169" s="108" t="n">
        <f aca="false">IF(F168=1,COUNTIF($D168:F168,1),0)</f>
        <v>0</v>
      </c>
      <c r="G169" s="108" t="n">
        <f aca="false">IF(G168=1,COUNTIF($D168:G168,1),0)</f>
        <v>0</v>
      </c>
      <c r="H169" s="108" t="n">
        <f aca="false">IF(H168=1,COUNTIF($D168:H168,1),0)</f>
        <v>0</v>
      </c>
      <c r="I169" s="108" t="n">
        <f aca="false">IF(I168=1,COUNTIF($D168:I168,1),0)</f>
        <v>0</v>
      </c>
      <c r="J169" s="108" t="n">
        <f aca="false">IF(J168=1,COUNTIF($D168:J168,1),0)</f>
        <v>0</v>
      </c>
      <c r="K169" s="108" t="n">
        <f aca="false">IF(K168=1,COUNTIF($D168:K168,1),0)</f>
        <v>0</v>
      </c>
      <c r="L169" s="108" t="n">
        <f aca="false">IF(L168=1,COUNTIF($D168:L168,1),0)</f>
        <v>0</v>
      </c>
      <c r="M169" s="108" t="n">
        <f aca="false">IF(M168=1,COUNTIF($D168:M168,1),0)</f>
        <v>0</v>
      </c>
      <c r="N169" s="108" t="n">
        <f aca="false">IF(N168=1,COUNTIF($D168:N168,1),0)</f>
        <v>0</v>
      </c>
      <c r="O169" s="108" t="n">
        <f aca="false">IF(O168=1,COUNTIF($D168:O168,1),0)</f>
        <v>0</v>
      </c>
      <c r="P169" s="108" t="n">
        <f aca="false">IF(P168=1,COUNTIF($D168:P168,1),0)</f>
        <v>0</v>
      </c>
      <c r="Q169" s="108" t="n">
        <f aca="false">IF(Q168=1,COUNTIF($D168:Q168,1),0)</f>
        <v>0</v>
      </c>
      <c r="R169" s="108" t="n">
        <f aca="false">IF(R168=1,COUNTIF($D168:R168,1),0)</f>
        <v>0</v>
      </c>
      <c r="S169" s="108" t="n">
        <f aca="false">IF(S168=1,COUNTIF($D168:S168,1),0)</f>
        <v>0</v>
      </c>
      <c r="T169" s="108" t="n">
        <f aca="false">IF(T168=1,COUNTIF($D168:T168,1),0)</f>
        <v>0</v>
      </c>
      <c r="U169" s="108" t="n">
        <f aca="false">IF(U168=1,COUNTIF($D168:U168,1),0)</f>
        <v>0</v>
      </c>
      <c r="V169" s="108" t="n">
        <f aca="false">IF(V168=1,COUNTIF($D168:V168,1),0)</f>
        <v>0</v>
      </c>
      <c r="W169" s="108" t="n">
        <f aca="false">IF(W168=1,COUNTIF($D168:W168,1),0)</f>
        <v>0</v>
      </c>
      <c r="X169" s="108" t="n">
        <f aca="false">IF(X168=1,COUNTIF($D168:X168,1),0)</f>
        <v>0</v>
      </c>
      <c r="Y169" s="108" t="n">
        <f aca="false">IF(Y168=1,COUNTIF($D168:Y168,1),0)</f>
        <v>0</v>
      </c>
      <c r="Z169" s="108" t="n">
        <f aca="false">IF(Z168=1,COUNTIF($D168:Z168,1),0)</f>
        <v>0</v>
      </c>
      <c r="AA169" s="108" t="n">
        <f aca="false">IF(AA168=1,COUNTIF($D168:AA168,1),0)</f>
        <v>0</v>
      </c>
      <c r="AB169" s="108" t="n">
        <f aca="false">IF(AB168=1,COUNTIF($D168:AB168,1),0)</f>
        <v>0</v>
      </c>
      <c r="AC169" s="108" t="n">
        <f aca="false">IF(AC168=1,COUNTIF($D168:AC168,1),0)</f>
        <v>0</v>
      </c>
      <c r="AD169" s="108" t="n">
        <f aca="false">IF(AD168=1,COUNTIF($D168:AD168,1),0)</f>
        <v>0</v>
      </c>
      <c r="AE169" s="108" t="n">
        <f aca="false">IF(AE168=1,COUNTIF($D168:AE168,1),0)</f>
        <v>0</v>
      </c>
      <c r="AF169" s="108" t="n">
        <f aca="false">IF(AF168=1,COUNTIF($D168:AF168,1),0)</f>
        <v>0</v>
      </c>
      <c r="AG169" s="108" t="n">
        <f aca="false">IF(AG168=1,COUNTIF($D168:AG168,1),0)</f>
        <v>0</v>
      </c>
      <c r="AH169" s="108" t="n">
        <f aca="false">IF(AH168=1,COUNTIF($D168:AH168,1),0)</f>
        <v>0</v>
      </c>
      <c r="AI169" s="108" t="n">
        <f aca="false">IF(AI168=1,COUNTIF($D168:AI168,1),0)</f>
        <v>0</v>
      </c>
      <c r="AJ169" s="108" t="n">
        <f aca="false">IF(AJ168=1,COUNTIF($D168:AJ168,1),0)</f>
        <v>0</v>
      </c>
      <c r="AK169" s="108" t="n">
        <f aca="false">IF(AK168=1,COUNTIF($D168:AK168,1),0)</f>
        <v>0</v>
      </c>
      <c r="AL169" s="108" t="n">
        <f aca="false">IF(AL168=1,COUNTIF($D168:AL168,1),0)</f>
        <v>0</v>
      </c>
      <c r="AM169" s="108" t="n">
        <f aca="false">IF(AM168=1,COUNTIF($D168:AM168,1),0)</f>
        <v>0</v>
      </c>
      <c r="AN169" s="108" t="n">
        <f aca="false">IF(AN168=1,COUNTIF($D168:AN168,1),0)</f>
        <v>0</v>
      </c>
      <c r="AO169" s="108" t="n">
        <f aca="false">IF(AO168=1,COUNTIF($D168:AO168,1),0)</f>
        <v>0</v>
      </c>
      <c r="AP169" s="108" t="n">
        <f aca="false">IF(AP168=1,COUNTIF($D168:AP168,1),0)</f>
        <v>0</v>
      </c>
      <c r="AQ169" s="108" t="n">
        <f aca="false">IF(AQ168=1,COUNTIF($D168:AQ168,1),0)</f>
        <v>0</v>
      </c>
    </row>
    <row r="170" customFormat="false" ht="15" hidden="false" customHeight="false" outlineLevel="0" collapsed="false">
      <c r="B170" s="17" t="s">
        <v>651</v>
      </c>
      <c r="C170" s="105" t="str">
        <f aca="false">IF(INPUTS!$M$143="","",IF(INPUTS!$M$143&lt;&gt;"OK","ERROR",IF(C168=IF(INPUTS!$F$143&lt;&gt;"Yes",0,IF(OR(INPUTS!$J$143="Upfront",INPUTS!$J$143="Even",INPUTS!$J$143="Front-loaded",INPUTS!$J$143="Back-loaded",INPUTS!$J$143="S-curve"),IF(ISNUMBER(INPUTS!$K$143),IF(INPUTS!$J$143="Upfront",INPUTS!$K$143,INPUTS!$L$143)-INPUTS!$K$143+1,0),IF(INPUTS!$J$143="Follow Project Life",INPUTS!$C$29,IF(INPUTS!$J$143="At Project End",1,0)))),"OK","ERROR")))</f>
        <v>OK</v>
      </c>
    </row>
    <row r="171" customFormat="false" ht="15" hidden="false" customHeight="false" outlineLevel="0" collapsed="false">
      <c r="B171" s="110" t="str">
        <f aca="false">IF(INPUTS!$B$144="","Spare cost row",INPUTS!$B$144)</f>
        <v>Hotel Brand Key fee ₹50K per Key for smaller brand</v>
      </c>
      <c r="C171" s="111" t="str">
        <f aca="false">IF(INPUTS!$J$144="","",INPUTS!$J$144)</f>
        <v>Follow Construction</v>
      </c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</row>
    <row r="172" customFormat="false" ht="15" hidden="false" customHeight="false" outlineLevel="0" collapsed="false">
      <c r="B172" s="3" t="s">
        <v>649</v>
      </c>
      <c r="C172" s="107" t="n">
        <f aca="false">SUM(D172:AQ172)</f>
        <v>0</v>
      </c>
      <c r="D172" s="108" t="n">
        <f aca="false">IF(OR(INPUTS!$F$144&lt;&gt;"Yes",D$16=0),0,IF(OR(INPUTS!$J$144="Upfront",INPUTS!$J$144="Even",INPUTS!$J$144="Front-loaded",INPUTS!$J$144="Back-loaded",INPUTS!$J$144="S-curve"),IF(AND(ISNUMBER(INPUTS!$K$144),D$7&gt;=INPUTS!$K$144,D$7&lt;=IF(INPUTS!$J$144="Upfront",INPUTS!$K$144,INPUTS!$L$144)),1,0),IF(INPUTS!$J$144="Follow Project Life",D$17,IF(INPUTS!$J$144="At Project End",--(D$7=INPUTS!$C$29),0))))</f>
        <v>0</v>
      </c>
      <c r="E172" s="108" t="n">
        <f aca="false">IF(OR(INPUTS!$F$144&lt;&gt;"Yes",E$16=0),0,IF(OR(INPUTS!$J$144="Upfront",INPUTS!$J$144="Even",INPUTS!$J$144="Front-loaded",INPUTS!$J$144="Back-loaded",INPUTS!$J$144="S-curve"),IF(AND(ISNUMBER(INPUTS!$K$144),E$7&gt;=INPUTS!$K$144,E$7&lt;=IF(INPUTS!$J$144="Upfront",INPUTS!$K$144,INPUTS!$L$144)),1,0),IF(INPUTS!$J$144="Follow Project Life",E$17,IF(INPUTS!$J$144="At Project End",--(E$7=INPUTS!$C$29),0))))</f>
        <v>0</v>
      </c>
      <c r="F172" s="108" t="n">
        <f aca="false">IF(OR(INPUTS!$F$144&lt;&gt;"Yes",F$16=0),0,IF(OR(INPUTS!$J$144="Upfront",INPUTS!$J$144="Even",INPUTS!$J$144="Front-loaded",INPUTS!$J$144="Back-loaded",INPUTS!$J$144="S-curve"),IF(AND(ISNUMBER(INPUTS!$K$144),F$7&gt;=INPUTS!$K$144,F$7&lt;=IF(INPUTS!$J$144="Upfront",INPUTS!$K$144,INPUTS!$L$144)),1,0),IF(INPUTS!$J$144="Follow Project Life",F$17,IF(INPUTS!$J$144="At Project End",--(F$7=INPUTS!$C$29),0))))</f>
        <v>0</v>
      </c>
      <c r="G172" s="108" t="n">
        <f aca="false">IF(OR(INPUTS!$F$144&lt;&gt;"Yes",G$16=0),0,IF(OR(INPUTS!$J$144="Upfront",INPUTS!$J$144="Even",INPUTS!$J$144="Front-loaded",INPUTS!$J$144="Back-loaded",INPUTS!$J$144="S-curve"),IF(AND(ISNUMBER(INPUTS!$K$144),G$7&gt;=INPUTS!$K$144,G$7&lt;=IF(INPUTS!$J$144="Upfront",INPUTS!$K$144,INPUTS!$L$144)),1,0),IF(INPUTS!$J$144="Follow Project Life",G$17,IF(INPUTS!$J$144="At Project End",--(G$7=INPUTS!$C$29),0))))</f>
        <v>0</v>
      </c>
      <c r="H172" s="108" t="n">
        <f aca="false">IF(OR(INPUTS!$F$144&lt;&gt;"Yes",H$16=0),0,IF(OR(INPUTS!$J$144="Upfront",INPUTS!$J$144="Even",INPUTS!$J$144="Front-loaded",INPUTS!$J$144="Back-loaded",INPUTS!$J$144="S-curve"),IF(AND(ISNUMBER(INPUTS!$K$144),H$7&gt;=INPUTS!$K$144,H$7&lt;=IF(INPUTS!$J$144="Upfront",INPUTS!$K$144,INPUTS!$L$144)),1,0),IF(INPUTS!$J$144="Follow Project Life",H$17,IF(INPUTS!$J$144="At Project End",--(H$7=INPUTS!$C$29),0))))</f>
        <v>0</v>
      </c>
      <c r="I172" s="108" t="n">
        <f aca="false">IF(OR(INPUTS!$F$144&lt;&gt;"Yes",I$16=0),0,IF(OR(INPUTS!$J$144="Upfront",INPUTS!$J$144="Even",INPUTS!$J$144="Front-loaded",INPUTS!$J$144="Back-loaded",INPUTS!$J$144="S-curve"),IF(AND(ISNUMBER(INPUTS!$K$144),I$7&gt;=INPUTS!$K$144,I$7&lt;=IF(INPUTS!$J$144="Upfront",INPUTS!$K$144,INPUTS!$L$144)),1,0),IF(INPUTS!$J$144="Follow Project Life",I$17,IF(INPUTS!$J$144="At Project End",--(I$7=INPUTS!$C$29),0))))</f>
        <v>0</v>
      </c>
      <c r="J172" s="108" t="n">
        <f aca="false">IF(OR(INPUTS!$F$144&lt;&gt;"Yes",J$16=0),0,IF(OR(INPUTS!$J$144="Upfront",INPUTS!$J$144="Even",INPUTS!$J$144="Front-loaded",INPUTS!$J$144="Back-loaded",INPUTS!$J$144="S-curve"),IF(AND(ISNUMBER(INPUTS!$K$144),J$7&gt;=INPUTS!$K$144,J$7&lt;=IF(INPUTS!$J$144="Upfront",INPUTS!$K$144,INPUTS!$L$144)),1,0),IF(INPUTS!$J$144="Follow Project Life",J$17,IF(INPUTS!$J$144="At Project End",--(J$7=INPUTS!$C$29),0))))</f>
        <v>0</v>
      </c>
      <c r="K172" s="108" t="n">
        <f aca="false">IF(OR(INPUTS!$F$144&lt;&gt;"Yes",K$16=0),0,IF(OR(INPUTS!$J$144="Upfront",INPUTS!$J$144="Even",INPUTS!$J$144="Front-loaded",INPUTS!$J$144="Back-loaded",INPUTS!$J$144="S-curve"),IF(AND(ISNUMBER(INPUTS!$K$144),K$7&gt;=INPUTS!$K$144,K$7&lt;=IF(INPUTS!$J$144="Upfront",INPUTS!$K$144,INPUTS!$L$144)),1,0),IF(INPUTS!$J$144="Follow Project Life",K$17,IF(INPUTS!$J$144="At Project End",--(K$7=INPUTS!$C$29),0))))</f>
        <v>0</v>
      </c>
      <c r="L172" s="108" t="n">
        <f aca="false">IF(OR(INPUTS!$F$144&lt;&gt;"Yes",L$16=0),0,IF(OR(INPUTS!$J$144="Upfront",INPUTS!$J$144="Even",INPUTS!$J$144="Front-loaded",INPUTS!$J$144="Back-loaded",INPUTS!$J$144="S-curve"),IF(AND(ISNUMBER(INPUTS!$K$144),L$7&gt;=INPUTS!$K$144,L$7&lt;=IF(INPUTS!$J$144="Upfront",INPUTS!$K$144,INPUTS!$L$144)),1,0),IF(INPUTS!$J$144="Follow Project Life",L$17,IF(INPUTS!$J$144="At Project End",--(L$7=INPUTS!$C$29),0))))</f>
        <v>0</v>
      </c>
      <c r="M172" s="108" t="n">
        <f aca="false">IF(OR(INPUTS!$F$144&lt;&gt;"Yes",M$16=0),0,IF(OR(INPUTS!$J$144="Upfront",INPUTS!$J$144="Even",INPUTS!$J$144="Front-loaded",INPUTS!$J$144="Back-loaded",INPUTS!$J$144="S-curve"),IF(AND(ISNUMBER(INPUTS!$K$144),M$7&gt;=INPUTS!$K$144,M$7&lt;=IF(INPUTS!$J$144="Upfront",INPUTS!$K$144,INPUTS!$L$144)),1,0),IF(INPUTS!$J$144="Follow Project Life",M$17,IF(INPUTS!$J$144="At Project End",--(M$7=INPUTS!$C$29),0))))</f>
        <v>0</v>
      </c>
      <c r="N172" s="108" t="n">
        <f aca="false">IF(OR(INPUTS!$F$144&lt;&gt;"Yes",N$16=0),0,IF(OR(INPUTS!$J$144="Upfront",INPUTS!$J$144="Even",INPUTS!$J$144="Front-loaded",INPUTS!$J$144="Back-loaded",INPUTS!$J$144="S-curve"),IF(AND(ISNUMBER(INPUTS!$K$144),N$7&gt;=INPUTS!$K$144,N$7&lt;=IF(INPUTS!$J$144="Upfront",INPUTS!$K$144,INPUTS!$L$144)),1,0),IF(INPUTS!$J$144="Follow Project Life",N$17,IF(INPUTS!$J$144="At Project End",--(N$7=INPUTS!$C$29),0))))</f>
        <v>0</v>
      </c>
      <c r="O172" s="108" t="n">
        <f aca="false">IF(OR(INPUTS!$F$144&lt;&gt;"Yes",O$16=0),0,IF(OR(INPUTS!$J$144="Upfront",INPUTS!$J$144="Even",INPUTS!$J$144="Front-loaded",INPUTS!$J$144="Back-loaded",INPUTS!$J$144="S-curve"),IF(AND(ISNUMBER(INPUTS!$K$144),O$7&gt;=INPUTS!$K$144,O$7&lt;=IF(INPUTS!$J$144="Upfront",INPUTS!$K$144,INPUTS!$L$144)),1,0),IF(INPUTS!$J$144="Follow Project Life",O$17,IF(INPUTS!$J$144="At Project End",--(O$7=INPUTS!$C$29),0))))</f>
        <v>0</v>
      </c>
      <c r="P172" s="108" t="n">
        <f aca="false">IF(OR(INPUTS!$F$144&lt;&gt;"Yes",P$16=0),0,IF(OR(INPUTS!$J$144="Upfront",INPUTS!$J$144="Even",INPUTS!$J$144="Front-loaded",INPUTS!$J$144="Back-loaded",INPUTS!$J$144="S-curve"),IF(AND(ISNUMBER(INPUTS!$K$144),P$7&gt;=INPUTS!$K$144,P$7&lt;=IF(INPUTS!$J$144="Upfront",INPUTS!$K$144,INPUTS!$L$144)),1,0),IF(INPUTS!$J$144="Follow Project Life",P$17,IF(INPUTS!$J$144="At Project End",--(P$7=INPUTS!$C$29),0))))</f>
        <v>0</v>
      </c>
      <c r="Q172" s="108" t="n">
        <f aca="false">IF(OR(INPUTS!$F$144&lt;&gt;"Yes",Q$16=0),0,IF(OR(INPUTS!$J$144="Upfront",INPUTS!$J$144="Even",INPUTS!$J$144="Front-loaded",INPUTS!$J$144="Back-loaded",INPUTS!$J$144="S-curve"),IF(AND(ISNUMBER(INPUTS!$K$144),Q$7&gt;=INPUTS!$K$144,Q$7&lt;=IF(INPUTS!$J$144="Upfront",INPUTS!$K$144,INPUTS!$L$144)),1,0),IF(INPUTS!$J$144="Follow Project Life",Q$17,IF(INPUTS!$J$144="At Project End",--(Q$7=INPUTS!$C$29),0))))</f>
        <v>0</v>
      </c>
      <c r="R172" s="108" t="n">
        <f aca="false">IF(OR(INPUTS!$F$144&lt;&gt;"Yes",R$16=0),0,IF(OR(INPUTS!$J$144="Upfront",INPUTS!$J$144="Even",INPUTS!$J$144="Front-loaded",INPUTS!$J$144="Back-loaded",INPUTS!$J$144="S-curve"),IF(AND(ISNUMBER(INPUTS!$K$144),R$7&gt;=INPUTS!$K$144,R$7&lt;=IF(INPUTS!$J$144="Upfront",INPUTS!$K$144,INPUTS!$L$144)),1,0),IF(INPUTS!$J$144="Follow Project Life",R$17,IF(INPUTS!$J$144="At Project End",--(R$7=INPUTS!$C$29),0))))</f>
        <v>0</v>
      </c>
      <c r="S172" s="108" t="n">
        <f aca="false">IF(OR(INPUTS!$F$144&lt;&gt;"Yes",S$16=0),0,IF(OR(INPUTS!$J$144="Upfront",INPUTS!$J$144="Even",INPUTS!$J$144="Front-loaded",INPUTS!$J$144="Back-loaded",INPUTS!$J$144="S-curve"),IF(AND(ISNUMBER(INPUTS!$K$144),S$7&gt;=INPUTS!$K$144,S$7&lt;=IF(INPUTS!$J$144="Upfront",INPUTS!$K$144,INPUTS!$L$144)),1,0),IF(INPUTS!$J$144="Follow Project Life",S$17,IF(INPUTS!$J$144="At Project End",--(S$7=INPUTS!$C$29),0))))</f>
        <v>0</v>
      </c>
      <c r="T172" s="108" t="n">
        <f aca="false">IF(OR(INPUTS!$F$144&lt;&gt;"Yes",T$16=0),0,IF(OR(INPUTS!$J$144="Upfront",INPUTS!$J$144="Even",INPUTS!$J$144="Front-loaded",INPUTS!$J$144="Back-loaded",INPUTS!$J$144="S-curve"),IF(AND(ISNUMBER(INPUTS!$K$144),T$7&gt;=INPUTS!$K$144,T$7&lt;=IF(INPUTS!$J$144="Upfront",INPUTS!$K$144,INPUTS!$L$144)),1,0),IF(INPUTS!$J$144="Follow Project Life",T$17,IF(INPUTS!$J$144="At Project End",--(T$7=INPUTS!$C$29),0))))</f>
        <v>0</v>
      </c>
      <c r="U172" s="108" t="n">
        <f aca="false">IF(OR(INPUTS!$F$144&lt;&gt;"Yes",U$16=0),0,IF(OR(INPUTS!$J$144="Upfront",INPUTS!$J$144="Even",INPUTS!$J$144="Front-loaded",INPUTS!$J$144="Back-loaded",INPUTS!$J$144="S-curve"),IF(AND(ISNUMBER(INPUTS!$K$144),U$7&gt;=INPUTS!$K$144,U$7&lt;=IF(INPUTS!$J$144="Upfront",INPUTS!$K$144,INPUTS!$L$144)),1,0),IF(INPUTS!$J$144="Follow Project Life",U$17,IF(INPUTS!$J$144="At Project End",--(U$7=INPUTS!$C$29),0))))</f>
        <v>0</v>
      </c>
      <c r="V172" s="108" t="n">
        <f aca="false">IF(OR(INPUTS!$F$144&lt;&gt;"Yes",V$16=0),0,IF(OR(INPUTS!$J$144="Upfront",INPUTS!$J$144="Even",INPUTS!$J$144="Front-loaded",INPUTS!$J$144="Back-loaded",INPUTS!$J$144="S-curve"),IF(AND(ISNUMBER(INPUTS!$K$144),V$7&gt;=INPUTS!$K$144,V$7&lt;=IF(INPUTS!$J$144="Upfront",INPUTS!$K$144,INPUTS!$L$144)),1,0),IF(INPUTS!$J$144="Follow Project Life",V$17,IF(INPUTS!$J$144="At Project End",--(V$7=INPUTS!$C$29),0))))</f>
        <v>0</v>
      </c>
      <c r="W172" s="108" t="n">
        <f aca="false">IF(OR(INPUTS!$F$144&lt;&gt;"Yes",W$16=0),0,IF(OR(INPUTS!$J$144="Upfront",INPUTS!$J$144="Even",INPUTS!$J$144="Front-loaded",INPUTS!$J$144="Back-loaded",INPUTS!$J$144="S-curve"),IF(AND(ISNUMBER(INPUTS!$K$144),W$7&gt;=INPUTS!$K$144,W$7&lt;=IF(INPUTS!$J$144="Upfront",INPUTS!$K$144,INPUTS!$L$144)),1,0),IF(INPUTS!$J$144="Follow Project Life",W$17,IF(INPUTS!$J$144="At Project End",--(W$7=INPUTS!$C$29),0))))</f>
        <v>0</v>
      </c>
      <c r="X172" s="108" t="n">
        <f aca="false">IF(OR(INPUTS!$F$144&lt;&gt;"Yes",X$16=0),0,IF(OR(INPUTS!$J$144="Upfront",INPUTS!$J$144="Even",INPUTS!$J$144="Front-loaded",INPUTS!$J$144="Back-loaded",INPUTS!$J$144="S-curve"),IF(AND(ISNUMBER(INPUTS!$K$144),X$7&gt;=INPUTS!$K$144,X$7&lt;=IF(INPUTS!$J$144="Upfront",INPUTS!$K$144,INPUTS!$L$144)),1,0),IF(INPUTS!$J$144="Follow Project Life",X$17,IF(INPUTS!$J$144="At Project End",--(X$7=INPUTS!$C$29),0))))</f>
        <v>0</v>
      </c>
      <c r="Y172" s="108" t="n">
        <f aca="false">IF(OR(INPUTS!$F$144&lt;&gt;"Yes",Y$16=0),0,IF(OR(INPUTS!$J$144="Upfront",INPUTS!$J$144="Even",INPUTS!$J$144="Front-loaded",INPUTS!$J$144="Back-loaded",INPUTS!$J$144="S-curve"),IF(AND(ISNUMBER(INPUTS!$K$144),Y$7&gt;=INPUTS!$K$144,Y$7&lt;=IF(INPUTS!$J$144="Upfront",INPUTS!$K$144,INPUTS!$L$144)),1,0),IF(INPUTS!$J$144="Follow Project Life",Y$17,IF(INPUTS!$J$144="At Project End",--(Y$7=INPUTS!$C$29),0))))</f>
        <v>0</v>
      </c>
      <c r="Z172" s="108" t="n">
        <f aca="false">IF(OR(INPUTS!$F$144&lt;&gt;"Yes",Z$16=0),0,IF(OR(INPUTS!$J$144="Upfront",INPUTS!$J$144="Even",INPUTS!$J$144="Front-loaded",INPUTS!$J$144="Back-loaded",INPUTS!$J$144="S-curve"),IF(AND(ISNUMBER(INPUTS!$K$144),Z$7&gt;=INPUTS!$K$144,Z$7&lt;=IF(INPUTS!$J$144="Upfront",INPUTS!$K$144,INPUTS!$L$144)),1,0),IF(INPUTS!$J$144="Follow Project Life",Z$17,IF(INPUTS!$J$144="At Project End",--(Z$7=INPUTS!$C$29),0))))</f>
        <v>0</v>
      </c>
      <c r="AA172" s="108" t="n">
        <f aca="false">IF(OR(INPUTS!$F$144&lt;&gt;"Yes",AA$16=0),0,IF(OR(INPUTS!$J$144="Upfront",INPUTS!$J$144="Even",INPUTS!$J$144="Front-loaded",INPUTS!$J$144="Back-loaded",INPUTS!$J$144="S-curve"),IF(AND(ISNUMBER(INPUTS!$K$144),AA$7&gt;=INPUTS!$K$144,AA$7&lt;=IF(INPUTS!$J$144="Upfront",INPUTS!$K$144,INPUTS!$L$144)),1,0),IF(INPUTS!$J$144="Follow Project Life",AA$17,IF(INPUTS!$J$144="At Project End",--(AA$7=INPUTS!$C$29),0))))</f>
        <v>0</v>
      </c>
      <c r="AB172" s="108" t="n">
        <f aca="false">IF(OR(INPUTS!$F$144&lt;&gt;"Yes",AB$16=0),0,IF(OR(INPUTS!$J$144="Upfront",INPUTS!$J$144="Even",INPUTS!$J$144="Front-loaded",INPUTS!$J$144="Back-loaded",INPUTS!$J$144="S-curve"),IF(AND(ISNUMBER(INPUTS!$K$144),AB$7&gt;=INPUTS!$K$144,AB$7&lt;=IF(INPUTS!$J$144="Upfront",INPUTS!$K$144,INPUTS!$L$144)),1,0),IF(INPUTS!$J$144="Follow Project Life",AB$17,IF(INPUTS!$J$144="At Project End",--(AB$7=INPUTS!$C$29),0))))</f>
        <v>0</v>
      </c>
      <c r="AC172" s="108" t="n">
        <f aca="false">IF(OR(INPUTS!$F$144&lt;&gt;"Yes",AC$16=0),0,IF(OR(INPUTS!$J$144="Upfront",INPUTS!$J$144="Even",INPUTS!$J$144="Front-loaded",INPUTS!$J$144="Back-loaded",INPUTS!$J$144="S-curve"),IF(AND(ISNUMBER(INPUTS!$K$144),AC$7&gt;=INPUTS!$K$144,AC$7&lt;=IF(INPUTS!$J$144="Upfront",INPUTS!$K$144,INPUTS!$L$144)),1,0),IF(INPUTS!$J$144="Follow Project Life",AC$17,IF(INPUTS!$J$144="At Project End",--(AC$7=INPUTS!$C$29),0))))</f>
        <v>0</v>
      </c>
      <c r="AD172" s="108" t="n">
        <f aca="false">IF(OR(INPUTS!$F$144&lt;&gt;"Yes",AD$16=0),0,IF(OR(INPUTS!$J$144="Upfront",INPUTS!$J$144="Even",INPUTS!$J$144="Front-loaded",INPUTS!$J$144="Back-loaded",INPUTS!$J$144="S-curve"),IF(AND(ISNUMBER(INPUTS!$K$144),AD$7&gt;=INPUTS!$K$144,AD$7&lt;=IF(INPUTS!$J$144="Upfront",INPUTS!$K$144,INPUTS!$L$144)),1,0),IF(INPUTS!$J$144="Follow Project Life",AD$17,IF(INPUTS!$J$144="At Project End",--(AD$7=INPUTS!$C$29),0))))</f>
        <v>0</v>
      </c>
      <c r="AE172" s="108" t="n">
        <f aca="false">IF(OR(INPUTS!$F$144&lt;&gt;"Yes",AE$16=0),0,IF(OR(INPUTS!$J$144="Upfront",INPUTS!$J$144="Even",INPUTS!$J$144="Front-loaded",INPUTS!$J$144="Back-loaded",INPUTS!$J$144="S-curve"),IF(AND(ISNUMBER(INPUTS!$K$144),AE$7&gt;=INPUTS!$K$144,AE$7&lt;=IF(INPUTS!$J$144="Upfront",INPUTS!$K$144,INPUTS!$L$144)),1,0),IF(INPUTS!$J$144="Follow Project Life",AE$17,IF(INPUTS!$J$144="At Project End",--(AE$7=INPUTS!$C$29),0))))</f>
        <v>0</v>
      </c>
      <c r="AF172" s="108" t="n">
        <f aca="false">IF(OR(INPUTS!$F$144&lt;&gt;"Yes",AF$16=0),0,IF(OR(INPUTS!$J$144="Upfront",INPUTS!$J$144="Even",INPUTS!$J$144="Front-loaded",INPUTS!$J$144="Back-loaded",INPUTS!$J$144="S-curve"),IF(AND(ISNUMBER(INPUTS!$K$144),AF$7&gt;=INPUTS!$K$144,AF$7&lt;=IF(INPUTS!$J$144="Upfront",INPUTS!$K$144,INPUTS!$L$144)),1,0),IF(INPUTS!$J$144="Follow Project Life",AF$17,IF(INPUTS!$J$144="At Project End",--(AF$7=INPUTS!$C$29),0))))</f>
        <v>0</v>
      </c>
      <c r="AG172" s="108" t="n">
        <f aca="false">IF(OR(INPUTS!$F$144&lt;&gt;"Yes",AG$16=0),0,IF(OR(INPUTS!$J$144="Upfront",INPUTS!$J$144="Even",INPUTS!$J$144="Front-loaded",INPUTS!$J$144="Back-loaded",INPUTS!$J$144="S-curve"),IF(AND(ISNUMBER(INPUTS!$K$144),AG$7&gt;=INPUTS!$K$144,AG$7&lt;=IF(INPUTS!$J$144="Upfront",INPUTS!$K$144,INPUTS!$L$144)),1,0),IF(INPUTS!$J$144="Follow Project Life",AG$17,IF(INPUTS!$J$144="At Project End",--(AG$7=INPUTS!$C$29),0))))</f>
        <v>0</v>
      </c>
      <c r="AH172" s="108" t="n">
        <f aca="false">IF(OR(INPUTS!$F$144&lt;&gt;"Yes",AH$16=0),0,IF(OR(INPUTS!$J$144="Upfront",INPUTS!$J$144="Even",INPUTS!$J$144="Front-loaded",INPUTS!$J$144="Back-loaded",INPUTS!$J$144="S-curve"),IF(AND(ISNUMBER(INPUTS!$K$144),AH$7&gt;=INPUTS!$K$144,AH$7&lt;=IF(INPUTS!$J$144="Upfront",INPUTS!$K$144,INPUTS!$L$144)),1,0),IF(INPUTS!$J$144="Follow Project Life",AH$17,IF(INPUTS!$J$144="At Project End",--(AH$7=INPUTS!$C$29),0))))</f>
        <v>0</v>
      </c>
      <c r="AI172" s="108" t="n">
        <f aca="false">IF(OR(INPUTS!$F$144&lt;&gt;"Yes",AI$16=0),0,IF(OR(INPUTS!$J$144="Upfront",INPUTS!$J$144="Even",INPUTS!$J$144="Front-loaded",INPUTS!$J$144="Back-loaded",INPUTS!$J$144="S-curve"),IF(AND(ISNUMBER(INPUTS!$K$144),AI$7&gt;=INPUTS!$K$144,AI$7&lt;=IF(INPUTS!$J$144="Upfront",INPUTS!$K$144,INPUTS!$L$144)),1,0),IF(INPUTS!$J$144="Follow Project Life",AI$17,IF(INPUTS!$J$144="At Project End",--(AI$7=INPUTS!$C$29),0))))</f>
        <v>0</v>
      </c>
      <c r="AJ172" s="108" t="n">
        <f aca="false">IF(OR(INPUTS!$F$144&lt;&gt;"Yes",AJ$16=0),0,IF(OR(INPUTS!$J$144="Upfront",INPUTS!$J$144="Even",INPUTS!$J$144="Front-loaded",INPUTS!$J$144="Back-loaded",INPUTS!$J$144="S-curve"),IF(AND(ISNUMBER(INPUTS!$K$144),AJ$7&gt;=INPUTS!$K$144,AJ$7&lt;=IF(INPUTS!$J$144="Upfront",INPUTS!$K$144,INPUTS!$L$144)),1,0),IF(INPUTS!$J$144="Follow Project Life",AJ$17,IF(INPUTS!$J$144="At Project End",--(AJ$7=INPUTS!$C$29),0))))</f>
        <v>0</v>
      </c>
      <c r="AK172" s="108" t="n">
        <f aca="false">IF(OR(INPUTS!$F$144&lt;&gt;"Yes",AK$16=0),0,IF(OR(INPUTS!$J$144="Upfront",INPUTS!$J$144="Even",INPUTS!$J$144="Front-loaded",INPUTS!$J$144="Back-loaded",INPUTS!$J$144="S-curve"),IF(AND(ISNUMBER(INPUTS!$K$144),AK$7&gt;=INPUTS!$K$144,AK$7&lt;=IF(INPUTS!$J$144="Upfront",INPUTS!$K$144,INPUTS!$L$144)),1,0),IF(INPUTS!$J$144="Follow Project Life",AK$17,IF(INPUTS!$J$144="At Project End",--(AK$7=INPUTS!$C$29),0))))</f>
        <v>0</v>
      </c>
      <c r="AL172" s="108" t="n">
        <f aca="false">IF(OR(INPUTS!$F$144&lt;&gt;"Yes",AL$16=0),0,IF(OR(INPUTS!$J$144="Upfront",INPUTS!$J$144="Even",INPUTS!$J$144="Front-loaded",INPUTS!$J$144="Back-loaded",INPUTS!$J$144="S-curve"),IF(AND(ISNUMBER(INPUTS!$K$144),AL$7&gt;=INPUTS!$K$144,AL$7&lt;=IF(INPUTS!$J$144="Upfront",INPUTS!$K$144,INPUTS!$L$144)),1,0),IF(INPUTS!$J$144="Follow Project Life",AL$17,IF(INPUTS!$J$144="At Project End",--(AL$7=INPUTS!$C$29),0))))</f>
        <v>0</v>
      </c>
      <c r="AM172" s="108" t="n">
        <f aca="false">IF(OR(INPUTS!$F$144&lt;&gt;"Yes",AM$16=0),0,IF(OR(INPUTS!$J$144="Upfront",INPUTS!$J$144="Even",INPUTS!$J$144="Front-loaded",INPUTS!$J$144="Back-loaded",INPUTS!$J$144="S-curve"),IF(AND(ISNUMBER(INPUTS!$K$144),AM$7&gt;=INPUTS!$K$144,AM$7&lt;=IF(INPUTS!$J$144="Upfront",INPUTS!$K$144,INPUTS!$L$144)),1,0),IF(INPUTS!$J$144="Follow Project Life",AM$17,IF(INPUTS!$J$144="At Project End",--(AM$7=INPUTS!$C$29),0))))</f>
        <v>0</v>
      </c>
      <c r="AN172" s="108" t="n">
        <f aca="false">IF(OR(INPUTS!$F$144&lt;&gt;"Yes",AN$16=0),0,IF(OR(INPUTS!$J$144="Upfront",INPUTS!$J$144="Even",INPUTS!$J$144="Front-loaded",INPUTS!$J$144="Back-loaded",INPUTS!$J$144="S-curve"),IF(AND(ISNUMBER(INPUTS!$K$144),AN$7&gt;=INPUTS!$K$144,AN$7&lt;=IF(INPUTS!$J$144="Upfront",INPUTS!$K$144,INPUTS!$L$144)),1,0),IF(INPUTS!$J$144="Follow Project Life",AN$17,IF(INPUTS!$J$144="At Project End",--(AN$7=INPUTS!$C$29),0))))</f>
        <v>0</v>
      </c>
      <c r="AO172" s="108" t="n">
        <f aca="false">IF(OR(INPUTS!$F$144&lt;&gt;"Yes",AO$16=0),0,IF(OR(INPUTS!$J$144="Upfront",INPUTS!$J$144="Even",INPUTS!$J$144="Front-loaded",INPUTS!$J$144="Back-loaded",INPUTS!$J$144="S-curve"),IF(AND(ISNUMBER(INPUTS!$K$144),AO$7&gt;=INPUTS!$K$144,AO$7&lt;=IF(INPUTS!$J$144="Upfront",INPUTS!$K$144,INPUTS!$L$144)),1,0),IF(INPUTS!$J$144="Follow Project Life",AO$17,IF(INPUTS!$J$144="At Project End",--(AO$7=INPUTS!$C$29),0))))</f>
        <v>0</v>
      </c>
      <c r="AP172" s="108" t="n">
        <f aca="false">IF(OR(INPUTS!$F$144&lt;&gt;"Yes",AP$16=0),0,IF(OR(INPUTS!$J$144="Upfront",INPUTS!$J$144="Even",INPUTS!$J$144="Front-loaded",INPUTS!$J$144="Back-loaded",INPUTS!$J$144="S-curve"),IF(AND(ISNUMBER(INPUTS!$K$144),AP$7&gt;=INPUTS!$K$144,AP$7&lt;=IF(INPUTS!$J$144="Upfront",INPUTS!$K$144,INPUTS!$L$144)),1,0),IF(INPUTS!$J$144="Follow Project Life",AP$17,IF(INPUTS!$J$144="At Project End",--(AP$7=INPUTS!$C$29),0))))</f>
        <v>0</v>
      </c>
      <c r="AQ172" s="108" t="n">
        <f aca="false">IF(OR(INPUTS!$F$144&lt;&gt;"Yes",AQ$16=0),0,IF(OR(INPUTS!$J$144="Upfront",INPUTS!$J$144="Even",INPUTS!$J$144="Front-loaded",INPUTS!$J$144="Back-loaded",INPUTS!$J$144="S-curve"),IF(AND(ISNUMBER(INPUTS!$K$144),AQ$7&gt;=INPUTS!$K$144,AQ$7&lt;=IF(INPUTS!$J$144="Upfront",INPUTS!$K$144,INPUTS!$L$144)),1,0),IF(INPUTS!$J$144="Follow Project Life",AQ$17,IF(INPUTS!$J$144="At Project End",--(AQ$7=INPUTS!$C$29),0))))</f>
        <v>0</v>
      </c>
    </row>
    <row r="173" customFormat="false" ht="15" hidden="false" customHeight="false" outlineLevel="0" collapsed="false">
      <c r="B173" s="3" t="s">
        <v>650</v>
      </c>
      <c r="C173" s="107" t="n">
        <f aca="false">MAX(D173:AQ173)</f>
        <v>0</v>
      </c>
      <c r="D173" s="108" t="n">
        <f aca="false">IF(D172=1,COUNTIF($D172:D172,1),0)</f>
        <v>0</v>
      </c>
      <c r="E173" s="108" t="n">
        <f aca="false">IF(E172=1,COUNTIF($D172:E172,1),0)</f>
        <v>0</v>
      </c>
      <c r="F173" s="108" t="n">
        <f aca="false">IF(F172=1,COUNTIF($D172:F172,1),0)</f>
        <v>0</v>
      </c>
      <c r="G173" s="108" t="n">
        <f aca="false">IF(G172=1,COUNTIF($D172:G172,1),0)</f>
        <v>0</v>
      </c>
      <c r="H173" s="108" t="n">
        <f aca="false">IF(H172=1,COUNTIF($D172:H172,1),0)</f>
        <v>0</v>
      </c>
      <c r="I173" s="108" t="n">
        <f aca="false">IF(I172=1,COUNTIF($D172:I172,1),0)</f>
        <v>0</v>
      </c>
      <c r="J173" s="108" t="n">
        <f aca="false">IF(J172=1,COUNTIF($D172:J172,1),0)</f>
        <v>0</v>
      </c>
      <c r="K173" s="108" t="n">
        <f aca="false">IF(K172=1,COUNTIF($D172:K172,1),0)</f>
        <v>0</v>
      </c>
      <c r="L173" s="108" t="n">
        <f aca="false">IF(L172=1,COUNTIF($D172:L172,1),0)</f>
        <v>0</v>
      </c>
      <c r="M173" s="108" t="n">
        <f aca="false">IF(M172=1,COUNTIF($D172:M172,1),0)</f>
        <v>0</v>
      </c>
      <c r="N173" s="108" t="n">
        <f aca="false">IF(N172=1,COUNTIF($D172:N172,1),0)</f>
        <v>0</v>
      </c>
      <c r="O173" s="108" t="n">
        <f aca="false">IF(O172=1,COUNTIF($D172:O172,1),0)</f>
        <v>0</v>
      </c>
      <c r="P173" s="108" t="n">
        <f aca="false">IF(P172=1,COUNTIF($D172:P172,1),0)</f>
        <v>0</v>
      </c>
      <c r="Q173" s="108" t="n">
        <f aca="false">IF(Q172=1,COUNTIF($D172:Q172,1),0)</f>
        <v>0</v>
      </c>
      <c r="R173" s="108" t="n">
        <f aca="false">IF(R172=1,COUNTIF($D172:R172,1),0)</f>
        <v>0</v>
      </c>
      <c r="S173" s="108" t="n">
        <f aca="false">IF(S172=1,COUNTIF($D172:S172,1),0)</f>
        <v>0</v>
      </c>
      <c r="T173" s="108" t="n">
        <f aca="false">IF(T172=1,COUNTIF($D172:T172,1),0)</f>
        <v>0</v>
      </c>
      <c r="U173" s="108" t="n">
        <f aca="false">IF(U172=1,COUNTIF($D172:U172,1),0)</f>
        <v>0</v>
      </c>
      <c r="V173" s="108" t="n">
        <f aca="false">IF(V172=1,COUNTIF($D172:V172,1),0)</f>
        <v>0</v>
      </c>
      <c r="W173" s="108" t="n">
        <f aca="false">IF(W172=1,COUNTIF($D172:W172,1),0)</f>
        <v>0</v>
      </c>
      <c r="X173" s="108" t="n">
        <f aca="false">IF(X172=1,COUNTIF($D172:X172,1),0)</f>
        <v>0</v>
      </c>
      <c r="Y173" s="108" t="n">
        <f aca="false">IF(Y172=1,COUNTIF($D172:Y172,1),0)</f>
        <v>0</v>
      </c>
      <c r="Z173" s="108" t="n">
        <f aca="false">IF(Z172=1,COUNTIF($D172:Z172,1),0)</f>
        <v>0</v>
      </c>
      <c r="AA173" s="108" t="n">
        <f aca="false">IF(AA172=1,COUNTIF($D172:AA172,1),0)</f>
        <v>0</v>
      </c>
      <c r="AB173" s="108" t="n">
        <f aca="false">IF(AB172=1,COUNTIF($D172:AB172,1),0)</f>
        <v>0</v>
      </c>
      <c r="AC173" s="108" t="n">
        <f aca="false">IF(AC172=1,COUNTIF($D172:AC172,1),0)</f>
        <v>0</v>
      </c>
      <c r="AD173" s="108" t="n">
        <f aca="false">IF(AD172=1,COUNTIF($D172:AD172,1),0)</f>
        <v>0</v>
      </c>
      <c r="AE173" s="108" t="n">
        <f aca="false">IF(AE172=1,COUNTIF($D172:AE172,1),0)</f>
        <v>0</v>
      </c>
      <c r="AF173" s="108" t="n">
        <f aca="false">IF(AF172=1,COUNTIF($D172:AF172,1),0)</f>
        <v>0</v>
      </c>
      <c r="AG173" s="108" t="n">
        <f aca="false">IF(AG172=1,COUNTIF($D172:AG172,1),0)</f>
        <v>0</v>
      </c>
      <c r="AH173" s="108" t="n">
        <f aca="false">IF(AH172=1,COUNTIF($D172:AH172,1),0)</f>
        <v>0</v>
      </c>
      <c r="AI173" s="108" t="n">
        <f aca="false">IF(AI172=1,COUNTIF($D172:AI172,1),0)</f>
        <v>0</v>
      </c>
      <c r="AJ173" s="108" t="n">
        <f aca="false">IF(AJ172=1,COUNTIF($D172:AJ172,1),0)</f>
        <v>0</v>
      </c>
      <c r="AK173" s="108" t="n">
        <f aca="false">IF(AK172=1,COUNTIF($D172:AK172,1),0)</f>
        <v>0</v>
      </c>
      <c r="AL173" s="108" t="n">
        <f aca="false">IF(AL172=1,COUNTIF($D172:AL172,1),0)</f>
        <v>0</v>
      </c>
      <c r="AM173" s="108" t="n">
        <f aca="false">IF(AM172=1,COUNTIF($D172:AM172,1),0)</f>
        <v>0</v>
      </c>
      <c r="AN173" s="108" t="n">
        <f aca="false">IF(AN172=1,COUNTIF($D172:AN172,1),0)</f>
        <v>0</v>
      </c>
      <c r="AO173" s="108" t="n">
        <f aca="false">IF(AO172=1,COUNTIF($D172:AO172,1),0)</f>
        <v>0</v>
      </c>
      <c r="AP173" s="108" t="n">
        <f aca="false">IF(AP172=1,COUNTIF($D172:AP172,1),0)</f>
        <v>0</v>
      </c>
      <c r="AQ173" s="108" t="n">
        <f aca="false">IF(AQ172=1,COUNTIF($D172:AQ172,1),0)</f>
        <v>0</v>
      </c>
    </row>
    <row r="174" customFormat="false" ht="15" hidden="false" customHeight="false" outlineLevel="0" collapsed="false">
      <c r="B174" s="17" t="s">
        <v>651</v>
      </c>
      <c r="C174" s="105" t="str">
        <f aca="false">IF(INPUTS!$M$144="","",IF(INPUTS!$M$144&lt;&gt;"OK","ERROR",IF(C172=IF(INPUTS!$F$144&lt;&gt;"Yes",0,IF(OR(INPUTS!$J$144="Upfront",INPUTS!$J$144="Even",INPUTS!$J$144="Front-loaded",INPUTS!$J$144="Back-loaded",INPUTS!$J$144="S-curve"),IF(ISNUMBER(INPUTS!$K$144),IF(INPUTS!$J$144="Upfront",INPUTS!$K$144,INPUTS!$L$144)-INPUTS!$K$144+1,0),IF(INPUTS!$J$144="Follow Project Life",INPUTS!$C$29,IF(INPUTS!$J$144="At Project End",1,0)))),"OK","ERROR")))</f>
        <v>OK</v>
      </c>
    </row>
    <row r="175" customFormat="false" ht="15" hidden="false" customHeight="false" outlineLevel="0" collapsed="false">
      <c r="B175" s="110" t="str">
        <f aca="false">IF(INPUTS!$B$145="","Spare cost row",INPUTS!$B$145)</f>
        <v>Furnishing Cost for Studios</v>
      </c>
      <c r="C175" s="111" t="str">
        <f aca="false">IF(INPUTS!$J$145="","",INPUTS!$J$145)</f>
        <v>Follow Construction</v>
      </c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</row>
    <row r="176" customFormat="false" ht="15" hidden="false" customHeight="false" outlineLevel="0" collapsed="false">
      <c r="B176" s="3" t="s">
        <v>649</v>
      </c>
      <c r="C176" s="107" t="n">
        <f aca="false">SUM(D176:AQ176)</f>
        <v>0</v>
      </c>
      <c r="D176" s="108" t="n">
        <f aca="false">IF(OR(INPUTS!$F$145&lt;&gt;"Yes",D$16=0),0,IF(OR(INPUTS!$J$145="Upfront",INPUTS!$J$145="Even",INPUTS!$J$145="Front-loaded",INPUTS!$J$145="Back-loaded",INPUTS!$J$145="S-curve"),IF(AND(ISNUMBER(INPUTS!$K$145),D$7&gt;=INPUTS!$K$145,D$7&lt;=IF(INPUTS!$J$145="Upfront",INPUTS!$K$145,INPUTS!$L$145)),1,0),IF(INPUTS!$J$145="Follow Project Life",D$17,IF(INPUTS!$J$145="At Project End",--(D$7=INPUTS!$C$29),0))))</f>
        <v>0</v>
      </c>
      <c r="E176" s="108" t="n">
        <f aca="false">IF(OR(INPUTS!$F$145&lt;&gt;"Yes",E$16=0),0,IF(OR(INPUTS!$J$145="Upfront",INPUTS!$J$145="Even",INPUTS!$J$145="Front-loaded",INPUTS!$J$145="Back-loaded",INPUTS!$J$145="S-curve"),IF(AND(ISNUMBER(INPUTS!$K$145),E$7&gt;=INPUTS!$K$145,E$7&lt;=IF(INPUTS!$J$145="Upfront",INPUTS!$K$145,INPUTS!$L$145)),1,0),IF(INPUTS!$J$145="Follow Project Life",E$17,IF(INPUTS!$J$145="At Project End",--(E$7=INPUTS!$C$29),0))))</f>
        <v>0</v>
      </c>
      <c r="F176" s="108" t="n">
        <f aca="false">IF(OR(INPUTS!$F$145&lt;&gt;"Yes",F$16=0),0,IF(OR(INPUTS!$J$145="Upfront",INPUTS!$J$145="Even",INPUTS!$J$145="Front-loaded",INPUTS!$J$145="Back-loaded",INPUTS!$J$145="S-curve"),IF(AND(ISNUMBER(INPUTS!$K$145),F$7&gt;=INPUTS!$K$145,F$7&lt;=IF(INPUTS!$J$145="Upfront",INPUTS!$K$145,INPUTS!$L$145)),1,0),IF(INPUTS!$J$145="Follow Project Life",F$17,IF(INPUTS!$J$145="At Project End",--(F$7=INPUTS!$C$29),0))))</f>
        <v>0</v>
      </c>
      <c r="G176" s="108" t="n">
        <f aca="false">IF(OR(INPUTS!$F$145&lt;&gt;"Yes",G$16=0),0,IF(OR(INPUTS!$J$145="Upfront",INPUTS!$J$145="Even",INPUTS!$J$145="Front-loaded",INPUTS!$J$145="Back-loaded",INPUTS!$J$145="S-curve"),IF(AND(ISNUMBER(INPUTS!$K$145),G$7&gt;=INPUTS!$K$145,G$7&lt;=IF(INPUTS!$J$145="Upfront",INPUTS!$K$145,INPUTS!$L$145)),1,0),IF(INPUTS!$J$145="Follow Project Life",G$17,IF(INPUTS!$J$145="At Project End",--(G$7=INPUTS!$C$29),0))))</f>
        <v>0</v>
      </c>
      <c r="H176" s="108" t="n">
        <f aca="false">IF(OR(INPUTS!$F$145&lt;&gt;"Yes",H$16=0),0,IF(OR(INPUTS!$J$145="Upfront",INPUTS!$J$145="Even",INPUTS!$J$145="Front-loaded",INPUTS!$J$145="Back-loaded",INPUTS!$J$145="S-curve"),IF(AND(ISNUMBER(INPUTS!$K$145),H$7&gt;=INPUTS!$K$145,H$7&lt;=IF(INPUTS!$J$145="Upfront",INPUTS!$K$145,INPUTS!$L$145)),1,0),IF(INPUTS!$J$145="Follow Project Life",H$17,IF(INPUTS!$J$145="At Project End",--(H$7=INPUTS!$C$29),0))))</f>
        <v>0</v>
      </c>
      <c r="I176" s="108" t="n">
        <f aca="false">IF(OR(INPUTS!$F$145&lt;&gt;"Yes",I$16=0),0,IF(OR(INPUTS!$J$145="Upfront",INPUTS!$J$145="Even",INPUTS!$J$145="Front-loaded",INPUTS!$J$145="Back-loaded",INPUTS!$J$145="S-curve"),IF(AND(ISNUMBER(INPUTS!$K$145),I$7&gt;=INPUTS!$K$145,I$7&lt;=IF(INPUTS!$J$145="Upfront",INPUTS!$K$145,INPUTS!$L$145)),1,0),IF(INPUTS!$J$145="Follow Project Life",I$17,IF(INPUTS!$J$145="At Project End",--(I$7=INPUTS!$C$29),0))))</f>
        <v>0</v>
      </c>
      <c r="J176" s="108" t="n">
        <f aca="false">IF(OR(INPUTS!$F$145&lt;&gt;"Yes",J$16=0),0,IF(OR(INPUTS!$J$145="Upfront",INPUTS!$J$145="Even",INPUTS!$J$145="Front-loaded",INPUTS!$J$145="Back-loaded",INPUTS!$J$145="S-curve"),IF(AND(ISNUMBER(INPUTS!$K$145),J$7&gt;=INPUTS!$K$145,J$7&lt;=IF(INPUTS!$J$145="Upfront",INPUTS!$K$145,INPUTS!$L$145)),1,0),IF(INPUTS!$J$145="Follow Project Life",J$17,IF(INPUTS!$J$145="At Project End",--(J$7=INPUTS!$C$29),0))))</f>
        <v>0</v>
      </c>
      <c r="K176" s="108" t="n">
        <f aca="false">IF(OR(INPUTS!$F$145&lt;&gt;"Yes",K$16=0),0,IF(OR(INPUTS!$J$145="Upfront",INPUTS!$J$145="Even",INPUTS!$J$145="Front-loaded",INPUTS!$J$145="Back-loaded",INPUTS!$J$145="S-curve"),IF(AND(ISNUMBER(INPUTS!$K$145),K$7&gt;=INPUTS!$K$145,K$7&lt;=IF(INPUTS!$J$145="Upfront",INPUTS!$K$145,INPUTS!$L$145)),1,0),IF(INPUTS!$J$145="Follow Project Life",K$17,IF(INPUTS!$J$145="At Project End",--(K$7=INPUTS!$C$29),0))))</f>
        <v>0</v>
      </c>
      <c r="L176" s="108" t="n">
        <f aca="false">IF(OR(INPUTS!$F$145&lt;&gt;"Yes",L$16=0),0,IF(OR(INPUTS!$J$145="Upfront",INPUTS!$J$145="Even",INPUTS!$J$145="Front-loaded",INPUTS!$J$145="Back-loaded",INPUTS!$J$145="S-curve"),IF(AND(ISNUMBER(INPUTS!$K$145),L$7&gt;=INPUTS!$K$145,L$7&lt;=IF(INPUTS!$J$145="Upfront",INPUTS!$K$145,INPUTS!$L$145)),1,0),IF(INPUTS!$J$145="Follow Project Life",L$17,IF(INPUTS!$J$145="At Project End",--(L$7=INPUTS!$C$29),0))))</f>
        <v>0</v>
      </c>
      <c r="M176" s="108" t="n">
        <f aca="false">IF(OR(INPUTS!$F$145&lt;&gt;"Yes",M$16=0),0,IF(OR(INPUTS!$J$145="Upfront",INPUTS!$J$145="Even",INPUTS!$J$145="Front-loaded",INPUTS!$J$145="Back-loaded",INPUTS!$J$145="S-curve"),IF(AND(ISNUMBER(INPUTS!$K$145),M$7&gt;=INPUTS!$K$145,M$7&lt;=IF(INPUTS!$J$145="Upfront",INPUTS!$K$145,INPUTS!$L$145)),1,0),IF(INPUTS!$J$145="Follow Project Life",M$17,IF(INPUTS!$J$145="At Project End",--(M$7=INPUTS!$C$29),0))))</f>
        <v>0</v>
      </c>
      <c r="N176" s="108" t="n">
        <f aca="false">IF(OR(INPUTS!$F$145&lt;&gt;"Yes",N$16=0),0,IF(OR(INPUTS!$J$145="Upfront",INPUTS!$J$145="Even",INPUTS!$J$145="Front-loaded",INPUTS!$J$145="Back-loaded",INPUTS!$J$145="S-curve"),IF(AND(ISNUMBER(INPUTS!$K$145),N$7&gt;=INPUTS!$K$145,N$7&lt;=IF(INPUTS!$J$145="Upfront",INPUTS!$K$145,INPUTS!$L$145)),1,0),IF(INPUTS!$J$145="Follow Project Life",N$17,IF(INPUTS!$J$145="At Project End",--(N$7=INPUTS!$C$29),0))))</f>
        <v>0</v>
      </c>
      <c r="O176" s="108" t="n">
        <f aca="false">IF(OR(INPUTS!$F$145&lt;&gt;"Yes",O$16=0),0,IF(OR(INPUTS!$J$145="Upfront",INPUTS!$J$145="Even",INPUTS!$J$145="Front-loaded",INPUTS!$J$145="Back-loaded",INPUTS!$J$145="S-curve"),IF(AND(ISNUMBER(INPUTS!$K$145),O$7&gt;=INPUTS!$K$145,O$7&lt;=IF(INPUTS!$J$145="Upfront",INPUTS!$K$145,INPUTS!$L$145)),1,0),IF(INPUTS!$J$145="Follow Project Life",O$17,IF(INPUTS!$J$145="At Project End",--(O$7=INPUTS!$C$29),0))))</f>
        <v>0</v>
      </c>
      <c r="P176" s="108" t="n">
        <f aca="false">IF(OR(INPUTS!$F$145&lt;&gt;"Yes",P$16=0),0,IF(OR(INPUTS!$J$145="Upfront",INPUTS!$J$145="Even",INPUTS!$J$145="Front-loaded",INPUTS!$J$145="Back-loaded",INPUTS!$J$145="S-curve"),IF(AND(ISNUMBER(INPUTS!$K$145),P$7&gt;=INPUTS!$K$145,P$7&lt;=IF(INPUTS!$J$145="Upfront",INPUTS!$K$145,INPUTS!$L$145)),1,0),IF(INPUTS!$J$145="Follow Project Life",P$17,IF(INPUTS!$J$145="At Project End",--(P$7=INPUTS!$C$29),0))))</f>
        <v>0</v>
      </c>
      <c r="Q176" s="108" t="n">
        <f aca="false">IF(OR(INPUTS!$F$145&lt;&gt;"Yes",Q$16=0),0,IF(OR(INPUTS!$J$145="Upfront",INPUTS!$J$145="Even",INPUTS!$J$145="Front-loaded",INPUTS!$J$145="Back-loaded",INPUTS!$J$145="S-curve"),IF(AND(ISNUMBER(INPUTS!$K$145),Q$7&gt;=INPUTS!$K$145,Q$7&lt;=IF(INPUTS!$J$145="Upfront",INPUTS!$K$145,INPUTS!$L$145)),1,0),IF(INPUTS!$J$145="Follow Project Life",Q$17,IF(INPUTS!$J$145="At Project End",--(Q$7=INPUTS!$C$29),0))))</f>
        <v>0</v>
      </c>
      <c r="R176" s="108" t="n">
        <f aca="false">IF(OR(INPUTS!$F$145&lt;&gt;"Yes",R$16=0),0,IF(OR(INPUTS!$J$145="Upfront",INPUTS!$J$145="Even",INPUTS!$J$145="Front-loaded",INPUTS!$J$145="Back-loaded",INPUTS!$J$145="S-curve"),IF(AND(ISNUMBER(INPUTS!$K$145),R$7&gt;=INPUTS!$K$145,R$7&lt;=IF(INPUTS!$J$145="Upfront",INPUTS!$K$145,INPUTS!$L$145)),1,0),IF(INPUTS!$J$145="Follow Project Life",R$17,IF(INPUTS!$J$145="At Project End",--(R$7=INPUTS!$C$29),0))))</f>
        <v>0</v>
      </c>
      <c r="S176" s="108" t="n">
        <f aca="false">IF(OR(INPUTS!$F$145&lt;&gt;"Yes",S$16=0),0,IF(OR(INPUTS!$J$145="Upfront",INPUTS!$J$145="Even",INPUTS!$J$145="Front-loaded",INPUTS!$J$145="Back-loaded",INPUTS!$J$145="S-curve"),IF(AND(ISNUMBER(INPUTS!$K$145),S$7&gt;=INPUTS!$K$145,S$7&lt;=IF(INPUTS!$J$145="Upfront",INPUTS!$K$145,INPUTS!$L$145)),1,0),IF(INPUTS!$J$145="Follow Project Life",S$17,IF(INPUTS!$J$145="At Project End",--(S$7=INPUTS!$C$29),0))))</f>
        <v>0</v>
      </c>
      <c r="T176" s="108" t="n">
        <f aca="false">IF(OR(INPUTS!$F$145&lt;&gt;"Yes",T$16=0),0,IF(OR(INPUTS!$J$145="Upfront",INPUTS!$J$145="Even",INPUTS!$J$145="Front-loaded",INPUTS!$J$145="Back-loaded",INPUTS!$J$145="S-curve"),IF(AND(ISNUMBER(INPUTS!$K$145),T$7&gt;=INPUTS!$K$145,T$7&lt;=IF(INPUTS!$J$145="Upfront",INPUTS!$K$145,INPUTS!$L$145)),1,0),IF(INPUTS!$J$145="Follow Project Life",T$17,IF(INPUTS!$J$145="At Project End",--(T$7=INPUTS!$C$29),0))))</f>
        <v>0</v>
      </c>
      <c r="U176" s="108" t="n">
        <f aca="false">IF(OR(INPUTS!$F$145&lt;&gt;"Yes",U$16=0),0,IF(OR(INPUTS!$J$145="Upfront",INPUTS!$J$145="Even",INPUTS!$J$145="Front-loaded",INPUTS!$J$145="Back-loaded",INPUTS!$J$145="S-curve"),IF(AND(ISNUMBER(INPUTS!$K$145),U$7&gt;=INPUTS!$K$145,U$7&lt;=IF(INPUTS!$J$145="Upfront",INPUTS!$K$145,INPUTS!$L$145)),1,0),IF(INPUTS!$J$145="Follow Project Life",U$17,IF(INPUTS!$J$145="At Project End",--(U$7=INPUTS!$C$29),0))))</f>
        <v>0</v>
      </c>
      <c r="V176" s="108" t="n">
        <f aca="false">IF(OR(INPUTS!$F$145&lt;&gt;"Yes",V$16=0),0,IF(OR(INPUTS!$J$145="Upfront",INPUTS!$J$145="Even",INPUTS!$J$145="Front-loaded",INPUTS!$J$145="Back-loaded",INPUTS!$J$145="S-curve"),IF(AND(ISNUMBER(INPUTS!$K$145),V$7&gt;=INPUTS!$K$145,V$7&lt;=IF(INPUTS!$J$145="Upfront",INPUTS!$K$145,INPUTS!$L$145)),1,0),IF(INPUTS!$J$145="Follow Project Life",V$17,IF(INPUTS!$J$145="At Project End",--(V$7=INPUTS!$C$29),0))))</f>
        <v>0</v>
      </c>
      <c r="W176" s="108" t="n">
        <f aca="false">IF(OR(INPUTS!$F$145&lt;&gt;"Yes",W$16=0),0,IF(OR(INPUTS!$J$145="Upfront",INPUTS!$J$145="Even",INPUTS!$J$145="Front-loaded",INPUTS!$J$145="Back-loaded",INPUTS!$J$145="S-curve"),IF(AND(ISNUMBER(INPUTS!$K$145),W$7&gt;=INPUTS!$K$145,W$7&lt;=IF(INPUTS!$J$145="Upfront",INPUTS!$K$145,INPUTS!$L$145)),1,0),IF(INPUTS!$J$145="Follow Project Life",W$17,IF(INPUTS!$J$145="At Project End",--(W$7=INPUTS!$C$29),0))))</f>
        <v>0</v>
      </c>
      <c r="X176" s="108" t="n">
        <f aca="false">IF(OR(INPUTS!$F$145&lt;&gt;"Yes",X$16=0),0,IF(OR(INPUTS!$J$145="Upfront",INPUTS!$J$145="Even",INPUTS!$J$145="Front-loaded",INPUTS!$J$145="Back-loaded",INPUTS!$J$145="S-curve"),IF(AND(ISNUMBER(INPUTS!$K$145),X$7&gt;=INPUTS!$K$145,X$7&lt;=IF(INPUTS!$J$145="Upfront",INPUTS!$K$145,INPUTS!$L$145)),1,0),IF(INPUTS!$J$145="Follow Project Life",X$17,IF(INPUTS!$J$145="At Project End",--(X$7=INPUTS!$C$29),0))))</f>
        <v>0</v>
      </c>
      <c r="Y176" s="108" t="n">
        <f aca="false">IF(OR(INPUTS!$F$145&lt;&gt;"Yes",Y$16=0),0,IF(OR(INPUTS!$J$145="Upfront",INPUTS!$J$145="Even",INPUTS!$J$145="Front-loaded",INPUTS!$J$145="Back-loaded",INPUTS!$J$145="S-curve"),IF(AND(ISNUMBER(INPUTS!$K$145),Y$7&gt;=INPUTS!$K$145,Y$7&lt;=IF(INPUTS!$J$145="Upfront",INPUTS!$K$145,INPUTS!$L$145)),1,0),IF(INPUTS!$J$145="Follow Project Life",Y$17,IF(INPUTS!$J$145="At Project End",--(Y$7=INPUTS!$C$29),0))))</f>
        <v>0</v>
      </c>
      <c r="Z176" s="108" t="n">
        <f aca="false">IF(OR(INPUTS!$F$145&lt;&gt;"Yes",Z$16=0),0,IF(OR(INPUTS!$J$145="Upfront",INPUTS!$J$145="Even",INPUTS!$J$145="Front-loaded",INPUTS!$J$145="Back-loaded",INPUTS!$J$145="S-curve"),IF(AND(ISNUMBER(INPUTS!$K$145),Z$7&gt;=INPUTS!$K$145,Z$7&lt;=IF(INPUTS!$J$145="Upfront",INPUTS!$K$145,INPUTS!$L$145)),1,0),IF(INPUTS!$J$145="Follow Project Life",Z$17,IF(INPUTS!$J$145="At Project End",--(Z$7=INPUTS!$C$29),0))))</f>
        <v>0</v>
      </c>
      <c r="AA176" s="108" t="n">
        <f aca="false">IF(OR(INPUTS!$F$145&lt;&gt;"Yes",AA$16=0),0,IF(OR(INPUTS!$J$145="Upfront",INPUTS!$J$145="Even",INPUTS!$J$145="Front-loaded",INPUTS!$J$145="Back-loaded",INPUTS!$J$145="S-curve"),IF(AND(ISNUMBER(INPUTS!$K$145),AA$7&gt;=INPUTS!$K$145,AA$7&lt;=IF(INPUTS!$J$145="Upfront",INPUTS!$K$145,INPUTS!$L$145)),1,0),IF(INPUTS!$J$145="Follow Project Life",AA$17,IF(INPUTS!$J$145="At Project End",--(AA$7=INPUTS!$C$29),0))))</f>
        <v>0</v>
      </c>
      <c r="AB176" s="108" t="n">
        <f aca="false">IF(OR(INPUTS!$F$145&lt;&gt;"Yes",AB$16=0),0,IF(OR(INPUTS!$J$145="Upfront",INPUTS!$J$145="Even",INPUTS!$J$145="Front-loaded",INPUTS!$J$145="Back-loaded",INPUTS!$J$145="S-curve"),IF(AND(ISNUMBER(INPUTS!$K$145),AB$7&gt;=INPUTS!$K$145,AB$7&lt;=IF(INPUTS!$J$145="Upfront",INPUTS!$K$145,INPUTS!$L$145)),1,0),IF(INPUTS!$J$145="Follow Project Life",AB$17,IF(INPUTS!$J$145="At Project End",--(AB$7=INPUTS!$C$29),0))))</f>
        <v>0</v>
      </c>
      <c r="AC176" s="108" t="n">
        <f aca="false">IF(OR(INPUTS!$F$145&lt;&gt;"Yes",AC$16=0),0,IF(OR(INPUTS!$J$145="Upfront",INPUTS!$J$145="Even",INPUTS!$J$145="Front-loaded",INPUTS!$J$145="Back-loaded",INPUTS!$J$145="S-curve"),IF(AND(ISNUMBER(INPUTS!$K$145),AC$7&gt;=INPUTS!$K$145,AC$7&lt;=IF(INPUTS!$J$145="Upfront",INPUTS!$K$145,INPUTS!$L$145)),1,0),IF(INPUTS!$J$145="Follow Project Life",AC$17,IF(INPUTS!$J$145="At Project End",--(AC$7=INPUTS!$C$29),0))))</f>
        <v>0</v>
      </c>
      <c r="AD176" s="108" t="n">
        <f aca="false">IF(OR(INPUTS!$F$145&lt;&gt;"Yes",AD$16=0),0,IF(OR(INPUTS!$J$145="Upfront",INPUTS!$J$145="Even",INPUTS!$J$145="Front-loaded",INPUTS!$J$145="Back-loaded",INPUTS!$J$145="S-curve"),IF(AND(ISNUMBER(INPUTS!$K$145),AD$7&gt;=INPUTS!$K$145,AD$7&lt;=IF(INPUTS!$J$145="Upfront",INPUTS!$K$145,INPUTS!$L$145)),1,0),IF(INPUTS!$J$145="Follow Project Life",AD$17,IF(INPUTS!$J$145="At Project End",--(AD$7=INPUTS!$C$29),0))))</f>
        <v>0</v>
      </c>
      <c r="AE176" s="108" t="n">
        <f aca="false">IF(OR(INPUTS!$F$145&lt;&gt;"Yes",AE$16=0),0,IF(OR(INPUTS!$J$145="Upfront",INPUTS!$J$145="Even",INPUTS!$J$145="Front-loaded",INPUTS!$J$145="Back-loaded",INPUTS!$J$145="S-curve"),IF(AND(ISNUMBER(INPUTS!$K$145),AE$7&gt;=INPUTS!$K$145,AE$7&lt;=IF(INPUTS!$J$145="Upfront",INPUTS!$K$145,INPUTS!$L$145)),1,0),IF(INPUTS!$J$145="Follow Project Life",AE$17,IF(INPUTS!$J$145="At Project End",--(AE$7=INPUTS!$C$29),0))))</f>
        <v>0</v>
      </c>
      <c r="AF176" s="108" t="n">
        <f aca="false">IF(OR(INPUTS!$F$145&lt;&gt;"Yes",AF$16=0),0,IF(OR(INPUTS!$J$145="Upfront",INPUTS!$J$145="Even",INPUTS!$J$145="Front-loaded",INPUTS!$J$145="Back-loaded",INPUTS!$J$145="S-curve"),IF(AND(ISNUMBER(INPUTS!$K$145),AF$7&gt;=INPUTS!$K$145,AF$7&lt;=IF(INPUTS!$J$145="Upfront",INPUTS!$K$145,INPUTS!$L$145)),1,0),IF(INPUTS!$J$145="Follow Project Life",AF$17,IF(INPUTS!$J$145="At Project End",--(AF$7=INPUTS!$C$29),0))))</f>
        <v>0</v>
      </c>
      <c r="AG176" s="108" t="n">
        <f aca="false">IF(OR(INPUTS!$F$145&lt;&gt;"Yes",AG$16=0),0,IF(OR(INPUTS!$J$145="Upfront",INPUTS!$J$145="Even",INPUTS!$J$145="Front-loaded",INPUTS!$J$145="Back-loaded",INPUTS!$J$145="S-curve"),IF(AND(ISNUMBER(INPUTS!$K$145),AG$7&gt;=INPUTS!$K$145,AG$7&lt;=IF(INPUTS!$J$145="Upfront",INPUTS!$K$145,INPUTS!$L$145)),1,0),IF(INPUTS!$J$145="Follow Project Life",AG$17,IF(INPUTS!$J$145="At Project End",--(AG$7=INPUTS!$C$29),0))))</f>
        <v>0</v>
      </c>
      <c r="AH176" s="108" t="n">
        <f aca="false">IF(OR(INPUTS!$F$145&lt;&gt;"Yes",AH$16=0),0,IF(OR(INPUTS!$J$145="Upfront",INPUTS!$J$145="Even",INPUTS!$J$145="Front-loaded",INPUTS!$J$145="Back-loaded",INPUTS!$J$145="S-curve"),IF(AND(ISNUMBER(INPUTS!$K$145),AH$7&gt;=INPUTS!$K$145,AH$7&lt;=IF(INPUTS!$J$145="Upfront",INPUTS!$K$145,INPUTS!$L$145)),1,0),IF(INPUTS!$J$145="Follow Project Life",AH$17,IF(INPUTS!$J$145="At Project End",--(AH$7=INPUTS!$C$29),0))))</f>
        <v>0</v>
      </c>
      <c r="AI176" s="108" t="n">
        <f aca="false">IF(OR(INPUTS!$F$145&lt;&gt;"Yes",AI$16=0),0,IF(OR(INPUTS!$J$145="Upfront",INPUTS!$J$145="Even",INPUTS!$J$145="Front-loaded",INPUTS!$J$145="Back-loaded",INPUTS!$J$145="S-curve"),IF(AND(ISNUMBER(INPUTS!$K$145),AI$7&gt;=INPUTS!$K$145,AI$7&lt;=IF(INPUTS!$J$145="Upfront",INPUTS!$K$145,INPUTS!$L$145)),1,0),IF(INPUTS!$J$145="Follow Project Life",AI$17,IF(INPUTS!$J$145="At Project End",--(AI$7=INPUTS!$C$29),0))))</f>
        <v>0</v>
      </c>
      <c r="AJ176" s="108" t="n">
        <f aca="false">IF(OR(INPUTS!$F$145&lt;&gt;"Yes",AJ$16=0),0,IF(OR(INPUTS!$J$145="Upfront",INPUTS!$J$145="Even",INPUTS!$J$145="Front-loaded",INPUTS!$J$145="Back-loaded",INPUTS!$J$145="S-curve"),IF(AND(ISNUMBER(INPUTS!$K$145),AJ$7&gt;=INPUTS!$K$145,AJ$7&lt;=IF(INPUTS!$J$145="Upfront",INPUTS!$K$145,INPUTS!$L$145)),1,0),IF(INPUTS!$J$145="Follow Project Life",AJ$17,IF(INPUTS!$J$145="At Project End",--(AJ$7=INPUTS!$C$29),0))))</f>
        <v>0</v>
      </c>
      <c r="AK176" s="108" t="n">
        <f aca="false">IF(OR(INPUTS!$F$145&lt;&gt;"Yes",AK$16=0),0,IF(OR(INPUTS!$J$145="Upfront",INPUTS!$J$145="Even",INPUTS!$J$145="Front-loaded",INPUTS!$J$145="Back-loaded",INPUTS!$J$145="S-curve"),IF(AND(ISNUMBER(INPUTS!$K$145),AK$7&gt;=INPUTS!$K$145,AK$7&lt;=IF(INPUTS!$J$145="Upfront",INPUTS!$K$145,INPUTS!$L$145)),1,0),IF(INPUTS!$J$145="Follow Project Life",AK$17,IF(INPUTS!$J$145="At Project End",--(AK$7=INPUTS!$C$29),0))))</f>
        <v>0</v>
      </c>
      <c r="AL176" s="108" t="n">
        <f aca="false">IF(OR(INPUTS!$F$145&lt;&gt;"Yes",AL$16=0),0,IF(OR(INPUTS!$J$145="Upfront",INPUTS!$J$145="Even",INPUTS!$J$145="Front-loaded",INPUTS!$J$145="Back-loaded",INPUTS!$J$145="S-curve"),IF(AND(ISNUMBER(INPUTS!$K$145),AL$7&gt;=INPUTS!$K$145,AL$7&lt;=IF(INPUTS!$J$145="Upfront",INPUTS!$K$145,INPUTS!$L$145)),1,0),IF(INPUTS!$J$145="Follow Project Life",AL$17,IF(INPUTS!$J$145="At Project End",--(AL$7=INPUTS!$C$29),0))))</f>
        <v>0</v>
      </c>
      <c r="AM176" s="108" t="n">
        <f aca="false">IF(OR(INPUTS!$F$145&lt;&gt;"Yes",AM$16=0),0,IF(OR(INPUTS!$J$145="Upfront",INPUTS!$J$145="Even",INPUTS!$J$145="Front-loaded",INPUTS!$J$145="Back-loaded",INPUTS!$J$145="S-curve"),IF(AND(ISNUMBER(INPUTS!$K$145),AM$7&gt;=INPUTS!$K$145,AM$7&lt;=IF(INPUTS!$J$145="Upfront",INPUTS!$K$145,INPUTS!$L$145)),1,0),IF(INPUTS!$J$145="Follow Project Life",AM$17,IF(INPUTS!$J$145="At Project End",--(AM$7=INPUTS!$C$29),0))))</f>
        <v>0</v>
      </c>
      <c r="AN176" s="108" t="n">
        <f aca="false">IF(OR(INPUTS!$F$145&lt;&gt;"Yes",AN$16=0),0,IF(OR(INPUTS!$J$145="Upfront",INPUTS!$J$145="Even",INPUTS!$J$145="Front-loaded",INPUTS!$J$145="Back-loaded",INPUTS!$J$145="S-curve"),IF(AND(ISNUMBER(INPUTS!$K$145),AN$7&gt;=INPUTS!$K$145,AN$7&lt;=IF(INPUTS!$J$145="Upfront",INPUTS!$K$145,INPUTS!$L$145)),1,0),IF(INPUTS!$J$145="Follow Project Life",AN$17,IF(INPUTS!$J$145="At Project End",--(AN$7=INPUTS!$C$29),0))))</f>
        <v>0</v>
      </c>
      <c r="AO176" s="108" t="n">
        <f aca="false">IF(OR(INPUTS!$F$145&lt;&gt;"Yes",AO$16=0),0,IF(OR(INPUTS!$J$145="Upfront",INPUTS!$J$145="Even",INPUTS!$J$145="Front-loaded",INPUTS!$J$145="Back-loaded",INPUTS!$J$145="S-curve"),IF(AND(ISNUMBER(INPUTS!$K$145),AO$7&gt;=INPUTS!$K$145,AO$7&lt;=IF(INPUTS!$J$145="Upfront",INPUTS!$K$145,INPUTS!$L$145)),1,0),IF(INPUTS!$J$145="Follow Project Life",AO$17,IF(INPUTS!$J$145="At Project End",--(AO$7=INPUTS!$C$29),0))))</f>
        <v>0</v>
      </c>
      <c r="AP176" s="108" t="n">
        <f aca="false">IF(OR(INPUTS!$F$145&lt;&gt;"Yes",AP$16=0),0,IF(OR(INPUTS!$J$145="Upfront",INPUTS!$J$145="Even",INPUTS!$J$145="Front-loaded",INPUTS!$J$145="Back-loaded",INPUTS!$J$145="S-curve"),IF(AND(ISNUMBER(INPUTS!$K$145),AP$7&gt;=INPUTS!$K$145,AP$7&lt;=IF(INPUTS!$J$145="Upfront",INPUTS!$K$145,INPUTS!$L$145)),1,0),IF(INPUTS!$J$145="Follow Project Life",AP$17,IF(INPUTS!$J$145="At Project End",--(AP$7=INPUTS!$C$29),0))))</f>
        <v>0</v>
      </c>
      <c r="AQ176" s="108" t="n">
        <f aca="false">IF(OR(INPUTS!$F$145&lt;&gt;"Yes",AQ$16=0),0,IF(OR(INPUTS!$J$145="Upfront",INPUTS!$J$145="Even",INPUTS!$J$145="Front-loaded",INPUTS!$J$145="Back-loaded",INPUTS!$J$145="S-curve"),IF(AND(ISNUMBER(INPUTS!$K$145),AQ$7&gt;=INPUTS!$K$145,AQ$7&lt;=IF(INPUTS!$J$145="Upfront",INPUTS!$K$145,INPUTS!$L$145)),1,0),IF(INPUTS!$J$145="Follow Project Life",AQ$17,IF(INPUTS!$J$145="At Project End",--(AQ$7=INPUTS!$C$29),0))))</f>
        <v>0</v>
      </c>
    </row>
    <row r="177" customFormat="false" ht="15" hidden="false" customHeight="false" outlineLevel="0" collapsed="false">
      <c r="B177" s="3" t="s">
        <v>650</v>
      </c>
      <c r="C177" s="107" t="n">
        <f aca="false">MAX(D177:AQ177)</f>
        <v>0</v>
      </c>
      <c r="D177" s="108" t="n">
        <f aca="false">IF(D176=1,COUNTIF($D176:D176,1),0)</f>
        <v>0</v>
      </c>
      <c r="E177" s="108" t="n">
        <f aca="false">IF(E176=1,COUNTIF($D176:E176,1),0)</f>
        <v>0</v>
      </c>
      <c r="F177" s="108" t="n">
        <f aca="false">IF(F176=1,COUNTIF($D176:F176,1),0)</f>
        <v>0</v>
      </c>
      <c r="G177" s="108" t="n">
        <f aca="false">IF(G176=1,COUNTIF($D176:G176,1),0)</f>
        <v>0</v>
      </c>
      <c r="H177" s="108" t="n">
        <f aca="false">IF(H176=1,COUNTIF($D176:H176,1),0)</f>
        <v>0</v>
      </c>
      <c r="I177" s="108" t="n">
        <f aca="false">IF(I176=1,COUNTIF($D176:I176,1),0)</f>
        <v>0</v>
      </c>
      <c r="J177" s="108" t="n">
        <f aca="false">IF(J176=1,COUNTIF($D176:J176,1),0)</f>
        <v>0</v>
      </c>
      <c r="K177" s="108" t="n">
        <f aca="false">IF(K176=1,COUNTIF($D176:K176,1),0)</f>
        <v>0</v>
      </c>
      <c r="L177" s="108" t="n">
        <f aca="false">IF(L176=1,COUNTIF($D176:L176,1),0)</f>
        <v>0</v>
      </c>
      <c r="M177" s="108" t="n">
        <f aca="false">IF(M176=1,COUNTIF($D176:M176,1),0)</f>
        <v>0</v>
      </c>
      <c r="N177" s="108" t="n">
        <f aca="false">IF(N176=1,COUNTIF($D176:N176,1),0)</f>
        <v>0</v>
      </c>
      <c r="O177" s="108" t="n">
        <f aca="false">IF(O176=1,COUNTIF($D176:O176,1),0)</f>
        <v>0</v>
      </c>
      <c r="P177" s="108" t="n">
        <f aca="false">IF(P176=1,COUNTIF($D176:P176,1),0)</f>
        <v>0</v>
      </c>
      <c r="Q177" s="108" t="n">
        <f aca="false">IF(Q176=1,COUNTIF($D176:Q176,1),0)</f>
        <v>0</v>
      </c>
      <c r="R177" s="108" t="n">
        <f aca="false">IF(R176=1,COUNTIF($D176:R176,1),0)</f>
        <v>0</v>
      </c>
      <c r="S177" s="108" t="n">
        <f aca="false">IF(S176=1,COUNTIF($D176:S176,1),0)</f>
        <v>0</v>
      </c>
      <c r="T177" s="108" t="n">
        <f aca="false">IF(T176=1,COUNTIF($D176:T176,1),0)</f>
        <v>0</v>
      </c>
      <c r="U177" s="108" t="n">
        <f aca="false">IF(U176=1,COUNTIF($D176:U176,1),0)</f>
        <v>0</v>
      </c>
      <c r="V177" s="108" t="n">
        <f aca="false">IF(V176=1,COUNTIF($D176:V176,1),0)</f>
        <v>0</v>
      </c>
      <c r="W177" s="108" t="n">
        <f aca="false">IF(W176=1,COUNTIF($D176:W176,1),0)</f>
        <v>0</v>
      </c>
      <c r="X177" s="108" t="n">
        <f aca="false">IF(X176=1,COUNTIF($D176:X176,1),0)</f>
        <v>0</v>
      </c>
      <c r="Y177" s="108" t="n">
        <f aca="false">IF(Y176=1,COUNTIF($D176:Y176,1),0)</f>
        <v>0</v>
      </c>
      <c r="Z177" s="108" t="n">
        <f aca="false">IF(Z176=1,COUNTIF($D176:Z176,1),0)</f>
        <v>0</v>
      </c>
      <c r="AA177" s="108" t="n">
        <f aca="false">IF(AA176=1,COUNTIF($D176:AA176,1),0)</f>
        <v>0</v>
      </c>
      <c r="AB177" s="108" t="n">
        <f aca="false">IF(AB176=1,COUNTIF($D176:AB176,1),0)</f>
        <v>0</v>
      </c>
      <c r="AC177" s="108" t="n">
        <f aca="false">IF(AC176=1,COUNTIF($D176:AC176,1),0)</f>
        <v>0</v>
      </c>
      <c r="AD177" s="108" t="n">
        <f aca="false">IF(AD176=1,COUNTIF($D176:AD176,1),0)</f>
        <v>0</v>
      </c>
      <c r="AE177" s="108" t="n">
        <f aca="false">IF(AE176=1,COUNTIF($D176:AE176,1),0)</f>
        <v>0</v>
      </c>
      <c r="AF177" s="108" t="n">
        <f aca="false">IF(AF176=1,COUNTIF($D176:AF176,1),0)</f>
        <v>0</v>
      </c>
      <c r="AG177" s="108" t="n">
        <f aca="false">IF(AG176=1,COUNTIF($D176:AG176,1),0)</f>
        <v>0</v>
      </c>
      <c r="AH177" s="108" t="n">
        <f aca="false">IF(AH176=1,COUNTIF($D176:AH176,1),0)</f>
        <v>0</v>
      </c>
      <c r="AI177" s="108" t="n">
        <f aca="false">IF(AI176=1,COUNTIF($D176:AI176,1),0)</f>
        <v>0</v>
      </c>
      <c r="AJ177" s="108" t="n">
        <f aca="false">IF(AJ176=1,COUNTIF($D176:AJ176,1),0)</f>
        <v>0</v>
      </c>
      <c r="AK177" s="108" t="n">
        <f aca="false">IF(AK176=1,COUNTIF($D176:AK176,1),0)</f>
        <v>0</v>
      </c>
      <c r="AL177" s="108" t="n">
        <f aca="false">IF(AL176=1,COUNTIF($D176:AL176,1),0)</f>
        <v>0</v>
      </c>
      <c r="AM177" s="108" t="n">
        <f aca="false">IF(AM176=1,COUNTIF($D176:AM176,1),0)</f>
        <v>0</v>
      </c>
      <c r="AN177" s="108" t="n">
        <f aca="false">IF(AN176=1,COUNTIF($D176:AN176,1),0)</f>
        <v>0</v>
      </c>
      <c r="AO177" s="108" t="n">
        <f aca="false">IF(AO176=1,COUNTIF($D176:AO176,1),0)</f>
        <v>0</v>
      </c>
      <c r="AP177" s="108" t="n">
        <f aca="false">IF(AP176=1,COUNTIF($D176:AP176,1),0)</f>
        <v>0</v>
      </c>
      <c r="AQ177" s="108" t="n">
        <f aca="false">IF(AQ176=1,COUNTIF($D176:AQ176,1),0)</f>
        <v>0</v>
      </c>
    </row>
    <row r="178" customFormat="false" ht="15" hidden="false" customHeight="false" outlineLevel="0" collapsed="false">
      <c r="B178" s="17" t="s">
        <v>651</v>
      </c>
      <c r="C178" s="105" t="str">
        <f aca="false">IF(INPUTS!$M$145="","",IF(INPUTS!$M$145&lt;&gt;"OK","ERROR",IF(C176=IF(INPUTS!$F$145&lt;&gt;"Yes",0,IF(OR(INPUTS!$J$145="Upfront",INPUTS!$J$145="Even",INPUTS!$J$145="Front-loaded",INPUTS!$J$145="Back-loaded",INPUTS!$J$145="S-curve"),IF(ISNUMBER(INPUTS!$K$145),IF(INPUTS!$J$145="Upfront",INPUTS!$K$145,INPUTS!$L$145)-INPUTS!$K$145+1,0),IF(INPUTS!$J$145="Follow Project Life",INPUTS!$C$29,IF(INPUTS!$J$145="At Project End",1,0)))),"OK","ERROR")))</f>
        <v>OK</v>
      </c>
    </row>
    <row r="179" customFormat="false" ht="15" hidden="false" customHeight="false" outlineLevel="0" collapsed="false">
      <c r="B179" s="110" t="str">
        <f aca="false">IF(INPUTS!$B$146="","Spare cost row",INPUTS!$B$146)</f>
        <v>GST cost in case of commercial/Plotting development</v>
      </c>
      <c r="C179" s="111" t="str">
        <f aca="false">IF(INPUTS!$J$146="","",INPUTS!$J$146)</f>
        <v>At Project End</v>
      </c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</row>
    <row r="180" customFormat="false" ht="15" hidden="false" customHeight="false" outlineLevel="0" collapsed="false">
      <c r="B180" s="3" t="s">
        <v>649</v>
      </c>
      <c r="C180" s="107" t="n">
        <f aca="false">SUM(D180:AQ180)</f>
        <v>0</v>
      </c>
      <c r="D180" s="108" t="n">
        <f aca="false">IF(OR(INPUTS!$F$146&lt;&gt;"Yes",D$16=0),0,IF(OR(INPUTS!$J$146="Upfront",INPUTS!$J$146="Even",INPUTS!$J$146="Front-loaded",INPUTS!$J$146="Back-loaded",INPUTS!$J$146="S-curve"),IF(AND(ISNUMBER(INPUTS!$K$146),D$7&gt;=INPUTS!$K$146,D$7&lt;=IF(INPUTS!$J$146="Upfront",INPUTS!$K$146,INPUTS!$L$146)),1,0),IF(INPUTS!$J$146="Follow Project Life",D$17,IF(INPUTS!$J$146="At Project End",--(D$7=INPUTS!$C$29),0))))</f>
        <v>0</v>
      </c>
      <c r="E180" s="108" t="n">
        <f aca="false">IF(OR(INPUTS!$F$146&lt;&gt;"Yes",E$16=0),0,IF(OR(INPUTS!$J$146="Upfront",INPUTS!$J$146="Even",INPUTS!$J$146="Front-loaded",INPUTS!$J$146="Back-loaded",INPUTS!$J$146="S-curve"),IF(AND(ISNUMBER(INPUTS!$K$146),E$7&gt;=INPUTS!$K$146,E$7&lt;=IF(INPUTS!$J$146="Upfront",INPUTS!$K$146,INPUTS!$L$146)),1,0),IF(INPUTS!$J$146="Follow Project Life",E$17,IF(INPUTS!$J$146="At Project End",--(E$7=INPUTS!$C$29),0))))</f>
        <v>0</v>
      </c>
      <c r="F180" s="108" t="n">
        <f aca="false">IF(OR(INPUTS!$F$146&lt;&gt;"Yes",F$16=0),0,IF(OR(INPUTS!$J$146="Upfront",INPUTS!$J$146="Even",INPUTS!$J$146="Front-loaded",INPUTS!$J$146="Back-loaded",INPUTS!$J$146="S-curve"),IF(AND(ISNUMBER(INPUTS!$K$146),F$7&gt;=INPUTS!$K$146,F$7&lt;=IF(INPUTS!$J$146="Upfront",INPUTS!$K$146,INPUTS!$L$146)),1,0),IF(INPUTS!$J$146="Follow Project Life",F$17,IF(INPUTS!$J$146="At Project End",--(F$7=INPUTS!$C$29),0))))</f>
        <v>0</v>
      </c>
      <c r="G180" s="108" t="n">
        <f aca="false">IF(OR(INPUTS!$F$146&lt;&gt;"Yes",G$16=0),0,IF(OR(INPUTS!$J$146="Upfront",INPUTS!$J$146="Even",INPUTS!$J$146="Front-loaded",INPUTS!$J$146="Back-loaded",INPUTS!$J$146="S-curve"),IF(AND(ISNUMBER(INPUTS!$K$146),G$7&gt;=INPUTS!$K$146,G$7&lt;=IF(INPUTS!$J$146="Upfront",INPUTS!$K$146,INPUTS!$L$146)),1,0),IF(INPUTS!$J$146="Follow Project Life",G$17,IF(INPUTS!$J$146="At Project End",--(G$7=INPUTS!$C$29),0))))</f>
        <v>0</v>
      </c>
      <c r="H180" s="108" t="n">
        <f aca="false">IF(OR(INPUTS!$F$146&lt;&gt;"Yes",H$16=0),0,IF(OR(INPUTS!$J$146="Upfront",INPUTS!$J$146="Even",INPUTS!$J$146="Front-loaded",INPUTS!$J$146="Back-loaded",INPUTS!$J$146="S-curve"),IF(AND(ISNUMBER(INPUTS!$K$146),H$7&gt;=INPUTS!$K$146,H$7&lt;=IF(INPUTS!$J$146="Upfront",INPUTS!$K$146,INPUTS!$L$146)),1,0),IF(INPUTS!$J$146="Follow Project Life",H$17,IF(INPUTS!$J$146="At Project End",--(H$7=INPUTS!$C$29),0))))</f>
        <v>0</v>
      </c>
      <c r="I180" s="108" t="n">
        <f aca="false">IF(OR(INPUTS!$F$146&lt;&gt;"Yes",I$16=0),0,IF(OR(INPUTS!$J$146="Upfront",INPUTS!$J$146="Even",INPUTS!$J$146="Front-loaded",INPUTS!$J$146="Back-loaded",INPUTS!$J$146="S-curve"),IF(AND(ISNUMBER(INPUTS!$K$146),I$7&gt;=INPUTS!$K$146,I$7&lt;=IF(INPUTS!$J$146="Upfront",INPUTS!$K$146,INPUTS!$L$146)),1,0),IF(INPUTS!$J$146="Follow Project Life",I$17,IF(INPUTS!$J$146="At Project End",--(I$7=INPUTS!$C$29),0))))</f>
        <v>0</v>
      </c>
      <c r="J180" s="108" t="n">
        <f aca="false">IF(OR(INPUTS!$F$146&lt;&gt;"Yes",J$16=0),0,IF(OR(INPUTS!$J$146="Upfront",INPUTS!$J$146="Even",INPUTS!$J$146="Front-loaded",INPUTS!$J$146="Back-loaded",INPUTS!$J$146="S-curve"),IF(AND(ISNUMBER(INPUTS!$K$146),J$7&gt;=INPUTS!$K$146,J$7&lt;=IF(INPUTS!$J$146="Upfront",INPUTS!$K$146,INPUTS!$L$146)),1,0),IF(INPUTS!$J$146="Follow Project Life",J$17,IF(INPUTS!$J$146="At Project End",--(J$7=INPUTS!$C$29),0))))</f>
        <v>0</v>
      </c>
      <c r="K180" s="108" t="n">
        <f aca="false">IF(OR(INPUTS!$F$146&lt;&gt;"Yes",K$16=0),0,IF(OR(INPUTS!$J$146="Upfront",INPUTS!$J$146="Even",INPUTS!$J$146="Front-loaded",INPUTS!$J$146="Back-loaded",INPUTS!$J$146="S-curve"),IF(AND(ISNUMBER(INPUTS!$K$146),K$7&gt;=INPUTS!$K$146,K$7&lt;=IF(INPUTS!$J$146="Upfront",INPUTS!$K$146,INPUTS!$L$146)),1,0),IF(INPUTS!$J$146="Follow Project Life",K$17,IF(INPUTS!$J$146="At Project End",--(K$7=INPUTS!$C$29),0))))</f>
        <v>0</v>
      </c>
      <c r="L180" s="108" t="n">
        <f aca="false">IF(OR(INPUTS!$F$146&lt;&gt;"Yes",L$16=0),0,IF(OR(INPUTS!$J$146="Upfront",INPUTS!$J$146="Even",INPUTS!$J$146="Front-loaded",INPUTS!$J$146="Back-loaded",INPUTS!$J$146="S-curve"),IF(AND(ISNUMBER(INPUTS!$K$146),L$7&gt;=INPUTS!$K$146,L$7&lt;=IF(INPUTS!$J$146="Upfront",INPUTS!$K$146,INPUTS!$L$146)),1,0),IF(INPUTS!$J$146="Follow Project Life",L$17,IF(INPUTS!$J$146="At Project End",--(L$7=INPUTS!$C$29),0))))</f>
        <v>0</v>
      </c>
      <c r="M180" s="108" t="n">
        <f aca="false">IF(OR(INPUTS!$F$146&lt;&gt;"Yes",M$16=0),0,IF(OR(INPUTS!$J$146="Upfront",INPUTS!$J$146="Even",INPUTS!$J$146="Front-loaded",INPUTS!$J$146="Back-loaded",INPUTS!$J$146="S-curve"),IF(AND(ISNUMBER(INPUTS!$K$146),M$7&gt;=INPUTS!$K$146,M$7&lt;=IF(INPUTS!$J$146="Upfront",INPUTS!$K$146,INPUTS!$L$146)),1,0),IF(INPUTS!$J$146="Follow Project Life",M$17,IF(INPUTS!$J$146="At Project End",--(M$7=INPUTS!$C$29),0))))</f>
        <v>0</v>
      </c>
      <c r="N180" s="108" t="n">
        <f aca="false">IF(OR(INPUTS!$F$146&lt;&gt;"Yes",N$16=0),0,IF(OR(INPUTS!$J$146="Upfront",INPUTS!$J$146="Even",INPUTS!$J$146="Front-loaded",INPUTS!$J$146="Back-loaded",INPUTS!$J$146="S-curve"),IF(AND(ISNUMBER(INPUTS!$K$146),N$7&gt;=INPUTS!$K$146,N$7&lt;=IF(INPUTS!$J$146="Upfront",INPUTS!$K$146,INPUTS!$L$146)),1,0),IF(INPUTS!$J$146="Follow Project Life",N$17,IF(INPUTS!$J$146="At Project End",--(N$7=INPUTS!$C$29),0))))</f>
        <v>0</v>
      </c>
      <c r="O180" s="108" t="n">
        <f aca="false">IF(OR(INPUTS!$F$146&lt;&gt;"Yes",O$16=0),0,IF(OR(INPUTS!$J$146="Upfront",INPUTS!$J$146="Even",INPUTS!$J$146="Front-loaded",INPUTS!$J$146="Back-loaded",INPUTS!$J$146="S-curve"),IF(AND(ISNUMBER(INPUTS!$K$146),O$7&gt;=INPUTS!$K$146,O$7&lt;=IF(INPUTS!$J$146="Upfront",INPUTS!$K$146,INPUTS!$L$146)),1,0),IF(INPUTS!$J$146="Follow Project Life",O$17,IF(INPUTS!$J$146="At Project End",--(O$7=INPUTS!$C$29),0))))</f>
        <v>0</v>
      </c>
      <c r="P180" s="108" t="n">
        <f aca="false">IF(OR(INPUTS!$F$146&lt;&gt;"Yes",P$16=0),0,IF(OR(INPUTS!$J$146="Upfront",INPUTS!$J$146="Even",INPUTS!$J$146="Front-loaded",INPUTS!$J$146="Back-loaded",INPUTS!$J$146="S-curve"),IF(AND(ISNUMBER(INPUTS!$K$146),P$7&gt;=INPUTS!$K$146,P$7&lt;=IF(INPUTS!$J$146="Upfront",INPUTS!$K$146,INPUTS!$L$146)),1,0),IF(INPUTS!$J$146="Follow Project Life",P$17,IF(INPUTS!$J$146="At Project End",--(P$7=INPUTS!$C$29),0))))</f>
        <v>0</v>
      </c>
      <c r="Q180" s="108" t="n">
        <f aca="false">IF(OR(INPUTS!$F$146&lt;&gt;"Yes",Q$16=0),0,IF(OR(INPUTS!$J$146="Upfront",INPUTS!$J$146="Even",INPUTS!$J$146="Front-loaded",INPUTS!$J$146="Back-loaded",INPUTS!$J$146="S-curve"),IF(AND(ISNUMBER(INPUTS!$K$146),Q$7&gt;=INPUTS!$K$146,Q$7&lt;=IF(INPUTS!$J$146="Upfront",INPUTS!$K$146,INPUTS!$L$146)),1,0),IF(INPUTS!$J$146="Follow Project Life",Q$17,IF(INPUTS!$J$146="At Project End",--(Q$7=INPUTS!$C$29),0))))</f>
        <v>0</v>
      </c>
      <c r="R180" s="108" t="n">
        <f aca="false">IF(OR(INPUTS!$F$146&lt;&gt;"Yes",R$16=0),0,IF(OR(INPUTS!$J$146="Upfront",INPUTS!$J$146="Even",INPUTS!$J$146="Front-loaded",INPUTS!$J$146="Back-loaded",INPUTS!$J$146="S-curve"),IF(AND(ISNUMBER(INPUTS!$K$146),R$7&gt;=INPUTS!$K$146,R$7&lt;=IF(INPUTS!$J$146="Upfront",INPUTS!$K$146,INPUTS!$L$146)),1,0),IF(INPUTS!$J$146="Follow Project Life",R$17,IF(INPUTS!$J$146="At Project End",--(R$7=INPUTS!$C$29),0))))</f>
        <v>0</v>
      </c>
      <c r="S180" s="108" t="n">
        <f aca="false">IF(OR(INPUTS!$F$146&lt;&gt;"Yes",S$16=0),0,IF(OR(INPUTS!$J$146="Upfront",INPUTS!$J$146="Even",INPUTS!$J$146="Front-loaded",INPUTS!$J$146="Back-loaded",INPUTS!$J$146="S-curve"),IF(AND(ISNUMBER(INPUTS!$K$146),S$7&gt;=INPUTS!$K$146,S$7&lt;=IF(INPUTS!$J$146="Upfront",INPUTS!$K$146,INPUTS!$L$146)),1,0),IF(INPUTS!$J$146="Follow Project Life",S$17,IF(INPUTS!$J$146="At Project End",--(S$7=INPUTS!$C$29),0))))</f>
        <v>0</v>
      </c>
      <c r="T180" s="108" t="n">
        <f aca="false">IF(OR(INPUTS!$F$146&lt;&gt;"Yes",T$16=0),0,IF(OR(INPUTS!$J$146="Upfront",INPUTS!$J$146="Even",INPUTS!$J$146="Front-loaded",INPUTS!$J$146="Back-loaded",INPUTS!$J$146="S-curve"),IF(AND(ISNUMBER(INPUTS!$K$146),T$7&gt;=INPUTS!$K$146,T$7&lt;=IF(INPUTS!$J$146="Upfront",INPUTS!$K$146,INPUTS!$L$146)),1,0),IF(INPUTS!$J$146="Follow Project Life",T$17,IF(INPUTS!$J$146="At Project End",--(T$7=INPUTS!$C$29),0))))</f>
        <v>0</v>
      </c>
      <c r="U180" s="108" t="n">
        <f aca="false">IF(OR(INPUTS!$F$146&lt;&gt;"Yes",U$16=0),0,IF(OR(INPUTS!$J$146="Upfront",INPUTS!$J$146="Even",INPUTS!$J$146="Front-loaded",INPUTS!$J$146="Back-loaded",INPUTS!$J$146="S-curve"),IF(AND(ISNUMBER(INPUTS!$K$146),U$7&gt;=INPUTS!$K$146,U$7&lt;=IF(INPUTS!$J$146="Upfront",INPUTS!$K$146,INPUTS!$L$146)),1,0),IF(INPUTS!$J$146="Follow Project Life",U$17,IF(INPUTS!$J$146="At Project End",--(U$7=INPUTS!$C$29),0))))</f>
        <v>0</v>
      </c>
      <c r="V180" s="108" t="n">
        <f aca="false">IF(OR(INPUTS!$F$146&lt;&gt;"Yes",V$16=0),0,IF(OR(INPUTS!$J$146="Upfront",INPUTS!$J$146="Even",INPUTS!$J$146="Front-loaded",INPUTS!$J$146="Back-loaded",INPUTS!$J$146="S-curve"),IF(AND(ISNUMBER(INPUTS!$K$146),V$7&gt;=INPUTS!$K$146,V$7&lt;=IF(INPUTS!$J$146="Upfront",INPUTS!$K$146,INPUTS!$L$146)),1,0),IF(INPUTS!$J$146="Follow Project Life",V$17,IF(INPUTS!$J$146="At Project End",--(V$7=INPUTS!$C$29),0))))</f>
        <v>0</v>
      </c>
      <c r="W180" s="108" t="n">
        <f aca="false">IF(OR(INPUTS!$F$146&lt;&gt;"Yes",W$16=0),0,IF(OR(INPUTS!$J$146="Upfront",INPUTS!$J$146="Even",INPUTS!$J$146="Front-loaded",INPUTS!$J$146="Back-loaded",INPUTS!$J$146="S-curve"),IF(AND(ISNUMBER(INPUTS!$K$146),W$7&gt;=INPUTS!$K$146,W$7&lt;=IF(INPUTS!$J$146="Upfront",INPUTS!$K$146,INPUTS!$L$146)),1,0),IF(INPUTS!$J$146="Follow Project Life",W$17,IF(INPUTS!$J$146="At Project End",--(W$7=INPUTS!$C$29),0))))</f>
        <v>0</v>
      </c>
      <c r="X180" s="108" t="n">
        <f aca="false">IF(OR(INPUTS!$F$146&lt;&gt;"Yes",X$16=0),0,IF(OR(INPUTS!$J$146="Upfront",INPUTS!$J$146="Even",INPUTS!$J$146="Front-loaded",INPUTS!$J$146="Back-loaded",INPUTS!$J$146="S-curve"),IF(AND(ISNUMBER(INPUTS!$K$146),X$7&gt;=INPUTS!$K$146,X$7&lt;=IF(INPUTS!$J$146="Upfront",INPUTS!$K$146,INPUTS!$L$146)),1,0),IF(INPUTS!$J$146="Follow Project Life",X$17,IF(INPUTS!$J$146="At Project End",--(X$7=INPUTS!$C$29),0))))</f>
        <v>0</v>
      </c>
      <c r="Y180" s="108" t="n">
        <f aca="false">IF(OR(INPUTS!$F$146&lt;&gt;"Yes",Y$16=0),0,IF(OR(INPUTS!$J$146="Upfront",INPUTS!$J$146="Even",INPUTS!$J$146="Front-loaded",INPUTS!$J$146="Back-loaded",INPUTS!$J$146="S-curve"),IF(AND(ISNUMBER(INPUTS!$K$146),Y$7&gt;=INPUTS!$K$146,Y$7&lt;=IF(INPUTS!$J$146="Upfront",INPUTS!$K$146,INPUTS!$L$146)),1,0),IF(INPUTS!$J$146="Follow Project Life",Y$17,IF(INPUTS!$J$146="At Project End",--(Y$7=INPUTS!$C$29),0))))</f>
        <v>0</v>
      </c>
      <c r="Z180" s="108" t="n">
        <f aca="false">IF(OR(INPUTS!$F$146&lt;&gt;"Yes",Z$16=0),0,IF(OR(INPUTS!$J$146="Upfront",INPUTS!$J$146="Even",INPUTS!$J$146="Front-loaded",INPUTS!$J$146="Back-loaded",INPUTS!$J$146="S-curve"),IF(AND(ISNUMBER(INPUTS!$K$146),Z$7&gt;=INPUTS!$K$146,Z$7&lt;=IF(INPUTS!$J$146="Upfront",INPUTS!$K$146,INPUTS!$L$146)),1,0),IF(INPUTS!$J$146="Follow Project Life",Z$17,IF(INPUTS!$J$146="At Project End",--(Z$7=INPUTS!$C$29),0))))</f>
        <v>0</v>
      </c>
      <c r="AA180" s="108" t="n">
        <f aca="false">IF(OR(INPUTS!$F$146&lt;&gt;"Yes",AA$16=0),0,IF(OR(INPUTS!$J$146="Upfront",INPUTS!$J$146="Even",INPUTS!$J$146="Front-loaded",INPUTS!$J$146="Back-loaded",INPUTS!$J$146="S-curve"),IF(AND(ISNUMBER(INPUTS!$K$146),AA$7&gt;=INPUTS!$K$146,AA$7&lt;=IF(INPUTS!$J$146="Upfront",INPUTS!$K$146,INPUTS!$L$146)),1,0),IF(INPUTS!$J$146="Follow Project Life",AA$17,IF(INPUTS!$J$146="At Project End",--(AA$7=INPUTS!$C$29),0))))</f>
        <v>0</v>
      </c>
      <c r="AB180" s="108" t="n">
        <f aca="false">IF(OR(INPUTS!$F$146&lt;&gt;"Yes",AB$16=0),0,IF(OR(INPUTS!$J$146="Upfront",INPUTS!$J$146="Even",INPUTS!$J$146="Front-loaded",INPUTS!$J$146="Back-loaded",INPUTS!$J$146="S-curve"),IF(AND(ISNUMBER(INPUTS!$K$146),AB$7&gt;=INPUTS!$K$146,AB$7&lt;=IF(INPUTS!$J$146="Upfront",INPUTS!$K$146,INPUTS!$L$146)),1,0),IF(INPUTS!$J$146="Follow Project Life",AB$17,IF(INPUTS!$J$146="At Project End",--(AB$7=INPUTS!$C$29),0))))</f>
        <v>0</v>
      </c>
      <c r="AC180" s="108" t="n">
        <f aca="false">IF(OR(INPUTS!$F$146&lt;&gt;"Yes",AC$16=0),0,IF(OR(INPUTS!$J$146="Upfront",INPUTS!$J$146="Even",INPUTS!$J$146="Front-loaded",INPUTS!$J$146="Back-loaded",INPUTS!$J$146="S-curve"),IF(AND(ISNUMBER(INPUTS!$K$146),AC$7&gt;=INPUTS!$K$146,AC$7&lt;=IF(INPUTS!$J$146="Upfront",INPUTS!$K$146,INPUTS!$L$146)),1,0),IF(INPUTS!$J$146="Follow Project Life",AC$17,IF(INPUTS!$J$146="At Project End",--(AC$7=INPUTS!$C$29),0))))</f>
        <v>0</v>
      </c>
      <c r="AD180" s="108" t="n">
        <f aca="false">IF(OR(INPUTS!$F$146&lt;&gt;"Yes",AD$16=0),0,IF(OR(INPUTS!$J$146="Upfront",INPUTS!$J$146="Even",INPUTS!$J$146="Front-loaded",INPUTS!$J$146="Back-loaded",INPUTS!$J$146="S-curve"),IF(AND(ISNUMBER(INPUTS!$K$146),AD$7&gt;=INPUTS!$K$146,AD$7&lt;=IF(INPUTS!$J$146="Upfront",INPUTS!$K$146,INPUTS!$L$146)),1,0),IF(INPUTS!$J$146="Follow Project Life",AD$17,IF(INPUTS!$J$146="At Project End",--(AD$7=INPUTS!$C$29),0))))</f>
        <v>0</v>
      </c>
      <c r="AE180" s="108" t="n">
        <f aca="false">IF(OR(INPUTS!$F$146&lt;&gt;"Yes",AE$16=0),0,IF(OR(INPUTS!$J$146="Upfront",INPUTS!$J$146="Even",INPUTS!$J$146="Front-loaded",INPUTS!$J$146="Back-loaded",INPUTS!$J$146="S-curve"),IF(AND(ISNUMBER(INPUTS!$K$146),AE$7&gt;=INPUTS!$K$146,AE$7&lt;=IF(INPUTS!$J$146="Upfront",INPUTS!$K$146,INPUTS!$L$146)),1,0),IF(INPUTS!$J$146="Follow Project Life",AE$17,IF(INPUTS!$J$146="At Project End",--(AE$7=INPUTS!$C$29),0))))</f>
        <v>0</v>
      </c>
      <c r="AF180" s="108" t="n">
        <f aca="false">IF(OR(INPUTS!$F$146&lt;&gt;"Yes",AF$16=0),0,IF(OR(INPUTS!$J$146="Upfront",INPUTS!$J$146="Even",INPUTS!$J$146="Front-loaded",INPUTS!$J$146="Back-loaded",INPUTS!$J$146="S-curve"),IF(AND(ISNUMBER(INPUTS!$K$146),AF$7&gt;=INPUTS!$K$146,AF$7&lt;=IF(INPUTS!$J$146="Upfront",INPUTS!$K$146,INPUTS!$L$146)),1,0),IF(INPUTS!$J$146="Follow Project Life",AF$17,IF(INPUTS!$J$146="At Project End",--(AF$7=INPUTS!$C$29),0))))</f>
        <v>0</v>
      </c>
      <c r="AG180" s="108" t="n">
        <f aca="false">IF(OR(INPUTS!$F$146&lt;&gt;"Yes",AG$16=0),0,IF(OR(INPUTS!$J$146="Upfront",INPUTS!$J$146="Even",INPUTS!$J$146="Front-loaded",INPUTS!$J$146="Back-loaded",INPUTS!$J$146="S-curve"),IF(AND(ISNUMBER(INPUTS!$K$146),AG$7&gt;=INPUTS!$K$146,AG$7&lt;=IF(INPUTS!$J$146="Upfront",INPUTS!$K$146,INPUTS!$L$146)),1,0),IF(INPUTS!$J$146="Follow Project Life",AG$17,IF(INPUTS!$J$146="At Project End",--(AG$7=INPUTS!$C$29),0))))</f>
        <v>0</v>
      </c>
      <c r="AH180" s="108" t="n">
        <f aca="false">IF(OR(INPUTS!$F$146&lt;&gt;"Yes",AH$16=0),0,IF(OR(INPUTS!$J$146="Upfront",INPUTS!$J$146="Even",INPUTS!$J$146="Front-loaded",INPUTS!$J$146="Back-loaded",INPUTS!$J$146="S-curve"),IF(AND(ISNUMBER(INPUTS!$K$146),AH$7&gt;=INPUTS!$K$146,AH$7&lt;=IF(INPUTS!$J$146="Upfront",INPUTS!$K$146,INPUTS!$L$146)),1,0),IF(INPUTS!$J$146="Follow Project Life",AH$17,IF(INPUTS!$J$146="At Project End",--(AH$7=INPUTS!$C$29),0))))</f>
        <v>0</v>
      </c>
      <c r="AI180" s="108" t="n">
        <f aca="false">IF(OR(INPUTS!$F$146&lt;&gt;"Yes",AI$16=0),0,IF(OR(INPUTS!$J$146="Upfront",INPUTS!$J$146="Even",INPUTS!$J$146="Front-loaded",INPUTS!$J$146="Back-loaded",INPUTS!$J$146="S-curve"),IF(AND(ISNUMBER(INPUTS!$K$146),AI$7&gt;=INPUTS!$K$146,AI$7&lt;=IF(INPUTS!$J$146="Upfront",INPUTS!$K$146,INPUTS!$L$146)),1,0),IF(INPUTS!$J$146="Follow Project Life",AI$17,IF(INPUTS!$J$146="At Project End",--(AI$7=INPUTS!$C$29),0))))</f>
        <v>0</v>
      </c>
      <c r="AJ180" s="108" t="n">
        <f aca="false">IF(OR(INPUTS!$F$146&lt;&gt;"Yes",AJ$16=0),0,IF(OR(INPUTS!$J$146="Upfront",INPUTS!$J$146="Even",INPUTS!$J$146="Front-loaded",INPUTS!$J$146="Back-loaded",INPUTS!$J$146="S-curve"),IF(AND(ISNUMBER(INPUTS!$K$146),AJ$7&gt;=INPUTS!$K$146,AJ$7&lt;=IF(INPUTS!$J$146="Upfront",INPUTS!$K$146,INPUTS!$L$146)),1,0),IF(INPUTS!$J$146="Follow Project Life",AJ$17,IF(INPUTS!$J$146="At Project End",--(AJ$7=INPUTS!$C$29),0))))</f>
        <v>0</v>
      </c>
      <c r="AK180" s="108" t="n">
        <f aca="false">IF(OR(INPUTS!$F$146&lt;&gt;"Yes",AK$16=0),0,IF(OR(INPUTS!$J$146="Upfront",INPUTS!$J$146="Even",INPUTS!$J$146="Front-loaded",INPUTS!$J$146="Back-loaded",INPUTS!$J$146="S-curve"),IF(AND(ISNUMBER(INPUTS!$K$146),AK$7&gt;=INPUTS!$K$146,AK$7&lt;=IF(INPUTS!$J$146="Upfront",INPUTS!$K$146,INPUTS!$L$146)),1,0),IF(INPUTS!$J$146="Follow Project Life",AK$17,IF(INPUTS!$J$146="At Project End",--(AK$7=INPUTS!$C$29),0))))</f>
        <v>0</v>
      </c>
      <c r="AL180" s="108" t="n">
        <f aca="false">IF(OR(INPUTS!$F$146&lt;&gt;"Yes",AL$16=0),0,IF(OR(INPUTS!$J$146="Upfront",INPUTS!$J$146="Even",INPUTS!$J$146="Front-loaded",INPUTS!$J$146="Back-loaded",INPUTS!$J$146="S-curve"),IF(AND(ISNUMBER(INPUTS!$K$146),AL$7&gt;=INPUTS!$K$146,AL$7&lt;=IF(INPUTS!$J$146="Upfront",INPUTS!$K$146,INPUTS!$L$146)),1,0),IF(INPUTS!$J$146="Follow Project Life",AL$17,IF(INPUTS!$J$146="At Project End",--(AL$7=INPUTS!$C$29),0))))</f>
        <v>0</v>
      </c>
      <c r="AM180" s="108" t="n">
        <f aca="false">IF(OR(INPUTS!$F$146&lt;&gt;"Yes",AM$16=0),0,IF(OR(INPUTS!$J$146="Upfront",INPUTS!$J$146="Even",INPUTS!$J$146="Front-loaded",INPUTS!$J$146="Back-loaded",INPUTS!$J$146="S-curve"),IF(AND(ISNUMBER(INPUTS!$K$146),AM$7&gt;=INPUTS!$K$146,AM$7&lt;=IF(INPUTS!$J$146="Upfront",INPUTS!$K$146,INPUTS!$L$146)),1,0),IF(INPUTS!$J$146="Follow Project Life",AM$17,IF(INPUTS!$J$146="At Project End",--(AM$7=INPUTS!$C$29),0))))</f>
        <v>0</v>
      </c>
      <c r="AN180" s="108" t="n">
        <f aca="false">IF(OR(INPUTS!$F$146&lt;&gt;"Yes",AN$16=0),0,IF(OR(INPUTS!$J$146="Upfront",INPUTS!$J$146="Even",INPUTS!$J$146="Front-loaded",INPUTS!$J$146="Back-loaded",INPUTS!$J$146="S-curve"),IF(AND(ISNUMBER(INPUTS!$K$146),AN$7&gt;=INPUTS!$K$146,AN$7&lt;=IF(INPUTS!$J$146="Upfront",INPUTS!$K$146,INPUTS!$L$146)),1,0),IF(INPUTS!$J$146="Follow Project Life",AN$17,IF(INPUTS!$J$146="At Project End",--(AN$7=INPUTS!$C$29),0))))</f>
        <v>0</v>
      </c>
      <c r="AO180" s="108" t="n">
        <f aca="false">IF(OR(INPUTS!$F$146&lt;&gt;"Yes",AO$16=0),0,IF(OR(INPUTS!$J$146="Upfront",INPUTS!$J$146="Even",INPUTS!$J$146="Front-loaded",INPUTS!$J$146="Back-loaded",INPUTS!$J$146="S-curve"),IF(AND(ISNUMBER(INPUTS!$K$146),AO$7&gt;=INPUTS!$K$146,AO$7&lt;=IF(INPUTS!$J$146="Upfront",INPUTS!$K$146,INPUTS!$L$146)),1,0),IF(INPUTS!$J$146="Follow Project Life",AO$17,IF(INPUTS!$J$146="At Project End",--(AO$7=INPUTS!$C$29),0))))</f>
        <v>0</v>
      </c>
      <c r="AP180" s="108" t="n">
        <f aca="false">IF(OR(INPUTS!$F$146&lt;&gt;"Yes",AP$16=0),0,IF(OR(INPUTS!$J$146="Upfront",INPUTS!$J$146="Even",INPUTS!$J$146="Front-loaded",INPUTS!$J$146="Back-loaded",INPUTS!$J$146="S-curve"),IF(AND(ISNUMBER(INPUTS!$K$146),AP$7&gt;=INPUTS!$K$146,AP$7&lt;=IF(INPUTS!$J$146="Upfront",INPUTS!$K$146,INPUTS!$L$146)),1,0),IF(INPUTS!$J$146="Follow Project Life",AP$17,IF(INPUTS!$J$146="At Project End",--(AP$7=INPUTS!$C$29),0))))</f>
        <v>0</v>
      </c>
      <c r="AQ180" s="108" t="n">
        <f aca="false">IF(OR(INPUTS!$F$146&lt;&gt;"Yes",AQ$16=0),0,IF(OR(INPUTS!$J$146="Upfront",INPUTS!$J$146="Even",INPUTS!$J$146="Front-loaded",INPUTS!$J$146="Back-loaded",INPUTS!$J$146="S-curve"),IF(AND(ISNUMBER(INPUTS!$K$146),AQ$7&gt;=INPUTS!$K$146,AQ$7&lt;=IF(INPUTS!$J$146="Upfront",INPUTS!$K$146,INPUTS!$L$146)),1,0),IF(INPUTS!$J$146="Follow Project Life",AQ$17,IF(INPUTS!$J$146="At Project End",--(AQ$7=INPUTS!$C$29),0))))</f>
        <v>0</v>
      </c>
    </row>
    <row r="181" customFormat="false" ht="15" hidden="false" customHeight="false" outlineLevel="0" collapsed="false">
      <c r="B181" s="3" t="s">
        <v>650</v>
      </c>
      <c r="C181" s="107" t="n">
        <f aca="false">MAX(D181:AQ181)</f>
        <v>0</v>
      </c>
      <c r="D181" s="108" t="n">
        <f aca="false">IF(D180=1,COUNTIF($D180:D180,1),0)</f>
        <v>0</v>
      </c>
      <c r="E181" s="108" t="n">
        <f aca="false">IF(E180=1,COUNTIF($D180:E180,1),0)</f>
        <v>0</v>
      </c>
      <c r="F181" s="108" t="n">
        <f aca="false">IF(F180=1,COUNTIF($D180:F180,1),0)</f>
        <v>0</v>
      </c>
      <c r="G181" s="108" t="n">
        <f aca="false">IF(G180=1,COUNTIF($D180:G180,1),0)</f>
        <v>0</v>
      </c>
      <c r="H181" s="108" t="n">
        <f aca="false">IF(H180=1,COUNTIF($D180:H180,1),0)</f>
        <v>0</v>
      </c>
      <c r="I181" s="108" t="n">
        <f aca="false">IF(I180=1,COUNTIF($D180:I180,1),0)</f>
        <v>0</v>
      </c>
      <c r="J181" s="108" t="n">
        <f aca="false">IF(J180=1,COUNTIF($D180:J180,1),0)</f>
        <v>0</v>
      </c>
      <c r="K181" s="108" t="n">
        <f aca="false">IF(K180=1,COUNTIF($D180:K180,1),0)</f>
        <v>0</v>
      </c>
      <c r="L181" s="108" t="n">
        <f aca="false">IF(L180=1,COUNTIF($D180:L180,1),0)</f>
        <v>0</v>
      </c>
      <c r="M181" s="108" t="n">
        <f aca="false">IF(M180=1,COUNTIF($D180:M180,1),0)</f>
        <v>0</v>
      </c>
      <c r="N181" s="108" t="n">
        <f aca="false">IF(N180=1,COUNTIF($D180:N180,1),0)</f>
        <v>0</v>
      </c>
      <c r="O181" s="108" t="n">
        <f aca="false">IF(O180=1,COUNTIF($D180:O180,1),0)</f>
        <v>0</v>
      </c>
      <c r="P181" s="108" t="n">
        <f aca="false">IF(P180=1,COUNTIF($D180:P180,1),0)</f>
        <v>0</v>
      </c>
      <c r="Q181" s="108" t="n">
        <f aca="false">IF(Q180=1,COUNTIF($D180:Q180,1),0)</f>
        <v>0</v>
      </c>
      <c r="R181" s="108" t="n">
        <f aca="false">IF(R180=1,COUNTIF($D180:R180,1),0)</f>
        <v>0</v>
      </c>
      <c r="S181" s="108" t="n">
        <f aca="false">IF(S180=1,COUNTIF($D180:S180,1),0)</f>
        <v>0</v>
      </c>
      <c r="T181" s="108" t="n">
        <f aca="false">IF(T180=1,COUNTIF($D180:T180,1),0)</f>
        <v>0</v>
      </c>
      <c r="U181" s="108" t="n">
        <f aca="false">IF(U180=1,COUNTIF($D180:U180,1),0)</f>
        <v>0</v>
      </c>
      <c r="V181" s="108" t="n">
        <f aca="false">IF(V180=1,COUNTIF($D180:V180,1),0)</f>
        <v>0</v>
      </c>
      <c r="W181" s="108" t="n">
        <f aca="false">IF(W180=1,COUNTIF($D180:W180,1),0)</f>
        <v>0</v>
      </c>
      <c r="X181" s="108" t="n">
        <f aca="false">IF(X180=1,COUNTIF($D180:X180,1),0)</f>
        <v>0</v>
      </c>
      <c r="Y181" s="108" t="n">
        <f aca="false">IF(Y180=1,COUNTIF($D180:Y180,1),0)</f>
        <v>0</v>
      </c>
      <c r="Z181" s="108" t="n">
        <f aca="false">IF(Z180=1,COUNTIF($D180:Z180,1),0)</f>
        <v>0</v>
      </c>
      <c r="AA181" s="108" t="n">
        <f aca="false">IF(AA180=1,COUNTIF($D180:AA180,1),0)</f>
        <v>0</v>
      </c>
      <c r="AB181" s="108" t="n">
        <f aca="false">IF(AB180=1,COUNTIF($D180:AB180,1),0)</f>
        <v>0</v>
      </c>
      <c r="AC181" s="108" t="n">
        <f aca="false">IF(AC180=1,COUNTIF($D180:AC180,1),0)</f>
        <v>0</v>
      </c>
      <c r="AD181" s="108" t="n">
        <f aca="false">IF(AD180=1,COUNTIF($D180:AD180,1),0)</f>
        <v>0</v>
      </c>
      <c r="AE181" s="108" t="n">
        <f aca="false">IF(AE180=1,COUNTIF($D180:AE180,1),0)</f>
        <v>0</v>
      </c>
      <c r="AF181" s="108" t="n">
        <f aca="false">IF(AF180=1,COUNTIF($D180:AF180,1),0)</f>
        <v>0</v>
      </c>
      <c r="AG181" s="108" t="n">
        <f aca="false">IF(AG180=1,COUNTIF($D180:AG180,1),0)</f>
        <v>0</v>
      </c>
      <c r="AH181" s="108" t="n">
        <f aca="false">IF(AH180=1,COUNTIF($D180:AH180,1),0)</f>
        <v>0</v>
      </c>
      <c r="AI181" s="108" t="n">
        <f aca="false">IF(AI180=1,COUNTIF($D180:AI180,1),0)</f>
        <v>0</v>
      </c>
      <c r="AJ181" s="108" t="n">
        <f aca="false">IF(AJ180=1,COUNTIF($D180:AJ180,1),0)</f>
        <v>0</v>
      </c>
      <c r="AK181" s="108" t="n">
        <f aca="false">IF(AK180=1,COUNTIF($D180:AK180,1),0)</f>
        <v>0</v>
      </c>
      <c r="AL181" s="108" t="n">
        <f aca="false">IF(AL180=1,COUNTIF($D180:AL180,1),0)</f>
        <v>0</v>
      </c>
      <c r="AM181" s="108" t="n">
        <f aca="false">IF(AM180=1,COUNTIF($D180:AM180,1),0)</f>
        <v>0</v>
      </c>
      <c r="AN181" s="108" t="n">
        <f aca="false">IF(AN180=1,COUNTIF($D180:AN180,1),0)</f>
        <v>0</v>
      </c>
      <c r="AO181" s="108" t="n">
        <f aca="false">IF(AO180=1,COUNTIF($D180:AO180,1),0)</f>
        <v>0</v>
      </c>
      <c r="AP181" s="108" t="n">
        <f aca="false">IF(AP180=1,COUNTIF($D180:AP180,1),0)</f>
        <v>0</v>
      </c>
      <c r="AQ181" s="108" t="n">
        <f aca="false">IF(AQ180=1,COUNTIF($D180:AQ180,1),0)</f>
        <v>0</v>
      </c>
    </row>
    <row r="182" customFormat="false" ht="15" hidden="false" customHeight="false" outlineLevel="0" collapsed="false">
      <c r="B182" s="17" t="s">
        <v>651</v>
      </c>
      <c r="C182" s="105" t="str">
        <f aca="false">IF(INPUTS!$M$146="","",IF(INPUTS!$M$146&lt;&gt;"OK","ERROR",IF(C180=IF(INPUTS!$F$146&lt;&gt;"Yes",0,IF(OR(INPUTS!$J$146="Upfront",INPUTS!$J$146="Even",INPUTS!$J$146="Front-loaded",INPUTS!$J$146="Back-loaded",INPUTS!$J$146="S-curve"),IF(ISNUMBER(INPUTS!$K$146),IF(INPUTS!$J$146="Upfront",INPUTS!$K$146,INPUTS!$L$146)-INPUTS!$K$146+1,0),IF(INPUTS!$J$146="Follow Project Life",INPUTS!$C$29,IF(INPUTS!$J$146="At Project End",1,0)))),"OK","ERROR")))</f>
        <v>OK</v>
      </c>
    </row>
    <row r="183" customFormat="false" ht="15" hidden="false" customHeight="false" outlineLevel="0" collapsed="false">
      <c r="B183" s="110" t="str">
        <f aca="false">IF(INPUTS!$B$147="","Spare cost row",INPUTS!$B$147)</f>
        <v>AIF Cost</v>
      </c>
      <c r="C183" s="111" t="str">
        <f aca="false">IF(INPUTS!$J$147="","",INPUTS!$J$147)</f>
        <v>Follow Project Life</v>
      </c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</row>
    <row r="184" customFormat="false" ht="15" hidden="false" customHeight="false" outlineLevel="0" collapsed="false">
      <c r="B184" s="3" t="s">
        <v>649</v>
      </c>
      <c r="C184" s="107" t="n">
        <f aca="false">SUM(D184:AQ184)</f>
        <v>0</v>
      </c>
      <c r="D184" s="108" t="n">
        <f aca="false">IF(OR(INPUTS!$F$147&lt;&gt;"Yes",D$16=0),0,IF(OR(INPUTS!$J$147="Upfront",INPUTS!$J$147="Even",INPUTS!$J$147="Front-loaded",INPUTS!$J$147="Back-loaded",INPUTS!$J$147="S-curve"),IF(AND(ISNUMBER(INPUTS!$K$147),D$7&gt;=INPUTS!$K$147,D$7&lt;=IF(INPUTS!$J$147="Upfront",INPUTS!$K$147,INPUTS!$L$147)),1,0),IF(INPUTS!$J$147="Follow Project Life",D$17,IF(INPUTS!$J$147="At Project End",--(D$7=INPUTS!$C$29),0))))</f>
        <v>0</v>
      </c>
      <c r="E184" s="108" t="n">
        <f aca="false">IF(OR(INPUTS!$F$147&lt;&gt;"Yes",E$16=0),0,IF(OR(INPUTS!$J$147="Upfront",INPUTS!$J$147="Even",INPUTS!$J$147="Front-loaded",INPUTS!$J$147="Back-loaded",INPUTS!$J$147="S-curve"),IF(AND(ISNUMBER(INPUTS!$K$147),E$7&gt;=INPUTS!$K$147,E$7&lt;=IF(INPUTS!$J$147="Upfront",INPUTS!$K$147,INPUTS!$L$147)),1,0),IF(INPUTS!$J$147="Follow Project Life",E$17,IF(INPUTS!$J$147="At Project End",--(E$7=INPUTS!$C$29),0))))</f>
        <v>0</v>
      </c>
      <c r="F184" s="108" t="n">
        <f aca="false">IF(OR(INPUTS!$F$147&lt;&gt;"Yes",F$16=0),0,IF(OR(INPUTS!$J$147="Upfront",INPUTS!$J$147="Even",INPUTS!$J$147="Front-loaded",INPUTS!$J$147="Back-loaded",INPUTS!$J$147="S-curve"),IF(AND(ISNUMBER(INPUTS!$K$147),F$7&gt;=INPUTS!$K$147,F$7&lt;=IF(INPUTS!$J$147="Upfront",INPUTS!$K$147,INPUTS!$L$147)),1,0),IF(INPUTS!$J$147="Follow Project Life",F$17,IF(INPUTS!$J$147="At Project End",--(F$7=INPUTS!$C$29),0))))</f>
        <v>0</v>
      </c>
      <c r="G184" s="108" t="n">
        <f aca="false">IF(OR(INPUTS!$F$147&lt;&gt;"Yes",G$16=0),0,IF(OR(INPUTS!$J$147="Upfront",INPUTS!$J$147="Even",INPUTS!$J$147="Front-loaded",INPUTS!$J$147="Back-loaded",INPUTS!$J$147="S-curve"),IF(AND(ISNUMBER(INPUTS!$K$147),G$7&gt;=INPUTS!$K$147,G$7&lt;=IF(INPUTS!$J$147="Upfront",INPUTS!$K$147,INPUTS!$L$147)),1,0),IF(INPUTS!$J$147="Follow Project Life",G$17,IF(INPUTS!$J$147="At Project End",--(G$7=INPUTS!$C$29),0))))</f>
        <v>0</v>
      </c>
      <c r="H184" s="108" t="n">
        <f aca="false">IF(OR(INPUTS!$F$147&lt;&gt;"Yes",H$16=0),0,IF(OR(INPUTS!$J$147="Upfront",INPUTS!$J$147="Even",INPUTS!$J$147="Front-loaded",INPUTS!$J$147="Back-loaded",INPUTS!$J$147="S-curve"),IF(AND(ISNUMBER(INPUTS!$K$147),H$7&gt;=INPUTS!$K$147,H$7&lt;=IF(INPUTS!$J$147="Upfront",INPUTS!$K$147,INPUTS!$L$147)),1,0),IF(INPUTS!$J$147="Follow Project Life",H$17,IF(INPUTS!$J$147="At Project End",--(H$7=INPUTS!$C$29),0))))</f>
        <v>0</v>
      </c>
      <c r="I184" s="108" t="n">
        <f aca="false">IF(OR(INPUTS!$F$147&lt;&gt;"Yes",I$16=0),0,IF(OR(INPUTS!$J$147="Upfront",INPUTS!$J$147="Even",INPUTS!$J$147="Front-loaded",INPUTS!$J$147="Back-loaded",INPUTS!$J$147="S-curve"),IF(AND(ISNUMBER(INPUTS!$K$147),I$7&gt;=INPUTS!$K$147,I$7&lt;=IF(INPUTS!$J$147="Upfront",INPUTS!$K$147,INPUTS!$L$147)),1,0),IF(INPUTS!$J$147="Follow Project Life",I$17,IF(INPUTS!$J$147="At Project End",--(I$7=INPUTS!$C$29),0))))</f>
        <v>0</v>
      </c>
      <c r="J184" s="108" t="n">
        <f aca="false">IF(OR(INPUTS!$F$147&lt;&gt;"Yes",J$16=0),0,IF(OR(INPUTS!$J$147="Upfront",INPUTS!$J$147="Even",INPUTS!$J$147="Front-loaded",INPUTS!$J$147="Back-loaded",INPUTS!$J$147="S-curve"),IF(AND(ISNUMBER(INPUTS!$K$147),J$7&gt;=INPUTS!$K$147,J$7&lt;=IF(INPUTS!$J$147="Upfront",INPUTS!$K$147,INPUTS!$L$147)),1,0),IF(INPUTS!$J$147="Follow Project Life",J$17,IF(INPUTS!$J$147="At Project End",--(J$7=INPUTS!$C$29),0))))</f>
        <v>0</v>
      </c>
      <c r="K184" s="108" t="n">
        <f aca="false">IF(OR(INPUTS!$F$147&lt;&gt;"Yes",K$16=0),0,IF(OR(INPUTS!$J$147="Upfront",INPUTS!$J$147="Even",INPUTS!$J$147="Front-loaded",INPUTS!$J$147="Back-loaded",INPUTS!$J$147="S-curve"),IF(AND(ISNUMBER(INPUTS!$K$147),K$7&gt;=INPUTS!$K$147,K$7&lt;=IF(INPUTS!$J$147="Upfront",INPUTS!$K$147,INPUTS!$L$147)),1,0),IF(INPUTS!$J$147="Follow Project Life",K$17,IF(INPUTS!$J$147="At Project End",--(K$7=INPUTS!$C$29),0))))</f>
        <v>0</v>
      </c>
      <c r="L184" s="108" t="n">
        <f aca="false">IF(OR(INPUTS!$F$147&lt;&gt;"Yes",L$16=0),0,IF(OR(INPUTS!$J$147="Upfront",INPUTS!$J$147="Even",INPUTS!$J$147="Front-loaded",INPUTS!$J$147="Back-loaded",INPUTS!$J$147="S-curve"),IF(AND(ISNUMBER(INPUTS!$K$147),L$7&gt;=INPUTS!$K$147,L$7&lt;=IF(INPUTS!$J$147="Upfront",INPUTS!$K$147,INPUTS!$L$147)),1,0),IF(INPUTS!$J$147="Follow Project Life",L$17,IF(INPUTS!$J$147="At Project End",--(L$7=INPUTS!$C$29),0))))</f>
        <v>0</v>
      </c>
      <c r="M184" s="108" t="n">
        <f aca="false">IF(OR(INPUTS!$F$147&lt;&gt;"Yes",M$16=0),0,IF(OR(INPUTS!$J$147="Upfront",INPUTS!$J$147="Even",INPUTS!$J$147="Front-loaded",INPUTS!$J$147="Back-loaded",INPUTS!$J$147="S-curve"),IF(AND(ISNUMBER(INPUTS!$K$147),M$7&gt;=INPUTS!$K$147,M$7&lt;=IF(INPUTS!$J$147="Upfront",INPUTS!$K$147,INPUTS!$L$147)),1,0),IF(INPUTS!$J$147="Follow Project Life",M$17,IF(INPUTS!$J$147="At Project End",--(M$7=INPUTS!$C$29),0))))</f>
        <v>0</v>
      </c>
      <c r="N184" s="108" t="n">
        <f aca="false">IF(OR(INPUTS!$F$147&lt;&gt;"Yes",N$16=0),0,IF(OR(INPUTS!$J$147="Upfront",INPUTS!$J$147="Even",INPUTS!$J$147="Front-loaded",INPUTS!$J$147="Back-loaded",INPUTS!$J$147="S-curve"),IF(AND(ISNUMBER(INPUTS!$K$147),N$7&gt;=INPUTS!$K$147,N$7&lt;=IF(INPUTS!$J$147="Upfront",INPUTS!$K$147,INPUTS!$L$147)),1,0),IF(INPUTS!$J$147="Follow Project Life",N$17,IF(INPUTS!$J$147="At Project End",--(N$7=INPUTS!$C$29),0))))</f>
        <v>0</v>
      </c>
      <c r="O184" s="108" t="n">
        <f aca="false">IF(OR(INPUTS!$F$147&lt;&gt;"Yes",O$16=0),0,IF(OR(INPUTS!$J$147="Upfront",INPUTS!$J$147="Even",INPUTS!$J$147="Front-loaded",INPUTS!$J$147="Back-loaded",INPUTS!$J$147="S-curve"),IF(AND(ISNUMBER(INPUTS!$K$147),O$7&gt;=INPUTS!$K$147,O$7&lt;=IF(INPUTS!$J$147="Upfront",INPUTS!$K$147,INPUTS!$L$147)),1,0),IF(INPUTS!$J$147="Follow Project Life",O$17,IF(INPUTS!$J$147="At Project End",--(O$7=INPUTS!$C$29),0))))</f>
        <v>0</v>
      </c>
      <c r="P184" s="108" t="n">
        <f aca="false">IF(OR(INPUTS!$F$147&lt;&gt;"Yes",P$16=0),0,IF(OR(INPUTS!$J$147="Upfront",INPUTS!$J$147="Even",INPUTS!$J$147="Front-loaded",INPUTS!$J$147="Back-loaded",INPUTS!$J$147="S-curve"),IF(AND(ISNUMBER(INPUTS!$K$147),P$7&gt;=INPUTS!$K$147,P$7&lt;=IF(INPUTS!$J$147="Upfront",INPUTS!$K$147,INPUTS!$L$147)),1,0),IF(INPUTS!$J$147="Follow Project Life",P$17,IF(INPUTS!$J$147="At Project End",--(P$7=INPUTS!$C$29),0))))</f>
        <v>0</v>
      </c>
      <c r="Q184" s="108" t="n">
        <f aca="false">IF(OR(INPUTS!$F$147&lt;&gt;"Yes",Q$16=0),0,IF(OR(INPUTS!$J$147="Upfront",INPUTS!$J$147="Even",INPUTS!$J$147="Front-loaded",INPUTS!$J$147="Back-loaded",INPUTS!$J$147="S-curve"),IF(AND(ISNUMBER(INPUTS!$K$147),Q$7&gt;=INPUTS!$K$147,Q$7&lt;=IF(INPUTS!$J$147="Upfront",INPUTS!$K$147,INPUTS!$L$147)),1,0),IF(INPUTS!$J$147="Follow Project Life",Q$17,IF(INPUTS!$J$147="At Project End",--(Q$7=INPUTS!$C$29),0))))</f>
        <v>0</v>
      </c>
      <c r="R184" s="108" t="n">
        <f aca="false">IF(OR(INPUTS!$F$147&lt;&gt;"Yes",R$16=0),0,IF(OR(INPUTS!$J$147="Upfront",INPUTS!$J$147="Even",INPUTS!$J$147="Front-loaded",INPUTS!$J$147="Back-loaded",INPUTS!$J$147="S-curve"),IF(AND(ISNUMBER(INPUTS!$K$147),R$7&gt;=INPUTS!$K$147,R$7&lt;=IF(INPUTS!$J$147="Upfront",INPUTS!$K$147,INPUTS!$L$147)),1,0),IF(INPUTS!$J$147="Follow Project Life",R$17,IF(INPUTS!$J$147="At Project End",--(R$7=INPUTS!$C$29),0))))</f>
        <v>0</v>
      </c>
      <c r="S184" s="108" t="n">
        <f aca="false">IF(OR(INPUTS!$F$147&lt;&gt;"Yes",S$16=0),0,IF(OR(INPUTS!$J$147="Upfront",INPUTS!$J$147="Even",INPUTS!$J$147="Front-loaded",INPUTS!$J$147="Back-loaded",INPUTS!$J$147="S-curve"),IF(AND(ISNUMBER(INPUTS!$K$147),S$7&gt;=INPUTS!$K$147,S$7&lt;=IF(INPUTS!$J$147="Upfront",INPUTS!$K$147,INPUTS!$L$147)),1,0),IF(INPUTS!$J$147="Follow Project Life",S$17,IF(INPUTS!$J$147="At Project End",--(S$7=INPUTS!$C$29),0))))</f>
        <v>0</v>
      </c>
      <c r="T184" s="108" t="n">
        <f aca="false">IF(OR(INPUTS!$F$147&lt;&gt;"Yes",T$16=0),0,IF(OR(INPUTS!$J$147="Upfront",INPUTS!$J$147="Even",INPUTS!$J$147="Front-loaded",INPUTS!$J$147="Back-loaded",INPUTS!$J$147="S-curve"),IF(AND(ISNUMBER(INPUTS!$K$147),T$7&gt;=INPUTS!$K$147,T$7&lt;=IF(INPUTS!$J$147="Upfront",INPUTS!$K$147,INPUTS!$L$147)),1,0),IF(INPUTS!$J$147="Follow Project Life",T$17,IF(INPUTS!$J$147="At Project End",--(T$7=INPUTS!$C$29),0))))</f>
        <v>0</v>
      </c>
      <c r="U184" s="108" t="n">
        <f aca="false">IF(OR(INPUTS!$F$147&lt;&gt;"Yes",U$16=0),0,IF(OR(INPUTS!$J$147="Upfront",INPUTS!$J$147="Even",INPUTS!$J$147="Front-loaded",INPUTS!$J$147="Back-loaded",INPUTS!$J$147="S-curve"),IF(AND(ISNUMBER(INPUTS!$K$147),U$7&gt;=INPUTS!$K$147,U$7&lt;=IF(INPUTS!$J$147="Upfront",INPUTS!$K$147,INPUTS!$L$147)),1,0),IF(INPUTS!$J$147="Follow Project Life",U$17,IF(INPUTS!$J$147="At Project End",--(U$7=INPUTS!$C$29),0))))</f>
        <v>0</v>
      </c>
      <c r="V184" s="108" t="n">
        <f aca="false">IF(OR(INPUTS!$F$147&lt;&gt;"Yes",V$16=0),0,IF(OR(INPUTS!$J$147="Upfront",INPUTS!$J$147="Even",INPUTS!$J$147="Front-loaded",INPUTS!$J$147="Back-loaded",INPUTS!$J$147="S-curve"),IF(AND(ISNUMBER(INPUTS!$K$147),V$7&gt;=INPUTS!$K$147,V$7&lt;=IF(INPUTS!$J$147="Upfront",INPUTS!$K$147,INPUTS!$L$147)),1,0),IF(INPUTS!$J$147="Follow Project Life",V$17,IF(INPUTS!$J$147="At Project End",--(V$7=INPUTS!$C$29),0))))</f>
        <v>0</v>
      </c>
      <c r="W184" s="108" t="n">
        <f aca="false">IF(OR(INPUTS!$F$147&lt;&gt;"Yes",W$16=0),0,IF(OR(INPUTS!$J$147="Upfront",INPUTS!$J$147="Even",INPUTS!$J$147="Front-loaded",INPUTS!$J$147="Back-loaded",INPUTS!$J$147="S-curve"),IF(AND(ISNUMBER(INPUTS!$K$147),W$7&gt;=INPUTS!$K$147,W$7&lt;=IF(INPUTS!$J$147="Upfront",INPUTS!$K$147,INPUTS!$L$147)),1,0),IF(INPUTS!$J$147="Follow Project Life",W$17,IF(INPUTS!$J$147="At Project End",--(W$7=INPUTS!$C$29),0))))</f>
        <v>0</v>
      </c>
      <c r="X184" s="108" t="n">
        <f aca="false">IF(OR(INPUTS!$F$147&lt;&gt;"Yes",X$16=0),0,IF(OR(INPUTS!$J$147="Upfront",INPUTS!$J$147="Even",INPUTS!$J$147="Front-loaded",INPUTS!$J$147="Back-loaded",INPUTS!$J$147="S-curve"),IF(AND(ISNUMBER(INPUTS!$K$147),X$7&gt;=INPUTS!$K$147,X$7&lt;=IF(INPUTS!$J$147="Upfront",INPUTS!$K$147,INPUTS!$L$147)),1,0),IF(INPUTS!$J$147="Follow Project Life",X$17,IF(INPUTS!$J$147="At Project End",--(X$7=INPUTS!$C$29),0))))</f>
        <v>0</v>
      </c>
      <c r="Y184" s="108" t="n">
        <f aca="false">IF(OR(INPUTS!$F$147&lt;&gt;"Yes",Y$16=0),0,IF(OR(INPUTS!$J$147="Upfront",INPUTS!$J$147="Even",INPUTS!$J$147="Front-loaded",INPUTS!$J$147="Back-loaded",INPUTS!$J$147="S-curve"),IF(AND(ISNUMBER(INPUTS!$K$147),Y$7&gt;=INPUTS!$K$147,Y$7&lt;=IF(INPUTS!$J$147="Upfront",INPUTS!$K$147,INPUTS!$L$147)),1,0),IF(INPUTS!$J$147="Follow Project Life",Y$17,IF(INPUTS!$J$147="At Project End",--(Y$7=INPUTS!$C$29),0))))</f>
        <v>0</v>
      </c>
      <c r="Z184" s="108" t="n">
        <f aca="false">IF(OR(INPUTS!$F$147&lt;&gt;"Yes",Z$16=0),0,IF(OR(INPUTS!$J$147="Upfront",INPUTS!$J$147="Even",INPUTS!$J$147="Front-loaded",INPUTS!$J$147="Back-loaded",INPUTS!$J$147="S-curve"),IF(AND(ISNUMBER(INPUTS!$K$147),Z$7&gt;=INPUTS!$K$147,Z$7&lt;=IF(INPUTS!$J$147="Upfront",INPUTS!$K$147,INPUTS!$L$147)),1,0),IF(INPUTS!$J$147="Follow Project Life",Z$17,IF(INPUTS!$J$147="At Project End",--(Z$7=INPUTS!$C$29),0))))</f>
        <v>0</v>
      </c>
      <c r="AA184" s="108" t="n">
        <f aca="false">IF(OR(INPUTS!$F$147&lt;&gt;"Yes",AA$16=0),0,IF(OR(INPUTS!$J$147="Upfront",INPUTS!$J$147="Even",INPUTS!$J$147="Front-loaded",INPUTS!$J$147="Back-loaded",INPUTS!$J$147="S-curve"),IF(AND(ISNUMBER(INPUTS!$K$147),AA$7&gt;=INPUTS!$K$147,AA$7&lt;=IF(INPUTS!$J$147="Upfront",INPUTS!$K$147,INPUTS!$L$147)),1,0),IF(INPUTS!$J$147="Follow Project Life",AA$17,IF(INPUTS!$J$147="At Project End",--(AA$7=INPUTS!$C$29),0))))</f>
        <v>0</v>
      </c>
      <c r="AB184" s="108" t="n">
        <f aca="false">IF(OR(INPUTS!$F$147&lt;&gt;"Yes",AB$16=0),0,IF(OR(INPUTS!$J$147="Upfront",INPUTS!$J$147="Even",INPUTS!$J$147="Front-loaded",INPUTS!$J$147="Back-loaded",INPUTS!$J$147="S-curve"),IF(AND(ISNUMBER(INPUTS!$K$147),AB$7&gt;=INPUTS!$K$147,AB$7&lt;=IF(INPUTS!$J$147="Upfront",INPUTS!$K$147,INPUTS!$L$147)),1,0),IF(INPUTS!$J$147="Follow Project Life",AB$17,IF(INPUTS!$J$147="At Project End",--(AB$7=INPUTS!$C$29),0))))</f>
        <v>0</v>
      </c>
      <c r="AC184" s="108" t="n">
        <f aca="false">IF(OR(INPUTS!$F$147&lt;&gt;"Yes",AC$16=0),0,IF(OR(INPUTS!$J$147="Upfront",INPUTS!$J$147="Even",INPUTS!$J$147="Front-loaded",INPUTS!$J$147="Back-loaded",INPUTS!$J$147="S-curve"),IF(AND(ISNUMBER(INPUTS!$K$147),AC$7&gt;=INPUTS!$K$147,AC$7&lt;=IF(INPUTS!$J$147="Upfront",INPUTS!$K$147,INPUTS!$L$147)),1,0),IF(INPUTS!$J$147="Follow Project Life",AC$17,IF(INPUTS!$J$147="At Project End",--(AC$7=INPUTS!$C$29),0))))</f>
        <v>0</v>
      </c>
      <c r="AD184" s="108" t="n">
        <f aca="false">IF(OR(INPUTS!$F$147&lt;&gt;"Yes",AD$16=0),0,IF(OR(INPUTS!$J$147="Upfront",INPUTS!$J$147="Even",INPUTS!$J$147="Front-loaded",INPUTS!$J$147="Back-loaded",INPUTS!$J$147="S-curve"),IF(AND(ISNUMBER(INPUTS!$K$147),AD$7&gt;=INPUTS!$K$147,AD$7&lt;=IF(INPUTS!$J$147="Upfront",INPUTS!$K$147,INPUTS!$L$147)),1,0),IF(INPUTS!$J$147="Follow Project Life",AD$17,IF(INPUTS!$J$147="At Project End",--(AD$7=INPUTS!$C$29),0))))</f>
        <v>0</v>
      </c>
      <c r="AE184" s="108" t="n">
        <f aca="false">IF(OR(INPUTS!$F$147&lt;&gt;"Yes",AE$16=0),0,IF(OR(INPUTS!$J$147="Upfront",INPUTS!$J$147="Even",INPUTS!$J$147="Front-loaded",INPUTS!$J$147="Back-loaded",INPUTS!$J$147="S-curve"),IF(AND(ISNUMBER(INPUTS!$K$147),AE$7&gt;=INPUTS!$K$147,AE$7&lt;=IF(INPUTS!$J$147="Upfront",INPUTS!$K$147,INPUTS!$L$147)),1,0),IF(INPUTS!$J$147="Follow Project Life",AE$17,IF(INPUTS!$J$147="At Project End",--(AE$7=INPUTS!$C$29),0))))</f>
        <v>0</v>
      </c>
      <c r="AF184" s="108" t="n">
        <f aca="false">IF(OR(INPUTS!$F$147&lt;&gt;"Yes",AF$16=0),0,IF(OR(INPUTS!$J$147="Upfront",INPUTS!$J$147="Even",INPUTS!$J$147="Front-loaded",INPUTS!$J$147="Back-loaded",INPUTS!$J$147="S-curve"),IF(AND(ISNUMBER(INPUTS!$K$147),AF$7&gt;=INPUTS!$K$147,AF$7&lt;=IF(INPUTS!$J$147="Upfront",INPUTS!$K$147,INPUTS!$L$147)),1,0),IF(INPUTS!$J$147="Follow Project Life",AF$17,IF(INPUTS!$J$147="At Project End",--(AF$7=INPUTS!$C$29),0))))</f>
        <v>0</v>
      </c>
      <c r="AG184" s="108" t="n">
        <f aca="false">IF(OR(INPUTS!$F$147&lt;&gt;"Yes",AG$16=0),0,IF(OR(INPUTS!$J$147="Upfront",INPUTS!$J$147="Even",INPUTS!$J$147="Front-loaded",INPUTS!$J$147="Back-loaded",INPUTS!$J$147="S-curve"),IF(AND(ISNUMBER(INPUTS!$K$147),AG$7&gt;=INPUTS!$K$147,AG$7&lt;=IF(INPUTS!$J$147="Upfront",INPUTS!$K$147,INPUTS!$L$147)),1,0),IF(INPUTS!$J$147="Follow Project Life",AG$17,IF(INPUTS!$J$147="At Project End",--(AG$7=INPUTS!$C$29),0))))</f>
        <v>0</v>
      </c>
      <c r="AH184" s="108" t="n">
        <f aca="false">IF(OR(INPUTS!$F$147&lt;&gt;"Yes",AH$16=0),0,IF(OR(INPUTS!$J$147="Upfront",INPUTS!$J$147="Even",INPUTS!$J$147="Front-loaded",INPUTS!$J$147="Back-loaded",INPUTS!$J$147="S-curve"),IF(AND(ISNUMBER(INPUTS!$K$147),AH$7&gt;=INPUTS!$K$147,AH$7&lt;=IF(INPUTS!$J$147="Upfront",INPUTS!$K$147,INPUTS!$L$147)),1,0),IF(INPUTS!$J$147="Follow Project Life",AH$17,IF(INPUTS!$J$147="At Project End",--(AH$7=INPUTS!$C$29),0))))</f>
        <v>0</v>
      </c>
      <c r="AI184" s="108" t="n">
        <f aca="false">IF(OR(INPUTS!$F$147&lt;&gt;"Yes",AI$16=0),0,IF(OR(INPUTS!$J$147="Upfront",INPUTS!$J$147="Even",INPUTS!$J$147="Front-loaded",INPUTS!$J$147="Back-loaded",INPUTS!$J$147="S-curve"),IF(AND(ISNUMBER(INPUTS!$K$147),AI$7&gt;=INPUTS!$K$147,AI$7&lt;=IF(INPUTS!$J$147="Upfront",INPUTS!$K$147,INPUTS!$L$147)),1,0),IF(INPUTS!$J$147="Follow Project Life",AI$17,IF(INPUTS!$J$147="At Project End",--(AI$7=INPUTS!$C$29),0))))</f>
        <v>0</v>
      </c>
      <c r="AJ184" s="108" t="n">
        <f aca="false">IF(OR(INPUTS!$F$147&lt;&gt;"Yes",AJ$16=0),0,IF(OR(INPUTS!$J$147="Upfront",INPUTS!$J$147="Even",INPUTS!$J$147="Front-loaded",INPUTS!$J$147="Back-loaded",INPUTS!$J$147="S-curve"),IF(AND(ISNUMBER(INPUTS!$K$147),AJ$7&gt;=INPUTS!$K$147,AJ$7&lt;=IF(INPUTS!$J$147="Upfront",INPUTS!$K$147,INPUTS!$L$147)),1,0),IF(INPUTS!$J$147="Follow Project Life",AJ$17,IF(INPUTS!$J$147="At Project End",--(AJ$7=INPUTS!$C$29),0))))</f>
        <v>0</v>
      </c>
      <c r="AK184" s="108" t="n">
        <f aca="false">IF(OR(INPUTS!$F$147&lt;&gt;"Yes",AK$16=0),0,IF(OR(INPUTS!$J$147="Upfront",INPUTS!$J$147="Even",INPUTS!$J$147="Front-loaded",INPUTS!$J$147="Back-loaded",INPUTS!$J$147="S-curve"),IF(AND(ISNUMBER(INPUTS!$K$147),AK$7&gt;=INPUTS!$K$147,AK$7&lt;=IF(INPUTS!$J$147="Upfront",INPUTS!$K$147,INPUTS!$L$147)),1,0),IF(INPUTS!$J$147="Follow Project Life",AK$17,IF(INPUTS!$J$147="At Project End",--(AK$7=INPUTS!$C$29),0))))</f>
        <v>0</v>
      </c>
      <c r="AL184" s="108" t="n">
        <f aca="false">IF(OR(INPUTS!$F$147&lt;&gt;"Yes",AL$16=0),0,IF(OR(INPUTS!$J$147="Upfront",INPUTS!$J$147="Even",INPUTS!$J$147="Front-loaded",INPUTS!$J$147="Back-loaded",INPUTS!$J$147="S-curve"),IF(AND(ISNUMBER(INPUTS!$K$147),AL$7&gt;=INPUTS!$K$147,AL$7&lt;=IF(INPUTS!$J$147="Upfront",INPUTS!$K$147,INPUTS!$L$147)),1,0),IF(INPUTS!$J$147="Follow Project Life",AL$17,IF(INPUTS!$J$147="At Project End",--(AL$7=INPUTS!$C$29),0))))</f>
        <v>0</v>
      </c>
      <c r="AM184" s="108" t="n">
        <f aca="false">IF(OR(INPUTS!$F$147&lt;&gt;"Yes",AM$16=0),0,IF(OR(INPUTS!$J$147="Upfront",INPUTS!$J$147="Even",INPUTS!$J$147="Front-loaded",INPUTS!$J$147="Back-loaded",INPUTS!$J$147="S-curve"),IF(AND(ISNUMBER(INPUTS!$K$147),AM$7&gt;=INPUTS!$K$147,AM$7&lt;=IF(INPUTS!$J$147="Upfront",INPUTS!$K$147,INPUTS!$L$147)),1,0),IF(INPUTS!$J$147="Follow Project Life",AM$17,IF(INPUTS!$J$147="At Project End",--(AM$7=INPUTS!$C$29),0))))</f>
        <v>0</v>
      </c>
      <c r="AN184" s="108" t="n">
        <f aca="false">IF(OR(INPUTS!$F$147&lt;&gt;"Yes",AN$16=0),0,IF(OR(INPUTS!$J$147="Upfront",INPUTS!$J$147="Even",INPUTS!$J$147="Front-loaded",INPUTS!$J$147="Back-loaded",INPUTS!$J$147="S-curve"),IF(AND(ISNUMBER(INPUTS!$K$147),AN$7&gt;=INPUTS!$K$147,AN$7&lt;=IF(INPUTS!$J$147="Upfront",INPUTS!$K$147,INPUTS!$L$147)),1,0),IF(INPUTS!$J$147="Follow Project Life",AN$17,IF(INPUTS!$J$147="At Project End",--(AN$7=INPUTS!$C$29),0))))</f>
        <v>0</v>
      </c>
      <c r="AO184" s="108" t="n">
        <f aca="false">IF(OR(INPUTS!$F$147&lt;&gt;"Yes",AO$16=0),0,IF(OR(INPUTS!$J$147="Upfront",INPUTS!$J$147="Even",INPUTS!$J$147="Front-loaded",INPUTS!$J$147="Back-loaded",INPUTS!$J$147="S-curve"),IF(AND(ISNUMBER(INPUTS!$K$147),AO$7&gt;=INPUTS!$K$147,AO$7&lt;=IF(INPUTS!$J$147="Upfront",INPUTS!$K$147,INPUTS!$L$147)),1,0),IF(INPUTS!$J$147="Follow Project Life",AO$17,IF(INPUTS!$J$147="At Project End",--(AO$7=INPUTS!$C$29),0))))</f>
        <v>0</v>
      </c>
      <c r="AP184" s="108" t="n">
        <f aca="false">IF(OR(INPUTS!$F$147&lt;&gt;"Yes",AP$16=0),0,IF(OR(INPUTS!$J$147="Upfront",INPUTS!$J$147="Even",INPUTS!$J$147="Front-loaded",INPUTS!$J$147="Back-loaded",INPUTS!$J$147="S-curve"),IF(AND(ISNUMBER(INPUTS!$K$147),AP$7&gt;=INPUTS!$K$147,AP$7&lt;=IF(INPUTS!$J$147="Upfront",INPUTS!$K$147,INPUTS!$L$147)),1,0),IF(INPUTS!$J$147="Follow Project Life",AP$17,IF(INPUTS!$J$147="At Project End",--(AP$7=INPUTS!$C$29),0))))</f>
        <v>0</v>
      </c>
      <c r="AQ184" s="108" t="n">
        <f aca="false">IF(OR(INPUTS!$F$147&lt;&gt;"Yes",AQ$16=0),0,IF(OR(INPUTS!$J$147="Upfront",INPUTS!$J$147="Even",INPUTS!$J$147="Front-loaded",INPUTS!$J$147="Back-loaded",INPUTS!$J$147="S-curve"),IF(AND(ISNUMBER(INPUTS!$K$147),AQ$7&gt;=INPUTS!$K$147,AQ$7&lt;=IF(INPUTS!$J$147="Upfront",INPUTS!$K$147,INPUTS!$L$147)),1,0),IF(INPUTS!$J$147="Follow Project Life",AQ$17,IF(INPUTS!$J$147="At Project End",--(AQ$7=INPUTS!$C$29),0))))</f>
        <v>0</v>
      </c>
    </row>
    <row r="185" customFormat="false" ht="15" hidden="false" customHeight="false" outlineLevel="0" collapsed="false">
      <c r="B185" s="3" t="s">
        <v>650</v>
      </c>
      <c r="C185" s="107" t="n">
        <f aca="false">MAX(D185:AQ185)</f>
        <v>0</v>
      </c>
      <c r="D185" s="108" t="n">
        <f aca="false">IF(D184=1,COUNTIF($D184:D184,1),0)</f>
        <v>0</v>
      </c>
      <c r="E185" s="108" t="n">
        <f aca="false">IF(E184=1,COUNTIF($D184:E184,1),0)</f>
        <v>0</v>
      </c>
      <c r="F185" s="108" t="n">
        <f aca="false">IF(F184=1,COUNTIF($D184:F184,1),0)</f>
        <v>0</v>
      </c>
      <c r="G185" s="108" t="n">
        <f aca="false">IF(G184=1,COUNTIF($D184:G184,1),0)</f>
        <v>0</v>
      </c>
      <c r="H185" s="108" t="n">
        <f aca="false">IF(H184=1,COUNTIF($D184:H184,1),0)</f>
        <v>0</v>
      </c>
      <c r="I185" s="108" t="n">
        <f aca="false">IF(I184=1,COUNTIF($D184:I184,1),0)</f>
        <v>0</v>
      </c>
      <c r="J185" s="108" t="n">
        <f aca="false">IF(J184=1,COUNTIF($D184:J184,1),0)</f>
        <v>0</v>
      </c>
      <c r="K185" s="108" t="n">
        <f aca="false">IF(K184=1,COUNTIF($D184:K184,1),0)</f>
        <v>0</v>
      </c>
      <c r="L185" s="108" t="n">
        <f aca="false">IF(L184=1,COUNTIF($D184:L184,1),0)</f>
        <v>0</v>
      </c>
      <c r="M185" s="108" t="n">
        <f aca="false">IF(M184=1,COUNTIF($D184:M184,1),0)</f>
        <v>0</v>
      </c>
      <c r="N185" s="108" t="n">
        <f aca="false">IF(N184=1,COUNTIF($D184:N184,1),0)</f>
        <v>0</v>
      </c>
      <c r="O185" s="108" t="n">
        <f aca="false">IF(O184=1,COUNTIF($D184:O184,1),0)</f>
        <v>0</v>
      </c>
      <c r="P185" s="108" t="n">
        <f aca="false">IF(P184=1,COUNTIF($D184:P184,1),0)</f>
        <v>0</v>
      </c>
      <c r="Q185" s="108" t="n">
        <f aca="false">IF(Q184=1,COUNTIF($D184:Q184,1),0)</f>
        <v>0</v>
      </c>
      <c r="R185" s="108" t="n">
        <f aca="false">IF(R184=1,COUNTIF($D184:R184,1),0)</f>
        <v>0</v>
      </c>
      <c r="S185" s="108" t="n">
        <f aca="false">IF(S184=1,COUNTIF($D184:S184,1),0)</f>
        <v>0</v>
      </c>
      <c r="T185" s="108" t="n">
        <f aca="false">IF(T184=1,COUNTIF($D184:T184,1),0)</f>
        <v>0</v>
      </c>
      <c r="U185" s="108" t="n">
        <f aca="false">IF(U184=1,COUNTIF($D184:U184,1),0)</f>
        <v>0</v>
      </c>
      <c r="V185" s="108" t="n">
        <f aca="false">IF(V184=1,COUNTIF($D184:V184,1),0)</f>
        <v>0</v>
      </c>
      <c r="W185" s="108" t="n">
        <f aca="false">IF(W184=1,COUNTIF($D184:W184,1),0)</f>
        <v>0</v>
      </c>
      <c r="X185" s="108" t="n">
        <f aca="false">IF(X184=1,COUNTIF($D184:X184,1),0)</f>
        <v>0</v>
      </c>
      <c r="Y185" s="108" t="n">
        <f aca="false">IF(Y184=1,COUNTIF($D184:Y184,1),0)</f>
        <v>0</v>
      </c>
      <c r="Z185" s="108" t="n">
        <f aca="false">IF(Z184=1,COUNTIF($D184:Z184,1),0)</f>
        <v>0</v>
      </c>
      <c r="AA185" s="108" t="n">
        <f aca="false">IF(AA184=1,COUNTIF($D184:AA184,1),0)</f>
        <v>0</v>
      </c>
      <c r="AB185" s="108" t="n">
        <f aca="false">IF(AB184=1,COUNTIF($D184:AB184,1),0)</f>
        <v>0</v>
      </c>
      <c r="AC185" s="108" t="n">
        <f aca="false">IF(AC184=1,COUNTIF($D184:AC184,1),0)</f>
        <v>0</v>
      </c>
      <c r="AD185" s="108" t="n">
        <f aca="false">IF(AD184=1,COUNTIF($D184:AD184,1),0)</f>
        <v>0</v>
      </c>
      <c r="AE185" s="108" t="n">
        <f aca="false">IF(AE184=1,COUNTIF($D184:AE184,1),0)</f>
        <v>0</v>
      </c>
      <c r="AF185" s="108" t="n">
        <f aca="false">IF(AF184=1,COUNTIF($D184:AF184,1),0)</f>
        <v>0</v>
      </c>
      <c r="AG185" s="108" t="n">
        <f aca="false">IF(AG184=1,COUNTIF($D184:AG184,1),0)</f>
        <v>0</v>
      </c>
      <c r="AH185" s="108" t="n">
        <f aca="false">IF(AH184=1,COUNTIF($D184:AH184,1),0)</f>
        <v>0</v>
      </c>
      <c r="AI185" s="108" t="n">
        <f aca="false">IF(AI184=1,COUNTIF($D184:AI184,1),0)</f>
        <v>0</v>
      </c>
      <c r="AJ185" s="108" t="n">
        <f aca="false">IF(AJ184=1,COUNTIF($D184:AJ184,1),0)</f>
        <v>0</v>
      </c>
      <c r="AK185" s="108" t="n">
        <f aca="false">IF(AK184=1,COUNTIF($D184:AK184,1),0)</f>
        <v>0</v>
      </c>
      <c r="AL185" s="108" t="n">
        <f aca="false">IF(AL184=1,COUNTIF($D184:AL184,1),0)</f>
        <v>0</v>
      </c>
      <c r="AM185" s="108" t="n">
        <f aca="false">IF(AM184=1,COUNTIF($D184:AM184,1),0)</f>
        <v>0</v>
      </c>
      <c r="AN185" s="108" t="n">
        <f aca="false">IF(AN184=1,COUNTIF($D184:AN184,1),0)</f>
        <v>0</v>
      </c>
      <c r="AO185" s="108" t="n">
        <f aca="false">IF(AO184=1,COUNTIF($D184:AO184,1),0)</f>
        <v>0</v>
      </c>
      <c r="AP185" s="108" t="n">
        <f aca="false">IF(AP184=1,COUNTIF($D184:AP184,1),0)</f>
        <v>0</v>
      </c>
      <c r="AQ185" s="108" t="n">
        <f aca="false">IF(AQ184=1,COUNTIF($D184:AQ184,1),0)</f>
        <v>0</v>
      </c>
    </row>
    <row r="186" customFormat="false" ht="15" hidden="false" customHeight="false" outlineLevel="0" collapsed="false">
      <c r="B186" s="17" t="s">
        <v>651</v>
      </c>
      <c r="C186" s="105" t="str">
        <f aca="false">IF(INPUTS!$M$147="","",IF(INPUTS!$M$147&lt;&gt;"OK","ERROR",IF(C184=IF(INPUTS!$F$147&lt;&gt;"Yes",0,IF(OR(INPUTS!$J$147="Upfront",INPUTS!$J$147="Even",INPUTS!$J$147="Front-loaded",INPUTS!$J$147="Back-loaded",INPUTS!$J$147="S-curve"),IF(ISNUMBER(INPUTS!$K$147),IF(INPUTS!$J$147="Upfront",INPUTS!$K$147,INPUTS!$L$147)-INPUTS!$K$147+1,0),IF(INPUTS!$J$147="Follow Project Life",INPUTS!$C$29,IF(INPUTS!$J$147="At Project End",1,0)))),"OK","ERROR")))</f>
        <v>OK</v>
      </c>
    </row>
    <row r="187" customFormat="false" ht="15" hidden="false" customHeight="false" outlineLevel="0" collapsed="false">
      <c r="B187" s="110" t="str">
        <f aca="false">IF(INPUTS!$B$148="","Spare cost row",INPUTS!$B$148)</f>
        <v>BAR / Premium FAR Cost</v>
      </c>
      <c r="C187" s="111" t="str">
        <f aca="false">IF(INPUTS!$J$148="","",INPUTS!$J$148)</f>
        <v>Upfront</v>
      </c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</row>
    <row r="188" customFormat="false" ht="15" hidden="false" customHeight="false" outlineLevel="0" collapsed="false">
      <c r="B188" s="3" t="s">
        <v>649</v>
      </c>
      <c r="C188" s="107" t="n">
        <f aca="false">SUM(D188:AQ188)</f>
        <v>1</v>
      </c>
      <c r="D188" s="108" t="n">
        <f aca="false">IF(OR(INPUTS!$F$148&lt;&gt;"Yes",D$16=0),0,IF(OR(INPUTS!$J$148="Upfront",INPUTS!$J$148="Even",INPUTS!$J$148="Front-loaded",INPUTS!$J$148="Back-loaded",INPUTS!$J$148="S-curve"),IF(AND(ISNUMBER(INPUTS!$K$148),D$7&gt;=INPUTS!$K$148,D$7&lt;=IF(INPUTS!$J$148="Upfront",INPUTS!$K$148,INPUTS!$L$148)),1,0),IF(INPUTS!$J$148="Follow Project Life",D$17,IF(INPUTS!$J$148="At Project End",--(D$7=INPUTS!$C$29),0))))</f>
        <v>0</v>
      </c>
      <c r="E188" s="108" t="n">
        <f aca="false">IF(OR(INPUTS!$F$148&lt;&gt;"Yes",E$16=0),0,IF(OR(INPUTS!$J$148="Upfront",INPUTS!$J$148="Even",INPUTS!$J$148="Front-loaded",INPUTS!$J$148="Back-loaded",INPUTS!$J$148="S-curve"),IF(AND(ISNUMBER(INPUTS!$K$148),E$7&gt;=INPUTS!$K$148,E$7&lt;=IF(INPUTS!$J$148="Upfront",INPUTS!$K$148,INPUTS!$L$148)),1,0),IF(INPUTS!$J$148="Follow Project Life",E$17,IF(INPUTS!$J$148="At Project End",--(E$7=INPUTS!$C$29),0))))</f>
        <v>1</v>
      </c>
      <c r="F188" s="108" t="n">
        <f aca="false">IF(OR(INPUTS!$F$148&lt;&gt;"Yes",F$16=0),0,IF(OR(INPUTS!$J$148="Upfront",INPUTS!$J$148="Even",INPUTS!$J$148="Front-loaded",INPUTS!$J$148="Back-loaded",INPUTS!$J$148="S-curve"),IF(AND(ISNUMBER(INPUTS!$K$148),F$7&gt;=INPUTS!$K$148,F$7&lt;=IF(INPUTS!$J$148="Upfront",INPUTS!$K$148,INPUTS!$L$148)),1,0),IF(INPUTS!$J$148="Follow Project Life",F$17,IF(INPUTS!$J$148="At Project End",--(F$7=INPUTS!$C$29),0))))</f>
        <v>0</v>
      </c>
      <c r="G188" s="108" t="n">
        <f aca="false">IF(OR(INPUTS!$F$148&lt;&gt;"Yes",G$16=0),0,IF(OR(INPUTS!$J$148="Upfront",INPUTS!$J$148="Even",INPUTS!$J$148="Front-loaded",INPUTS!$J$148="Back-loaded",INPUTS!$J$148="S-curve"),IF(AND(ISNUMBER(INPUTS!$K$148),G$7&gt;=INPUTS!$K$148,G$7&lt;=IF(INPUTS!$J$148="Upfront",INPUTS!$K$148,INPUTS!$L$148)),1,0),IF(INPUTS!$J$148="Follow Project Life",G$17,IF(INPUTS!$J$148="At Project End",--(G$7=INPUTS!$C$29),0))))</f>
        <v>0</v>
      </c>
      <c r="H188" s="108" t="n">
        <f aca="false">IF(OR(INPUTS!$F$148&lt;&gt;"Yes",H$16=0),0,IF(OR(INPUTS!$J$148="Upfront",INPUTS!$J$148="Even",INPUTS!$J$148="Front-loaded",INPUTS!$J$148="Back-loaded",INPUTS!$J$148="S-curve"),IF(AND(ISNUMBER(INPUTS!$K$148),H$7&gt;=INPUTS!$K$148,H$7&lt;=IF(INPUTS!$J$148="Upfront",INPUTS!$K$148,INPUTS!$L$148)),1,0),IF(INPUTS!$J$148="Follow Project Life",H$17,IF(INPUTS!$J$148="At Project End",--(H$7=INPUTS!$C$29),0))))</f>
        <v>0</v>
      </c>
      <c r="I188" s="108" t="n">
        <f aca="false">IF(OR(INPUTS!$F$148&lt;&gt;"Yes",I$16=0),0,IF(OR(INPUTS!$J$148="Upfront",INPUTS!$J$148="Even",INPUTS!$J$148="Front-loaded",INPUTS!$J$148="Back-loaded",INPUTS!$J$148="S-curve"),IF(AND(ISNUMBER(INPUTS!$K$148),I$7&gt;=INPUTS!$K$148,I$7&lt;=IF(INPUTS!$J$148="Upfront",INPUTS!$K$148,INPUTS!$L$148)),1,0),IF(INPUTS!$J$148="Follow Project Life",I$17,IF(INPUTS!$J$148="At Project End",--(I$7=INPUTS!$C$29),0))))</f>
        <v>0</v>
      </c>
      <c r="J188" s="108" t="n">
        <f aca="false">IF(OR(INPUTS!$F$148&lt;&gt;"Yes",J$16=0),0,IF(OR(INPUTS!$J$148="Upfront",INPUTS!$J$148="Even",INPUTS!$J$148="Front-loaded",INPUTS!$J$148="Back-loaded",INPUTS!$J$148="S-curve"),IF(AND(ISNUMBER(INPUTS!$K$148),J$7&gt;=INPUTS!$K$148,J$7&lt;=IF(INPUTS!$J$148="Upfront",INPUTS!$K$148,INPUTS!$L$148)),1,0),IF(INPUTS!$J$148="Follow Project Life",J$17,IF(INPUTS!$J$148="At Project End",--(J$7=INPUTS!$C$29),0))))</f>
        <v>0</v>
      </c>
      <c r="K188" s="108" t="n">
        <f aca="false">IF(OR(INPUTS!$F$148&lt;&gt;"Yes",K$16=0),0,IF(OR(INPUTS!$J$148="Upfront",INPUTS!$J$148="Even",INPUTS!$J$148="Front-loaded",INPUTS!$J$148="Back-loaded",INPUTS!$J$148="S-curve"),IF(AND(ISNUMBER(INPUTS!$K$148),K$7&gt;=INPUTS!$K$148,K$7&lt;=IF(INPUTS!$J$148="Upfront",INPUTS!$K$148,INPUTS!$L$148)),1,0),IF(INPUTS!$J$148="Follow Project Life",K$17,IF(INPUTS!$J$148="At Project End",--(K$7=INPUTS!$C$29),0))))</f>
        <v>0</v>
      </c>
      <c r="L188" s="108" t="n">
        <f aca="false">IF(OR(INPUTS!$F$148&lt;&gt;"Yes",L$16=0),0,IF(OR(INPUTS!$J$148="Upfront",INPUTS!$J$148="Even",INPUTS!$J$148="Front-loaded",INPUTS!$J$148="Back-loaded",INPUTS!$J$148="S-curve"),IF(AND(ISNUMBER(INPUTS!$K$148),L$7&gt;=INPUTS!$K$148,L$7&lt;=IF(INPUTS!$J$148="Upfront",INPUTS!$K$148,INPUTS!$L$148)),1,0),IF(INPUTS!$J$148="Follow Project Life",L$17,IF(INPUTS!$J$148="At Project End",--(L$7=INPUTS!$C$29),0))))</f>
        <v>0</v>
      </c>
      <c r="M188" s="108" t="n">
        <f aca="false">IF(OR(INPUTS!$F$148&lt;&gt;"Yes",M$16=0),0,IF(OR(INPUTS!$J$148="Upfront",INPUTS!$J$148="Even",INPUTS!$J$148="Front-loaded",INPUTS!$J$148="Back-loaded",INPUTS!$J$148="S-curve"),IF(AND(ISNUMBER(INPUTS!$K$148),M$7&gt;=INPUTS!$K$148,M$7&lt;=IF(INPUTS!$J$148="Upfront",INPUTS!$K$148,INPUTS!$L$148)),1,0),IF(INPUTS!$J$148="Follow Project Life",M$17,IF(INPUTS!$J$148="At Project End",--(M$7=INPUTS!$C$29),0))))</f>
        <v>0</v>
      </c>
      <c r="N188" s="108" t="n">
        <f aca="false">IF(OR(INPUTS!$F$148&lt;&gt;"Yes",N$16=0),0,IF(OR(INPUTS!$J$148="Upfront",INPUTS!$J$148="Even",INPUTS!$J$148="Front-loaded",INPUTS!$J$148="Back-loaded",INPUTS!$J$148="S-curve"),IF(AND(ISNUMBER(INPUTS!$K$148),N$7&gt;=INPUTS!$K$148,N$7&lt;=IF(INPUTS!$J$148="Upfront",INPUTS!$K$148,INPUTS!$L$148)),1,0),IF(INPUTS!$J$148="Follow Project Life",N$17,IF(INPUTS!$J$148="At Project End",--(N$7=INPUTS!$C$29),0))))</f>
        <v>0</v>
      </c>
      <c r="O188" s="108" t="n">
        <f aca="false">IF(OR(INPUTS!$F$148&lt;&gt;"Yes",O$16=0),0,IF(OR(INPUTS!$J$148="Upfront",INPUTS!$J$148="Even",INPUTS!$J$148="Front-loaded",INPUTS!$J$148="Back-loaded",INPUTS!$J$148="S-curve"),IF(AND(ISNUMBER(INPUTS!$K$148),O$7&gt;=INPUTS!$K$148,O$7&lt;=IF(INPUTS!$J$148="Upfront",INPUTS!$K$148,INPUTS!$L$148)),1,0),IF(INPUTS!$J$148="Follow Project Life",O$17,IF(INPUTS!$J$148="At Project End",--(O$7=INPUTS!$C$29),0))))</f>
        <v>0</v>
      </c>
      <c r="P188" s="108" t="n">
        <f aca="false">IF(OR(INPUTS!$F$148&lt;&gt;"Yes",P$16=0),0,IF(OR(INPUTS!$J$148="Upfront",INPUTS!$J$148="Even",INPUTS!$J$148="Front-loaded",INPUTS!$J$148="Back-loaded",INPUTS!$J$148="S-curve"),IF(AND(ISNUMBER(INPUTS!$K$148),P$7&gt;=INPUTS!$K$148,P$7&lt;=IF(INPUTS!$J$148="Upfront",INPUTS!$K$148,INPUTS!$L$148)),1,0),IF(INPUTS!$J$148="Follow Project Life",P$17,IF(INPUTS!$J$148="At Project End",--(P$7=INPUTS!$C$29),0))))</f>
        <v>0</v>
      </c>
      <c r="Q188" s="108" t="n">
        <f aca="false">IF(OR(INPUTS!$F$148&lt;&gt;"Yes",Q$16=0),0,IF(OR(INPUTS!$J$148="Upfront",INPUTS!$J$148="Even",INPUTS!$J$148="Front-loaded",INPUTS!$J$148="Back-loaded",INPUTS!$J$148="S-curve"),IF(AND(ISNUMBER(INPUTS!$K$148),Q$7&gt;=INPUTS!$K$148,Q$7&lt;=IF(INPUTS!$J$148="Upfront",INPUTS!$K$148,INPUTS!$L$148)),1,0),IF(INPUTS!$J$148="Follow Project Life",Q$17,IF(INPUTS!$J$148="At Project End",--(Q$7=INPUTS!$C$29),0))))</f>
        <v>0</v>
      </c>
      <c r="R188" s="108" t="n">
        <f aca="false">IF(OR(INPUTS!$F$148&lt;&gt;"Yes",R$16=0),0,IF(OR(INPUTS!$J$148="Upfront",INPUTS!$J$148="Even",INPUTS!$J$148="Front-loaded",INPUTS!$J$148="Back-loaded",INPUTS!$J$148="S-curve"),IF(AND(ISNUMBER(INPUTS!$K$148),R$7&gt;=INPUTS!$K$148,R$7&lt;=IF(INPUTS!$J$148="Upfront",INPUTS!$K$148,INPUTS!$L$148)),1,0),IF(INPUTS!$J$148="Follow Project Life",R$17,IF(INPUTS!$J$148="At Project End",--(R$7=INPUTS!$C$29),0))))</f>
        <v>0</v>
      </c>
      <c r="S188" s="108" t="n">
        <f aca="false">IF(OR(INPUTS!$F$148&lt;&gt;"Yes",S$16=0),0,IF(OR(INPUTS!$J$148="Upfront",INPUTS!$J$148="Even",INPUTS!$J$148="Front-loaded",INPUTS!$J$148="Back-loaded",INPUTS!$J$148="S-curve"),IF(AND(ISNUMBER(INPUTS!$K$148),S$7&gt;=INPUTS!$K$148,S$7&lt;=IF(INPUTS!$J$148="Upfront",INPUTS!$K$148,INPUTS!$L$148)),1,0),IF(INPUTS!$J$148="Follow Project Life",S$17,IF(INPUTS!$J$148="At Project End",--(S$7=INPUTS!$C$29),0))))</f>
        <v>0</v>
      </c>
      <c r="T188" s="108" t="n">
        <f aca="false">IF(OR(INPUTS!$F$148&lt;&gt;"Yes",T$16=0),0,IF(OR(INPUTS!$J$148="Upfront",INPUTS!$J$148="Even",INPUTS!$J$148="Front-loaded",INPUTS!$J$148="Back-loaded",INPUTS!$J$148="S-curve"),IF(AND(ISNUMBER(INPUTS!$K$148),T$7&gt;=INPUTS!$K$148,T$7&lt;=IF(INPUTS!$J$148="Upfront",INPUTS!$K$148,INPUTS!$L$148)),1,0),IF(INPUTS!$J$148="Follow Project Life",T$17,IF(INPUTS!$J$148="At Project End",--(T$7=INPUTS!$C$29),0))))</f>
        <v>0</v>
      </c>
      <c r="U188" s="108" t="n">
        <f aca="false">IF(OR(INPUTS!$F$148&lt;&gt;"Yes",U$16=0),0,IF(OR(INPUTS!$J$148="Upfront",INPUTS!$J$148="Even",INPUTS!$J$148="Front-loaded",INPUTS!$J$148="Back-loaded",INPUTS!$J$148="S-curve"),IF(AND(ISNUMBER(INPUTS!$K$148),U$7&gt;=INPUTS!$K$148,U$7&lt;=IF(INPUTS!$J$148="Upfront",INPUTS!$K$148,INPUTS!$L$148)),1,0),IF(INPUTS!$J$148="Follow Project Life",U$17,IF(INPUTS!$J$148="At Project End",--(U$7=INPUTS!$C$29),0))))</f>
        <v>0</v>
      </c>
      <c r="V188" s="108" t="n">
        <f aca="false">IF(OR(INPUTS!$F$148&lt;&gt;"Yes",V$16=0),0,IF(OR(INPUTS!$J$148="Upfront",INPUTS!$J$148="Even",INPUTS!$J$148="Front-loaded",INPUTS!$J$148="Back-loaded",INPUTS!$J$148="S-curve"),IF(AND(ISNUMBER(INPUTS!$K$148),V$7&gt;=INPUTS!$K$148,V$7&lt;=IF(INPUTS!$J$148="Upfront",INPUTS!$K$148,INPUTS!$L$148)),1,0),IF(INPUTS!$J$148="Follow Project Life",V$17,IF(INPUTS!$J$148="At Project End",--(V$7=INPUTS!$C$29),0))))</f>
        <v>0</v>
      </c>
      <c r="W188" s="108" t="n">
        <f aca="false">IF(OR(INPUTS!$F$148&lt;&gt;"Yes",W$16=0),0,IF(OR(INPUTS!$J$148="Upfront",INPUTS!$J$148="Even",INPUTS!$J$148="Front-loaded",INPUTS!$J$148="Back-loaded",INPUTS!$J$148="S-curve"),IF(AND(ISNUMBER(INPUTS!$K$148),W$7&gt;=INPUTS!$K$148,W$7&lt;=IF(INPUTS!$J$148="Upfront",INPUTS!$K$148,INPUTS!$L$148)),1,0),IF(INPUTS!$J$148="Follow Project Life",W$17,IF(INPUTS!$J$148="At Project End",--(W$7=INPUTS!$C$29),0))))</f>
        <v>0</v>
      </c>
      <c r="X188" s="108" t="n">
        <f aca="false">IF(OR(INPUTS!$F$148&lt;&gt;"Yes",X$16=0),0,IF(OR(INPUTS!$J$148="Upfront",INPUTS!$J$148="Even",INPUTS!$J$148="Front-loaded",INPUTS!$J$148="Back-loaded",INPUTS!$J$148="S-curve"),IF(AND(ISNUMBER(INPUTS!$K$148),X$7&gt;=INPUTS!$K$148,X$7&lt;=IF(INPUTS!$J$148="Upfront",INPUTS!$K$148,INPUTS!$L$148)),1,0),IF(INPUTS!$J$148="Follow Project Life",X$17,IF(INPUTS!$J$148="At Project End",--(X$7=INPUTS!$C$29),0))))</f>
        <v>0</v>
      </c>
      <c r="Y188" s="108" t="n">
        <f aca="false">IF(OR(INPUTS!$F$148&lt;&gt;"Yes",Y$16=0),0,IF(OR(INPUTS!$J$148="Upfront",INPUTS!$J$148="Even",INPUTS!$J$148="Front-loaded",INPUTS!$J$148="Back-loaded",INPUTS!$J$148="S-curve"),IF(AND(ISNUMBER(INPUTS!$K$148),Y$7&gt;=INPUTS!$K$148,Y$7&lt;=IF(INPUTS!$J$148="Upfront",INPUTS!$K$148,INPUTS!$L$148)),1,0),IF(INPUTS!$J$148="Follow Project Life",Y$17,IF(INPUTS!$J$148="At Project End",--(Y$7=INPUTS!$C$29),0))))</f>
        <v>0</v>
      </c>
      <c r="Z188" s="108" t="n">
        <f aca="false">IF(OR(INPUTS!$F$148&lt;&gt;"Yes",Z$16=0),0,IF(OR(INPUTS!$J$148="Upfront",INPUTS!$J$148="Even",INPUTS!$J$148="Front-loaded",INPUTS!$J$148="Back-loaded",INPUTS!$J$148="S-curve"),IF(AND(ISNUMBER(INPUTS!$K$148),Z$7&gt;=INPUTS!$K$148,Z$7&lt;=IF(INPUTS!$J$148="Upfront",INPUTS!$K$148,INPUTS!$L$148)),1,0),IF(INPUTS!$J$148="Follow Project Life",Z$17,IF(INPUTS!$J$148="At Project End",--(Z$7=INPUTS!$C$29),0))))</f>
        <v>0</v>
      </c>
      <c r="AA188" s="108" t="n">
        <f aca="false">IF(OR(INPUTS!$F$148&lt;&gt;"Yes",AA$16=0),0,IF(OR(INPUTS!$J$148="Upfront",INPUTS!$J$148="Even",INPUTS!$J$148="Front-loaded",INPUTS!$J$148="Back-loaded",INPUTS!$J$148="S-curve"),IF(AND(ISNUMBER(INPUTS!$K$148),AA$7&gt;=INPUTS!$K$148,AA$7&lt;=IF(INPUTS!$J$148="Upfront",INPUTS!$K$148,INPUTS!$L$148)),1,0),IF(INPUTS!$J$148="Follow Project Life",AA$17,IF(INPUTS!$J$148="At Project End",--(AA$7=INPUTS!$C$29),0))))</f>
        <v>0</v>
      </c>
      <c r="AB188" s="108" t="n">
        <f aca="false">IF(OR(INPUTS!$F$148&lt;&gt;"Yes",AB$16=0),0,IF(OR(INPUTS!$J$148="Upfront",INPUTS!$J$148="Even",INPUTS!$J$148="Front-loaded",INPUTS!$J$148="Back-loaded",INPUTS!$J$148="S-curve"),IF(AND(ISNUMBER(INPUTS!$K$148),AB$7&gt;=INPUTS!$K$148,AB$7&lt;=IF(INPUTS!$J$148="Upfront",INPUTS!$K$148,INPUTS!$L$148)),1,0),IF(INPUTS!$J$148="Follow Project Life",AB$17,IF(INPUTS!$J$148="At Project End",--(AB$7=INPUTS!$C$29),0))))</f>
        <v>0</v>
      </c>
      <c r="AC188" s="108" t="n">
        <f aca="false">IF(OR(INPUTS!$F$148&lt;&gt;"Yes",AC$16=0),0,IF(OR(INPUTS!$J$148="Upfront",INPUTS!$J$148="Even",INPUTS!$J$148="Front-loaded",INPUTS!$J$148="Back-loaded",INPUTS!$J$148="S-curve"),IF(AND(ISNUMBER(INPUTS!$K$148),AC$7&gt;=INPUTS!$K$148,AC$7&lt;=IF(INPUTS!$J$148="Upfront",INPUTS!$K$148,INPUTS!$L$148)),1,0),IF(INPUTS!$J$148="Follow Project Life",AC$17,IF(INPUTS!$J$148="At Project End",--(AC$7=INPUTS!$C$29),0))))</f>
        <v>0</v>
      </c>
      <c r="AD188" s="108" t="n">
        <f aca="false">IF(OR(INPUTS!$F$148&lt;&gt;"Yes",AD$16=0),0,IF(OR(INPUTS!$J$148="Upfront",INPUTS!$J$148="Even",INPUTS!$J$148="Front-loaded",INPUTS!$J$148="Back-loaded",INPUTS!$J$148="S-curve"),IF(AND(ISNUMBER(INPUTS!$K$148),AD$7&gt;=INPUTS!$K$148,AD$7&lt;=IF(INPUTS!$J$148="Upfront",INPUTS!$K$148,INPUTS!$L$148)),1,0),IF(INPUTS!$J$148="Follow Project Life",AD$17,IF(INPUTS!$J$148="At Project End",--(AD$7=INPUTS!$C$29),0))))</f>
        <v>0</v>
      </c>
      <c r="AE188" s="108" t="n">
        <f aca="false">IF(OR(INPUTS!$F$148&lt;&gt;"Yes",AE$16=0),0,IF(OR(INPUTS!$J$148="Upfront",INPUTS!$J$148="Even",INPUTS!$J$148="Front-loaded",INPUTS!$J$148="Back-loaded",INPUTS!$J$148="S-curve"),IF(AND(ISNUMBER(INPUTS!$K$148),AE$7&gt;=INPUTS!$K$148,AE$7&lt;=IF(INPUTS!$J$148="Upfront",INPUTS!$K$148,INPUTS!$L$148)),1,0),IF(INPUTS!$J$148="Follow Project Life",AE$17,IF(INPUTS!$J$148="At Project End",--(AE$7=INPUTS!$C$29),0))))</f>
        <v>0</v>
      </c>
      <c r="AF188" s="108" t="n">
        <f aca="false">IF(OR(INPUTS!$F$148&lt;&gt;"Yes",AF$16=0),0,IF(OR(INPUTS!$J$148="Upfront",INPUTS!$J$148="Even",INPUTS!$J$148="Front-loaded",INPUTS!$J$148="Back-loaded",INPUTS!$J$148="S-curve"),IF(AND(ISNUMBER(INPUTS!$K$148),AF$7&gt;=INPUTS!$K$148,AF$7&lt;=IF(INPUTS!$J$148="Upfront",INPUTS!$K$148,INPUTS!$L$148)),1,0),IF(INPUTS!$J$148="Follow Project Life",AF$17,IF(INPUTS!$J$148="At Project End",--(AF$7=INPUTS!$C$29),0))))</f>
        <v>0</v>
      </c>
      <c r="AG188" s="108" t="n">
        <f aca="false">IF(OR(INPUTS!$F$148&lt;&gt;"Yes",AG$16=0),0,IF(OR(INPUTS!$J$148="Upfront",INPUTS!$J$148="Even",INPUTS!$J$148="Front-loaded",INPUTS!$J$148="Back-loaded",INPUTS!$J$148="S-curve"),IF(AND(ISNUMBER(INPUTS!$K$148),AG$7&gt;=INPUTS!$K$148,AG$7&lt;=IF(INPUTS!$J$148="Upfront",INPUTS!$K$148,INPUTS!$L$148)),1,0),IF(INPUTS!$J$148="Follow Project Life",AG$17,IF(INPUTS!$J$148="At Project End",--(AG$7=INPUTS!$C$29),0))))</f>
        <v>0</v>
      </c>
      <c r="AH188" s="108" t="n">
        <f aca="false">IF(OR(INPUTS!$F$148&lt;&gt;"Yes",AH$16=0),0,IF(OR(INPUTS!$J$148="Upfront",INPUTS!$J$148="Even",INPUTS!$J$148="Front-loaded",INPUTS!$J$148="Back-loaded",INPUTS!$J$148="S-curve"),IF(AND(ISNUMBER(INPUTS!$K$148),AH$7&gt;=INPUTS!$K$148,AH$7&lt;=IF(INPUTS!$J$148="Upfront",INPUTS!$K$148,INPUTS!$L$148)),1,0),IF(INPUTS!$J$148="Follow Project Life",AH$17,IF(INPUTS!$J$148="At Project End",--(AH$7=INPUTS!$C$29),0))))</f>
        <v>0</v>
      </c>
      <c r="AI188" s="108" t="n">
        <f aca="false">IF(OR(INPUTS!$F$148&lt;&gt;"Yes",AI$16=0),0,IF(OR(INPUTS!$J$148="Upfront",INPUTS!$J$148="Even",INPUTS!$J$148="Front-loaded",INPUTS!$J$148="Back-loaded",INPUTS!$J$148="S-curve"),IF(AND(ISNUMBER(INPUTS!$K$148),AI$7&gt;=INPUTS!$K$148,AI$7&lt;=IF(INPUTS!$J$148="Upfront",INPUTS!$K$148,INPUTS!$L$148)),1,0),IF(INPUTS!$J$148="Follow Project Life",AI$17,IF(INPUTS!$J$148="At Project End",--(AI$7=INPUTS!$C$29),0))))</f>
        <v>0</v>
      </c>
      <c r="AJ188" s="108" t="n">
        <f aca="false">IF(OR(INPUTS!$F$148&lt;&gt;"Yes",AJ$16=0),0,IF(OR(INPUTS!$J$148="Upfront",INPUTS!$J$148="Even",INPUTS!$J$148="Front-loaded",INPUTS!$J$148="Back-loaded",INPUTS!$J$148="S-curve"),IF(AND(ISNUMBER(INPUTS!$K$148),AJ$7&gt;=INPUTS!$K$148,AJ$7&lt;=IF(INPUTS!$J$148="Upfront",INPUTS!$K$148,INPUTS!$L$148)),1,0),IF(INPUTS!$J$148="Follow Project Life",AJ$17,IF(INPUTS!$J$148="At Project End",--(AJ$7=INPUTS!$C$29),0))))</f>
        <v>0</v>
      </c>
      <c r="AK188" s="108" t="n">
        <f aca="false">IF(OR(INPUTS!$F$148&lt;&gt;"Yes",AK$16=0),0,IF(OR(INPUTS!$J$148="Upfront",INPUTS!$J$148="Even",INPUTS!$J$148="Front-loaded",INPUTS!$J$148="Back-loaded",INPUTS!$J$148="S-curve"),IF(AND(ISNUMBER(INPUTS!$K$148),AK$7&gt;=INPUTS!$K$148,AK$7&lt;=IF(INPUTS!$J$148="Upfront",INPUTS!$K$148,INPUTS!$L$148)),1,0),IF(INPUTS!$J$148="Follow Project Life",AK$17,IF(INPUTS!$J$148="At Project End",--(AK$7=INPUTS!$C$29),0))))</f>
        <v>0</v>
      </c>
      <c r="AL188" s="108" t="n">
        <f aca="false">IF(OR(INPUTS!$F$148&lt;&gt;"Yes",AL$16=0),0,IF(OR(INPUTS!$J$148="Upfront",INPUTS!$J$148="Even",INPUTS!$J$148="Front-loaded",INPUTS!$J$148="Back-loaded",INPUTS!$J$148="S-curve"),IF(AND(ISNUMBER(INPUTS!$K$148),AL$7&gt;=INPUTS!$K$148,AL$7&lt;=IF(INPUTS!$J$148="Upfront",INPUTS!$K$148,INPUTS!$L$148)),1,0),IF(INPUTS!$J$148="Follow Project Life",AL$17,IF(INPUTS!$J$148="At Project End",--(AL$7=INPUTS!$C$29),0))))</f>
        <v>0</v>
      </c>
      <c r="AM188" s="108" t="n">
        <f aca="false">IF(OR(INPUTS!$F$148&lt;&gt;"Yes",AM$16=0),0,IF(OR(INPUTS!$J$148="Upfront",INPUTS!$J$148="Even",INPUTS!$J$148="Front-loaded",INPUTS!$J$148="Back-loaded",INPUTS!$J$148="S-curve"),IF(AND(ISNUMBER(INPUTS!$K$148),AM$7&gt;=INPUTS!$K$148,AM$7&lt;=IF(INPUTS!$J$148="Upfront",INPUTS!$K$148,INPUTS!$L$148)),1,0),IF(INPUTS!$J$148="Follow Project Life",AM$17,IF(INPUTS!$J$148="At Project End",--(AM$7=INPUTS!$C$29),0))))</f>
        <v>0</v>
      </c>
      <c r="AN188" s="108" t="n">
        <f aca="false">IF(OR(INPUTS!$F$148&lt;&gt;"Yes",AN$16=0),0,IF(OR(INPUTS!$J$148="Upfront",INPUTS!$J$148="Even",INPUTS!$J$148="Front-loaded",INPUTS!$J$148="Back-loaded",INPUTS!$J$148="S-curve"),IF(AND(ISNUMBER(INPUTS!$K$148),AN$7&gt;=INPUTS!$K$148,AN$7&lt;=IF(INPUTS!$J$148="Upfront",INPUTS!$K$148,INPUTS!$L$148)),1,0),IF(INPUTS!$J$148="Follow Project Life",AN$17,IF(INPUTS!$J$148="At Project End",--(AN$7=INPUTS!$C$29),0))))</f>
        <v>0</v>
      </c>
      <c r="AO188" s="108" t="n">
        <f aca="false">IF(OR(INPUTS!$F$148&lt;&gt;"Yes",AO$16=0),0,IF(OR(INPUTS!$J$148="Upfront",INPUTS!$J$148="Even",INPUTS!$J$148="Front-loaded",INPUTS!$J$148="Back-loaded",INPUTS!$J$148="S-curve"),IF(AND(ISNUMBER(INPUTS!$K$148),AO$7&gt;=INPUTS!$K$148,AO$7&lt;=IF(INPUTS!$J$148="Upfront",INPUTS!$K$148,INPUTS!$L$148)),1,0),IF(INPUTS!$J$148="Follow Project Life",AO$17,IF(INPUTS!$J$148="At Project End",--(AO$7=INPUTS!$C$29),0))))</f>
        <v>0</v>
      </c>
      <c r="AP188" s="108" t="n">
        <f aca="false">IF(OR(INPUTS!$F$148&lt;&gt;"Yes",AP$16=0),0,IF(OR(INPUTS!$J$148="Upfront",INPUTS!$J$148="Even",INPUTS!$J$148="Front-loaded",INPUTS!$J$148="Back-loaded",INPUTS!$J$148="S-curve"),IF(AND(ISNUMBER(INPUTS!$K$148),AP$7&gt;=INPUTS!$K$148,AP$7&lt;=IF(INPUTS!$J$148="Upfront",INPUTS!$K$148,INPUTS!$L$148)),1,0),IF(INPUTS!$J$148="Follow Project Life",AP$17,IF(INPUTS!$J$148="At Project End",--(AP$7=INPUTS!$C$29),0))))</f>
        <v>0</v>
      </c>
      <c r="AQ188" s="108" t="n">
        <f aca="false">IF(OR(INPUTS!$F$148&lt;&gt;"Yes",AQ$16=0),0,IF(OR(INPUTS!$J$148="Upfront",INPUTS!$J$148="Even",INPUTS!$J$148="Front-loaded",INPUTS!$J$148="Back-loaded",INPUTS!$J$148="S-curve"),IF(AND(ISNUMBER(INPUTS!$K$148),AQ$7&gt;=INPUTS!$K$148,AQ$7&lt;=IF(INPUTS!$J$148="Upfront",INPUTS!$K$148,INPUTS!$L$148)),1,0),IF(INPUTS!$J$148="Follow Project Life",AQ$17,IF(INPUTS!$J$148="At Project End",--(AQ$7=INPUTS!$C$29),0))))</f>
        <v>0</v>
      </c>
    </row>
    <row r="189" customFormat="false" ht="15" hidden="false" customHeight="false" outlineLevel="0" collapsed="false">
      <c r="B189" s="3" t="s">
        <v>650</v>
      </c>
      <c r="C189" s="107" t="n">
        <f aca="false">MAX(D189:AQ189)</f>
        <v>1</v>
      </c>
      <c r="D189" s="108" t="n">
        <f aca="false">IF(D188=1,COUNTIF($D188:D188,1),0)</f>
        <v>0</v>
      </c>
      <c r="E189" s="108" t="n">
        <f aca="false">IF(E188=1,COUNTIF($D188:E188,1),0)</f>
        <v>1</v>
      </c>
      <c r="F189" s="108" t="n">
        <f aca="false">IF(F188=1,COUNTIF($D188:F188,1),0)</f>
        <v>0</v>
      </c>
      <c r="G189" s="108" t="n">
        <f aca="false">IF(G188=1,COUNTIF($D188:G188,1),0)</f>
        <v>0</v>
      </c>
      <c r="H189" s="108" t="n">
        <f aca="false">IF(H188=1,COUNTIF($D188:H188,1),0)</f>
        <v>0</v>
      </c>
      <c r="I189" s="108" t="n">
        <f aca="false">IF(I188=1,COUNTIF($D188:I188,1),0)</f>
        <v>0</v>
      </c>
      <c r="J189" s="108" t="n">
        <f aca="false">IF(J188=1,COUNTIF($D188:J188,1),0)</f>
        <v>0</v>
      </c>
      <c r="K189" s="108" t="n">
        <f aca="false">IF(K188=1,COUNTIF($D188:K188,1),0)</f>
        <v>0</v>
      </c>
      <c r="L189" s="108" t="n">
        <f aca="false">IF(L188=1,COUNTIF($D188:L188,1),0)</f>
        <v>0</v>
      </c>
      <c r="M189" s="108" t="n">
        <f aca="false">IF(M188=1,COUNTIF($D188:M188,1),0)</f>
        <v>0</v>
      </c>
      <c r="N189" s="108" t="n">
        <f aca="false">IF(N188=1,COUNTIF($D188:N188,1),0)</f>
        <v>0</v>
      </c>
      <c r="O189" s="108" t="n">
        <f aca="false">IF(O188=1,COUNTIF($D188:O188,1),0)</f>
        <v>0</v>
      </c>
      <c r="P189" s="108" t="n">
        <f aca="false">IF(P188=1,COUNTIF($D188:P188,1),0)</f>
        <v>0</v>
      </c>
      <c r="Q189" s="108" t="n">
        <f aca="false">IF(Q188=1,COUNTIF($D188:Q188,1),0)</f>
        <v>0</v>
      </c>
      <c r="R189" s="108" t="n">
        <f aca="false">IF(R188=1,COUNTIF($D188:R188,1),0)</f>
        <v>0</v>
      </c>
      <c r="S189" s="108" t="n">
        <f aca="false">IF(S188=1,COUNTIF($D188:S188,1),0)</f>
        <v>0</v>
      </c>
      <c r="T189" s="108" t="n">
        <f aca="false">IF(T188=1,COUNTIF($D188:T188,1),0)</f>
        <v>0</v>
      </c>
      <c r="U189" s="108" t="n">
        <f aca="false">IF(U188=1,COUNTIF($D188:U188,1),0)</f>
        <v>0</v>
      </c>
      <c r="V189" s="108" t="n">
        <f aca="false">IF(V188=1,COUNTIF($D188:V188,1),0)</f>
        <v>0</v>
      </c>
      <c r="W189" s="108" t="n">
        <f aca="false">IF(W188=1,COUNTIF($D188:W188,1),0)</f>
        <v>0</v>
      </c>
      <c r="X189" s="108" t="n">
        <f aca="false">IF(X188=1,COUNTIF($D188:X188,1),0)</f>
        <v>0</v>
      </c>
      <c r="Y189" s="108" t="n">
        <f aca="false">IF(Y188=1,COUNTIF($D188:Y188,1),0)</f>
        <v>0</v>
      </c>
      <c r="Z189" s="108" t="n">
        <f aca="false">IF(Z188=1,COUNTIF($D188:Z188,1),0)</f>
        <v>0</v>
      </c>
      <c r="AA189" s="108" t="n">
        <f aca="false">IF(AA188=1,COUNTIF($D188:AA188,1),0)</f>
        <v>0</v>
      </c>
      <c r="AB189" s="108" t="n">
        <f aca="false">IF(AB188=1,COUNTIF($D188:AB188,1),0)</f>
        <v>0</v>
      </c>
      <c r="AC189" s="108" t="n">
        <f aca="false">IF(AC188=1,COUNTIF($D188:AC188,1),0)</f>
        <v>0</v>
      </c>
      <c r="AD189" s="108" t="n">
        <f aca="false">IF(AD188=1,COUNTIF($D188:AD188,1),0)</f>
        <v>0</v>
      </c>
      <c r="AE189" s="108" t="n">
        <f aca="false">IF(AE188=1,COUNTIF($D188:AE188,1),0)</f>
        <v>0</v>
      </c>
      <c r="AF189" s="108" t="n">
        <f aca="false">IF(AF188=1,COUNTIF($D188:AF188,1),0)</f>
        <v>0</v>
      </c>
      <c r="AG189" s="108" t="n">
        <f aca="false">IF(AG188=1,COUNTIF($D188:AG188,1),0)</f>
        <v>0</v>
      </c>
      <c r="AH189" s="108" t="n">
        <f aca="false">IF(AH188=1,COUNTIF($D188:AH188,1),0)</f>
        <v>0</v>
      </c>
      <c r="AI189" s="108" t="n">
        <f aca="false">IF(AI188=1,COUNTIF($D188:AI188,1),0)</f>
        <v>0</v>
      </c>
      <c r="AJ189" s="108" t="n">
        <f aca="false">IF(AJ188=1,COUNTIF($D188:AJ188,1),0)</f>
        <v>0</v>
      </c>
      <c r="AK189" s="108" t="n">
        <f aca="false">IF(AK188=1,COUNTIF($D188:AK188,1),0)</f>
        <v>0</v>
      </c>
      <c r="AL189" s="108" t="n">
        <f aca="false">IF(AL188=1,COUNTIF($D188:AL188,1),0)</f>
        <v>0</v>
      </c>
      <c r="AM189" s="108" t="n">
        <f aca="false">IF(AM188=1,COUNTIF($D188:AM188,1),0)</f>
        <v>0</v>
      </c>
      <c r="AN189" s="108" t="n">
        <f aca="false">IF(AN188=1,COUNTIF($D188:AN188,1),0)</f>
        <v>0</v>
      </c>
      <c r="AO189" s="108" t="n">
        <f aca="false">IF(AO188=1,COUNTIF($D188:AO188,1),0)</f>
        <v>0</v>
      </c>
      <c r="AP189" s="108" t="n">
        <f aca="false">IF(AP188=1,COUNTIF($D188:AP188,1),0)</f>
        <v>0</v>
      </c>
      <c r="AQ189" s="108" t="n">
        <f aca="false">IF(AQ188=1,COUNTIF($D188:AQ188,1),0)</f>
        <v>0</v>
      </c>
    </row>
    <row r="190" customFormat="false" ht="15" hidden="false" customHeight="false" outlineLevel="0" collapsed="false">
      <c r="B190" s="17" t="s">
        <v>651</v>
      </c>
      <c r="C190" s="105" t="str">
        <f aca="false">IF(INPUTS!$M$148="","",IF(INPUTS!$M$148&lt;&gt;"OK","ERROR",IF(C188=IF(INPUTS!$F$148&lt;&gt;"Yes",0,IF(OR(INPUTS!$J$148="Upfront",INPUTS!$J$148="Even",INPUTS!$J$148="Front-loaded",INPUTS!$J$148="Back-loaded",INPUTS!$J$148="S-curve"),IF(ISNUMBER(INPUTS!$K$148),IF(INPUTS!$J$148="Upfront",INPUTS!$K$148,INPUTS!$L$148)-INPUTS!$K$148+1,0),IF(INPUTS!$J$148="Follow Project Life",INPUTS!$C$29,IF(INPUTS!$J$148="At Project End",1,0)))),"OK","ERROR")))</f>
        <v>OK</v>
      </c>
    </row>
    <row r="191" customFormat="false" ht="15" hidden="false" customHeight="false" outlineLevel="0" collapsed="false">
      <c r="B191" s="110" t="str">
        <f aca="false">IF(INPUTS!$B$149="","Spare cost row",INPUTS!$B$149)</f>
        <v>Spare cost row</v>
      </c>
      <c r="C191" s="111" t="str">
        <f aca="false">IF(INPUTS!$J$149="","",INPUTS!$J$149)</f>
        <v/>
      </c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</row>
    <row r="192" customFormat="false" ht="15" hidden="false" customHeight="false" outlineLevel="0" collapsed="false">
      <c r="B192" s="3" t="s">
        <v>649</v>
      </c>
      <c r="C192" s="107" t="n">
        <f aca="false">SUM(D192:AQ192)</f>
        <v>0</v>
      </c>
      <c r="D192" s="108" t="n">
        <f aca="false">IF(OR(INPUTS!$F$149&lt;&gt;"Yes",D$16=0),0,IF(OR(INPUTS!$J$149="Upfront",INPUTS!$J$149="Even",INPUTS!$J$149="Front-loaded",INPUTS!$J$149="Back-loaded",INPUTS!$J$149="S-curve"),IF(AND(ISNUMBER(INPUTS!$K$149),D$7&gt;=INPUTS!$K$149,D$7&lt;=IF(INPUTS!$J$149="Upfront",INPUTS!$K$149,INPUTS!$L$149)),1,0),IF(INPUTS!$J$149="Follow Project Life",D$17,IF(INPUTS!$J$149="At Project End",--(D$7=INPUTS!$C$29),0))))</f>
        <v>0</v>
      </c>
      <c r="E192" s="108" t="n">
        <f aca="false">IF(OR(INPUTS!$F$149&lt;&gt;"Yes",E$16=0),0,IF(OR(INPUTS!$J$149="Upfront",INPUTS!$J$149="Even",INPUTS!$J$149="Front-loaded",INPUTS!$J$149="Back-loaded",INPUTS!$J$149="S-curve"),IF(AND(ISNUMBER(INPUTS!$K$149),E$7&gt;=INPUTS!$K$149,E$7&lt;=IF(INPUTS!$J$149="Upfront",INPUTS!$K$149,INPUTS!$L$149)),1,0),IF(INPUTS!$J$149="Follow Project Life",E$17,IF(INPUTS!$J$149="At Project End",--(E$7=INPUTS!$C$29),0))))</f>
        <v>0</v>
      </c>
      <c r="F192" s="108" t="n">
        <f aca="false">IF(OR(INPUTS!$F$149&lt;&gt;"Yes",F$16=0),0,IF(OR(INPUTS!$J$149="Upfront",INPUTS!$J$149="Even",INPUTS!$J$149="Front-loaded",INPUTS!$J$149="Back-loaded",INPUTS!$J$149="S-curve"),IF(AND(ISNUMBER(INPUTS!$K$149),F$7&gt;=INPUTS!$K$149,F$7&lt;=IF(INPUTS!$J$149="Upfront",INPUTS!$K$149,INPUTS!$L$149)),1,0),IF(INPUTS!$J$149="Follow Project Life",F$17,IF(INPUTS!$J$149="At Project End",--(F$7=INPUTS!$C$29),0))))</f>
        <v>0</v>
      </c>
      <c r="G192" s="108" t="n">
        <f aca="false">IF(OR(INPUTS!$F$149&lt;&gt;"Yes",G$16=0),0,IF(OR(INPUTS!$J$149="Upfront",INPUTS!$J$149="Even",INPUTS!$J$149="Front-loaded",INPUTS!$J$149="Back-loaded",INPUTS!$J$149="S-curve"),IF(AND(ISNUMBER(INPUTS!$K$149),G$7&gt;=INPUTS!$K$149,G$7&lt;=IF(INPUTS!$J$149="Upfront",INPUTS!$K$149,INPUTS!$L$149)),1,0),IF(INPUTS!$J$149="Follow Project Life",G$17,IF(INPUTS!$J$149="At Project End",--(G$7=INPUTS!$C$29),0))))</f>
        <v>0</v>
      </c>
      <c r="H192" s="108" t="n">
        <f aca="false">IF(OR(INPUTS!$F$149&lt;&gt;"Yes",H$16=0),0,IF(OR(INPUTS!$J$149="Upfront",INPUTS!$J$149="Even",INPUTS!$J$149="Front-loaded",INPUTS!$J$149="Back-loaded",INPUTS!$J$149="S-curve"),IF(AND(ISNUMBER(INPUTS!$K$149),H$7&gt;=INPUTS!$K$149,H$7&lt;=IF(INPUTS!$J$149="Upfront",INPUTS!$K$149,INPUTS!$L$149)),1,0),IF(INPUTS!$J$149="Follow Project Life",H$17,IF(INPUTS!$J$149="At Project End",--(H$7=INPUTS!$C$29),0))))</f>
        <v>0</v>
      </c>
      <c r="I192" s="108" t="n">
        <f aca="false">IF(OR(INPUTS!$F$149&lt;&gt;"Yes",I$16=0),0,IF(OR(INPUTS!$J$149="Upfront",INPUTS!$J$149="Even",INPUTS!$J$149="Front-loaded",INPUTS!$J$149="Back-loaded",INPUTS!$J$149="S-curve"),IF(AND(ISNUMBER(INPUTS!$K$149),I$7&gt;=INPUTS!$K$149,I$7&lt;=IF(INPUTS!$J$149="Upfront",INPUTS!$K$149,INPUTS!$L$149)),1,0),IF(INPUTS!$J$149="Follow Project Life",I$17,IF(INPUTS!$J$149="At Project End",--(I$7=INPUTS!$C$29),0))))</f>
        <v>0</v>
      </c>
      <c r="J192" s="108" t="n">
        <f aca="false">IF(OR(INPUTS!$F$149&lt;&gt;"Yes",J$16=0),0,IF(OR(INPUTS!$J$149="Upfront",INPUTS!$J$149="Even",INPUTS!$J$149="Front-loaded",INPUTS!$J$149="Back-loaded",INPUTS!$J$149="S-curve"),IF(AND(ISNUMBER(INPUTS!$K$149),J$7&gt;=INPUTS!$K$149,J$7&lt;=IF(INPUTS!$J$149="Upfront",INPUTS!$K$149,INPUTS!$L$149)),1,0),IF(INPUTS!$J$149="Follow Project Life",J$17,IF(INPUTS!$J$149="At Project End",--(J$7=INPUTS!$C$29),0))))</f>
        <v>0</v>
      </c>
      <c r="K192" s="108" t="n">
        <f aca="false">IF(OR(INPUTS!$F$149&lt;&gt;"Yes",K$16=0),0,IF(OR(INPUTS!$J$149="Upfront",INPUTS!$J$149="Even",INPUTS!$J$149="Front-loaded",INPUTS!$J$149="Back-loaded",INPUTS!$J$149="S-curve"),IF(AND(ISNUMBER(INPUTS!$K$149),K$7&gt;=INPUTS!$K$149,K$7&lt;=IF(INPUTS!$J$149="Upfront",INPUTS!$K$149,INPUTS!$L$149)),1,0),IF(INPUTS!$J$149="Follow Project Life",K$17,IF(INPUTS!$J$149="At Project End",--(K$7=INPUTS!$C$29),0))))</f>
        <v>0</v>
      </c>
      <c r="L192" s="108" t="n">
        <f aca="false">IF(OR(INPUTS!$F$149&lt;&gt;"Yes",L$16=0),0,IF(OR(INPUTS!$J$149="Upfront",INPUTS!$J$149="Even",INPUTS!$J$149="Front-loaded",INPUTS!$J$149="Back-loaded",INPUTS!$J$149="S-curve"),IF(AND(ISNUMBER(INPUTS!$K$149),L$7&gt;=INPUTS!$K$149,L$7&lt;=IF(INPUTS!$J$149="Upfront",INPUTS!$K$149,INPUTS!$L$149)),1,0),IF(INPUTS!$J$149="Follow Project Life",L$17,IF(INPUTS!$J$149="At Project End",--(L$7=INPUTS!$C$29),0))))</f>
        <v>0</v>
      </c>
      <c r="M192" s="108" t="n">
        <f aca="false">IF(OR(INPUTS!$F$149&lt;&gt;"Yes",M$16=0),0,IF(OR(INPUTS!$J$149="Upfront",INPUTS!$J$149="Even",INPUTS!$J$149="Front-loaded",INPUTS!$J$149="Back-loaded",INPUTS!$J$149="S-curve"),IF(AND(ISNUMBER(INPUTS!$K$149),M$7&gt;=INPUTS!$K$149,M$7&lt;=IF(INPUTS!$J$149="Upfront",INPUTS!$K$149,INPUTS!$L$149)),1,0),IF(INPUTS!$J$149="Follow Project Life",M$17,IF(INPUTS!$J$149="At Project End",--(M$7=INPUTS!$C$29),0))))</f>
        <v>0</v>
      </c>
      <c r="N192" s="108" t="n">
        <f aca="false">IF(OR(INPUTS!$F$149&lt;&gt;"Yes",N$16=0),0,IF(OR(INPUTS!$J$149="Upfront",INPUTS!$J$149="Even",INPUTS!$J$149="Front-loaded",INPUTS!$J$149="Back-loaded",INPUTS!$J$149="S-curve"),IF(AND(ISNUMBER(INPUTS!$K$149),N$7&gt;=INPUTS!$K$149,N$7&lt;=IF(INPUTS!$J$149="Upfront",INPUTS!$K$149,INPUTS!$L$149)),1,0),IF(INPUTS!$J$149="Follow Project Life",N$17,IF(INPUTS!$J$149="At Project End",--(N$7=INPUTS!$C$29),0))))</f>
        <v>0</v>
      </c>
      <c r="O192" s="108" t="n">
        <f aca="false">IF(OR(INPUTS!$F$149&lt;&gt;"Yes",O$16=0),0,IF(OR(INPUTS!$J$149="Upfront",INPUTS!$J$149="Even",INPUTS!$J$149="Front-loaded",INPUTS!$J$149="Back-loaded",INPUTS!$J$149="S-curve"),IF(AND(ISNUMBER(INPUTS!$K$149),O$7&gt;=INPUTS!$K$149,O$7&lt;=IF(INPUTS!$J$149="Upfront",INPUTS!$K$149,INPUTS!$L$149)),1,0),IF(INPUTS!$J$149="Follow Project Life",O$17,IF(INPUTS!$J$149="At Project End",--(O$7=INPUTS!$C$29),0))))</f>
        <v>0</v>
      </c>
      <c r="P192" s="108" t="n">
        <f aca="false">IF(OR(INPUTS!$F$149&lt;&gt;"Yes",P$16=0),0,IF(OR(INPUTS!$J$149="Upfront",INPUTS!$J$149="Even",INPUTS!$J$149="Front-loaded",INPUTS!$J$149="Back-loaded",INPUTS!$J$149="S-curve"),IF(AND(ISNUMBER(INPUTS!$K$149),P$7&gt;=INPUTS!$K$149,P$7&lt;=IF(INPUTS!$J$149="Upfront",INPUTS!$K$149,INPUTS!$L$149)),1,0),IF(INPUTS!$J$149="Follow Project Life",P$17,IF(INPUTS!$J$149="At Project End",--(P$7=INPUTS!$C$29),0))))</f>
        <v>0</v>
      </c>
      <c r="Q192" s="108" t="n">
        <f aca="false">IF(OR(INPUTS!$F$149&lt;&gt;"Yes",Q$16=0),0,IF(OR(INPUTS!$J$149="Upfront",INPUTS!$J$149="Even",INPUTS!$J$149="Front-loaded",INPUTS!$J$149="Back-loaded",INPUTS!$J$149="S-curve"),IF(AND(ISNUMBER(INPUTS!$K$149),Q$7&gt;=INPUTS!$K$149,Q$7&lt;=IF(INPUTS!$J$149="Upfront",INPUTS!$K$149,INPUTS!$L$149)),1,0),IF(INPUTS!$J$149="Follow Project Life",Q$17,IF(INPUTS!$J$149="At Project End",--(Q$7=INPUTS!$C$29),0))))</f>
        <v>0</v>
      </c>
      <c r="R192" s="108" t="n">
        <f aca="false">IF(OR(INPUTS!$F$149&lt;&gt;"Yes",R$16=0),0,IF(OR(INPUTS!$J$149="Upfront",INPUTS!$J$149="Even",INPUTS!$J$149="Front-loaded",INPUTS!$J$149="Back-loaded",INPUTS!$J$149="S-curve"),IF(AND(ISNUMBER(INPUTS!$K$149),R$7&gt;=INPUTS!$K$149,R$7&lt;=IF(INPUTS!$J$149="Upfront",INPUTS!$K$149,INPUTS!$L$149)),1,0),IF(INPUTS!$J$149="Follow Project Life",R$17,IF(INPUTS!$J$149="At Project End",--(R$7=INPUTS!$C$29),0))))</f>
        <v>0</v>
      </c>
      <c r="S192" s="108" t="n">
        <f aca="false">IF(OR(INPUTS!$F$149&lt;&gt;"Yes",S$16=0),0,IF(OR(INPUTS!$J$149="Upfront",INPUTS!$J$149="Even",INPUTS!$J$149="Front-loaded",INPUTS!$J$149="Back-loaded",INPUTS!$J$149="S-curve"),IF(AND(ISNUMBER(INPUTS!$K$149),S$7&gt;=INPUTS!$K$149,S$7&lt;=IF(INPUTS!$J$149="Upfront",INPUTS!$K$149,INPUTS!$L$149)),1,0),IF(INPUTS!$J$149="Follow Project Life",S$17,IF(INPUTS!$J$149="At Project End",--(S$7=INPUTS!$C$29),0))))</f>
        <v>0</v>
      </c>
      <c r="T192" s="108" t="n">
        <f aca="false">IF(OR(INPUTS!$F$149&lt;&gt;"Yes",T$16=0),0,IF(OR(INPUTS!$J$149="Upfront",INPUTS!$J$149="Even",INPUTS!$J$149="Front-loaded",INPUTS!$J$149="Back-loaded",INPUTS!$J$149="S-curve"),IF(AND(ISNUMBER(INPUTS!$K$149),T$7&gt;=INPUTS!$K$149,T$7&lt;=IF(INPUTS!$J$149="Upfront",INPUTS!$K$149,INPUTS!$L$149)),1,0),IF(INPUTS!$J$149="Follow Project Life",T$17,IF(INPUTS!$J$149="At Project End",--(T$7=INPUTS!$C$29),0))))</f>
        <v>0</v>
      </c>
      <c r="U192" s="108" t="n">
        <f aca="false">IF(OR(INPUTS!$F$149&lt;&gt;"Yes",U$16=0),0,IF(OR(INPUTS!$J$149="Upfront",INPUTS!$J$149="Even",INPUTS!$J$149="Front-loaded",INPUTS!$J$149="Back-loaded",INPUTS!$J$149="S-curve"),IF(AND(ISNUMBER(INPUTS!$K$149),U$7&gt;=INPUTS!$K$149,U$7&lt;=IF(INPUTS!$J$149="Upfront",INPUTS!$K$149,INPUTS!$L$149)),1,0),IF(INPUTS!$J$149="Follow Project Life",U$17,IF(INPUTS!$J$149="At Project End",--(U$7=INPUTS!$C$29),0))))</f>
        <v>0</v>
      </c>
      <c r="V192" s="108" t="n">
        <f aca="false">IF(OR(INPUTS!$F$149&lt;&gt;"Yes",V$16=0),0,IF(OR(INPUTS!$J$149="Upfront",INPUTS!$J$149="Even",INPUTS!$J$149="Front-loaded",INPUTS!$J$149="Back-loaded",INPUTS!$J$149="S-curve"),IF(AND(ISNUMBER(INPUTS!$K$149),V$7&gt;=INPUTS!$K$149,V$7&lt;=IF(INPUTS!$J$149="Upfront",INPUTS!$K$149,INPUTS!$L$149)),1,0),IF(INPUTS!$J$149="Follow Project Life",V$17,IF(INPUTS!$J$149="At Project End",--(V$7=INPUTS!$C$29),0))))</f>
        <v>0</v>
      </c>
      <c r="W192" s="108" t="n">
        <f aca="false">IF(OR(INPUTS!$F$149&lt;&gt;"Yes",W$16=0),0,IF(OR(INPUTS!$J$149="Upfront",INPUTS!$J$149="Even",INPUTS!$J$149="Front-loaded",INPUTS!$J$149="Back-loaded",INPUTS!$J$149="S-curve"),IF(AND(ISNUMBER(INPUTS!$K$149),W$7&gt;=INPUTS!$K$149,W$7&lt;=IF(INPUTS!$J$149="Upfront",INPUTS!$K$149,INPUTS!$L$149)),1,0),IF(INPUTS!$J$149="Follow Project Life",W$17,IF(INPUTS!$J$149="At Project End",--(W$7=INPUTS!$C$29),0))))</f>
        <v>0</v>
      </c>
      <c r="X192" s="108" t="n">
        <f aca="false">IF(OR(INPUTS!$F$149&lt;&gt;"Yes",X$16=0),0,IF(OR(INPUTS!$J$149="Upfront",INPUTS!$J$149="Even",INPUTS!$J$149="Front-loaded",INPUTS!$J$149="Back-loaded",INPUTS!$J$149="S-curve"),IF(AND(ISNUMBER(INPUTS!$K$149),X$7&gt;=INPUTS!$K$149,X$7&lt;=IF(INPUTS!$J$149="Upfront",INPUTS!$K$149,INPUTS!$L$149)),1,0),IF(INPUTS!$J$149="Follow Project Life",X$17,IF(INPUTS!$J$149="At Project End",--(X$7=INPUTS!$C$29),0))))</f>
        <v>0</v>
      </c>
      <c r="Y192" s="108" t="n">
        <f aca="false">IF(OR(INPUTS!$F$149&lt;&gt;"Yes",Y$16=0),0,IF(OR(INPUTS!$J$149="Upfront",INPUTS!$J$149="Even",INPUTS!$J$149="Front-loaded",INPUTS!$J$149="Back-loaded",INPUTS!$J$149="S-curve"),IF(AND(ISNUMBER(INPUTS!$K$149),Y$7&gt;=INPUTS!$K$149,Y$7&lt;=IF(INPUTS!$J$149="Upfront",INPUTS!$K$149,INPUTS!$L$149)),1,0),IF(INPUTS!$J$149="Follow Project Life",Y$17,IF(INPUTS!$J$149="At Project End",--(Y$7=INPUTS!$C$29),0))))</f>
        <v>0</v>
      </c>
      <c r="Z192" s="108" t="n">
        <f aca="false">IF(OR(INPUTS!$F$149&lt;&gt;"Yes",Z$16=0),0,IF(OR(INPUTS!$J$149="Upfront",INPUTS!$J$149="Even",INPUTS!$J$149="Front-loaded",INPUTS!$J$149="Back-loaded",INPUTS!$J$149="S-curve"),IF(AND(ISNUMBER(INPUTS!$K$149),Z$7&gt;=INPUTS!$K$149,Z$7&lt;=IF(INPUTS!$J$149="Upfront",INPUTS!$K$149,INPUTS!$L$149)),1,0),IF(INPUTS!$J$149="Follow Project Life",Z$17,IF(INPUTS!$J$149="At Project End",--(Z$7=INPUTS!$C$29),0))))</f>
        <v>0</v>
      </c>
      <c r="AA192" s="108" t="n">
        <f aca="false">IF(OR(INPUTS!$F$149&lt;&gt;"Yes",AA$16=0),0,IF(OR(INPUTS!$J$149="Upfront",INPUTS!$J$149="Even",INPUTS!$J$149="Front-loaded",INPUTS!$J$149="Back-loaded",INPUTS!$J$149="S-curve"),IF(AND(ISNUMBER(INPUTS!$K$149),AA$7&gt;=INPUTS!$K$149,AA$7&lt;=IF(INPUTS!$J$149="Upfront",INPUTS!$K$149,INPUTS!$L$149)),1,0),IF(INPUTS!$J$149="Follow Project Life",AA$17,IF(INPUTS!$J$149="At Project End",--(AA$7=INPUTS!$C$29),0))))</f>
        <v>0</v>
      </c>
      <c r="AB192" s="108" t="n">
        <f aca="false">IF(OR(INPUTS!$F$149&lt;&gt;"Yes",AB$16=0),0,IF(OR(INPUTS!$J$149="Upfront",INPUTS!$J$149="Even",INPUTS!$J$149="Front-loaded",INPUTS!$J$149="Back-loaded",INPUTS!$J$149="S-curve"),IF(AND(ISNUMBER(INPUTS!$K$149),AB$7&gt;=INPUTS!$K$149,AB$7&lt;=IF(INPUTS!$J$149="Upfront",INPUTS!$K$149,INPUTS!$L$149)),1,0),IF(INPUTS!$J$149="Follow Project Life",AB$17,IF(INPUTS!$J$149="At Project End",--(AB$7=INPUTS!$C$29),0))))</f>
        <v>0</v>
      </c>
      <c r="AC192" s="108" t="n">
        <f aca="false">IF(OR(INPUTS!$F$149&lt;&gt;"Yes",AC$16=0),0,IF(OR(INPUTS!$J$149="Upfront",INPUTS!$J$149="Even",INPUTS!$J$149="Front-loaded",INPUTS!$J$149="Back-loaded",INPUTS!$J$149="S-curve"),IF(AND(ISNUMBER(INPUTS!$K$149),AC$7&gt;=INPUTS!$K$149,AC$7&lt;=IF(INPUTS!$J$149="Upfront",INPUTS!$K$149,INPUTS!$L$149)),1,0),IF(INPUTS!$J$149="Follow Project Life",AC$17,IF(INPUTS!$J$149="At Project End",--(AC$7=INPUTS!$C$29),0))))</f>
        <v>0</v>
      </c>
      <c r="AD192" s="108" t="n">
        <f aca="false">IF(OR(INPUTS!$F$149&lt;&gt;"Yes",AD$16=0),0,IF(OR(INPUTS!$J$149="Upfront",INPUTS!$J$149="Even",INPUTS!$J$149="Front-loaded",INPUTS!$J$149="Back-loaded",INPUTS!$J$149="S-curve"),IF(AND(ISNUMBER(INPUTS!$K$149),AD$7&gt;=INPUTS!$K$149,AD$7&lt;=IF(INPUTS!$J$149="Upfront",INPUTS!$K$149,INPUTS!$L$149)),1,0),IF(INPUTS!$J$149="Follow Project Life",AD$17,IF(INPUTS!$J$149="At Project End",--(AD$7=INPUTS!$C$29),0))))</f>
        <v>0</v>
      </c>
      <c r="AE192" s="108" t="n">
        <f aca="false">IF(OR(INPUTS!$F$149&lt;&gt;"Yes",AE$16=0),0,IF(OR(INPUTS!$J$149="Upfront",INPUTS!$J$149="Even",INPUTS!$J$149="Front-loaded",INPUTS!$J$149="Back-loaded",INPUTS!$J$149="S-curve"),IF(AND(ISNUMBER(INPUTS!$K$149),AE$7&gt;=INPUTS!$K$149,AE$7&lt;=IF(INPUTS!$J$149="Upfront",INPUTS!$K$149,INPUTS!$L$149)),1,0),IF(INPUTS!$J$149="Follow Project Life",AE$17,IF(INPUTS!$J$149="At Project End",--(AE$7=INPUTS!$C$29),0))))</f>
        <v>0</v>
      </c>
      <c r="AF192" s="108" t="n">
        <f aca="false">IF(OR(INPUTS!$F$149&lt;&gt;"Yes",AF$16=0),0,IF(OR(INPUTS!$J$149="Upfront",INPUTS!$J$149="Even",INPUTS!$J$149="Front-loaded",INPUTS!$J$149="Back-loaded",INPUTS!$J$149="S-curve"),IF(AND(ISNUMBER(INPUTS!$K$149),AF$7&gt;=INPUTS!$K$149,AF$7&lt;=IF(INPUTS!$J$149="Upfront",INPUTS!$K$149,INPUTS!$L$149)),1,0),IF(INPUTS!$J$149="Follow Project Life",AF$17,IF(INPUTS!$J$149="At Project End",--(AF$7=INPUTS!$C$29),0))))</f>
        <v>0</v>
      </c>
      <c r="AG192" s="108" t="n">
        <f aca="false">IF(OR(INPUTS!$F$149&lt;&gt;"Yes",AG$16=0),0,IF(OR(INPUTS!$J$149="Upfront",INPUTS!$J$149="Even",INPUTS!$J$149="Front-loaded",INPUTS!$J$149="Back-loaded",INPUTS!$J$149="S-curve"),IF(AND(ISNUMBER(INPUTS!$K$149),AG$7&gt;=INPUTS!$K$149,AG$7&lt;=IF(INPUTS!$J$149="Upfront",INPUTS!$K$149,INPUTS!$L$149)),1,0),IF(INPUTS!$J$149="Follow Project Life",AG$17,IF(INPUTS!$J$149="At Project End",--(AG$7=INPUTS!$C$29),0))))</f>
        <v>0</v>
      </c>
      <c r="AH192" s="108" t="n">
        <f aca="false">IF(OR(INPUTS!$F$149&lt;&gt;"Yes",AH$16=0),0,IF(OR(INPUTS!$J$149="Upfront",INPUTS!$J$149="Even",INPUTS!$J$149="Front-loaded",INPUTS!$J$149="Back-loaded",INPUTS!$J$149="S-curve"),IF(AND(ISNUMBER(INPUTS!$K$149),AH$7&gt;=INPUTS!$K$149,AH$7&lt;=IF(INPUTS!$J$149="Upfront",INPUTS!$K$149,INPUTS!$L$149)),1,0),IF(INPUTS!$J$149="Follow Project Life",AH$17,IF(INPUTS!$J$149="At Project End",--(AH$7=INPUTS!$C$29),0))))</f>
        <v>0</v>
      </c>
      <c r="AI192" s="108" t="n">
        <f aca="false">IF(OR(INPUTS!$F$149&lt;&gt;"Yes",AI$16=0),0,IF(OR(INPUTS!$J$149="Upfront",INPUTS!$J$149="Even",INPUTS!$J$149="Front-loaded",INPUTS!$J$149="Back-loaded",INPUTS!$J$149="S-curve"),IF(AND(ISNUMBER(INPUTS!$K$149),AI$7&gt;=INPUTS!$K$149,AI$7&lt;=IF(INPUTS!$J$149="Upfront",INPUTS!$K$149,INPUTS!$L$149)),1,0),IF(INPUTS!$J$149="Follow Project Life",AI$17,IF(INPUTS!$J$149="At Project End",--(AI$7=INPUTS!$C$29),0))))</f>
        <v>0</v>
      </c>
      <c r="AJ192" s="108" t="n">
        <f aca="false">IF(OR(INPUTS!$F$149&lt;&gt;"Yes",AJ$16=0),0,IF(OR(INPUTS!$J$149="Upfront",INPUTS!$J$149="Even",INPUTS!$J$149="Front-loaded",INPUTS!$J$149="Back-loaded",INPUTS!$J$149="S-curve"),IF(AND(ISNUMBER(INPUTS!$K$149),AJ$7&gt;=INPUTS!$K$149,AJ$7&lt;=IF(INPUTS!$J$149="Upfront",INPUTS!$K$149,INPUTS!$L$149)),1,0),IF(INPUTS!$J$149="Follow Project Life",AJ$17,IF(INPUTS!$J$149="At Project End",--(AJ$7=INPUTS!$C$29),0))))</f>
        <v>0</v>
      </c>
      <c r="AK192" s="108" t="n">
        <f aca="false">IF(OR(INPUTS!$F$149&lt;&gt;"Yes",AK$16=0),0,IF(OR(INPUTS!$J$149="Upfront",INPUTS!$J$149="Even",INPUTS!$J$149="Front-loaded",INPUTS!$J$149="Back-loaded",INPUTS!$J$149="S-curve"),IF(AND(ISNUMBER(INPUTS!$K$149),AK$7&gt;=INPUTS!$K$149,AK$7&lt;=IF(INPUTS!$J$149="Upfront",INPUTS!$K$149,INPUTS!$L$149)),1,0),IF(INPUTS!$J$149="Follow Project Life",AK$17,IF(INPUTS!$J$149="At Project End",--(AK$7=INPUTS!$C$29),0))))</f>
        <v>0</v>
      </c>
      <c r="AL192" s="108" t="n">
        <f aca="false">IF(OR(INPUTS!$F$149&lt;&gt;"Yes",AL$16=0),0,IF(OR(INPUTS!$J$149="Upfront",INPUTS!$J$149="Even",INPUTS!$J$149="Front-loaded",INPUTS!$J$149="Back-loaded",INPUTS!$J$149="S-curve"),IF(AND(ISNUMBER(INPUTS!$K$149),AL$7&gt;=INPUTS!$K$149,AL$7&lt;=IF(INPUTS!$J$149="Upfront",INPUTS!$K$149,INPUTS!$L$149)),1,0),IF(INPUTS!$J$149="Follow Project Life",AL$17,IF(INPUTS!$J$149="At Project End",--(AL$7=INPUTS!$C$29),0))))</f>
        <v>0</v>
      </c>
      <c r="AM192" s="108" t="n">
        <f aca="false">IF(OR(INPUTS!$F$149&lt;&gt;"Yes",AM$16=0),0,IF(OR(INPUTS!$J$149="Upfront",INPUTS!$J$149="Even",INPUTS!$J$149="Front-loaded",INPUTS!$J$149="Back-loaded",INPUTS!$J$149="S-curve"),IF(AND(ISNUMBER(INPUTS!$K$149),AM$7&gt;=INPUTS!$K$149,AM$7&lt;=IF(INPUTS!$J$149="Upfront",INPUTS!$K$149,INPUTS!$L$149)),1,0),IF(INPUTS!$J$149="Follow Project Life",AM$17,IF(INPUTS!$J$149="At Project End",--(AM$7=INPUTS!$C$29),0))))</f>
        <v>0</v>
      </c>
      <c r="AN192" s="108" t="n">
        <f aca="false">IF(OR(INPUTS!$F$149&lt;&gt;"Yes",AN$16=0),0,IF(OR(INPUTS!$J$149="Upfront",INPUTS!$J$149="Even",INPUTS!$J$149="Front-loaded",INPUTS!$J$149="Back-loaded",INPUTS!$J$149="S-curve"),IF(AND(ISNUMBER(INPUTS!$K$149),AN$7&gt;=INPUTS!$K$149,AN$7&lt;=IF(INPUTS!$J$149="Upfront",INPUTS!$K$149,INPUTS!$L$149)),1,0),IF(INPUTS!$J$149="Follow Project Life",AN$17,IF(INPUTS!$J$149="At Project End",--(AN$7=INPUTS!$C$29),0))))</f>
        <v>0</v>
      </c>
      <c r="AO192" s="108" t="n">
        <f aca="false">IF(OR(INPUTS!$F$149&lt;&gt;"Yes",AO$16=0),0,IF(OR(INPUTS!$J$149="Upfront",INPUTS!$J$149="Even",INPUTS!$J$149="Front-loaded",INPUTS!$J$149="Back-loaded",INPUTS!$J$149="S-curve"),IF(AND(ISNUMBER(INPUTS!$K$149),AO$7&gt;=INPUTS!$K$149,AO$7&lt;=IF(INPUTS!$J$149="Upfront",INPUTS!$K$149,INPUTS!$L$149)),1,0),IF(INPUTS!$J$149="Follow Project Life",AO$17,IF(INPUTS!$J$149="At Project End",--(AO$7=INPUTS!$C$29),0))))</f>
        <v>0</v>
      </c>
      <c r="AP192" s="108" t="n">
        <f aca="false">IF(OR(INPUTS!$F$149&lt;&gt;"Yes",AP$16=0),0,IF(OR(INPUTS!$J$149="Upfront",INPUTS!$J$149="Even",INPUTS!$J$149="Front-loaded",INPUTS!$J$149="Back-loaded",INPUTS!$J$149="S-curve"),IF(AND(ISNUMBER(INPUTS!$K$149),AP$7&gt;=INPUTS!$K$149,AP$7&lt;=IF(INPUTS!$J$149="Upfront",INPUTS!$K$149,INPUTS!$L$149)),1,0),IF(INPUTS!$J$149="Follow Project Life",AP$17,IF(INPUTS!$J$149="At Project End",--(AP$7=INPUTS!$C$29),0))))</f>
        <v>0</v>
      </c>
      <c r="AQ192" s="108" t="n">
        <f aca="false">IF(OR(INPUTS!$F$149&lt;&gt;"Yes",AQ$16=0),0,IF(OR(INPUTS!$J$149="Upfront",INPUTS!$J$149="Even",INPUTS!$J$149="Front-loaded",INPUTS!$J$149="Back-loaded",INPUTS!$J$149="S-curve"),IF(AND(ISNUMBER(INPUTS!$K$149),AQ$7&gt;=INPUTS!$K$149,AQ$7&lt;=IF(INPUTS!$J$149="Upfront",INPUTS!$K$149,INPUTS!$L$149)),1,0),IF(INPUTS!$J$149="Follow Project Life",AQ$17,IF(INPUTS!$J$149="At Project End",--(AQ$7=INPUTS!$C$29),0))))</f>
        <v>0</v>
      </c>
    </row>
    <row r="193" customFormat="false" ht="15" hidden="false" customHeight="false" outlineLevel="0" collapsed="false">
      <c r="B193" s="3" t="s">
        <v>650</v>
      </c>
      <c r="C193" s="107" t="n">
        <f aca="false">MAX(D193:AQ193)</f>
        <v>0</v>
      </c>
      <c r="D193" s="108" t="n">
        <f aca="false">IF(D192=1,COUNTIF($D192:D192,1),0)</f>
        <v>0</v>
      </c>
      <c r="E193" s="108" t="n">
        <f aca="false">IF(E192=1,COUNTIF($D192:E192,1),0)</f>
        <v>0</v>
      </c>
      <c r="F193" s="108" t="n">
        <f aca="false">IF(F192=1,COUNTIF($D192:F192,1),0)</f>
        <v>0</v>
      </c>
      <c r="G193" s="108" t="n">
        <f aca="false">IF(G192=1,COUNTIF($D192:G192,1),0)</f>
        <v>0</v>
      </c>
      <c r="H193" s="108" t="n">
        <f aca="false">IF(H192=1,COUNTIF($D192:H192,1),0)</f>
        <v>0</v>
      </c>
      <c r="I193" s="108" t="n">
        <f aca="false">IF(I192=1,COUNTIF($D192:I192,1),0)</f>
        <v>0</v>
      </c>
      <c r="J193" s="108" t="n">
        <f aca="false">IF(J192=1,COUNTIF($D192:J192,1),0)</f>
        <v>0</v>
      </c>
      <c r="K193" s="108" t="n">
        <f aca="false">IF(K192=1,COUNTIF($D192:K192,1),0)</f>
        <v>0</v>
      </c>
      <c r="L193" s="108" t="n">
        <f aca="false">IF(L192=1,COUNTIF($D192:L192,1),0)</f>
        <v>0</v>
      </c>
      <c r="M193" s="108" t="n">
        <f aca="false">IF(M192=1,COUNTIF($D192:M192,1),0)</f>
        <v>0</v>
      </c>
      <c r="N193" s="108" t="n">
        <f aca="false">IF(N192=1,COUNTIF($D192:N192,1),0)</f>
        <v>0</v>
      </c>
      <c r="O193" s="108" t="n">
        <f aca="false">IF(O192=1,COUNTIF($D192:O192,1),0)</f>
        <v>0</v>
      </c>
      <c r="P193" s="108" t="n">
        <f aca="false">IF(P192=1,COUNTIF($D192:P192,1),0)</f>
        <v>0</v>
      </c>
      <c r="Q193" s="108" t="n">
        <f aca="false">IF(Q192=1,COUNTIF($D192:Q192,1),0)</f>
        <v>0</v>
      </c>
      <c r="R193" s="108" t="n">
        <f aca="false">IF(R192=1,COUNTIF($D192:R192,1),0)</f>
        <v>0</v>
      </c>
      <c r="S193" s="108" t="n">
        <f aca="false">IF(S192=1,COUNTIF($D192:S192,1),0)</f>
        <v>0</v>
      </c>
      <c r="T193" s="108" t="n">
        <f aca="false">IF(T192=1,COUNTIF($D192:T192,1),0)</f>
        <v>0</v>
      </c>
      <c r="U193" s="108" t="n">
        <f aca="false">IF(U192=1,COUNTIF($D192:U192,1),0)</f>
        <v>0</v>
      </c>
      <c r="V193" s="108" t="n">
        <f aca="false">IF(V192=1,COUNTIF($D192:V192,1),0)</f>
        <v>0</v>
      </c>
      <c r="W193" s="108" t="n">
        <f aca="false">IF(W192=1,COUNTIF($D192:W192,1),0)</f>
        <v>0</v>
      </c>
      <c r="X193" s="108" t="n">
        <f aca="false">IF(X192=1,COUNTIF($D192:X192,1),0)</f>
        <v>0</v>
      </c>
      <c r="Y193" s="108" t="n">
        <f aca="false">IF(Y192=1,COUNTIF($D192:Y192,1),0)</f>
        <v>0</v>
      </c>
      <c r="Z193" s="108" t="n">
        <f aca="false">IF(Z192=1,COUNTIF($D192:Z192,1),0)</f>
        <v>0</v>
      </c>
      <c r="AA193" s="108" t="n">
        <f aca="false">IF(AA192=1,COUNTIF($D192:AA192,1),0)</f>
        <v>0</v>
      </c>
      <c r="AB193" s="108" t="n">
        <f aca="false">IF(AB192=1,COUNTIF($D192:AB192,1),0)</f>
        <v>0</v>
      </c>
      <c r="AC193" s="108" t="n">
        <f aca="false">IF(AC192=1,COUNTIF($D192:AC192,1),0)</f>
        <v>0</v>
      </c>
      <c r="AD193" s="108" t="n">
        <f aca="false">IF(AD192=1,COUNTIF($D192:AD192,1),0)</f>
        <v>0</v>
      </c>
      <c r="AE193" s="108" t="n">
        <f aca="false">IF(AE192=1,COUNTIF($D192:AE192,1),0)</f>
        <v>0</v>
      </c>
      <c r="AF193" s="108" t="n">
        <f aca="false">IF(AF192=1,COUNTIF($D192:AF192,1),0)</f>
        <v>0</v>
      </c>
      <c r="AG193" s="108" t="n">
        <f aca="false">IF(AG192=1,COUNTIF($D192:AG192,1),0)</f>
        <v>0</v>
      </c>
      <c r="AH193" s="108" t="n">
        <f aca="false">IF(AH192=1,COUNTIF($D192:AH192,1),0)</f>
        <v>0</v>
      </c>
      <c r="AI193" s="108" t="n">
        <f aca="false">IF(AI192=1,COUNTIF($D192:AI192,1),0)</f>
        <v>0</v>
      </c>
      <c r="AJ193" s="108" t="n">
        <f aca="false">IF(AJ192=1,COUNTIF($D192:AJ192,1),0)</f>
        <v>0</v>
      </c>
      <c r="AK193" s="108" t="n">
        <f aca="false">IF(AK192=1,COUNTIF($D192:AK192,1),0)</f>
        <v>0</v>
      </c>
      <c r="AL193" s="108" t="n">
        <f aca="false">IF(AL192=1,COUNTIF($D192:AL192,1),0)</f>
        <v>0</v>
      </c>
      <c r="AM193" s="108" t="n">
        <f aca="false">IF(AM192=1,COUNTIF($D192:AM192,1),0)</f>
        <v>0</v>
      </c>
      <c r="AN193" s="108" t="n">
        <f aca="false">IF(AN192=1,COUNTIF($D192:AN192,1),0)</f>
        <v>0</v>
      </c>
      <c r="AO193" s="108" t="n">
        <f aca="false">IF(AO192=1,COUNTIF($D192:AO192,1),0)</f>
        <v>0</v>
      </c>
      <c r="AP193" s="108" t="n">
        <f aca="false">IF(AP192=1,COUNTIF($D192:AP192,1),0)</f>
        <v>0</v>
      </c>
      <c r="AQ193" s="108" t="n">
        <f aca="false">IF(AQ192=1,COUNTIF($D192:AQ192,1),0)</f>
        <v>0</v>
      </c>
    </row>
    <row r="194" customFormat="false" ht="15" hidden="false" customHeight="false" outlineLevel="0" collapsed="false">
      <c r="B194" s="17" t="s">
        <v>651</v>
      </c>
      <c r="C194" s="105" t="str">
        <f aca="false">IF(INPUTS!$M$149="","",IF(INPUTS!$M$149&lt;&gt;"OK","ERROR",IF(C192=IF(INPUTS!$F$149&lt;&gt;"Yes",0,IF(OR(INPUTS!$J$149="Upfront",INPUTS!$J$149="Even",INPUTS!$J$149="Front-loaded",INPUTS!$J$149="Back-loaded",INPUTS!$J$149="S-curve"),IF(ISNUMBER(INPUTS!$K$149),IF(INPUTS!$J$149="Upfront",INPUTS!$K$149,INPUTS!$L$149)-INPUTS!$K$149+1,0),IF(INPUTS!$J$149="Follow Project Life",INPUTS!$C$29,IF(INPUTS!$J$149="At Project End",1,0)))),"OK","ERROR")))</f>
        <v/>
      </c>
    </row>
    <row r="195" customFormat="false" ht="15" hidden="false" customHeight="false" outlineLevel="0" collapsed="false">
      <c r="B195" s="110" t="str">
        <f aca="false">IF(INPUTS!$B$150="","Spare cost row",INPUTS!$B$150)</f>
        <v>Spare cost row</v>
      </c>
      <c r="C195" s="111" t="str">
        <f aca="false">IF(INPUTS!$J$150="","",INPUTS!$J$150)</f>
        <v/>
      </c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</row>
    <row r="196" customFormat="false" ht="15" hidden="false" customHeight="false" outlineLevel="0" collapsed="false">
      <c r="B196" s="3" t="s">
        <v>649</v>
      </c>
      <c r="C196" s="107" t="n">
        <f aca="false">SUM(D196:AQ196)</f>
        <v>0</v>
      </c>
      <c r="D196" s="108" t="n">
        <f aca="false">IF(OR(INPUTS!$F$150&lt;&gt;"Yes",D$16=0),0,IF(OR(INPUTS!$J$150="Upfront",INPUTS!$J$150="Even",INPUTS!$J$150="Front-loaded",INPUTS!$J$150="Back-loaded",INPUTS!$J$150="S-curve"),IF(AND(ISNUMBER(INPUTS!$K$150),D$7&gt;=INPUTS!$K$150,D$7&lt;=IF(INPUTS!$J$150="Upfront",INPUTS!$K$150,INPUTS!$L$150)),1,0),IF(INPUTS!$J$150="Follow Project Life",D$17,IF(INPUTS!$J$150="At Project End",--(D$7=INPUTS!$C$29),0))))</f>
        <v>0</v>
      </c>
      <c r="E196" s="108" t="n">
        <f aca="false">IF(OR(INPUTS!$F$150&lt;&gt;"Yes",E$16=0),0,IF(OR(INPUTS!$J$150="Upfront",INPUTS!$J$150="Even",INPUTS!$J$150="Front-loaded",INPUTS!$J$150="Back-loaded",INPUTS!$J$150="S-curve"),IF(AND(ISNUMBER(INPUTS!$K$150),E$7&gt;=INPUTS!$K$150,E$7&lt;=IF(INPUTS!$J$150="Upfront",INPUTS!$K$150,INPUTS!$L$150)),1,0),IF(INPUTS!$J$150="Follow Project Life",E$17,IF(INPUTS!$J$150="At Project End",--(E$7=INPUTS!$C$29),0))))</f>
        <v>0</v>
      </c>
      <c r="F196" s="108" t="n">
        <f aca="false">IF(OR(INPUTS!$F$150&lt;&gt;"Yes",F$16=0),0,IF(OR(INPUTS!$J$150="Upfront",INPUTS!$J$150="Even",INPUTS!$J$150="Front-loaded",INPUTS!$J$150="Back-loaded",INPUTS!$J$150="S-curve"),IF(AND(ISNUMBER(INPUTS!$K$150),F$7&gt;=INPUTS!$K$150,F$7&lt;=IF(INPUTS!$J$150="Upfront",INPUTS!$K$150,INPUTS!$L$150)),1,0),IF(INPUTS!$J$150="Follow Project Life",F$17,IF(INPUTS!$J$150="At Project End",--(F$7=INPUTS!$C$29),0))))</f>
        <v>0</v>
      </c>
      <c r="G196" s="108" t="n">
        <f aca="false">IF(OR(INPUTS!$F$150&lt;&gt;"Yes",G$16=0),0,IF(OR(INPUTS!$J$150="Upfront",INPUTS!$J$150="Even",INPUTS!$J$150="Front-loaded",INPUTS!$J$150="Back-loaded",INPUTS!$J$150="S-curve"),IF(AND(ISNUMBER(INPUTS!$K$150),G$7&gt;=INPUTS!$K$150,G$7&lt;=IF(INPUTS!$J$150="Upfront",INPUTS!$K$150,INPUTS!$L$150)),1,0),IF(INPUTS!$J$150="Follow Project Life",G$17,IF(INPUTS!$J$150="At Project End",--(G$7=INPUTS!$C$29),0))))</f>
        <v>0</v>
      </c>
      <c r="H196" s="108" t="n">
        <f aca="false">IF(OR(INPUTS!$F$150&lt;&gt;"Yes",H$16=0),0,IF(OR(INPUTS!$J$150="Upfront",INPUTS!$J$150="Even",INPUTS!$J$150="Front-loaded",INPUTS!$J$150="Back-loaded",INPUTS!$J$150="S-curve"),IF(AND(ISNUMBER(INPUTS!$K$150),H$7&gt;=INPUTS!$K$150,H$7&lt;=IF(INPUTS!$J$150="Upfront",INPUTS!$K$150,INPUTS!$L$150)),1,0),IF(INPUTS!$J$150="Follow Project Life",H$17,IF(INPUTS!$J$150="At Project End",--(H$7=INPUTS!$C$29),0))))</f>
        <v>0</v>
      </c>
      <c r="I196" s="108" t="n">
        <f aca="false">IF(OR(INPUTS!$F$150&lt;&gt;"Yes",I$16=0),0,IF(OR(INPUTS!$J$150="Upfront",INPUTS!$J$150="Even",INPUTS!$J$150="Front-loaded",INPUTS!$J$150="Back-loaded",INPUTS!$J$150="S-curve"),IF(AND(ISNUMBER(INPUTS!$K$150),I$7&gt;=INPUTS!$K$150,I$7&lt;=IF(INPUTS!$J$150="Upfront",INPUTS!$K$150,INPUTS!$L$150)),1,0),IF(INPUTS!$J$150="Follow Project Life",I$17,IF(INPUTS!$J$150="At Project End",--(I$7=INPUTS!$C$29),0))))</f>
        <v>0</v>
      </c>
      <c r="J196" s="108" t="n">
        <f aca="false">IF(OR(INPUTS!$F$150&lt;&gt;"Yes",J$16=0),0,IF(OR(INPUTS!$J$150="Upfront",INPUTS!$J$150="Even",INPUTS!$J$150="Front-loaded",INPUTS!$J$150="Back-loaded",INPUTS!$J$150="S-curve"),IF(AND(ISNUMBER(INPUTS!$K$150),J$7&gt;=INPUTS!$K$150,J$7&lt;=IF(INPUTS!$J$150="Upfront",INPUTS!$K$150,INPUTS!$L$150)),1,0),IF(INPUTS!$J$150="Follow Project Life",J$17,IF(INPUTS!$J$150="At Project End",--(J$7=INPUTS!$C$29),0))))</f>
        <v>0</v>
      </c>
      <c r="K196" s="108" t="n">
        <f aca="false">IF(OR(INPUTS!$F$150&lt;&gt;"Yes",K$16=0),0,IF(OR(INPUTS!$J$150="Upfront",INPUTS!$J$150="Even",INPUTS!$J$150="Front-loaded",INPUTS!$J$150="Back-loaded",INPUTS!$J$150="S-curve"),IF(AND(ISNUMBER(INPUTS!$K$150),K$7&gt;=INPUTS!$K$150,K$7&lt;=IF(INPUTS!$J$150="Upfront",INPUTS!$K$150,INPUTS!$L$150)),1,0),IF(INPUTS!$J$150="Follow Project Life",K$17,IF(INPUTS!$J$150="At Project End",--(K$7=INPUTS!$C$29),0))))</f>
        <v>0</v>
      </c>
      <c r="L196" s="108" t="n">
        <f aca="false">IF(OR(INPUTS!$F$150&lt;&gt;"Yes",L$16=0),0,IF(OR(INPUTS!$J$150="Upfront",INPUTS!$J$150="Even",INPUTS!$J$150="Front-loaded",INPUTS!$J$150="Back-loaded",INPUTS!$J$150="S-curve"),IF(AND(ISNUMBER(INPUTS!$K$150),L$7&gt;=INPUTS!$K$150,L$7&lt;=IF(INPUTS!$J$150="Upfront",INPUTS!$K$150,INPUTS!$L$150)),1,0),IF(INPUTS!$J$150="Follow Project Life",L$17,IF(INPUTS!$J$150="At Project End",--(L$7=INPUTS!$C$29),0))))</f>
        <v>0</v>
      </c>
      <c r="M196" s="108" t="n">
        <f aca="false">IF(OR(INPUTS!$F$150&lt;&gt;"Yes",M$16=0),0,IF(OR(INPUTS!$J$150="Upfront",INPUTS!$J$150="Even",INPUTS!$J$150="Front-loaded",INPUTS!$J$150="Back-loaded",INPUTS!$J$150="S-curve"),IF(AND(ISNUMBER(INPUTS!$K$150),M$7&gt;=INPUTS!$K$150,M$7&lt;=IF(INPUTS!$J$150="Upfront",INPUTS!$K$150,INPUTS!$L$150)),1,0),IF(INPUTS!$J$150="Follow Project Life",M$17,IF(INPUTS!$J$150="At Project End",--(M$7=INPUTS!$C$29),0))))</f>
        <v>0</v>
      </c>
      <c r="N196" s="108" t="n">
        <f aca="false">IF(OR(INPUTS!$F$150&lt;&gt;"Yes",N$16=0),0,IF(OR(INPUTS!$J$150="Upfront",INPUTS!$J$150="Even",INPUTS!$J$150="Front-loaded",INPUTS!$J$150="Back-loaded",INPUTS!$J$150="S-curve"),IF(AND(ISNUMBER(INPUTS!$K$150),N$7&gt;=INPUTS!$K$150,N$7&lt;=IF(INPUTS!$J$150="Upfront",INPUTS!$K$150,INPUTS!$L$150)),1,0),IF(INPUTS!$J$150="Follow Project Life",N$17,IF(INPUTS!$J$150="At Project End",--(N$7=INPUTS!$C$29),0))))</f>
        <v>0</v>
      </c>
      <c r="O196" s="108" t="n">
        <f aca="false">IF(OR(INPUTS!$F$150&lt;&gt;"Yes",O$16=0),0,IF(OR(INPUTS!$J$150="Upfront",INPUTS!$J$150="Even",INPUTS!$J$150="Front-loaded",INPUTS!$J$150="Back-loaded",INPUTS!$J$150="S-curve"),IF(AND(ISNUMBER(INPUTS!$K$150),O$7&gt;=INPUTS!$K$150,O$7&lt;=IF(INPUTS!$J$150="Upfront",INPUTS!$K$150,INPUTS!$L$150)),1,0),IF(INPUTS!$J$150="Follow Project Life",O$17,IF(INPUTS!$J$150="At Project End",--(O$7=INPUTS!$C$29),0))))</f>
        <v>0</v>
      </c>
      <c r="P196" s="108" t="n">
        <f aca="false">IF(OR(INPUTS!$F$150&lt;&gt;"Yes",P$16=0),0,IF(OR(INPUTS!$J$150="Upfront",INPUTS!$J$150="Even",INPUTS!$J$150="Front-loaded",INPUTS!$J$150="Back-loaded",INPUTS!$J$150="S-curve"),IF(AND(ISNUMBER(INPUTS!$K$150),P$7&gt;=INPUTS!$K$150,P$7&lt;=IF(INPUTS!$J$150="Upfront",INPUTS!$K$150,INPUTS!$L$150)),1,0),IF(INPUTS!$J$150="Follow Project Life",P$17,IF(INPUTS!$J$150="At Project End",--(P$7=INPUTS!$C$29),0))))</f>
        <v>0</v>
      </c>
      <c r="Q196" s="108" t="n">
        <f aca="false">IF(OR(INPUTS!$F$150&lt;&gt;"Yes",Q$16=0),0,IF(OR(INPUTS!$J$150="Upfront",INPUTS!$J$150="Even",INPUTS!$J$150="Front-loaded",INPUTS!$J$150="Back-loaded",INPUTS!$J$150="S-curve"),IF(AND(ISNUMBER(INPUTS!$K$150),Q$7&gt;=INPUTS!$K$150,Q$7&lt;=IF(INPUTS!$J$150="Upfront",INPUTS!$K$150,INPUTS!$L$150)),1,0),IF(INPUTS!$J$150="Follow Project Life",Q$17,IF(INPUTS!$J$150="At Project End",--(Q$7=INPUTS!$C$29),0))))</f>
        <v>0</v>
      </c>
      <c r="R196" s="108" t="n">
        <f aca="false">IF(OR(INPUTS!$F$150&lt;&gt;"Yes",R$16=0),0,IF(OR(INPUTS!$J$150="Upfront",INPUTS!$J$150="Even",INPUTS!$J$150="Front-loaded",INPUTS!$J$150="Back-loaded",INPUTS!$J$150="S-curve"),IF(AND(ISNUMBER(INPUTS!$K$150),R$7&gt;=INPUTS!$K$150,R$7&lt;=IF(INPUTS!$J$150="Upfront",INPUTS!$K$150,INPUTS!$L$150)),1,0),IF(INPUTS!$J$150="Follow Project Life",R$17,IF(INPUTS!$J$150="At Project End",--(R$7=INPUTS!$C$29),0))))</f>
        <v>0</v>
      </c>
      <c r="S196" s="108" t="n">
        <f aca="false">IF(OR(INPUTS!$F$150&lt;&gt;"Yes",S$16=0),0,IF(OR(INPUTS!$J$150="Upfront",INPUTS!$J$150="Even",INPUTS!$J$150="Front-loaded",INPUTS!$J$150="Back-loaded",INPUTS!$J$150="S-curve"),IF(AND(ISNUMBER(INPUTS!$K$150),S$7&gt;=INPUTS!$K$150,S$7&lt;=IF(INPUTS!$J$150="Upfront",INPUTS!$K$150,INPUTS!$L$150)),1,0),IF(INPUTS!$J$150="Follow Project Life",S$17,IF(INPUTS!$J$150="At Project End",--(S$7=INPUTS!$C$29),0))))</f>
        <v>0</v>
      </c>
      <c r="T196" s="108" t="n">
        <f aca="false">IF(OR(INPUTS!$F$150&lt;&gt;"Yes",T$16=0),0,IF(OR(INPUTS!$J$150="Upfront",INPUTS!$J$150="Even",INPUTS!$J$150="Front-loaded",INPUTS!$J$150="Back-loaded",INPUTS!$J$150="S-curve"),IF(AND(ISNUMBER(INPUTS!$K$150),T$7&gt;=INPUTS!$K$150,T$7&lt;=IF(INPUTS!$J$150="Upfront",INPUTS!$K$150,INPUTS!$L$150)),1,0),IF(INPUTS!$J$150="Follow Project Life",T$17,IF(INPUTS!$J$150="At Project End",--(T$7=INPUTS!$C$29),0))))</f>
        <v>0</v>
      </c>
      <c r="U196" s="108" t="n">
        <f aca="false">IF(OR(INPUTS!$F$150&lt;&gt;"Yes",U$16=0),0,IF(OR(INPUTS!$J$150="Upfront",INPUTS!$J$150="Even",INPUTS!$J$150="Front-loaded",INPUTS!$J$150="Back-loaded",INPUTS!$J$150="S-curve"),IF(AND(ISNUMBER(INPUTS!$K$150),U$7&gt;=INPUTS!$K$150,U$7&lt;=IF(INPUTS!$J$150="Upfront",INPUTS!$K$150,INPUTS!$L$150)),1,0),IF(INPUTS!$J$150="Follow Project Life",U$17,IF(INPUTS!$J$150="At Project End",--(U$7=INPUTS!$C$29),0))))</f>
        <v>0</v>
      </c>
      <c r="V196" s="108" t="n">
        <f aca="false">IF(OR(INPUTS!$F$150&lt;&gt;"Yes",V$16=0),0,IF(OR(INPUTS!$J$150="Upfront",INPUTS!$J$150="Even",INPUTS!$J$150="Front-loaded",INPUTS!$J$150="Back-loaded",INPUTS!$J$150="S-curve"),IF(AND(ISNUMBER(INPUTS!$K$150),V$7&gt;=INPUTS!$K$150,V$7&lt;=IF(INPUTS!$J$150="Upfront",INPUTS!$K$150,INPUTS!$L$150)),1,0),IF(INPUTS!$J$150="Follow Project Life",V$17,IF(INPUTS!$J$150="At Project End",--(V$7=INPUTS!$C$29),0))))</f>
        <v>0</v>
      </c>
      <c r="W196" s="108" t="n">
        <f aca="false">IF(OR(INPUTS!$F$150&lt;&gt;"Yes",W$16=0),0,IF(OR(INPUTS!$J$150="Upfront",INPUTS!$J$150="Even",INPUTS!$J$150="Front-loaded",INPUTS!$J$150="Back-loaded",INPUTS!$J$150="S-curve"),IF(AND(ISNUMBER(INPUTS!$K$150),W$7&gt;=INPUTS!$K$150,W$7&lt;=IF(INPUTS!$J$150="Upfront",INPUTS!$K$150,INPUTS!$L$150)),1,0),IF(INPUTS!$J$150="Follow Project Life",W$17,IF(INPUTS!$J$150="At Project End",--(W$7=INPUTS!$C$29),0))))</f>
        <v>0</v>
      </c>
      <c r="X196" s="108" t="n">
        <f aca="false">IF(OR(INPUTS!$F$150&lt;&gt;"Yes",X$16=0),0,IF(OR(INPUTS!$J$150="Upfront",INPUTS!$J$150="Even",INPUTS!$J$150="Front-loaded",INPUTS!$J$150="Back-loaded",INPUTS!$J$150="S-curve"),IF(AND(ISNUMBER(INPUTS!$K$150),X$7&gt;=INPUTS!$K$150,X$7&lt;=IF(INPUTS!$J$150="Upfront",INPUTS!$K$150,INPUTS!$L$150)),1,0),IF(INPUTS!$J$150="Follow Project Life",X$17,IF(INPUTS!$J$150="At Project End",--(X$7=INPUTS!$C$29),0))))</f>
        <v>0</v>
      </c>
      <c r="Y196" s="108" t="n">
        <f aca="false">IF(OR(INPUTS!$F$150&lt;&gt;"Yes",Y$16=0),0,IF(OR(INPUTS!$J$150="Upfront",INPUTS!$J$150="Even",INPUTS!$J$150="Front-loaded",INPUTS!$J$150="Back-loaded",INPUTS!$J$150="S-curve"),IF(AND(ISNUMBER(INPUTS!$K$150),Y$7&gt;=INPUTS!$K$150,Y$7&lt;=IF(INPUTS!$J$150="Upfront",INPUTS!$K$150,INPUTS!$L$150)),1,0),IF(INPUTS!$J$150="Follow Project Life",Y$17,IF(INPUTS!$J$150="At Project End",--(Y$7=INPUTS!$C$29),0))))</f>
        <v>0</v>
      </c>
      <c r="Z196" s="108" t="n">
        <f aca="false">IF(OR(INPUTS!$F$150&lt;&gt;"Yes",Z$16=0),0,IF(OR(INPUTS!$J$150="Upfront",INPUTS!$J$150="Even",INPUTS!$J$150="Front-loaded",INPUTS!$J$150="Back-loaded",INPUTS!$J$150="S-curve"),IF(AND(ISNUMBER(INPUTS!$K$150),Z$7&gt;=INPUTS!$K$150,Z$7&lt;=IF(INPUTS!$J$150="Upfront",INPUTS!$K$150,INPUTS!$L$150)),1,0),IF(INPUTS!$J$150="Follow Project Life",Z$17,IF(INPUTS!$J$150="At Project End",--(Z$7=INPUTS!$C$29),0))))</f>
        <v>0</v>
      </c>
      <c r="AA196" s="108" t="n">
        <f aca="false">IF(OR(INPUTS!$F$150&lt;&gt;"Yes",AA$16=0),0,IF(OR(INPUTS!$J$150="Upfront",INPUTS!$J$150="Even",INPUTS!$J$150="Front-loaded",INPUTS!$J$150="Back-loaded",INPUTS!$J$150="S-curve"),IF(AND(ISNUMBER(INPUTS!$K$150),AA$7&gt;=INPUTS!$K$150,AA$7&lt;=IF(INPUTS!$J$150="Upfront",INPUTS!$K$150,INPUTS!$L$150)),1,0),IF(INPUTS!$J$150="Follow Project Life",AA$17,IF(INPUTS!$J$150="At Project End",--(AA$7=INPUTS!$C$29),0))))</f>
        <v>0</v>
      </c>
      <c r="AB196" s="108" t="n">
        <f aca="false">IF(OR(INPUTS!$F$150&lt;&gt;"Yes",AB$16=0),0,IF(OR(INPUTS!$J$150="Upfront",INPUTS!$J$150="Even",INPUTS!$J$150="Front-loaded",INPUTS!$J$150="Back-loaded",INPUTS!$J$150="S-curve"),IF(AND(ISNUMBER(INPUTS!$K$150),AB$7&gt;=INPUTS!$K$150,AB$7&lt;=IF(INPUTS!$J$150="Upfront",INPUTS!$K$150,INPUTS!$L$150)),1,0),IF(INPUTS!$J$150="Follow Project Life",AB$17,IF(INPUTS!$J$150="At Project End",--(AB$7=INPUTS!$C$29),0))))</f>
        <v>0</v>
      </c>
      <c r="AC196" s="108" t="n">
        <f aca="false">IF(OR(INPUTS!$F$150&lt;&gt;"Yes",AC$16=0),0,IF(OR(INPUTS!$J$150="Upfront",INPUTS!$J$150="Even",INPUTS!$J$150="Front-loaded",INPUTS!$J$150="Back-loaded",INPUTS!$J$150="S-curve"),IF(AND(ISNUMBER(INPUTS!$K$150),AC$7&gt;=INPUTS!$K$150,AC$7&lt;=IF(INPUTS!$J$150="Upfront",INPUTS!$K$150,INPUTS!$L$150)),1,0),IF(INPUTS!$J$150="Follow Project Life",AC$17,IF(INPUTS!$J$150="At Project End",--(AC$7=INPUTS!$C$29),0))))</f>
        <v>0</v>
      </c>
      <c r="AD196" s="108" t="n">
        <f aca="false">IF(OR(INPUTS!$F$150&lt;&gt;"Yes",AD$16=0),0,IF(OR(INPUTS!$J$150="Upfront",INPUTS!$J$150="Even",INPUTS!$J$150="Front-loaded",INPUTS!$J$150="Back-loaded",INPUTS!$J$150="S-curve"),IF(AND(ISNUMBER(INPUTS!$K$150),AD$7&gt;=INPUTS!$K$150,AD$7&lt;=IF(INPUTS!$J$150="Upfront",INPUTS!$K$150,INPUTS!$L$150)),1,0),IF(INPUTS!$J$150="Follow Project Life",AD$17,IF(INPUTS!$J$150="At Project End",--(AD$7=INPUTS!$C$29),0))))</f>
        <v>0</v>
      </c>
      <c r="AE196" s="108" t="n">
        <f aca="false">IF(OR(INPUTS!$F$150&lt;&gt;"Yes",AE$16=0),0,IF(OR(INPUTS!$J$150="Upfront",INPUTS!$J$150="Even",INPUTS!$J$150="Front-loaded",INPUTS!$J$150="Back-loaded",INPUTS!$J$150="S-curve"),IF(AND(ISNUMBER(INPUTS!$K$150),AE$7&gt;=INPUTS!$K$150,AE$7&lt;=IF(INPUTS!$J$150="Upfront",INPUTS!$K$150,INPUTS!$L$150)),1,0),IF(INPUTS!$J$150="Follow Project Life",AE$17,IF(INPUTS!$J$150="At Project End",--(AE$7=INPUTS!$C$29),0))))</f>
        <v>0</v>
      </c>
      <c r="AF196" s="108" t="n">
        <f aca="false">IF(OR(INPUTS!$F$150&lt;&gt;"Yes",AF$16=0),0,IF(OR(INPUTS!$J$150="Upfront",INPUTS!$J$150="Even",INPUTS!$J$150="Front-loaded",INPUTS!$J$150="Back-loaded",INPUTS!$J$150="S-curve"),IF(AND(ISNUMBER(INPUTS!$K$150),AF$7&gt;=INPUTS!$K$150,AF$7&lt;=IF(INPUTS!$J$150="Upfront",INPUTS!$K$150,INPUTS!$L$150)),1,0),IF(INPUTS!$J$150="Follow Project Life",AF$17,IF(INPUTS!$J$150="At Project End",--(AF$7=INPUTS!$C$29),0))))</f>
        <v>0</v>
      </c>
      <c r="AG196" s="108" t="n">
        <f aca="false">IF(OR(INPUTS!$F$150&lt;&gt;"Yes",AG$16=0),0,IF(OR(INPUTS!$J$150="Upfront",INPUTS!$J$150="Even",INPUTS!$J$150="Front-loaded",INPUTS!$J$150="Back-loaded",INPUTS!$J$150="S-curve"),IF(AND(ISNUMBER(INPUTS!$K$150),AG$7&gt;=INPUTS!$K$150,AG$7&lt;=IF(INPUTS!$J$150="Upfront",INPUTS!$K$150,INPUTS!$L$150)),1,0),IF(INPUTS!$J$150="Follow Project Life",AG$17,IF(INPUTS!$J$150="At Project End",--(AG$7=INPUTS!$C$29),0))))</f>
        <v>0</v>
      </c>
      <c r="AH196" s="108" t="n">
        <f aca="false">IF(OR(INPUTS!$F$150&lt;&gt;"Yes",AH$16=0),0,IF(OR(INPUTS!$J$150="Upfront",INPUTS!$J$150="Even",INPUTS!$J$150="Front-loaded",INPUTS!$J$150="Back-loaded",INPUTS!$J$150="S-curve"),IF(AND(ISNUMBER(INPUTS!$K$150),AH$7&gt;=INPUTS!$K$150,AH$7&lt;=IF(INPUTS!$J$150="Upfront",INPUTS!$K$150,INPUTS!$L$150)),1,0),IF(INPUTS!$J$150="Follow Project Life",AH$17,IF(INPUTS!$J$150="At Project End",--(AH$7=INPUTS!$C$29),0))))</f>
        <v>0</v>
      </c>
      <c r="AI196" s="108" t="n">
        <f aca="false">IF(OR(INPUTS!$F$150&lt;&gt;"Yes",AI$16=0),0,IF(OR(INPUTS!$J$150="Upfront",INPUTS!$J$150="Even",INPUTS!$J$150="Front-loaded",INPUTS!$J$150="Back-loaded",INPUTS!$J$150="S-curve"),IF(AND(ISNUMBER(INPUTS!$K$150),AI$7&gt;=INPUTS!$K$150,AI$7&lt;=IF(INPUTS!$J$150="Upfront",INPUTS!$K$150,INPUTS!$L$150)),1,0),IF(INPUTS!$J$150="Follow Project Life",AI$17,IF(INPUTS!$J$150="At Project End",--(AI$7=INPUTS!$C$29),0))))</f>
        <v>0</v>
      </c>
      <c r="AJ196" s="108" t="n">
        <f aca="false">IF(OR(INPUTS!$F$150&lt;&gt;"Yes",AJ$16=0),0,IF(OR(INPUTS!$J$150="Upfront",INPUTS!$J$150="Even",INPUTS!$J$150="Front-loaded",INPUTS!$J$150="Back-loaded",INPUTS!$J$150="S-curve"),IF(AND(ISNUMBER(INPUTS!$K$150),AJ$7&gt;=INPUTS!$K$150,AJ$7&lt;=IF(INPUTS!$J$150="Upfront",INPUTS!$K$150,INPUTS!$L$150)),1,0),IF(INPUTS!$J$150="Follow Project Life",AJ$17,IF(INPUTS!$J$150="At Project End",--(AJ$7=INPUTS!$C$29),0))))</f>
        <v>0</v>
      </c>
      <c r="AK196" s="108" t="n">
        <f aca="false">IF(OR(INPUTS!$F$150&lt;&gt;"Yes",AK$16=0),0,IF(OR(INPUTS!$J$150="Upfront",INPUTS!$J$150="Even",INPUTS!$J$150="Front-loaded",INPUTS!$J$150="Back-loaded",INPUTS!$J$150="S-curve"),IF(AND(ISNUMBER(INPUTS!$K$150),AK$7&gt;=INPUTS!$K$150,AK$7&lt;=IF(INPUTS!$J$150="Upfront",INPUTS!$K$150,INPUTS!$L$150)),1,0),IF(INPUTS!$J$150="Follow Project Life",AK$17,IF(INPUTS!$J$150="At Project End",--(AK$7=INPUTS!$C$29),0))))</f>
        <v>0</v>
      </c>
      <c r="AL196" s="108" t="n">
        <f aca="false">IF(OR(INPUTS!$F$150&lt;&gt;"Yes",AL$16=0),0,IF(OR(INPUTS!$J$150="Upfront",INPUTS!$J$150="Even",INPUTS!$J$150="Front-loaded",INPUTS!$J$150="Back-loaded",INPUTS!$J$150="S-curve"),IF(AND(ISNUMBER(INPUTS!$K$150),AL$7&gt;=INPUTS!$K$150,AL$7&lt;=IF(INPUTS!$J$150="Upfront",INPUTS!$K$150,INPUTS!$L$150)),1,0),IF(INPUTS!$J$150="Follow Project Life",AL$17,IF(INPUTS!$J$150="At Project End",--(AL$7=INPUTS!$C$29),0))))</f>
        <v>0</v>
      </c>
      <c r="AM196" s="108" t="n">
        <f aca="false">IF(OR(INPUTS!$F$150&lt;&gt;"Yes",AM$16=0),0,IF(OR(INPUTS!$J$150="Upfront",INPUTS!$J$150="Even",INPUTS!$J$150="Front-loaded",INPUTS!$J$150="Back-loaded",INPUTS!$J$150="S-curve"),IF(AND(ISNUMBER(INPUTS!$K$150),AM$7&gt;=INPUTS!$K$150,AM$7&lt;=IF(INPUTS!$J$150="Upfront",INPUTS!$K$150,INPUTS!$L$150)),1,0),IF(INPUTS!$J$150="Follow Project Life",AM$17,IF(INPUTS!$J$150="At Project End",--(AM$7=INPUTS!$C$29),0))))</f>
        <v>0</v>
      </c>
      <c r="AN196" s="108" t="n">
        <f aca="false">IF(OR(INPUTS!$F$150&lt;&gt;"Yes",AN$16=0),0,IF(OR(INPUTS!$J$150="Upfront",INPUTS!$J$150="Even",INPUTS!$J$150="Front-loaded",INPUTS!$J$150="Back-loaded",INPUTS!$J$150="S-curve"),IF(AND(ISNUMBER(INPUTS!$K$150),AN$7&gt;=INPUTS!$K$150,AN$7&lt;=IF(INPUTS!$J$150="Upfront",INPUTS!$K$150,INPUTS!$L$150)),1,0),IF(INPUTS!$J$150="Follow Project Life",AN$17,IF(INPUTS!$J$150="At Project End",--(AN$7=INPUTS!$C$29),0))))</f>
        <v>0</v>
      </c>
      <c r="AO196" s="108" t="n">
        <f aca="false">IF(OR(INPUTS!$F$150&lt;&gt;"Yes",AO$16=0),0,IF(OR(INPUTS!$J$150="Upfront",INPUTS!$J$150="Even",INPUTS!$J$150="Front-loaded",INPUTS!$J$150="Back-loaded",INPUTS!$J$150="S-curve"),IF(AND(ISNUMBER(INPUTS!$K$150),AO$7&gt;=INPUTS!$K$150,AO$7&lt;=IF(INPUTS!$J$150="Upfront",INPUTS!$K$150,INPUTS!$L$150)),1,0),IF(INPUTS!$J$150="Follow Project Life",AO$17,IF(INPUTS!$J$150="At Project End",--(AO$7=INPUTS!$C$29),0))))</f>
        <v>0</v>
      </c>
      <c r="AP196" s="108" t="n">
        <f aca="false">IF(OR(INPUTS!$F$150&lt;&gt;"Yes",AP$16=0),0,IF(OR(INPUTS!$J$150="Upfront",INPUTS!$J$150="Even",INPUTS!$J$150="Front-loaded",INPUTS!$J$150="Back-loaded",INPUTS!$J$150="S-curve"),IF(AND(ISNUMBER(INPUTS!$K$150),AP$7&gt;=INPUTS!$K$150,AP$7&lt;=IF(INPUTS!$J$150="Upfront",INPUTS!$K$150,INPUTS!$L$150)),1,0),IF(INPUTS!$J$150="Follow Project Life",AP$17,IF(INPUTS!$J$150="At Project End",--(AP$7=INPUTS!$C$29),0))))</f>
        <v>0</v>
      </c>
      <c r="AQ196" s="108" t="n">
        <f aca="false">IF(OR(INPUTS!$F$150&lt;&gt;"Yes",AQ$16=0),0,IF(OR(INPUTS!$J$150="Upfront",INPUTS!$J$150="Even",INPUTS!$J$150="Front-loaded",INPUTS!$J$150="Back-loaded",INPUTS!$J$150="S-curve"),IF(AND(ISNUMBER(INPUTS!$K$150),AQ$7&gt;=INPUTS!$K$150,AQ$7&lt;=IF(INPUTS!$J$150="Upfront",INPUTS!$K$150,INPUTS!$L$150)),1,0),IF(INPUTS!$J$150="Follow Project Life",AQ$17,IF(INPUTS!$J$150="At Project End",--(AQ$7=INPUTS!$C$29),0))))</f>
        <v>0</v>
      </c>
    </row>
    <row r="197" customFormat="false" ht="15" hidden="false" customHeight="false" outlineLevel="0" collapsed="false">
      <c r="B197" s="3" t="s">
        <v>650</v>
      </c>
      <c r="C197" s="107" t="n">
        <f aca="false">MAX(D197:AQ197)</f>
        <v>0</v>
      </c>
      <c r="D197" s="108" t="n">
        <f aca="false">IF(D196=1,COUNTIF($D196:D196,1),0)</f>
        <v>0</v>
      </c>
      <c r="E197" s="108" t="n">
        <f aca="false">IF(E196=1,COUNTIF($D196:E196,1),0)</f>
        <v>0</v>
      </c>
      <c r="F197" s="108" t="n">
        <f aca="false">IF(F196=1,COUNTIF($D196:F196,1),0)</f>
        <v>0</v>
      </c>
      <c r="G197" s="108" t="n">
        <f aca="false">IF(G196=1,COUNTIF($D196:G196,1),0)</f>
        <v>0</v>
      </c>
      <c r="H197" s="108" t="n">
        <f aca="false">IF(H196=1,COUNTIF($D196:H196,1),0)</f>
        <v>0</v>
      </c>
      <c r="I197" s="108" t="n">
        <f aca="false">IF(I196=1,COUNTIF($D196:I196,1),0)</f>
        <v>0</v>
      </c>
      <c r="J197" s="108" t="n">
        <f aca="false">IF(J196=1,COUNTIF($D196:J196,1),0)</f>
        <v>0</v>
      </c>
      <c r="K197" s="108" t="n">
        <f aca="false">IF(K196=1,COUNTIF($D196:K196,1),0)</f>
        <v>0</v>
      </c>
      <c r="L197" s="108" t="n">
        <f aca="false">IF(L196=1,COUNTIF($D196:L196,1),0)</f>
        <v>0</v>
      </c>
      <c r="M197" s="108" t="n">
        <f aca="false">IF(M196=1,COUNTIF($D196:M196,1),0)</f>
        <v>0</v>
      </c>
      <c r="N197" s="108" t="n">
        <f aca="false">IF(N196=1,COUNTIF($D196:N196,1),0)</f>
        <v>0</v>
      </c>
      <c r="O197" s="108" t="n">
        <f aca="false">IF(O196=1,COUNTIF($D196:O196,1),0)</f>
        <v>0</v>
      </c>
      <c r="P197" s="108" t="n">
        <f aca="false">IF(P196=1,COUNTIF($D196:P196,1),0)</f>
        <v>0</v>
      </c>
      <c r="Q197" s="108" t="n">
        <f aca="false">IF(Q196=1,COUNTIF($D196:Q196,1),0)</f>
        <v>0</v>
      </c>
      <c r="R197" s="108" t="n">
        <f aca="false">IF(R196=1,COUNTIF($D196:R196,1),0)</f>
        <v>0</v>
      </c>
      <c r="S197" s="108" t="n">
        <f aca="false">IF(S196=1,COUNTIF($D196:S196,1),0)</f>
        <v>0</v>
      </c>
      <c r="T197" s="108" t="n">
        <f aca="false">IF(T196=1,COUNTIF($D196:T196,1),0)</f>
        <v>0</v>
      </c>
      <c r="U197" s="108" t="n">
        <f aca="false">IF(U196=1,COUNTIF($D196:U196,1),0)</f>
        <v>0</v>
      </c>
      <c r="V197" s="108" t="n">
        <f aca="false">IF(V196=1,COUNTIF($D196:V196,1),0)</f>
        <v>0</v>
      </c>
      <c r="W197" s="108" t="n">
        <f aca="false">IF(W196=1,COUNTIF($D196:W196,1),0)</f>
        <v>0</v>
      </c>
      <c r="X197" s="108" t="n">
        <f aca="false">IF(X196=1,COUNTIF($D196:X196,1),0)</f>
        <v>0</v>
      </c>
      <c r="Y197" s="108" t="n">
        <f aca="false">IF(Y196=1,COUNTIF($D196:Y196,1),0)</f>
        <v>0</v>
      </c>
      <c r="Z197" s="108" t="n">
        <f aca="false">IF(Z196=1,COUNTIF($D196:Z196,1),0)</f>
        <v>0</v>
      </c>
      <c r="AA197" s="108" t="n">
        <f aca="false">IF(AA196=1,COUNTIF($D196:AA196,1),0)</f>
        <v>0</v>
      </c>
      <c r="AB197" s="108" t="n">
        <f aca="false">IF(AB196=1,COUNTIF($D196:AB196,1),0)</f>
        <v>0</v>
      </c>
      <c r="AC197" s="108" t="n">
        <f aca="false">IF(AC196=1,COUNTIF($D196:AC196,1),0)</f>
        <v>0</v>
      </c>
      <c r="AD197" s="108" t="n">
        <f aca="false">IF(AD196=1,COUNTIF($D196:AD196,1),0)</f>
        <v>0</v>
      </c>
      <c r="AE197" s="108" t="n">
        <f aca="false">IF(AE196=1,COUNTIF($D196:AE196,1),0)</f>
        <v>0</v>
      </c>
      <c r="AF197" s="108" t="n">
        <f aca="false">IF(AF196=1,COUNTIF($D196:AF196,1),0)</f>
        <v>0</v>
      </c>
      <c r="AG197" s="108" t="n">
        <f aca="false">IF(AG196=1,COUNTIF($D196:AG196,1),0)</f>
        <v>0</v>
      </c>
      <c r="AH197" s="108" t="n">
        <f aca="false">IF(AH196=1,COUNTIF($D196:AH196,1),0)</f>
        <v>0</v>
      </c>
      <c r="AI197" s="108" t="n">
        <f aca="false">IF(AI196=1,COUNTIF($D196:AI196,1),0)</f>
        <v>0</v>
      </c>
      <c r="AJ197" s="108" t="n">
        <f aca="false">IF(AJ196=1,COUNTIF($D196:AJ196,1),0)</f>
        <v>0</v>
      </c>
      <c r="AK197" s="108" t="n">
        <f aca="false">IF(AK196=1,COUNTIF($D196:AK196,1),0)</f>
        <v>0</v>
      </c>
      <c r="AL197" s="108" t="n">
        <f aca="false">IF(AL196=1,COUNTIF($D196:AL196,1),0)</f>
        <v>0</v>
      </c>
      <c r="AM197" s="108" t="n">
        <f aca="false">IF(AM196=1,COUNTIF($D196:AM196,1),0)</f>
        <v>0</v>
      </c>
      <c r="AN197" s="108" t="n">
        <f aca="false">IF(AN196=1,COUNTIF($D196:AN196,1),0)</f>
        <v>0</v>
      </c>
      <c r="AO197" s="108" t="n">
        <f aca="false">IF(AO196=1,COUNTIF($D196:AO196,1),0)</f>
        <v>0</v>
      </c>
      <c r="AP197" s="108" t="n">
        <f aca="false">IF(AP196=1,COUNTIF($D196:AP196,1),0)</f>
        <v>0</v>
      </c>
      <c r="AQ197" s="108" t="n">
        <f aca="false">IF(AQ196=1,COUNTIF($D196:AQ196,1),0)</f>
        <v>0</v>
      </c>
    </row>
    <row r="198" customFormat="false" ht="15" hidden="false" customHeight="false" outlineLevel="0" collapsed="false">
      <c r="B198" s="17" t="s">
        <v>651</v>
      </c>
      <c r="C198" s="105" t="str">
        <f aca="false">IF(INPUTS!$M$150="","",IF(INPUTS!$M$150&lt;&gt;"OK","ERROR",IF(C196=IF(INPUTS!$F$150&lt;&gt;"Yes",0,IF(OR(INPUTS!$J$150="Upfront",INPUTS!$J$150="Even",INPUTS!$J$150="Front-loaded",INPUTS!$J$150="Back-loaded",INPUTS!$J$150="S-curve"),IF(ISNUMBER(INPUTS!$K$150),IF(INPUTS!$J$150="Upfront",INPUTS!$K$150,INPUTS!$L$150)-INPUTS!$K$150+1,0),IF(INPUTS!$J$150="Follow Project Life",INPUTS!$C$29,IF(INPUTS!$J$150="At Project End",1,0)))),"OK","ERROR")))</f>
        <v/>
      </c>
    </row>
    <row r="199" customFormat="false" ht="15" hidden="false" customHeight="false" outlineLevel="0" collapsed="false">
      <c r="B199" s="110" t="str">
        <f aca="false">IF(INPUTS!$B$151="","Spare cost row",INPUTS!$B$151)</f>
        <v>Spare cost row</v>
      </c>
      <c r="C199" s="111" t="str">
        <f aca="false">IF(INPUTS!$J$151="","",INPUTS!$J$151)</f>
        <v/>
      </c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</row>
    <row r="200" customFormat="false" ht="15" hidden="false" customHeight="false" outlineLevel="0" collapsed="false">
      <c r="B200" s="3" t="s">
        <v>649</v>
      </c>
      <c r="C200" s="107" t="n">
        <f aca="false">SUM(D200:AQ200)</f>
        <v>0</v>
      </c>
      <c r="D200" s="108" t="n">
        <f aca="false">IF(OR(INPUTS!$F$151&lt;&gt;"Yes",D$16=0),0,IF(OR(INPUTS!$J$151="Upfront",INPUTS!$J$151="Even",INPUTS!$J$151="Front-loaded",INPUTS!$J$151="Back-loaded",INPUTS!$J$151="S-curve"),IF(AND(ISNUMBER(INPUTS!$K$151),D$7&gt;=INPUTS!$K$151,D$7&lt;=IF(INPUTS!$J$151="Upfront",INPUTS!$K$151,INPUTS!$L$151)),1,0),IF(INPUTS!$J$151="Follow Project Life",D$17,IF(INPUTS!$J$151="At Project End",--(D$7=INPUTS!$C$29),0))))</f>
        <v>0</v>
      </c>
      <c r="E200" s="108" t="n">
        <f aca="false">IF(OR(INPUTS!$F$151&lt;&gt;"Yes",E$16=0),0,IF(OR(INPUTS!$J$151="Upfront",INPUTS!$J$151="Even",INPUTS!$J$151="Front-loaded",INPUTS!$J$151="Back-loaded",INPUTS!$J$151="S-curve"),IF(AND(ISNUMBER(INPUTS!$K$151),E$7&gt;=INPUTS!$K$151,E$7&lt;=IF(INPUTS!$J$151="Upfront",INPUTS!$K$151,INPUTS!$L$151)),1,0),IF(INPUTS!$J$151="Follow Project Life",E$17,IF(INPUTS!$J$151="At Project End",--(E$7=INPUTS!$C$29),0))))</f>
        <v>0</v>
      </c>
      <c r="F200" s="108" t="n">
        <f aca="false">IF(OR(INPUTS!$F$151&lt;&gt;"Yes",F$16=0),0,IF(OR(INPUTS!$J$151="Upfront",INPUTS!$J$151="Even",INPUTS!$J$151="Front-loaded",INPUTS!$J$151="Back-loaded",INPUTS!$J$151="S-curve"),IF(AND(ISNUMBER(INPUTS!$K$151),F$7&gt;=INPUTS!$K$151,F$7&lt;=IF(INPUTS!$J$151="Upfront",INPUTS!$K$151,INPUTS!$L$151)),1,0),IF(INPUTS!$J$151="Follow Project Life",F$17,IF(INPUTS!$J$151="At Project End",--(F$7=INPUTS!$C$29),0))))</f>
        <v>0</v>
      </c>
      <c r="G200" s="108" t="n">
        <f aca="false">IF(OR(INPUTS!$F$151&lt;&gt;"Yes",G$16=0),0,IF(OR(INPUTS!$J$151="Upfront",INPUTS!$J$151="Even",INPUTS!$J$151="Front-loaded",INPUTS!$J$151="Back-loaded",INPUTS!$J$151="S-curve"),IF(AND(ISNUMBER(INPUTS!$K$151),G$7&gt;=INPUTS!$K$151,G$7&lt;=IF(INPUTS!$J$151="Upfront",INPUTS!$K$151,INPUTS!$L$151)),1,0),IF(INPUTS!$J$151="Follow Project Life",G$17,IF(INPUTS!$J$151="At Project End",--(G$7=INPUTS!$C$29),0))))</f>
        <v>0</v>
      </c>
      <c r="H200" s="108" t="n">
        <f aca="false">IF(OR(INPUTS!$F$151&lt;&gt;"Yes",H$16=0),0,IF(OR(INPUTS!$J$151="Upfront",INPUTS!$J$151="Even",INPUTS!$J$151="Front-loaded",INPUTS!$J$151="Back-loaded",INPUTS!$J$151="S-curve"),IF(AND(ISNUMBER(INPUTS!$K$151),H$7&gt;=INPUTS!$K$151,H$7&lt;=IF(INPUTS!$J$151="Upfront",INPUTS!$K$151,INPUTS!$L$151)),1,0),IF(INPUTS!$J$151="Follow Project Life",H$17,IF(INPUTS!$J$151="At Project End",--(H$7=INPUTS!$C$29),0))))</f>
        <v>0</v>
      </c>
      <c r="I200" s="108" t="n">
        <f aca="false">IF(OR(INPUTS!$F$151&lt;&gt;"Yes",I$16=0),0,IF(OR(INPUTS!$J$151="Upfront",INPUTS!$J$151="Even",INPUTS!$J$151="Front-loaded",INPUTS!$J$151="Back-loaded",INPUTS!$J$151="S-curve"),IF(AND(ISNUMBER(INPUTS!$K$151),I$7&gt;=INPUTS!$K$151,I$7&lt;=IF(INPUTS!$J$151="Upfront",INPUTS!$K$151,INPUTS!$L$151)),1,0),IF(INPUTS!$J$151="Follow Project Life",I$17,IF(INPUTS!$J$151="At Project End",--(I$7=INPUTS!$C$29),0))))</f>
        <v>0</v>
      </c>
      <c r="J200" s="108" t="n">
        <f aca="false">IF(OR(INPUTS!$F$151&lt;&gt;"Yes",J$16=0),0,IF(OR(INPUTS!$J$151="Upfront",INPUTS!$J$151="Even",INPUTS!$J$151="Front-loaded",INPUTS!$J$151="Back-loaded",INPUTS!$J$151="S-curve"),IF(AND(ISNUMBER(INPUTS!$K$151),J$7&gt;=INPUTS!$K$151,J$7&lt;=IF(INPUTS!$J$151="Upfront",INPUTS!$K$151,INPUTS!$L$151)),1,0),IF(INPUTS!$J$151="Follow Project Life",J$17,IF(INPUTS!$J$151="At Project End",--(J$7=INPUTS!$C$29),0))))</f>
        <v>0</v>
      </c>
      <c r="K200" s="108" t="n">
        <f aca="false">IF(OR(INPUTS!$F$151&lt;&gt;"Yes",K$16=0),0,IF(OR(INPUTS!$J$151="Upfront",INPUTS!$J$151="Even",INPUTS!$J$151="Front-loaded",INPUTS!$J$151="Back-loaded",INPUTS!$J$151="S-curve"),IF(AND(ISNUMBER(INPUTS!$K$151),K$7&gt;=INPUTS!$K$151,K$7&lt;=IF(INPUTS!$J$151="Upfront",INPUTS!$K$151,INPUTS!$L$151)),1,0),IF(INPUTS!$J$151="Follow Project Life",K$17,IF(INPUTS!$J$151="At Project End",--(K$7=INPUTS!$C$29),0))))</f>
        <v>0</v>
      </c>
      <c r="L200" s="108" t="n">
        <f aca="false">IF(OR(INPUTS!$F$151&lt;&gt;"Yes",L$16=0),0,IF(OR(INPUTS!$J$151="Upfront",INPUTS!$J$151="Even",INPUTS!$J$151="Front-loaded",INPUTS!$J$151="Back-loaded",INPUTS!$J$151="S-curve"),IF(AND(ISNUMBER(INPUTS!$K$151),L$7&gt;=INPUTS!$K$151,L$7&lt;=IF(INPUTS!$J$151="Upfront",INPUTS!$K$151,INPUTS!$L$151)),1,0),IF(INPUTS!$J$151="Follow Project Life",L$17,IF(INPUTS!$J$151="At Project End",--(L$7=INPUTS!$C$29),0))))</f>
        <v>0</v>
      </c>
      <c r="M200" s="108" t="n">
        <f aca="false">IF(OR(INPUTS!$F$151&lt;&gt;"Yes",M$16=0),0,IF(OR(INPUTS!$J$151="Upfront",INPUTS!$J$151="Even",INPUTS!$J$151="Front-loaded",INPUTS!$J$151="Back-loaded",INPUTS!$J$151="S-curve"),IF(AND(ISNUMBER(INPUTS!$K$151),M$7&gt;=INPUTS!$K$151,M$7&lt;=IF(INPUTS!$J$151="Upfront",INPUTS!$K$151,INPUTS!$L$151)),1,0),IF(INPUTS!$J$151="Follow Project Life",M$17,IF(INPUTS!$J$151="At Project End",--(M$7=INPUTS!$C$29),0))))</f>
        <v>0</v>
      </c>
      <c r="N200" s="108" t="n">
        <f aca="false">IF(OR(INPUTS!$F$151&lt;&gt;"Yes",N$16=0),0,IF(OR(INPUTS!$J$151="Upfront",INPUTS!$J$151="Even",INPUTS!$J$151="Front-loaded",INPUTS!$J$151="Back-loaded",INPUTS!$J$151="S-curve"),IF(AND(ISNUMBER(INPUTS!$K$151),N$7&gt;=INPUTS!$K$151,N$7&lt;=IF(INPUTS!$J$151="Upfront",INPUTS!$K$151,INPUTS!$L$151)),1,0),IF(INPUTS!$J$151="Follow Project Life",N$17,IF(INPUTS!$J$151="At Project End",--(N$7=INPUTS!$C$29),0))))</f>
        <v>0</v>
      </c>
      <c r="O200" s="108" t="n">
        <f aca="false">IF(OR(INPUTS!$F$151&lt;&gt;"Yes",O$16=0),0,IF(OR(INPUTS!$J$151="Upfront",INPUTS!$J$151="Even",INPUTS!$J$151="Front-loaded",INPUTS!$J$151="Back-loaded",INPUTS!$J$151="S-curve"),IF(AND(ISNUMBER(INPUTS!$K$151),O$7&gt;=INPUTS!$K$151,O$7&lt;=IF(INPUTS!$J$151="Upfront",INPUTS!$K$151,INPUTS!$L$151)),1,0),IF(INPUTS!$J$151="Follow Project Life",O$17,IF(INPUTS!$J$151="At Project End",--(O$7=INPUTS!$C$29),0))))</f>
        <v>0</v>
      </c>
      <c r="P200" s="108" t="n">
        <f aca="false">IF(OR(INPUTS!$F$151&lt;&gt;"Yes",P$16=0),0,IF(OR(INPUTS!$J$151="Upfront",INPUTS!$J$151="Even",INPUTS!$J$151="Front-loaded",INPUTS!$J$151="Back-loaded",INPUTS!$J$151="S-curve"),IF(AND(ISNUMBER(INPUTS!$K$151),P$7&gt;=INPUTS!$K$151,P$7&lt;=IF(INPUTS!$J$151="Upfront",INPUTS!$K$151,INPUTS!$L$151)),1,0),IF(INPUTS!$J$151="Follow Project Life",P$17,IF(INPUTS!$J$151="At Project End",--(P$7=INPUTS!$C$29),0))))</f>
        <v>0</v>
      </c>
      <c r="Q200" s="108" t="n">
        <f aca="false">IF(OR(INPUTS!$F$151&lt;&gt;"Yes",Q$16=0),0,IF(OR(INPUTS!$J$151="Upfront",INPUTS!$J$151="Even",INPUTS!$J$151="Front-loaded",INPUTS!$J$151="Back-loaded",INPUTS!$J$151="S-curve"),IF(AND(ISNUMBER(INPUTS!$K$151),Q$7&gt;=INPUTS!$K$151,Q$7&lt;=IF(INPUTS!$J$151="Upfront",INPUTS!$K$151,INPUTS!$L$151)),1,0),IF(INPUTS!$J$151="Follow Project Life",Q$17,IF(INPUTS!$J$151="At Project End",--(Q$7=INPUTS!$C$29),0))))</f>
        <v>0</v>
      </c>
      <c r="R200" s="108" t="n">
        <f aca="false">IF(OR(INPUTS!$F$151&lt;&gt;"Yes",R$16=0),0,IF(OR(INPUTS!$J$151="Upfront",INPUTS!$J$151="Even",INPUTS!$J$151="Front-loaded",INPUTS!$J$151="Back-loaded",INPUTS!$J$151="S-curve"),IF(AND(ISNUMBER(INPUTS!$K$151),R$7&gt;=INPUTS!$K$151,R$7&lt;=IF(INPUTS!$J$151="Upfront",INPUTS!$K$151,INPUTS!$L$151)),1,0),IF(INPUTS!$J$151="Follow Project Life",R$17,IF(INPUTS!$J$151="At Project End",--(R$7=INPUTS!$C$29),0))))</f>
        <v>0</v>
      </c>
      <c r="S200" s="108" t="n">
        <f aca="false">IF(OR(INPUTS!$F$151&lt;&gt;"Yes",S$16=0),0,IF(OR(INPUTS!$J$151="Upfront",INPUTS!$J$151="Even",INPUTS!$J$151="Front-loaded",INPUTS!$J$151="Back-loaded",INPUTS!$J$151="S-curve"),IF(AND(ISNUMBER(INPUTS!$K$151),S$7&gt;=INPUTS!$K$151,S$7&lt;=IF(INPUTS!$J$151="Upfront",INPUTS!$K$151,INPUTS!$L$151)),1,0),IF(INPUTS!$J$151="Follow Project Life",S$17,IF(INPUTS!$J$151="At Project End",--(S$7=INPUTS!$C$29),0))))</f>
        <v>0</v>
      </c>
      <c r="T200" s="108" t="n">
        <f aca="false">IF(OR(INPUTS!$F$151&lt;&gt;"Yes",T$16=0),0,IF(OR(INPUTS!$J$151="Upfront",INPUTS!$J$151="Even",INPUTS!$J$151="Front-loaded",INPUTS!$J$151="Back-loaded",INPUTS!$J$151="S-curve"),IF(AND(ISNUMBER(INPUTS!$K$151),T$7&gt;=INPUTS!$K$151,T$7&lt;=IF(INPUTS!$J$151="Upfront",INPUTS!$K$151,INPUTS!$L$151)),1,0),IF(INPUTS!$J$151="Follow Project Life",T$17,IF(INPUTS!$J$151="At Project End",--(T$7=INPUTS!$C$29),0))))</f>
        <v>0</v>
      </c>
      <c r="U200" s="108" t="n">
        <f aca="false">IF(OR(INPUTS!$F$151&lt;&gt;"Yes",U$16=0),0,IF(OR(INPUTS!$J$151="Upfront",INPUTS!$J$151="Even",INPUTS!$J$151="Front-loaded",INPUTS!$J$151="Back-loaded",INPUTS!$J$151="S-curve"),IF(AND(ISNUMBER(INPUTS!$K$151),U$7&gt;=INPUTS!$K$151,U$7&lt;=IF(INPUTS!$J$151="Upfront",INPUTS!$K$151,INPUTS!$L$151)),1,0),IF(INPUTS!$J$151="Follow Project Life",U$17,IF(INPUTS!$J$151="At Project End",--(U$7=INPUTS!$C$29),0))))</f>
        <v>0</v>
      </c>
      <c r="V200" s="108" t="n">
        <f aca="false">IF(OR(INPUTS!$F$151&lt;&gt;"Yes",V$16=0),0,IF(OR(INPUTS!$J$151="Upfront",INPUTS!$J$151="Even",INPUTS!$J$151="Front-loaded",INPUTS!$J$151="Back-loaded",INPUTS!$J$151="S-curve"),IF(AND(ISNUMBER(INPUTS!$K$151),V$7&gt;=INPUTS!$K$151,V$7&lt;=IF(INPUTS!$J$151="Upfront",INPUTS!$K$151,INPUTS!$L$151)),1,0),IF(INPUTS!$J$151="Follow Project Life",V$17,IF(INPUTS!$J$151="At Project End",--(V$7=INPUTS!$C$29),0))))</f>
        <v>0</v>
      </c>
      <c r="W200" s="108" t="n">
        <f aca="false">IF(OR(INPUTS!$F$151&lt;&gt;"Yes",W$16=0),0,IF(OR(INPUTS!$J$151="Upfront",INPUTS!$J$151="Even",INPUTS!$J$151="Front-loaded",INPUTS!$J$151="Back-loaded",INPUTS!$J$151="S-curve"),IF(AND(ISNUMBER(INPUTS!$K$151),W$7&gt;=INPUTS!$K$151,W$7&lt;=IF(INPUTS!$J$151="Upfront",INPUTS!$K$151,INPUTS!$L$151)),1,0),IF(INPUTS!$J$151="Follow Project Life",W$17,IF(INPUTS!$J$151="At Project End",--(W$7=INPUTS!$C$29),0))))</f>
        <v>0</v>
      </c>
      <c r="X200" s="108" t="n">
        <f aca="false">IF(OR(INPUTS!$F$151&lt;&gt;"Yes",X$16=0),0,IF(OR(INPUTS!$J$151="Upfront",INPUTS!$J$151="Even",INPUTS!$J$151="Front-loaded",INPUTS!$J$151="Back-loaded",INPUTS!$J$151="S-curve"),IF(AND(ISNUMBER(INPUTS!$K$151),X$7&gt;=INPUTS!$K$151,X$7&lt;=IF(INPUTS!$J$151="Upfront",INPUTS!$K$151,INPUTS!$L$151)),1,0),IF(INPUTS!$J$151="Follow Project Life",X$17,IF(INPUTS!$J$151="At Project End",--(X$7=INPUTS!$C$29),0))))</f>
        <v>0</v>
      </c>
      <c r="Y200" s="108" t="n">
        <f aca="false">IF(OR(INPUTS!$F$151&lt;&gt;"Yes",Y$16=0),0,IF(OR(INPUTS!$J$151="Upfront",INPUTS!$J$151="Even",INPUTS!$J$151="Front-loaded",INPUTS!$J$151="Back-loaded",INPUTS!$J$151="S-curve"),IF(AND(ISNUMBER(INPUTS!$K$151),Y$7&gt;=INPUTS!$K$151,Y$7&lt;=IF(INPUTS!$J$151="Upfront",INPUTS!$K$151,INPUTS!$L$151)),1,0),IF(INPUTS!$J$151="Follow Project Life",Y$17,IF(INPUTS!$J$151="At Project End",--(Y$7=INPUTS!$C$29),0))))</f>
        <v>0</v>
      </c>
      <c r="Z200" s="108" t="n">
        <f aca="false">IF(OR(INPUTS!$F$151&lt;&gt;"Yes",Z$16=0),0,IF(OR(INPUTS!$J$151="Upfront",INPUTS!$J$151="Even",INPUTS!$J$151="Front-loaded",INPUTS!$J$151="Back-loaded",INPUTS!$J$151="S-curve"),IF(AND(ISNUMBER(INPUTS!$K$151),Z$7&gt;=INPUTS!$K$151,Z$7&lt;=IF(INPUTS!$J$151="Upfront",INPUTS!$K$151,INPUTS!$L$151)),1,0),IF(INPUTS!$J$151="Follow Project Life",Z$17,IF(INPUTS!$J$151="At Project End",--(Z$7=INPUTS!$C$29),0))))</f>
        <v>0</v>
      </c>
      <c r="AA200" s="108" t="n">
        <f aca="false">IF(OR(INPUTS!$F$151&lt;&gt;"Yes",AA$16=0),0,IF(OR(INPUTS!$J$151="Upfront",INPUTS!$J$151="Even",INPUTS!$J$151="Front-loaded",INPUTS!$J$151="Back-loaded",INPUTS!$J$151="S-curve"),IF(AND(ISNUMBER(INPUTS!$K$151),AA$7&gt;=INPUTS!$K$151,AA$7&lt;=IF(INPUTS!$J$151="Upfront",INPUTS!$K$151,INPUTS!$L$151)),1,0),IF(INPUTS!$J$151="Follow Project Life",AA$17,IF(INPUTS!$J$151="At Project End",--(AA$7=INPUTS!$C$29),0))))</f>
        <v>0</v>
      </c>
      <c r="AB200" s="108" t="n">
        <f aca="false">IF(OR(INPUTS!$F$151&lt;&gt;"Yes",AB$16=0),0,IF(OR(INPUTS!$J$151="Upfront",INPUTS!$J$151="Even",INPUTS!$J$151="Front-loaded",INPUTS!$J$151="Back-loaded",INPUTS!$J$151="S-curve"),IF(AND(ISNUMBER(INPUTS!$K$151),AB$7&gt;=INPUTS!$K$151,AB$7&lt;=IF(INPUTS!$J$151="Upfront",INPUTS!$K$151,INPUTS!$L$151)),1,0),IF(INPUTS!$J$151="Follow Project Life",AB$17,IF(INPUTS!$J$151="At Project End",--(AB$7=INPUTS!$C$29),0))))</f>
        <v>0</v>
      </c>
      <c r="AC200" s="108" t="n">
        <f aca="false">IF(OR(INPUTS!$F$151&lt;&gt;"Yes",AC$16=0),0,IF(OR(INPUTS!$J$151="Upfront",INPUTS!$J$151="Even",INPUTS!$J$151="Front-loaded",INPUTS!$J$151="Back-loaded",INPUTS!$J$151="S-curve"),IF(AND(ISNUMBER(INPUTS!$K$151),AC$7&gt;=INPUTS!$K$151,AC$7&lt;=IF(INPUTS!$J$151="Upfront",INPUTS!$K$151,INPUTS!$L$151)),1,0),IF(INPUTS!$J$151="Follow Project Life",AC$17,IF(INPUTS!$J$151="At Project End",--(AC$7=INPUTS!$C$29),0))))</f>
        <v>0</v>
      </c>
      <c r="AD200" s="108" t="n">
        <f aca="false">IF(OR(INPUTS!$F$151&lt;&gt;"Yes",AD$16=0),0,IF(OR(INPUTS!$J$151="Upfront",INPUTS!$J$151="Even",INPUTS!$J$151="Front-loaded",INPUTS!$J$151="Back-loaded",INPUTS!$J$151="S-curve"),IF(AND(ISNUMBER(INPUTS!$K$151),AD$7&gt;=INPUTS!$K$151,AD$7&lt;=IF(INPUTS!$J$151="Upfront",INPUTS!$K$151,INPUTS!$L$151)),1,0),IF(INPUTS!$J$151="Follow Project Life",AD$17,IF(INPUTS!$J$151="At Project End",--(AD$7=INPUTS!$C$29),0))))</f>
        <v>0</v>
      </c>
      <c r="AE200" s="108" t="n">
        <f aca="false">IF(OR(INPUTS!$F$151&lt;&gt;"Yes",AE$16=0),0,IF(OR(INPUTS!$J$151="Upfront",INPUTS!$J$151="Even",INPUTS!$J$151="Front-loaded",INPUTS!$J$151="Back-loaded",INPUTS!$J$151="S-curve"),IF(AND(ISNUMBER(INPUTS!$K$151),AE$7&gt;=INPUTS!$K$151,AE$7&lt;=IF(INPUTS!$J$151="Upfront",INPUTS!$K$151,INPUTS!$L$151)),1,0),IF(INPUTS!$J$151="Follow Project Life",AE$17,IF(INPUTS!$J$151="At Project End",--(AE$7=INPUTS!$C$29),0))))</f>
        <v>0</v>
      </c>
      <c r="AF200" s="108" t="n">
        <f aca="false">IF(OR(INPUTS!$F$151&lt;&gt;"Yes",AF$16=0),0,IF(OR(INPUTS!$J$151="Upfront",INPUTS!$J$151="Even",INPUTS!$J$151="Front-loaded",INPUTS!$J$151="Back-loaded",INPUTS!$J$151="S-curve"),IF(AND(ISNUMBER(INPUTS!$K$151),AF$7&gt;=INPUTS!$K$151,AF$7&lt;=IF(INPUTS!$J$151="Upfront",INPUTS!$K$151,INPUTS!$L$151)),1,0),IF(INPUTS!$J$151="Follow Project Life",AF$17,IF(INPUTS!$J$151="At Project End",--(AF$7=INPUTS!$C$29),0))))</f>
        <v>0</v>
      </c>
      <c r="AG200" s="108" t="n">
        <f aca="false">IF(OR(INPUTS!$F$151&lt;&gt;"Yes",AG$16=0),0,IF(OR(INPUTS!$J$151="Upfront",INPUTS!$J$151="Even",INPUTS!$J$151="Front-loaded",INPUTS!$J$151="Back-loaded",INPUTS!$J$151="S-curve"),IF(AND(ISNUMBER(INPUTS!$K$151),AG$7&gt;=INPUTS!$K$151,AG$7&lt;=IF(INPUTS!$J$151="Upfront",INPUTS!$K$151,INPUTS!$L$151)),1,0),IF(INPUTS!$J$151="Follow Project Life",AG$17,IF(INPUTS!$J$151="At Project End",--(AG$7=INPUTS!$C$29),0))))</f>
        <v>0</v>
      </c>
      <c r="AH200" s="108" t="n">
        <f aca="false">IF(OR(INPUTS!$F$151&lt;&gt;"Yes",AH$16=0),0,IF(OR(INPUTS!$J$151="Upfront",INPUTS!$J$151="Even",INPUTS!$J$151="Front-loaded",INPUTS!$J$151="Back-loaded",INPUTS!$J$151="S-curve"),IF(AND(ISNUMBER(INPUTS!$K$151),AH$7&gt;=INPUTS!$K$151,AH$7&lt;=IF(INPUTS!$J$151="Upfront",INPUTS!$K$151,INPUTS!$L$151)),1,0),IF(INPUTS!$J$151="Follow Project Life",AH$17,IF(INPUTS!$J$151="At Project End",--(AH$7=INPUTS!$C$29),0))))</f>
        <v>0</v>
      </c>
      <c r="AI200" s="108" t="n">
        <f aca="false">IF(OR(INPUTS!$F$151&lt;&gt;"Yes",AI$16=0),0,IF(OR(INPUTS!$J$151="Upfront",INPUTS!$J$151="Even",INPUTS!$J$151="Front-loaded",INPUTS!$J$151="Back-loaded",INPUTS!$J$151="S-curve"),IF(AND(ISNUMBER(INPUTS!$K$151),AI$7&gt;=INPUTS!$K$151,AI$7&lt;=IF(INPUTS!$J$151="Upfront",INPUTS!$K$151,INPUTS!$L$151)),1,0),IF(INPUTS!$J$151="Follow Project Life",AI$17,IF(INPUTS!$J$151="At Project End",--(AI$7=INPUTS!$C$29),0))))</f>
        <v>0</v>
      </c>
      <c r="AJ200" s="108" t="n">
        <f aca="false">IF(OR(INPUTS!$F$151&lt;&gt;"Yes",AJ$16=0),0,IF(OR(INPUTS!$J$151="Upfront",INPUTS!$J$151="Even",INPUTS!$J$151="Front-loaded",INPUTS!$J$151="Back-loaded",INPUTS!$J$151="S-curve"),IF(AND(ISNUMBER(INPUTS!$K$151),AJ$7&gt;=INPUTS!$K$151,AJ$7&lt;=IF(INPUTS!$J$151="Upfront",INPUTS!$K$151,INPUTS!$L$151)),1,0),IF(INPUTS!$J$151="Follow Project Life",AJ$17,IF(INPUTS!$J$151="At Project End",--(AJ$7=INPUTS!$C$29),0))))</f>
        <v>0</v>
      </c>
      <c r="AK200" s="108" t="n">
        <f aca="false">IF(OR(INPUTS!$F$151&lt;&gt;"Yes",AK$16=0),0,IF(OR(INPUTS!$J$151="Upfront",INPUTS!$J$151="Even",INPUTS!$J$151="Front-loaded",INPUTS!$J$151="Back-loaded",INPUTS!$J$151="S-curve"),IF(AND(ISNUMBER(INPUTS!$K$151),AK$7&gt;=INPUTS!$K$151,AK$7&lt;=IF(INPUTS!$J$151="Upfront",INPUTS!$K$151,INPUTS!$L$151)),1,0),IF(INPUTS!$J$151="Follow Project Life",AK$17,IF(INPUTS!$J$151="At Project End",--(AK$7=INPUTS!$C$29),0))))</f>
        <v>0</v>
      </c>
      <c r="AL200" s="108" t="n">
        <f aca="false">IF(OR(INPUTS!$F$151&lt;&gt;"Yes",AL$16=0),0,IF(OR(INPUTS!$J$151="Upfront",INPUTS!$J$151="Even",INPUTS!$J$151="Front-loaded",INPUTS!$J$151="Back-loaded",INPUTS!$J$151="S-curve"),IF(AND(ISNUMBER(INPUTS!$K$151),AL$7&gt;=INPUTS!$K$151,AL$7&lt;=IF(INPUTS!$J$151="Upfront",INPUTS!$K$151,INPUTS!$L$151)),1,0),IF(INPUTS!$J$151="Follow Project Life",AL$17,IF(INPUTS!$J$151="At Project End",--(AL$7=INPUTS!$C$29),0))))</f>
        <v>0</v>
      </c>
      <c r="AM200" s="108" t="n">
        <f aca="false">IF(OR(INPUTS!$F$151&lt;&gt;"Yes",AM$16=0),0,IF(OR(INPUTS!$J$151="Upfront",INPUTS!$J$151="Even",INPUTS!$J$151="Front-loaded",INPUTS!$J$151="Back-loaded",INPUTS!$J$151="S-curve"),IF(AND(ISNUMBER(INPUTS!$K$151),AM$7&gt;=INPUTS!$K$151,AM$7&lt;=IF(INPUTS!$J$151="Upfront",INPUTS!$K$151,INPUTS!$L$151)),1,0),IF(INPUTS!$J$151="Follow Project Life",AM$17,IF(INPUTS!$J$151="At Project End",--(AM$7=INPUTS!$C$29),0))))</f>
        <v>0</v>
      </c>
      <c r="AN200" s="108" t="n">
        <f aca="false">IF(OR(INPUTS!$F$151&lt;&gt;"Yes",AN$16=0),0,IF(OR(INPUTS!$J$151="Upfront",INPUTS!$J$151="Even",INPUTS!$J$151="Front-loaded",INPUTS!$J$151="Back-loaded",INPUTS!$J$151="S-curve"),IF(AND(ISNUMBER(INPUTS!$K$151),AN$7&gt;=INPUTS!$K$151,AN$7&lt;=IF(INPUTS!$J$151="Upfront",INPUTS!$K$151,INPUTS!$L$151)),1,0),IF(INPUTS!$J$151="Follow Project Life",AN$17,IF(INPUTS!$J$151="At Project End",--(AN$7=INPUTS!$C$29),0))))</f>
        <v>0</v>
      </c>
      <c r="AO200" s="108" t="n">
        <f aca="false">IF(OR(INPUTS!$F$151&lt;&gt;"Yes",AO$16=0),0,IF(OR(INPUTS!$J$151="Upfront",INPUTS!$J$151="Even",INPUTS!$J$151="Front-loaded",INPUTS!$J$151="Back-loaded",INPUTS!$J$151="S-curve"),IF(AND(ISNUMBER(INPUTS!$K$151),AO$7&gt;=INPUTS!$K$151,AO$7&lt;=IF(INPUTS!$J$151="Upfront",INPUTS!$K$151,INPUTS!$L$151)),1,0),IF(INPUTS!$J$151="Follow Project Life",AO$17,IF(INPUTS!$J$151="At Project End",--(AO$7=INPUTS!$C$29),0))))</f>
        <v>0</v>
      </c>
      <c r="AP200" s="108" t="n">
        <f aca="false">IF(OR(INPUTS!$F$151&lt;&gt;"Yes",AP$16=0),0,IF(OR(INPUTS!$J$151="Upfront",INPUTS!$J$151="Even",INPUTS!$J$151="Front-loaded",INPUTS!$J$151="Back-loaded",INPUTS!$J$151="S-curve"),IF(AND(ISNUMBER(INPUTS!$K$151),AP$7&gt;=INPUTS!$K$151,AP$7&lt;=IF(INPUTS!$J$151="Upfront",INPUTS!$K$151,INPUTS!$L$151)),1,0),IF(INPUTS!$J$151="Follow Project Life",AP$17,IF(INPUTS!$J$151="At Project End",--(AP$7=INPUTS!$C$29),0))))</f>
        <v>0</v>
      </c>
      <c r="AQ200" s="108" t="n">
        <f aca="false">IF(OR(INPUTS!$F$151&lt;&gt;"Yes",AQ$16=0),0,IF(OR(INPUTS!$J$151="Upfront",INPUTS!$J$151="Even",INPUTS!$J$151="Front-loaded",INPUTS!$J$151="Back-loaded",INPUTS!$J$151="S-curve"),IF(AND(ISNUMBER(INPUTS!$K$151),AQ$7&gt;=INPUTS!$K$151,AQ$7&lt;=IF(INPUTS!$J$151="Upfront",INPUTS!$K$151,INPUTS!$L$151)),1,0),IF(INPUTS!$J$151="Follow Project Life",AQ$17,IF(INPUTS!$J$151="At Project End",--(AQ$7=INPUTS!$C$29),0))))</f>
        <v>0</v>
      </c>
    </row>
    <row r="201" customFormat="false" ht="15" hidden="false" customHeight="false" outlineLevel="0" collapsed="false">
      <c r="B201" s="3" t="s">
        <v>650</v>
      </c>
      <c r="C201" s="107" t="n">
        <f aca="false">MAX(D201:AQ201)</f>
        <v>0</v>
      </c>
      <c r="D201" s="108" t="n">
        <f aca="false">IF(D200=1,COUNTIF($D200:D200,1),0)</f>
        <v>0</v>
      </c>
      <c r="E201" s="108" t="n">
        <f aca="false">IF(E200=1,COUNTIF($D200:E200,1),0)</f>
        <v>0</v>
      </c>
      <c r="F201" s="108" t="n">
        <f aca="false">IF(F200=1,COUNTIF($D200:F200,1),0)</f>
        <v>0</v>
      </c>
      <c r="G201" s="108" t="n">
        <f aca="false">IF(G200=1,COUNTIF($D200:G200,1),0)</f>
        <v>0</v>
      </c>
      <c r="H201" s="108" t="n">
        <f aca="false">IF(H200=1,COUNTIF($D200:H200,1),0)</f>
        <v>0</v>
      </c>
      <c r="I201" s="108" t="n">
        <f aca="false">IF(I200=1,COUNTIF($D200:I200,1),0)</f>
        <v>0</v>
      </c>
      <c r="J201" s="108" t="n">
        <f aca="false">IF(J200=1,COUNTIF($D200:J200,1),0)</f>
        <v>0</v>
      </c>
      <c r="K201" s="108" t="n">
        <f aca="false">IF(K200=1,COUNTIF($D200:K200,1),0)</f>
        <v>0</v>
      </c>
      <c r="L201" s="108" t="n">
        <f aca="false">IF(L200=1,COUNTIF($D200:L200,1),0)</f>
        <v>0</v>
      </c>
      <c r="M201" s="108" t="n">
        <f aca="false">IF(M200=1,COUNTIF($D200:M200,1),0)</f>
        <v>0</v>
      </c>
      <c r="N201" s="108" t="n">
        <f aca="false">IF(N200=1,COUNTIF($D200:N200,1),0)</f>
        <v>0</v>
      </c>
      <c r="O201" s="108" t="n">
        <f aca="false">IF(O200=1,COUNTIF($D200:O200,1),0)</f>
        <v>0</v>
      </c>
      <c r="P201" s="108" t="n">
        <f aca="false">IF(P200=1,COUNTIF($D200:P200,1),0)</f>
        <v>0</v>
      </c>
      <c r="Q201" s="108" t="n">
        <f aca="false">IF(Q200=1,COUNTIF($D200:Q200,1),0)</f>
        <v>0</v>
      </c>
      <c r="R201" s="108" t="n">
        <f aca="false">IF(R200=1,COUNTIF($D200:R200,1),0)</f>
        <v>0</v>
      </c>
      <c r="S201" s="108" t="n">
        <f aca="false">IF(S200=1,COUNTIF($D200:S200,1),0)</f>
        <v>0</v>
      </c>
      <c r="T201" s="108" t="n">
        <f aca="false">IF(T200=1,COUNTIF($D200:T200,1),0)</f>
        <v>0</v>
      </c>
      <c r="U201" s="108" t="n">
        <f aca="false">IF(U200=1,COUNTIF($D200:U200,1),0)</f>
        <v>0</v>
      </c>
      <c r="V201" s="108" t="n">
        <f aca="false">IF(V200=1,COUNTIF($D200:V200,1),0)</f>
        <v>0</v>
      </c>
      <c r="W201" s="108" t="n">
        <f aca="false">IF(W200=1,COUNTIF($D200:W200,1),0)</f>
        <v>0</v>
      </c>
      <c r="X201" s="108" t="n">
        <f aca="false">IF(X200=1,COUNTIF($D200:X200,1),0)</f>
        <v>0</v>
      </c>
      <c r="Y201" s="108" t="n">
        <f aca="false">IF(Y200=1,COUNTIF($D200:Y200,1),0)</f>
        <v>0</v>
      </c>
      <c r="Z201" s="108" t="n">
        <f aca="false">IF(Z200=1,COUNTIF($D200:Z200,1),0)</f>
        <v>0</v>
      </c>
      <c r="AA201" s="108" t="n">
        <f aca="false">IF(AA200=1,COUNTIF($D200:AA200,1),0)</f>
        <v>0</v>
      </c>
      <c r="AB201" s="108" t="n">
        <f aca="false">IF(AB200=1,COUNTIF($D200:AB200,1),0)</f>
        <v>0</v>
      </c>
      <c r="AC201" s="108" t="n">
        <f aca="false">IF(AC200=1,COUNTIF($D200:AC200,1),0)</f>
        <v>0</v>
      </c>
      <c r="AD201" s="108" t="n">
        <f aca="false">IF(AD200=1,COUNTIF($D200:AD200,1),0)</f>
        <v>0</v>
      </c>
      <c r="AE201" s="108" t="n">
        <f aca="false">IF(AE200=1,COUNTIF($D200:AE200,1),0)</f>
        <v>0</v>
      </c>
      <c r="AF201" s="108" t="n">
        <f aca="false">IF(AF200=1,COUNTIF($D200:AF200,1),0)</f>
        <v>0</v>
      </c>
      <c r="AG201" s="108" t="n">
        <f aca="false">IF(AG200=1,COUNTIF($D200:AG200,1),0)</f>
        <v>0</v>
      </c>
      <c r="AH201" s="108" t="n">
        <f aca="false">IF(AH200=1,COUNTIF($D200:AH200,1),0)</f>
        <v>0</v>
      </c>
      <c r="AI201" s="108" t="n">
        <f aca="false">IF(AI200=1,COUNTIF($D200:AI200,1),0)</f>
        <v>0</v>
      </c>
      <c r="AJ201" s="108" t="n">
        <f aca="false">IF(AJ200=1,COUNTIF($D200:AJ200,1),0)</f>
        <v>0</v>
      </c>
      <c r="AK201" s="108" t="n">
        <f aca="false">IF(AK200=1,COUNTIF($D200:AK200,1),0)</f>
        <v>0</v>
      </c>
      <c r="AL201" s="108" t="n">
        <f aca="false">IF(AL200=1,COUNTIF($D200:AL200,1),0)</f>
        <v>0</v>
      </c>
      <c r="AM201" s="108" t="n">
        <f aca="false">IF(AM200=1,COUNTIF($D200:AM200,1),0)</f>
        <v>0</v>
      </c>
      <c r="AN201" s="108" t="n">
        <f aca="false">IF(AN200=1,COUNTIF($D200:AN200,1),0)</f>
        <v>0</v>
      </c>
      <c r="AO201" s="108" t="n">
        <f aca="false">IF(AO200=1,COUNTIF($D200:AO200,1),0)</f>
        <v>0</v>
      </c>
      <c r="AP201" s="108" t="n">
        <f aca="false">IF(AP200=1,COUNTIF($D200:AP200,1),0)</f>
        <v>0</v>
      </c>
      <c r="AQ201" s="108" t="n">
        <f aca="false">IF(AQ200=1,COUNTIF($D200:AQ200,1),0)</f>
        <v>0</v>
      </c>
    </row>
    <row r="202" customFormat="false" ht="15" hidden="false" customHeight="false" outlineLevel="0" collapsed="false">
      <c r="B202" s="17" t="s">
        <v>651</v>
      </c>
      <c r="C202" s="105" t="str">
        <f aca="false">IF(INPUTS!$M$151="","",IF(INPUTS!$M$151&lt;&gt;"OK","ERROR",IF(C200=IF(INPUTS!$F$151&lt;&gt;"Yes",0,IF(OR(INPUTS!$J$151="Upfront",INPUTS!$J$151="Even",INPUTS!$J$151="Front-loaded",INPUTS!$J$151="Back-loaded",INPUTS!$J$151="S-curve"),IF(ISNUMBER(INPUTS!$K$151),IF(INPUTS!$J$151="Upfront",INPUTS!$K$151,INPUTS!$L$151)-INPUTS!$K$151+1,0),IF(INPUTS!$J$151="Follow Project Life",INPUTS!$C$29,IF(INPUTS!$J$151="At Project End",1,0)))),"OK","ERROR")))</f>
        <v/>
      </c>
    </row>
    <row r="204" customFormat="false" ht="19.5" hidden="false" customHeight="true" outlineLevel="0" collapsed="false">
      <c r="B204" s="4" t="s">
        <v>652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customFormat="false" ht="15" hidden="false" customHeight="false" outlineLevel="0" collapsed="false">
      <c r="B205" s="3" t="s">
        <v>653</v>
      </c>
      <c r="C205" s="105" t="str">
        <f aca="false">IF(AND(ISNUMBER(INPUTS!$C$24),INPUTS!$C$24&gt;=1,INPUTS!$C$24&lt;=40,INT(INPUTS!$C$24)=INPUTS!$C$24),"OK","ERROR")</f>
        <v>OK</v>
      </c>
    </row>
    <row r="206" customFormat="false" ht="15" hidden="false" customHeight="false" outlineLevel="0" collapsed="false">
      <c r="B206" s="3" t="s">
        <v>654</v>
      </c>
      <c r="C206" s="105" t="str">
        <f aca="false">IF(AND(D7=1,AQ7=40,SUMPRODUCT(--(E7:AQ7-D7:AP7=1))=39),"OK","ERROR")</f>
        <v>OK</v>
      </c>
    </row>
    <row r="207" customFormat="false" ht="15" hidden="false" customHeight="false" outlineLevel="0" collapsed="false">
      <c r="B207" s="3" t="s">
        <v>655</v>
      </c>
      <c r="C207" s="105" t="str">
        <f aca="false">IF(AND(SUMPRODUCT(--((YEAR(E9:AQ9)*12+MONTH(E9:AQ9))-(YEAR(D9:AP9)*12+MONTH(D9:AP9))=3))=39,SUMPRODUCT(--(DAY(D9:AQ9+1)=1))=40),"OK","ERROR")</f>
        <v>OK</v>
      </c>
    </row>
    <row r="208" customFormat="false" ht="15" hidden="false" customHeight="false" outlineLevel="0" collapsed="false">
      <c r="B208" s="3" t="s">
        <v>656</v>
      </c>
      <c r="C208" s="105" t="str">
        <f aca="false">IF(C17=INPUTS!$C$29,"OK","ERROR")</f>
        <v>OK</v>
      </c>
    </row>
    <row r="209" customFormat="false" ht="15" hidden="false" customHeight="false" outlineLevel="0" collapsed="false">
      <c r="B209" s="3" t="s">
        <v>657</v>
      </c>
      <c r="C209" s="105" t="str">
        <f aca="false">IF(--(C40="ERROR")+--(C47="ERROR")+--(C54="ERROR")+--(C61="ERROR")+--(C68="ERROR")+--(C75="ERROR")+--(C82="ERROR")+--(C89="ERROR")+--(C96="ERROR")+--(C103="ERROR")=0,"OK","ERROR")</f>
        <v>OK</v>
      </c>
    </row>
    <row r="210" customFormat="false" ht="15" hidden="false" customHeight="false" outlineLevel="0" collapsed="false">
      <c r="B210" s="3" t="s">
        <v>658</v>
      </c>
      <c r="C210" s="105" t="str">
        <f aca="false">IF(--(C110="ERROR")+--(C114="ERROR")+--(C118="ERROR")+--(C122="ERROR")+--(C126="ERROR")+--(C130="ERROR")+--(C134="ERROR")+--(C138="ERROR")+--(C142="ERROR")+--(C146="ERROR")+--(C150="ERROR")+--(C154="ERROR")+--(C158="ERROR")+--(C162="ERROR")+--(C166="ERROR")+--(C170="ERROR")+--(C174="ERROR")+--(C178="ERROR")+--(C182="ERROR")+--(C186="ERROR")+--(C190="ERROR")+--(C194="ERROR")+--(C198="ERROR")+--(C202="ERROR")=0,"OK","ERROR")</f>
        <v>OK</v>
      </c>
    </row>
  </sheetData>
  <conditionalFormatting sqref="D21:AQ30">
    <cfRule type="cellIs" priority="2" operator="equal" aboveAverage="0" equalAverage="0" bottom="0" percent="0" rank="0" text="" dxfId="13">
      <formula>"S"</formula>
    </cfRule>
    <cfRule type="cellIs" priority="3" operator="equal" aboveAverage="0" equalAverage="0" bottom="0" percent="0" rank="0" text="" dxfId="14">
      <formula>"C"</formula>
    </cfRule>
    <cfRule type="cellIs" priority="4" operator="equal" aboveAverage="0" equalAverage="0" bottom="0" percent="0" rank="0" text="" dxfId="15">
      <formula>"S+C"</formula>
    </cfRule>
    <cfRule type="cellIs" priority="5" operator="equal" aboveAverage="0" equalAverage="0" bottom="0" percent="0" rank="0" text="" dxfId="16">
      <formula>"✓"</formula>
    </cfRule>
  </conditionalFormatting>
  <conditionalFormatting sqref="D18:AQ18">
    <cfRule type="cellIs" priority="6" operator="equal" aboveAverage="0" equalAverage="0" bottom="0" percent="0" rank="0" text="" dxfId="5">
      <formula>"Post-project"</formula>
    </cfRule>
    <cfRule type="cellIs" priority="7" operator="equal" aboveAverage="0" equalAverage="0" bottom="0" percent="0" rank="0" text="" dxfId="5">
      <formula>"Beyond horizon"</formula>
    </cfRule>
  </conditionalFormatting>
  <conditionalFormatting sqref="D33:AQ33">
    <cfRule type="cellIs" priority="8" operator="greaterThan" aboveAverage="0" equalAverage="0" bottom="0" percent="0" rank="0" text="" dxfId="17">
      <formula>0</formula>
    </cfRule>
  </conditionalFormatting>
  <conditionalFormatting sqref="D34:AQ34">
    <cfRule type="cellIs" priority="9" operator="greaterThan" aboveAverage="0" equalAverage="0" bottom="0" percent="0" rank="0" text="" dxfId="17">
      <formula>0</formula>
    </cfRule>
  </conditionalFormatting>
  <conditionalFormatting sqref="D35:AQ35">
    <cfRule type="cellIs" priority="10" operator="greaterThan" aboveAverage="0" equalAverage="0" bottom="0" percent="0" rank="0" text="" dxfId="17">
      <formula>0</formula>
    </cfRule>
  </conditionalFormatting>
  <conditionalFormatting sqref="D36:AQ36">
    <cfRule type="cellIs" priority="11" operator="greaterThan" aboveAverage="0" equalAverage="0" bottom="0" percent="0" rank="0" text="" dxfId="17">
      <formula>0</formula>
    </cfRule>
  </conditionalFormatting>
  <conditionalFormatting sqref="D37:AQ37">
    <cfRule type="cellIs" priority="12" operator="greaterThan" aboveAverage="0" equalAverage="0" bottom="0" percent="0" rank="0" text="" dxfId="17">
      <formula>0</formula>
    </cfRule>
  </conditionalFormatting>
  <conditionalFormatting sqref="D38:AQ38">
    <cfRule type="cellIs" priority="13" operator="greaterThan" aboveAverage="0" equalAverage="0" bottom="0" percent="0" rank="0" text="" dxfId="17">
      <formula>0</formula>
    </cfRule>
  </conditionalFormatting>
  <conditionalFormatting sqref="D39:AQ39">
    <cfRule type="cellIs" priority="14" operator="greaterThan" aboveAverage="0" equalAverage="0" bottom="0" percent="0" rank="0" text="" dxfId="17">
      <formula>0</formula>
    </cfRule>
  </conditionalFormatting>
  <conditionalFormatting sqref="D40:AQ40">
    <cfRule type="cellIs" priority="15" operator="greaterThan" aboveAverage="0" equalAverage="0" bottom="0" percent="0" rank="0" text="" dxfId="17">
      <formula>0</formula>
    </cfRule>
  </conditionalFormatting>
  <conditionalFormatting sqref="D41:AQ41">
    <cfRule type="cellIs" priority="16" operator="greaterThan" aboveAverage="0" equalAverage="0" bottom="0" percent="0" rank="0" text="" dxfId="17">
      <formula>0</formula>
    </cfRule>
  </conditionalFormatting>
  <conditionalFormatting sqref="D42:AQ42">
    <cfRule type="cellIs" priority="17" operator="greaterThan" aboveAverage="0" equalAverage="0" bottom="0" percent="0" rank="0" text="" dxfId="17">
      <formula>0</formula>
    </cfRule>
  </conditionalFormatting>
  <conditionalFormatting sqref="D43:AQ43">
    <cfRule type="cellIs" priority="18" operator="greaterThan" aboveAverage="0" equalAverage="0" bottom="0" percent="0" rank="0" text="" dxfId="17">
      <formula>0</formula>
    </cfRule>
  </conditionalFormatting>
  <conditionalFormatting sqref="D44:AQ44">
    <cfRule type="cellIs" priority="19" operator="greaterThan" aboveAverage="0" equalAverage="0" bottom="0" percent="0" rank="0" text="" dxfId="17">
      <formula>0</formula>
    </cfRule>
  </conditionalFormatting>
  <conditionalFormatting sqref="D45:AQ45">
    <cfRule type="cellIs" priority="20" operator="greaterThan" aboveAverage="0" equalAverage="0" bottom="0" percent="0" rank="0" text="" dxfId="17">
      <formula>0</formula>
    </cfRule>
  </conditionalFormatting>
  <conditionalFormatting sqref="D46:AQ46">
    <cfRule type="cellIs" priority="21" operator="greaterThan" aboveAverage="0" equalAverage="0" bottom="0" percent="0" rank="0" text="" dxfId="17">
      <formula>0</formula>
    </cfRule>
  </conditionalFormatting>
  <conditionalFormatting sqref="D47:AQ47">
    <cfRule type="cellIs" priority="22" operator="greaterThan" aboveAverage="0" equalAverage="0" bottom="0" percent="0" rank="0" text="" dxfId="17">
      <formula>0</formula>
    </cfRule>
  </conditionalFormatting>
  <conditionalFormatting sqref="D48:AQ48">
    <cfRule type="cellIs" priority="23" operator="greaterThan" aboveAverage="0" equalAverage="0" bottom="0" percent="0" rank="0" text="" dxfId="17">
      <formula>0</formula>
    </cfRule>
  </conditionalFormatting>
  <conditionalFormatting sqref="D49:AQ49">
    <cfRule type="cellIs" priority="24" operator="greaterThan" aboveAverage="0" equalAverage="0" bottom="0" percent="0" rank="0" text="" dxfId="17">
      <formula>0</formula>
    </cfRule>
  </conditionalFormatting>
  <conditionalFormatting sqref="D50:AQ50">
    <cfRule type="cellIs" priority="25" operator="greaterThan" aboveAverage="0" equalAverage="0" bottom="0" percent="0" rank="0" text="" dxfId="17">
      <formula>0</formula>
    </cfRule>
  </conditionalFormatting>
  <conditionalFormatting sqref="D51:AQ51">
    <cfRule type="cellIs" priority="26" operator="greaterThan" aboveAverage="0" equalAverage="0" bottom="0" percent="0" rank="0" text="" dxfId="17">
      <formula>0</formula>
    </cfRule>
  </conditionalFormatting>
  <conditionalFormatting sqref="D52:AQ52">
    <cfRule type="cellIs" priority="27" operator="greaterThan" aboveAverage="0" equalAverage="0" bottom="0" percent="0" rank="0" text="" dxfId="17">
      <formula>0</formula>
    </cfRule>
  </conditionalFormatting>
  <conditionalFormatting sqref="D53:AQ53">
    <cfRule type="cellIs" priority="28" operator="greaterThan" aboveAverage="0" equalAverage="0" bottom="0" percent="0" rank="0" text="" dxfId="17">
      <formula>0</formula>
    </cfRule>
  </conditionalFormatting>
  <conditionalFormatting sqref="D54:AQ54">
    <cfRule type="cellIs" priority="29" operator="greaterThan" aboveAverage="0" equalAverage="0" bottom="0" percent="0" rank="0" text="" dxfId="17">
      <formula>0</formula>
    </cfRule>
  </conditionalFormatting>
  <conditionalFormatting sqref="D55:AQ55">
    <cfRule type="cellIs" priority="30" operator="greaterThan" aboveAverage="0" equalAverage="0" bottom="0" percent="0" rank="0" text="" dxfId="17">
      <formula>0</formula>
    </cfRule>
  </conditionalFormatting>
  <conditionalFormatting sqref="D56:AQ56">
    <cfRule type="cellIs" priority="31" operator="greaterThan" aboveAverage="0" equalAverage="0" bottom="0" percent="0" rank="0" text="" dxfId="17">
      <formula>0</formula>
    </cfRule>
  </conditionalFormatting>
  <conditionalFormatting sqref="D57:AQ57">
    <cfRule type="cellIs" priority="32" operator="greaterThan" aboveAverage="0" equalAverage="0" bottom="0" percent="0" rank="0" text="" dxfId="17">
      <formula>0</formula>
    </cfRule>
  </conditionalFormatting>
  <conditionalFormatting sqref="D58:AQ58">
    <cfRule type="cellIs" priority="33" operator="greaterThan" aboveAverage="0" equalAverage="0" bottom="0" percent="0" rank="0" text="" dxfId="17">
      <formula>0</formula>
    </cfRule>
  </conditionalFormatting>
  <conditionalFormatting sqref="D59:AQ59">
    <cfRule type="cellIs" priority="34" operator="greaterThan" aboveAverage="0" equalAverage="0" bottom="0" percent="0" rank="0" text="" dxfId="17">
      <formula>0</formula>
    </cfRule>
  </conditionalFormatting>
  <conditionalFormatting sqref="D60:AQ60">
    <cfRule type="cellIs" priority="35" operator="greaterThan" aboveAverage="0" equalAverage="0" bottom="0" percent="0" rank="0" text="" dxfId="17">
      <formula>0</formula>
    </cfRule>
  </conditionalFormatting>
  <conditionalFormatting sqref="D61:AQ61">
    <cfRule type="cellIs" priority="36" operator="greaterThan" aboveAverage="0" equalAverage="0" bottom="0" percent="0" rank="0" text="" dxfId="17">
      <formula>0</formula>
    </cfRule>
  </conditionalFormatting>
  <conditionalFormatting sqref="D62:AQ62">
    <cfRule type="cellIs" priority="37" operator="greaterThan" aboveAverage="0" equalAverage="0" bottom="0" percent="0" rank="0" text="" dxfId="17">
      <formula>0</formula>
    </cfRule>
  </conditionalFormatting>
  <conditionalFormatting sqref="D63:AQ63">
    <cfRule type="cellIs" priority="38" operator="greaterThan" aboveAverage="0" equalAverage="0" bottom="0" percent="0" rank="0" text="" dxfId="17">
      <formula>0</formula>
    </cfRule>
  </conditionalFormatting>
  <conditionalFormatting sqref="D64:AQ64">
    <cfRule type="cellIs" priority="39" operator="greaterThan" aboveAverage="0" equalAverage="0" bottom="0" percent="0" rank="0" text="" dxfId="17">
      <formula>0</formula>
    </cfRule>
  </conditionalFormatting>
  <conditionalFormatting sqref="D65:AQ65">
    <cfRule type="cellIs" priority="40" operator="greaterThan" aboveAverage="0" equalAverage="0" bottom="0" percent="0" rank="0" text="" dxfId="17">
      <formula>0</formula>
    </cfRule>
  </conditionalFormatting>
  <conditionalFormatting sqref="D66:AQ66">
    <cfRule type="cellIs" priority="41" operator="greaterThan" aboveAverage="0" equalAverage="0" bottom="0" percent="0" rank="0" text="" dxfId="17">
      <formula>0</formula>
    </cfRule>
  </conditionalFormatting>
  <conditionalFormatting sqref="D67:AQ67">
    <cfRule type="cellIs" priority="42" operator="greaterThan" aboveAverage="0" equalAverage="0" bottom="0" percent="0" rank="0" text="" dxfId="17">
      <formula>0</formula>
    </cfRule>
  </conditionalFormatting>
  <conditionalFormatting sqref="D68:AQ68">
    <cfRule type="cellIs" priority="43" operator="greaterThan" aboveAverage="0" equalAverage="0" bottom="0" percent="0" rank="0" text="" dxfId="17">
      <formula>0</formula>
    </cfRule>
  </conditionalFormatting>
  <conditionalFormatting sqref="D69:AQ69">
    <cfRule type="cellIs" priority="44" operator="greaterThan" aboveAverage="0" equalAverage="0" bottom="0" percent="0" rank="0" text="" dxfId="17">
      <formula>0</formula>
    </cfRule>
  </conditionalFormatting>
  <conditionalFormatting sqref="D70:AQ70">
    <cfRule type="cellIs" priority="45" operator="greaterThan" aboveAverage="0" equalAverage="0" bottom="0" percent="0" rank="0" text="" dxfId="17">
      <formula>0</formula>
    </cfRule>
  </conditionalFormatting>
  <conditionalFormatting sqref="D71:AQ71">
    <cfRule type="cellIs" priority="46" operator="greaterThan" aboveAverage="0" equalAverage="0" bottom="0" percent="0" rank="0" text="" dxfId="17">
      <formula>0</formula>
    </cfRule>
  </conditionalFormatting>
  <conditionalFormatting sqref="D72:AQ72">
    <cfRule type="cellIs" priority="47" operator="greaterThan" aboveAverage="0" equalAverage="0" bottom="0" percent="0" rank="0" text="" dxfId="17">
      <formula>0</formula>
    </cfRule>
  </conditionalFormatting>
  <conditionalFormatting sqref="D73:AQ73">
    <cfRule type="cellIs" priority="48" operator="greaterThan" aboveAverage="0" equalAverage="0" bottom="0" percent="0" rank="0" text="" dxfId="17">
      <formula>0</formula>
    </cfRule>
  </conditionalFormatting>
  <conditionalFormatting sqref="D74:AQ74">
    <cfRule type="cellIs" priority="49" operator="greaterThan" aboveAverage="0" equalAverage="0" bottom="0" percent="0" rank="0" text="" dxfId="17">
      <formula>0</formula>
    </cfRule>
  </conditionalFormatting>
  <conditionalFormatting sqref="D75:AQ75">
    <cfRule type="cellIs" priority="50" operator="greaterThan" aboveAverage="0" equalAverage="0" bottom="0" percent="0" rank="0" text="" dxfId="17">
      <formula>0</formula>
    </cfRule>
  </conditionalFormatting>
  <conditionalFormatting sqref="D76:AQ76">
    <cfRule type="cellIs" priority="51" operator="greaterThan" aboveAverage="0" equalAverage="0" bottom="0" percent="0" rank="0" text="" dxfId="17">
      <formula>0</formula>
    </cfRule>
  </conditionalFormatting>
  <conditionalFormatting sqref="D77:AQ77">
    <cfRule type="cellIs" priority="52" operator="greaterThan" aboveAverage="0" equalAverage="0" bottom="0" percent="0" rank="0" text="" dxfId="17">
      <formula>0</formula>
    </cfRule>
  </conditionalFormatting>
  <conditionalFormatting sqref="D78:AQ78">
    <cfRule type="cellIs" priority="53" operator="greaterThan" aboveAverage="0" equalAverage="0" bottom="0" percent="0" rank="0" text="" dxfId="17">
      <formula>0</formula>
    </cfRule>
  </conditionalFormatting>
  <conditionalFormatting sqref="D79:AQ79">
    <cfRule type="cellIs" priority="54" operator="greaterThan" aboveAverage="0" equalAverage="0" bottom="0" percent="0" rank="0" text="" dxfId="17">
      <formula>0</formula>
    </cfRule>
  </conditionalFormatting>
  <conditionalFormatting sqref="D80:AQ80">
    <cfRule type="cellIs" priority="55" operator="greaterThan" aboveAverage="0" equalAverage="0" bottom="0" percent="0" rank="0" text="" dxfId="17">
      <formula>0</formula>
    </cfRule>
  </conditionalFormatting>
  <conditionalFormatting sqref="D81:AQ81">
    <cfRule type="cellIs" priority="56" operator="greaterThan" aboveAverage="0" equalAverage="0" bottom="0" percent="0" rank="0" text="" dxfId="17">
      <formula>0</formula>
    </cfRule>
  </conditionalFormatting>
  <conditionalFormatting sqref="D82:AQ82">
    <cfRule type="cellIs" priority="57" operator="greaterThan" aboveAverage="0" equalAverage="0" bottom="0" percent="0" rank="0" text="" dxfId="17">
      <formula>0</formula>
    </cfRule>
  </conditionalFormatting>
  <conditionalFormatting sqref="D83:AQ83">
    <cfRule type="cellIs" priority="58" operator="greaterThan" aboveAverage="0" equalAverage="0" bottom="0" percent="0" rank="0" text="" dxfId="17">
      <formula>0</formula>
    </cfRule>
  </conditionalFormatting>
  <conditionalFormatting sqref="D84:AQ84">
    <cfRule type="cellIs" priority="59" operator="greaterThan" aboveAverage="0" equalAverage="0" bottom="0" percent="0" rank="0" text="" dxfId="17">
      <formula>0</formula>
    </cfRule>
  </conditionalFormatting>
  <conditionalFormatting sqref="D85:AQ85">
    <cfRule type="cellIs" priority="60" operator="greaterThan" aboveAverage="0" equalAverage="0" bottom="0" percent="0" rank="0" text="" dxfId="17">
      <formula>0</formula>
    </cfRule>
  </conditionalFormatting>
  <conditionalFormatting sqref="D86:AQ86">
    <cfRule type="cellIs" priority="61" operator="greaterThan" aboveAverage="0" equalAverage="0" bottom="0" percent="0" rank="0" text="" dxfId="17">
      <formula>0</formula>
    </cfRule>
  </conditionalFormatting>
  <conditionalFormatting sqref="D87:AQ87">
    <cfRule type="cellIs" priority="62" operator="greaterThan" aboveAverage="0" equalAverage="0" bottom="0" percent="0" rank="0" text="" dxfId="17">
      <formula>0</formula>
    </cfRule>
  </conditionalFormatting>
  <conditionalFormatting sqref="D88:AQ88">
    <cfRule type="cellIs" priority="63" operator="greaterThan" aboveAverage="0" equalAverage="0" bottom="0" percent="0" rank="0" text="" dxfId="17">
      <formula>0</formula>
    </cfRule>
  </conditionalFormatting>
  <conditionalFormatting sqref="D89:AQ89">
    <cfRule type="cellIs" priority="64" operator="greaterThan" aboveAverage="0" equalAverage="0" bottom="0" percent="0" rank="0" text="" dxfId="17">
      <formula>0</formula>
    </cfRule>
  </conditionalFormatting>
  <conditionalFormatting sqref="D90:AQ90">
    <cfRule type="cellIs" priority="65" operator="greaterThan" aboveAverage="0" equalAverage="0" bottom="0" percent="0" rank="0" text="" dxfId="17">
      <formula>0</formula>
    </cfRule>
  </conditionalFormatting>
  <conditionalFormatting sqref="D91:AQ91">
    <cfRule type="cellIs" priority="66" operator="greaterThan" aboveAverage="0" equalAverage="0" bottom="0" percent="0" rank="0" text="" dxfId="17">
      <formula>0</formula>
    </cfRule>
  </conditionalFormatting>
  <conditionalFormatting sqref="D92:AQ92">
    <cfRule type="cellIs" priority="67" operator="greaterThan" aboveAverage="0" equalAverage="0" bottom="0" percent="0" rank="0" text="" dxfId="17">
      <formula>0</formula>
    </cfRule>
  </conditionalFormatting>
  <conditionalFormatting sqref="D93:AQ93">
    <cfRule type="cellIs" priority="68" operator="greaterThan" aboveAverage="0" equalAverage="0" bottom="0" percent="0" rank="0" text="" dxfId="17">
      <formula>0</formula>
    </cfRule>
  </conditionalFormatting>
  <conditionalFormatting sqref="D94:AQ94">
    <cfRule type="cellIs" priority="69" operator="greaterThan" aboveAverage="0" equalAverage="0" bottom="0" percent="0" rank="0" text="" dxfId="17">
      <formula>0</formula>
    </cfRule>
  </conditionalFormatting>
  <conditionalFormatting sqref="D95:AQ95">
    <cfRule type="cellIs" priority="70" operator="greaterThan" aboveAverage="0" equalAverage="0" bottom="0" percent="0" rank="0" text="" dxfId="17">
      <formula>0</formula>
    </cfRule>
  </conditionalFormatting>
  <conditionalFormatting sqref="D96:AQ96">
    <cfRule type="cellIs" priority="71" operator="greaterThan" aboveAverage="0" equalAverage="0" bottom="0" percent="0" rank="0" text="" dxfId="17">
      <formula>0</formula>
    </cfRule>
  </conditionalFormatting>
  <conditionalFormatting sqref="D97:AQ97">
    <cfRule type="cellIs" priority="72" operator="greaterThan" aboveAverage="0" equalAverage="0" bottom="0" percent="0" rank="0" text="" dxfId="17">
      <formula>0</formula>
    </cfRule>
  </conditionalFormatting>
  <conditionalFormatting sqref="D98:AQ98">
    <cfRule type="cellIs" priority="73" operator="greaterThan" aboveAverage="0" equalAverage="0" bottom="0" percent="0" rank="0" text="" dxfId="17">
      <formula>0</formula>
    </cfRule>
  </conditionalFormatting>
  <conditionalFormatting sqref="D99:AQ99">
    <cfRule type="cellIs" priority="74" operator="greaterThan" aboveAverage="0" equalAverage="0" bottom="0" percent="0" rank="0" text="" dxfId="17">
      <formula>0</formula>
    </cfRule>
  </conditionalFormatting>
  <conditionalFormatting sqref="D100:AQ100">
    <cfRule type="cellIs" priority="75" operator="greaterThan" aboveAverage="0" equalAverage="0" bottom="0" percent="0" rank="0" text="" dxfId="17">
      <formula>0</formula>
    </cfRule>
  </conditionalFormatting>
  <conditionalFormatting sqref="D101:AQ101">
    <cfRule type="cellIs" priority="76" operator="greaterThan" aboveAverage="0" equalAverage="0" bottom="0" percent="0" rank="0" text="" dxfId="17">
      <formula>0</formula>
    </cfRule>
  </conditionalFormatting>
  <conditionalFormatting sqref="D102:AQ102">
    <cfRule type="cellIs" priority="77" operator="greaterThan" aboveAverage="0" equalAverage="0" bottom="0" percent="0" rank="0" text="" dxfId="17">
      <formula>0</formula>
    </cfRule>
  </conditionalFormatting>
  <conditionalFormatting sqref="D103:AQ103">
    <cfRule type="cellIs" priority="78" operator="greaterThan" aboveAverage="0" equalAverage="0" bottom="0" percent="0" rank="0" text="" dxfId="17">
      <formula>0</formula>
    </cfRule>
  </conditionalFormatting>
  <conditionalFormatting sqref="D108:AQ109">
    <cfRule type="cellIs" priority="79" operator="greaterThan" aboveAverage="0" equalAverage="0" bottom="0" percent="0" rank="0" text="" dxfId="18">
      <formula>0</formula>
    </cfRule>
  </conditionalFormatting>
  <conditionalFormatting sqref="D112:AQ113">
    <cfRule type="cellIs" priority="80" operator="greaterThan" aboveAverage="0" equalAverage="0" bottom="0" percent="0" rank="0" text="" dxfId="18">
      <formula>0</formula>
    </cfRule>
  </conditionalFormatting>
  <conditionalFormatting sqref="D116:AQ117">
    <cfRule type="cellIs" priority="81" operator="greaterThan" aboveAverage="0" equalAverage="0" bottom="0" percent="0" rank="0" text="" dxfId="18">
      <formula>0</formula>
    </cfRule>
  </conditionalFormatting>
  <conditionalFormatting sqref="D120:AQ121">
    <cfRule type="cellIs" priority="82" operator="greaterThan" aboveAverage="0" equalAverage="0" bottom="0" percent="0" rank="0" text="" dxfId="18">
      <formula>0</formula>
    </cfRule>
  </conditionalFormatting>
  <conditionalFormatting sqref="D124:AQ125">
    <cfRule type="cellIs" priority="83" operator="greaterThan" aboveAverage="0" equalAverage="0" bottom="0" percent="0" rank="0" text="" dxfId="18">
      <formula>0</formula>
    </cfRule>
  </conditionalFormatting>
  <conditionalFormatting sqref="D128:AQ129">
    <cfRule type="cellIs" priority="84" operator="greaterThan" aboveAverage="0" equalAverage="0" bottom="0" percent="0" rank="0" text="" dxfId="18">
      <formula>0</formula>
    </cfRule>
  </conditionalFormatting>
  <conditionalFormatting sqref="D132:AQ133">
    <cfRule type="cellIs" priority="85" operator="greaterThan" aboveAverage="0" equalAverage="0" bottom="0" percent="0" rank="0" text="" dxfId="18">
      <formula>0</formula>
    </cfRule>
  </conditionalFormatting>
  <conditionalFormatting sqref="D136:AQ137">
    <cfRule type="cellIs" priority="86" operator="greaterThan" aboveAverage="0" equalAverage="0" bottom="0" percent="0" rank="0" text="" dxfId="18">
      <formula>0</formula>
    </cfRule>
  </conditionalFormatting>
  <conditionalFormatting sqref="D140:AQ141">
    <cfRule type="cellIs" priority="87" operator="greaterThan" aboveAverage="0" equalAverage="0" bottom="0" percent="0" rank="0" text="" dxfId="18">
      <formula>0</formula>
    </cfRule>
  </conditionalFormatting>
  <conditionalFormatting sqref="D144:AQ145">
    <cfRule type="cellIs" priority="88" operator="greaterThan" aboveAverage="0" equalAverage="0" bottom="0" percent="0" rank="0" text="" dxfId="18">
      <formula>0</formula>
    </cfRule>
  </conditionalFormatting>
  <conditionalFormatting sqref="D148:AQ149">
    <cfRule type="cellIs" priority="89" operator="greaterThan" aboveAverage="0" equalAverage="0" bottom="0" percent="0" rank="0" text="" dxfId="18">
      <formula>0</formula>
    </cfRule>
  </conditionalFormatting>
  <conditionalFormatting sqref="D152:AQ153">
    <cfRule type="cellIs" priority="90" operator="greaterThan" aboveAverage="0" equalAverage="0" bottom="0" percent="0" rank="0" text="" dxfId="18">
      <formula>0</formula>
    </cfRule>
  </conditionalFormatting>
  <conditionalFormatting sqref="D156:AQ157">
    <cfRule type="cellIs" priority="91" operator="greaterThan" aboveAverage="0" equalAverage="0" bottom="0" percent="0" rank="0" text="" dxfId="18">
      <formula>0</formula>
    </cfRule>
  </conditionalFormatting>
  <conditionalFormatting sqref="D160:AQ161">
    <cfRule type="cellIs" priority="92" operator="greaterThan" aboveAverage="0" equalAverage="0" bottom="0" percent="0" rank="0" text="" dxfId="18">
      <formula>0</formula>
    </cfRule>
  </conditionalFormatting>
  <conditionalFormatting sqref="D164:AQ165">
    <cfRule type="cellIs" priority="93" operator="greaterThan" aboveAverage="0" equalAverage="0" bottom="0" percent="0" rank="0" text="" dxfId="18">
      <formula>0</formula>
    </cfRule>
  </conditionalFormatting>
  <conditionalFormatting sqref="D168:AQ169">
    <cfRule type="cellIs" priority="94" operator="greaterThan" aboveAverage="0" equalAverage="0" bottom="0" percent="0" rank="0" text="" dxfId="18">
      <formula>0</formula>
    </cfRule>
  </conditionalFormatting>
  <conditionalFormatting sqref="D172:AQ173">
    <cfRule type="cellIs" priority="95" operator="greaterThan" aboveAverage="0" equalAverage="0" bottom="0" percent="0" rank="0" text="" dxfId="18">
      <formula>0</formula>
    </cfRule>
  </conditionalFormatting>
  <conditionalFormatting sqref="D176:AQ177">
    <cfRule type="cellIs" priority="96" operator="greaterThan" aboveAverage="0" equalAverage="0" bottom="0" percent="0" rank="0" text="" dxfId="18">
      <formula>0</formula>
    </cfRule>
  </conditionalFormatting>
  <conditionalFormatting sqref="D180:AQ181">
    <cfRule type="cellIs" priority="97" operator="greaterThan" aboveAverage="0" equalAverage="0" bottom="0" percent="0" rank="0" text="" dxfId="18">
      <formula>0</formula>
    </cfRule>
  </conditionalFormatting>
  <conditionalFormatting sqref="D184:AQ185">
    <cfRule type="cellIs" priority="98" operator="greaterThan" aboveAverage="0" equalAverage="0" bottom="0" percent="0" rank="0" text="" dxfId="18">
      <formula>0</formula>
    </cfRule>
  </conditionalFormatting>
  <conditionalFormatting sqref="D188:AQ189">
    <cfRule type="cellIs" priority="99" operator="greaterThan" aboveAverage="0" equalAverage="0" bottom="0" percent="0" rank="0" text="" dxfId="18">
      <formula>0</formula>
    </cfRule>
  </conditionalFormatting>
  <conditionalFormatting sqref="D192:AQ193">
    <cfRule type="cellIs" priority="100" operator="greaterThan" aboveAverage="0" equalAverage="0" bottom="0" percent="0" rank="0" text="" dxfId="18">
      <formula>0</formula>
    </cfRule>
  </conditionalFormatting>
  <conditionalFormatting sqref="D196:AQ197">
    <cfRule type="cellIs" priority="101" operator="greaterThan" aboveAverage="0" equalAverage="0" bottom="0" percent="0" rank="0" text="" dxfId="18">
      <formula>0</formula>
    </cfRule>
  </conditionalFormatting>
  <conditionalFormatting sqref="D200:AQ201">
    <cfRule type="cellIs" priority="102" operator="greaterThan" aboveAverage="0" equalAverage="0" bottom="0" percent="0" rank="0" text="" dxfId="18">
      <formula>0</formula>
    </cfRule>
  </conditionalFormatting>
  <conditionalFormatting sqref="C205:C210">
    <cfRule type="cellIs" priority="103" operator="equal" aboveAverage="0" equalAverage="0" bottom="0" percent="0" rank="0" text="" dxfId="8">
      <formula>"ERROR"</formula>
    </cfRule>
    <cfRule type="cellIs" priority="104" operator="equal" aboveAverage="0" equalAverage="0" bottom="0" percent="0" rank="0" text="" dxfId="9">
      <formula>"OK"</formula>
    </cfRule>
    <cfRule type="cellIs" priority="105" operator="equal" aboveAverage="0" equalAverage="0" bottom="0" percent="0" rank="0" text="" dxfId="10">
      <formula>"Off"</formula>
    </cfRule>
    <cfRule type="cellIs" priority="106" operator="equal" aboveAverage="0" equalAverage="0" bottom="0" percent="0" rank="0" text="" dxfId="10">
      <formula>"Unused"</formula>
    </cfRule>
    <cfRule type="cellIs" priority="107" operator="equal" aboveAverage="0" equalAverage="0" bottom="0" percent="0" rank="0" text="" dxfId="10">
      <formula>"Excluded"</formula>
    </cfRule>
  </conditionalFormatting>
  <conditionalFormatting sqref="C3">
    <cfRule type="cellIs" priority="108" operator="equal" aboveAverage="0" equalAverage="0" bottom="0" percent="0" rank="0" text="" dxfId="8">
      <formula>"ERROR"</formula>
    </cfRule>
    <cfRule type="cellIs" priority="109" operator="equal" aboveAverage="0" equalAverage="0" bottom="0" percent="0" rank="0" text="" dxfId="9">
      <formula>"OK"</formula>
    </cfRule>
    <cfRule type="cellIs" priority="110" operator="equal" aboveAverage="0" equalAverage="0" bottom="0" percent="0" rank="0" text="" dxfId="10">
      <formula>"Off"</formula>
    </cfRule>
    <cfRule type="cellIs" priority="111" operator="equal" aboveAverage="0" equalAverage="0" bottom="0" percent="0" rank="0" text="" dxfId="10">
      <formula>"Unused"</formula>
    </cfRule>
    <cfRule type="cellIs" priority="112" operator="equal" aboveAverage="0" equalAverage="0" bottom="0" percent="0" rank="0" text="" dxfId="10">
      <formula>"Excluded"</formula>
    </cfRule>
  </conditionalFormatting>
  <conditionalFormatting sqref="C40">
    <cfRule type="cellIs" priority="113" operator="equal" aboveAverage="0" equalAverage="0" bottom="0" percent="0" rank="0" text="" dxfId="8">
      <formula>"ERROR"</formula>
    </cfRule>
    <cfRule type="cellIs" priority="114" operator="equal" aboveAverage="0" equalAverage="0" bottom="0" percent="0" rank="0" text="" dxfId="9">
      <formula>"OK"</formula>
    </cfRule>
    <cfRule type="cellIs" priority="115" operator="equal" aboveAverage="0" equalAverage="0" bottom="0" percent="0" rank="0" text="" dxfId="10">
      <formula>"Off"</formula>
    </cfRule>
    <cfRule type="cellIs" priority="116" operator="equal" aboveAverage="0" equalAverage="0" bottom="0" percent="0" rank="0" text="" dxfId="10">
      <formula>"Unused"</formula>
    </cfRule>
    <cfRule type="cellIs" priority="117" operator="equal" aboveAverage="0" equalAverage="0" bottom="0" percent="0" rank="0" text="" dxfId="10">
      <formula>"Excluded"</formula>
    </cfRule>
  </conditionalFormatting>
  <conditionalFormatting sqref="C47">
    <cfRule type="cellIs" priority="118" operator="equal" aboveAverage="0" equalAverage="0" bottom="0" percent="0" rank="0" text="" dxfId="8">
      <formula>"ERROR"</formula>
    </cfRule>
    <cfRule type="cellIs" priority="119" operator="equal" aboveAverage="0" equalAverage="0" bottom="0" percent="0" rank="0" text="" dxfId="9">
      <formula>"OK"</formula>
    </cfRule>
    <cfRule type="cellIs" priority="120" operator="equal" aboveAverage="0" equalAverage="0" bottom="0" percent="0" rank="0" text="" dxfId="10">
      <formula>"Off"</formula>
    </cfRule>
    <cfRule type="cellIs" priority="121" operator="equal" aboveAverage="0" equalAverage="0" bottom="0" percent="0" rank="0" text="" dxfId="10">
      <formula>"Unused"</formula>
    </cfRule>
    <cfRule type="cellIs" priority="122" operator="equal" aboveAverage="0" equalAverage="0" bottom="0" percent="0" rank="0" text="" dxfId="10">
      <formula>"Excluded"</formula>
    </cfRule>
  </conditionalFormatting>
  <conditionalFormatting sqref="C54">
    <cfRule type="cellIs" priority="123" operator="equal" aboveAverage="0" equalAverage="0" bottom="0" percent="0" rank="0" text="" dxfId="8">
      <formula>"ERROR"</formula>
    </cfRule>
    <cfRule type="cellIs" priority="124" operator="equal" aboveAverage="0" equalAverage="0" bottom="0" percent="0" rank="0" text="" dxfId="9">
      <formula>"OK"</formula>
    </cfRule>
    <cfRule type="cellIs" priority="125" operator="equal" aboveAverage="0" equalAverage="0" bottom="0" percent="0" rank="0" text="" dxfId="10">
      <formula>"Off"</formula>
    </cfRule>
    <cfRule type="cellIs" priority="126" operator="equal" aboveAverage="0" equalAverage="0" bottom="0" percent="0" rank="0" text="" dxfId="10">
      <formula>"Unused"</formula>
    </cfRule>
    <cfRule type="cellIs" priority="127" operator="equal" aboveAverage="0" equalAverage="0" bottom="0" percent="0" rank="0" text="" dxfId="10">
      <formula>"Excluded"</formula>
    </cfRule>
  </conditionalFormatting>
  <conditionalFormatting sqref="C61">
    <cfRule type="cellIs" priority="128" operator="equal" aboveAverage="0" equalAverage="0" bottom="0" percent="0" rank="0" text="" dxfId="8">
      <formula>"ERROR"</formula>
    </cfRule>
    <cfRule type="cellIs" priority="129" operator="equal" aboveAverage="0" equalAverage="0" bottom="0" percent="0" rank="0" text="" dxfId="9">
      <formula>"OK"</formula>
    </cfRule>
    <cfRule type="cellIs" priority="130" operator="equal" aboveAverage="0" equalAverage="0" bottom="0" percent="0" rank="0" text="" dxfId="10">
      <formula>"Off"</formula>
    </cfRule>
    <cfRule type="cellIs" priority="131" operator="equal" aboveAverage="0" equalAverage="0" bottom="0" percent="0" rank="0" text="" dxfId="10">
      <formula>"Unused"</formula>
    </cfRule>
    <cfRule type="cellIs" priority="132" operator="equal" aboveAverage="0" equalAverage="0" bottom="0" percent="0" rank="0" text="" dxfId="10">
      <formula>"Excluded"</formula>
    </cfRule>
  </conditionalFormatting>
  <conditionalFormatting sqref="C68">
    <cfRule type="cellIs" priority="133" operator="equal" aboveAverage="0" equalAverage="0" bottom="0" percent="0" rank="0" text="" dxfId="8">
      <formula>"ERROR"</formula>
    </cfRule>
    <cfRule type="cellIs" priority="134" operator="equal" aboveAverage="0" equalAverage="0" bottom="0" percent="0" rank="0" text="" dxfId="9">
      <formula>"OK"</formula>
    </cfRule>
    <cfRule type="cellIs" priority="135" operator="equal" aboveAverage="0" equalAverage="0" bottom="0" percent="0" rank="0" text="" dxfId="10">
      <formula>"Off"</formula>
    </cfRule>
    <cfRule type="cellIs" priority="136" operator="equal" aboveAverage="0" equalAverage="0" bottom="0" percent="0" rank="0" text="" dxfId="10">
      <formula>"Unused"</formula>
    </cfRule>
    <cfRule type="cellIs" priority="137" operator="equal" aboveAverage="0" equalAverage="0" bottom="0" percent="0" rank="0" text="" dxfId="10">
      <formula>"Excluded"</formula>
    </cfRule>
  </conditionalFormatting>
  <conditionalFormatting sqref="C75">
    <cfRule type="cellIs" priority="138" operator="equal" aboveAverage="0" equalAverage="0" bottom="0" percent="0" rank="0" text="" dxfId="8">
      <formula>"ERROR"</formula>
    </cfRule>
    <cfRule type="cellIs" priority="139" operator="equal" aboveAverage="0" equalAverage="0" bottom="0" percent="0" rank="0" text="" dxfId="9">
      <formula>"OK"</formula>
    </cfRule>
    <cfRule type="cellIs" priority="140" operator="equal" aboveAverage="0" equalAverage="0" bottom="0" percent="0" rank="0" text="" dxfId="10">
      <formula>"Off"</formula>
    </cfRule>
    <cfRule type="cellIs" priority="141" operator="equal" aboveAverage="0" equalAverage="0" bottom="0" percent="0" rank="0" text="" dxfId="10">
      <formula>"Unused"</formula>
    </cfRule>
    <cfRule type="cellIs" priority="142" operator="equal" aboveAverage="0" equalAverage="0" bottom="0" percent="0" rank="0" text="" dxfId="10">
      <formula>"Excluded"</formula>
    </cfRule>
  </conditionalFormatting>
  <conditionalFormatting sqref="C82">
    <cfRule type="cellIs" priority="143" operator="equal" aboveAverage="0" equalAverage="0" bottom="0" percent="0" rank="0" text="" dxfId="8">
      <formula>"ERROR"</formula>
    </cfRule>
    <cfRule type="cellIs" priority="144" operator="equal" aboveAverage="0" equalAverage="0" bottom="0" percent="0" rank="0" text="" dxfId="9">
      <formula>"OK"</formula>
    </cfRule>
    <cfRule type="cellIs" priority="145" operator="equal" aboveAverage="0" equalAverage="0" bottom="0" percent="0" rank="0" text="" dxfId="10">
      <formula>"Off"</formula>
    </cfRule>
    <cfRule type="cellIs" priority="146" operator="equal" aboveAverage="0" equalAverage="0" bottom="0" percent="0" rank="0" text="" dxfId="10">
      <formula>"Unused"</formula>
    </cfRule>
    <cfRule type="cellIs" priority="147" operator="equal" aboveAverage="0" equalAverage="0" bottom="0" percent="0" rank="0" text="" dxfId="10">
      <formula>"Excluded"</formula>
    </cfRule>
  </conditionalFormatting>
  <conditionalFormatting sqref="C89">
    <cfRule type="cellIs" priority="148" operator="equal" aboveAverage="0" equalAverage="0" bottom="0" percent="0" rank="0" text="" dxfId="8">
      <formula>"ERROR"</formula>
    </cfRule>
    <cfRule type="cellIs" priority="149" operator="equal" aboveAverage="0" equalAverage="0" bottom="0" percent="0" rank="0" text="" dxfId="9">
      <formula>"OK"</formula>
    </cfRule>
    <cfRule type="cellIs" priority="150" operator="equal" aboveAverage="0" equalAverage="0" bottom="0" percent="0" rank="0" text="" dxfId="10">
      <formula>"Off"</formula>
    </cfRule>
    <cfRule type="cellIs" priority="151" operator="equal" aboveAverage="0" equalAverage="0" bottom="0" percent="0" rank="0" text="" dxfId="10">
      <formula>"Unused"</formula>
    </cfRule>
    <cfRule type="cellIs" priority="152" operator="equal" aboveAverage="0" equalAverage="0" bottom="0" percent="0" rank="0" text="" dxfId="10">
      <formula>"Excluded"</formula>
    </cfRule>
  </conditionalFormatting>
  <conditionalFormatting sqref="C96">
    <cfRule type="cellIs" priority="153" operator="equal" aboveAverage="0" equalAverage="0" bottom="0" percent="0" rank="0" text="" dxfId="8">
      <formula>"ERROR"</formula>
    </cfRule>
    <cfRule type="cellIs" priority="154" operator="equal" aboveAverage="0" equalAverage="0" bottom="0" percent="0" rank="0" text="" dxfId="9">
      <formula>"OK"</formula>
    </cfRule>
    <cfRule type="cellIs" priority="155" operator="equal" aboveAverage="0" equalAverage="0" bottom="0" percent="0" rank="0" text="" dxfId="10">
      <formula>"Off"</formula>
    </cfRule>
    <cfRule type="cellIs" priority="156" operator="equal" aboveAverage="0" equalAverage="0" bottom="0" percent="0" rank="0" text="" dxfId="10">
      <formula>"Unused"</formula>
    </cfRule>
    <cfRule type="cellIs" priority="157" operator="equal" aboveAverage="0" equalAverage="0" bottom="0" percent="0" rank="0" text="" dxfId="10">
      <formula>"Excluded"</formula>
    </cfRule>
  </conditionalFormatting>
  <conditionalFormatting sqref="C103">
    <cfRule type="cellIs" priority="158" operator="equal" aboveAverage="0" equalAverage="0" bottom="0" percent="0" rank="0" text="" dxfId="8">
      <formula>"ERROR"</formula>
    </cfRule>
    <cfRule type="cellIs" priority="159" operator="equal" aboveAverage="0" equalAverage="0" bottom="0" percent="0" rank="0" text="" dxfId="9">
      <formula>"OK"</formula>
    </cfRule>
    <cfRule type="cellIs" priority="160" operator="equal" aboveAverage="0" equalAverage="0" bottom="0" percent="0" rank="0" text="" dxfId="10">
      <formula>"Off"</formula>
    </cfRule>
    <cfRule type="cellIs" priority="161" operator="equal" aboveAverage="0" equalAverage="0" bottom="0" percent="0" rank="0" text="" dxfId="10">
      <formula>"Unused"</formula>
    </cfRule>
    <cfRule type="cellIs" priority="162" operator="equal" aboveAverage="0" equalAverage="0" bottom="0" percent="0" rank="0" text="" dxfId="10">
      <formula>"Excluded"</formula>
    </cfRule>
  </conditionalFormatting>
  <conditionalFormatting sqref="C110">
    <cfRule type="cellIs" priority="163" operator="equal" aboveAverage="0" equalAverage="0" bottom="0" percent="0" rank="0" text="" dxfId="8">
      <formula>"ERROR"</formula>
    </cfRule>
    <cfRule type="cellIs" priority="164" operator="equal" aboveAverage="0" equalAverage="0" bottom="0" percent="0" rank="0" text="" dxfId="9">
      <formula>"OK"</formula>
    </cfRule>
    <cfRule type="cellIs" priority="165" operator="equal" aboveAverage="0" equalAverage="0" bottom="0" percent="0" rank="0" text="" dxfId="10">
      <formula>"Off"</formula>
    </cfRule>
    <cfRule type="cellIs" priority="166" operator="equal" aboveAverage="0" equalAverage="0" bottom="0" percent="0" rank="0" text="" dxfId="10">
      <formula>"Unused"</formula>
    </cfRule>
    <cfRule type="cellIs" priority="167" operator="equal" aboveAverage="0" equalAverage="0" bottom="0" percent="0" rank="0" text="" dxfId="10">
      <formula>"Excluded"</formula>
    </cfRule>
  </conditionalFormatting>
  <conditionalFormatting sqref="C114">
    <cfRule type="cellIs" priority="168" operator="equal" aboveAverage="0" equalAverage="0" bottom="0" percent="0" rank="0" text="" dxfId="8">
      <formula>"ERROR"</formula>
    </cfRule>
    <cfRule type="cellIs" priority="169" operator="equal" aboveAverage="0" equalAverage="0" bottom="0" percent="0" rank="0" text="" dxfId="9">
      <formula>"OK"</formula>
    </cfRule>
    <cfRule type="cellIs" priority="170" operator="equal" aboveAverage="0" equalAverage="0" bottom="0" percent="0" rank="0" text="" dxfId="10">
      <formula>"Off"</formula>
    </cfRule>
    <cfRule type="cellIs" priority="171" operator="equal" aboveAverage="0" equalAverage="0" bottom="0" percent="0" rank="0" text="" dxfId="10">
      <formula>"Unused"</formula>
    </cfRule>
    <cfRule type="cellIs" priority="172" operator="equal" aboveAverage="0" equalAverage="0" bottom="0" percent="0" rank="0" text="" dxfId="10">
      <formula>"Excluded"</formula>
    </cfRule>
  </conditionalFormatting>
  <conditionalFormatting sqref="C118">
    <cfRule type="cellIs" priority="173" operator="equal" aboveAverage="0" equalAverage="0" bottom="0" percent="0" rank="0" text="" dxfId="8">
      <formula>"ERROR"</formula>
    </cfRule>
    <cfRule type="cellIs" priority="174" operator="equal" aboveAverage="0" equalAverage="0" bottom="0" percent="0" rank="0" text="" dxfId="9">
      <formula>"OK"</formula>
    </cfRule>
    <cfRule type="cellIs" priority="175" operator="equal" aboveAverage="0" equalAverage="0" bottom="0" percent="0" rank="0" text="" dxfId="10">
      <formula>"Off"</formula>
    </cfRule>
    <cfRule type="cellIs" priority="176" operator="equal" aboveAverage="0" equalAverage="0" bottom="0" percent="0" rank="0" text="" dxfId="10">
      <formula>"Unused"</formula>
    </cfRule>
    <cfRule type="cellIs" priority="177" operator="equal" aboveAverage="0" equalAverage="0" bottom="0" percent="0" rank="0" text="" dxfId="10">
      <formula>"Excluded"</formula>
    </cfRule>
  </conditionalFormatting>
  <conditionalFormatting sqref="C122">
    <cfRule type="cellIs" priority="178" operator="equal" aboveAverage="0" equalAverage="0" bottom="0" percent="0" rank="0" text="" dxfId="8">
      <formula>"ERROR"</formula>
    </cfRule>
    <cfRule type="cellIs" priority="179" operator="equal" aboveAverage="0" equalAverage="0" bottom="0" percent="0" rank="0" text="" dxfId="9">
      <formula>"OK"</formula>
    </cfRule>
    <cfRule type="cellIs" priority="180" operator="equal" aboveAverage="0" equalAverage="0" bottom="0" percent="0" rank="0" text="" dxfId="10">
      <formula>"Off"</formula>
    </cfRule>
    <cfRule type="cellIs" priority="181" operator="equal" aboveAverage="0" equalAverage="0" bottom="0" percent="0" rank="0" text="" dxfId="10">
      <formula>"Unused"</formula>
    </cfRule>
    <cfRule type="cellIs" priority="182" operator="equal" aboveAverage="0" equalAverage="0" bottom="0" percent="0" rank="0" text="" dxfId="10">
      <formula>"Excluded"</formula>
    </cfRule>
  </conditionalFormatting>
  <conditionalFormatting sqref="C126">
    <cfRule type="cellIs" priority="183" operator="equal" aboveAverage="0" equalAverage="0" bottom="0" percent="0" rank="0" text="" dxfId="8">
      <formula>"ERROR"</formula>
    </cfRule>
    <cfRule type="cellIs" priority="184" operator="equal" aboveAverage="0" equalAverage="0" bottom="0" percent="0" rank="0" text="" dxfId="9">
      <formula>"OK"</formula>
    </cfRule>
    <cfRule type="cellIs" priority="185" operator="equal" aboveAverage="0" equalAverage="0" bottom="0" percent="0" rank="0" text="" dxfId="10">
      <formula>"Off"</formula>
    </cfRule>
    <cfRule type="cellIs" priority="186" operator="equal" aboveAverage="0" equalAverage="0" bottom="0" percent="0" rank="0" text="" dxfId="10">
      <formula>"Unused"</formula>
    </cfRule>
    <cfRule type="cellIs" priority="187" operator="equal" aboveAverage="0" equalAverage="0" bottom="0" percent="0" rank="0" text="" dxfId="10">
      <formula>"Excluded"</formula>
    </cfRule>
  </conditionalFormatting>
  <conditionalFormatting sqref="C130">
    <cfRule type="cellIs" priority="188" operator="equal" aboveAverage="0" equalAverage="0" bottom="0" percent="0" rank="0" text="" dxfId="8">
      <formula>"ERROR"</formula>
    </cfRule>
    <cfRule type="cellIs" priority="189" operator="equal" aboveAverage="0" equalAverage="0" bottom="0" percent="0" rank="0" text="" dxfId="9">
      <formula>"OK"</formula>
    </cfRule>
    <cfRule type="cellIs" priority="190" operator="equal" aboveAverage="0" equalAverage="0" bottom="0" percent="0" rank="0" text="" dxfId="10">
      <formula>"Off"</formula>
    </cfRule>
    <cfRule type="cellIs" priority="191" operator="equal" aboveAverage="0" equalAverage="0" bottom="0" percent="0" rank="0" text="" dxfId="10">
      <formula>"Unused"</formula>
    </cfRule>
    <cfRule type="cellIs" priority="192" operator="equal" aboveAverage="0" equalAverage="0" bottom="0" percent="0" rank="0" text="" dxfId="10">
      <formula>"Excluded"</formula>
    </cfRule>
  </conditionalFormatting>
  <conditionalFormatting sqref="C134">
    <cfRule type="cellIs" priority="193" operator="equal" aboveAverage="0" equalAverage="0" bottom="0" percent="0" rank="0" text="" dxfId="8">
      <formula>"ERROR"</formula>
    </cfRule>
    <cfRule type="cellIs" priority="194" operator="equal" aboveAverage="0" equalAverage="0" bottom="0" percent="0" rank="0" text="" dxfId="9">
      <formula>"OK"</formula>
    </cfRule>
    <cfRule type="cellIs" priority="195" operator="equal" aboveAverage="0" equalAverage="0" bottom="0" percent="0" rank="0" text="" dxfId="10">
      <formula>"Off"</formula>
    </cfRule>
    <cfRule type="cellIs" priority="196" operator="equal" aboveAverage="0" equalAverage="0" bottom="0" percent="0" rank="0" text="" dxfId="10">
      <formula>"Unused"</formula>
    </cfRule>
    <cfRule type="cellIs" priority="197" operator="equal" aboveAverage="0" equalAverage="0" bottom="0" percent="0" rank="0" text="" dxfId="10">
      <formula>"Excluded"</formula>
    </cfRule>
  </conditionalFormatting>
  <conditionalFormatting sqref="C138">
    <cfRule type="cellIs" priority="198" operator="equal" aboveAverage="0" equalAverage="0" bottom="0" percent="0" rank="0" text="" dxfId="8">
      <formula>"ERROR"</formula>
    </cfRule>
    <cfRule type="cellIs" priority="199" operator="equal" aboveAverage="0" equalAverage="0" bottom="0" percent="0" rank="0" text="" dxfId="9">
      <formula>"OK"</formula>
    </cfRule>
    <cfRule type="cellIs" priority="200" operator="equal" aboveAverage="0" equalAverage="0" bottom="0" percent="0" rank="0" text="" dxfId="10">
      <formula>"Off"</formula>
    </cfRule>
    <cfRule type="cellIs" priority="201" operator="equal" aboveAverage="0" equalAverage="0" bottom="0" percent="0" rank="0" text="" dxfId="10">
      <formula>"Unused"</formula>
    </cfRule>
    <cfRule type="cellIs" priority="202" operator="equal" aboveAverage="0" equalAverage="0" bottom="0" percent="0" rank="0" text="" dxfId="10">
      <formula>"Excluded"</formula>
    </cfRule>
  </conditionalFormatting>
  <conditionalFormatting sqref="C142">
    <cfRule type="cellIs" priority="203" operator="equal" aboveAverage="0" equalAverage="0" bottom="0" percent="0" rank="0" text="" dxfId="8">
      <formula>"ERROR"</formula>
    </cfRule>
    <cfRule type="cellIs" priority="204" operator="equal" aboveAverage="0" equalAverage="0" bottom="0" percent="0" rank="0" text="" dxfId="9">
      <formula>"OK"</formula>
    </cfRule>
    <cfRule type="cellIs" priority="205" operator="equal" aboveAverage="0" equalAverage="0" bottom="0" percent="0" rank="0" text="" dxfId="10">
      <formula>"Off"</formula>
    </cfRule>
    <cfRule type="cellIs" priority="206" operator="equal" aboveAverage="0" equalAverage="0" bottom="0" percent="0" rank="0" text="" dxfId="10">
      <formula>"Unused"</formula>
    </cfRule>
    <cfRule type="cellIs" priority="207" operator="equal" aboveAverage="0" equalAverage="0" bottom="0" percent="0" rank="0" text="" dxfId="10">
      <formula>"Excluded"</formula>
    </cfRule>
  </conditionalFormatting>
  <conditionalFormatting sqref="C146">
    <cfRule type="cellIs" priority="208" operator="equal" aboveAverage="0" equalAverage="0" bottom="0" percent="0" rank="0" text="" dxfId="8">
      <formula>"ERROR"</formula>
    </cfRule>
    <cfRule type="cellIs" priority="209" operator="equal" aboveAverage="0" equalAverage="0" bottom="0" percent="0" rank="0" text="" dxfId="9">
      <formula>"OK"</formula>
    </cfRule>
    <cfRule type="cellIs" priority="210" operator="equal" aboveAverage="0" equalAverage="0" bottom="0" percent="0" rank="0" text="" dxfId="10">
      <formula>"Off"</formula>
    </cfRule>
    <cfRule type="cellIs" priority="211" operator="equal" aboveAverage="0" equalAverage="0" bottom="0" percent="0" rank="0" text="" dxfId="10">
      <formula>"Unused"</formula>
    </cfRule>
    <cfRule type="cellIs" priority="212" operator="equal" aboveAverage="0" equalAverage="0" bottom="0" percent="0" rank="0" text="" dxfId="10">
      <formula>"Excluded"</formula>
    </cfRule>
  </conditionalFormatting>
  <conditionalFormatting sqref="C150">
    <cfRule type="cellIs" priority="213" operator="equal" aboveAverage="0" equalAverage="0" bottom="0" percent="0" rank="0" text="" dxfId="8">
      <formula>"ERROR"</formula>
    </cfRule>
    <cfRule type="cellIs" priority="214" operator="equal" aboveAverage="0" equalAverage="0" bottom="0" percent="0" rank="0" text="" dxfId="9">
      <formula>"OK"</formula>
    </cfRule>
    <cfRule type="cellIs" priority="215" operator="equal" aboveAverage="0" equalAverage="0" bottom="0" percent="0" rank="0" text="" dxfId="10">
      <formula>"Off"</formula>
    </cfRule>
    <cfRule type="cellIs" priority="216" operator="equal" aboveAverage="0" equalAverage="0" bottom="0" percent="0" rank="0" text="" dxfId="10">
      <formula>"Unused"</formula>
    </cfRule>
    <cfRule type="cellIs" priority="217" operator="equal" aboveAverage="0" equalAverage="0" bottom="0" percent="0" rank="0" text="" dxfId="10">
      <formula>"Excluded"</formula>
    </cfRule>
  </conditionalFormatting>
  <conditionalFormatting sqref="C154">
    <cfRule type="cellIs" priority="218" operator="equal" aboveAverage="0" equalAverage="0" bottom="0" percent="0" rank="0" text="" dxfId="8">
      <formula>"ERROR"</formula>
    </cfRule>
    <cfRule type="cellIs" priority="219" operator="equal" aboveAverage="0" equalAverage="0" bottom="0" percent="0" rank="0" text="" dxfId="9">
      <formula>"OK"</formula>
    </cfRule>
    <cfRule type="cellIs" priority="220" operator="equal" aboveAverage="0" equalAverage="0" bottom="0" percent="0" rank="0" text="" dxfId="10">
      <formula>"Off"</formula>
    </cfRule>
    <cfRule type="cellIs" priority="221" operator="equal" aboveAverage="0" equalAverage="0" bottom="0" percent="0" rank="0" text="" dxfId="10">
      <formula>"Unused"</formula>
    </cfRule>
    <cfRule type="cellIs" priority="222" operator="equal" aboveAverage="0" equalAverage="0" bottom="0" percent="0" rank="0" text="" dxfId="10">
      <formula>"Excluded"</formula>
    </cfRule>
  </conditionalFormatting>
  <conditionalFormatting sqref="C158">
    <cfRule type="cellIs" priority="223" operator="equal" aboveAverage="0" equalAverage="0" bottom="0" percent="0" rank="0" text="" dxfId="8">
      <formula>"ERROR"</formula>
    </cfRule>
    <cfRule type="cellIs" priority="224" operator="equal" aboveAverage="0" equalAverage="0" bottom="0" percent="0" rank="0" text="" dxfId="9">
      <formula>"OK"</formula>
    </cfRule>
    <cfRule type="cellIs" priority="225" operator="equal" aboveAverage="0" equalAverage="0" bottom="0" percent="0" rank="0" text="" dxfId="10">
      <formula>"Off"</formula>
    </cfRule>
    <cfRule type="cellIs" priority="226" operator="equal" aboveAverage="0" equalAverage="0" bottom="0" percent="0" rank="0" text="" dxfId="10">
      <formula>"Unused"</formula>
    </cfRule>
    <cfRule type="cellIs" priority="227" operator="equal" aboveAverage="0" equalAverage="0" bottom="0" percent="0" rank="0" text="" dxfId="10">
      <formula>"Excluded"</formula>
    </cfRule>
  </conditionalFormatting>
  <conditionalFormatting sqref="C162">
    <cfRule type="cellIs" priority="228" operator="equal" aboveAverage="0" equalAverage="0" bottom="0" percent="0" rank="0" text="" dxfId="8">
      <formula>"ERROR"</formula>
    </cfRule>
    <cfRule type="cellIs" priority="229" operator="equal" aboveAverage="0" equalAverage="0" bottom="0" percent="0" rank="0" text="" dxfId="9">
      <formula>"OK"</formula>
    </cfRule>
    <cfRule type="cellIs" priority="230" operator="equal" aboveAverage="0" equalAverage="0" bottom="0" percent="0" rank="0" text="" dxfId="10">
      <formula>"Off"</formula>
    </cfRule>
    <cfRule type="cellIs" priority="231" operator="equal" aboveAverage="0" equalAverage="0" bottom="0" percent="0" rank="0" text="" dxfId="10">
      <formula>"Unused"</formula>
    </cfRule>
    <cfRule type="cellIs" priority="232" operator="equal" aboveAverage="0" equalAverage="0" bottom="0" percent="0" rank="0" text="" dxfId="10">
      <formula>"Excluded"</formula>
    </cfRule>
  </conditionalFormatting>
  <conditionalFormatting sqref="C166">
    <cfRule type="cellIs" priority="233" operator="equal" aboveAverage="0" equalAverage="0" bottom="0" percent="0" rank="0" text="" dxfId="8">
      <formula>"ERROR"</formula>
    </cfRule>
    <cfRule type="cellIs" priority="234" operator="equal" aboveAverage="0" equalAverage="0" bottom="0" percent="0" rank="0" text="" dxfId="9">
      <formula>"OK"</formula>
    </cfRule>
    <cfRule type="cellIs" priority="235" operator="equal" aboveAverage="0" equalAverage="0" bottom="0" percent="0" rank="0" text="" dxfId="10">
      <formula>"Off"</formula>
    </cfRule>
    <cfRule type="cellIs" priority="236" operator="equal" aboveAverage="0" equalAverage="0" bottom="0" percent="0" rank="0" text="" dxfId="10">
      <formula>"Unused"</formula>
    </cfRule>
    <cfRule type="cellIs" priority="237" operator="equal" aboveAverage="0" equalAverage="0" bottom="0" percent="0" rank="0" text="" dxfId="10">
      <formula>"Excluded"</formula>
    </cfRule>
  </conditionalFormatting>
  <conditionalFormatting sqref="C170">
    <cfRule type="cellIs" priority="238" operator="equal" aboveAverage="0" equalAverage="0" bottom="0" percent="0" rank="0" text="" dxfId="8">
      <formula>"ERROR"</formula>
    </cfRule>
    <cfRule type="cellIs" priority="239" operator="equal" aboveAverage="0" equalAverage="0" bottom="0" percent="0" rank="0" text="" dxfId="9">
      <formula>"OK"</formula>
    </cfRule>
    <cfRule type="cellIs" priority="240" operator="equal" aboveAverage="0" equalAverage="0" bottom="0" percent="0" rank="0" text="" dxfId="10">
      <formula>"Off"</formula>
    </cfRule>
    <cfRule type="cellIs" priority="241" operator="equal" aboveAverage="0" equalAverage="0" bottom="0" percent="0" rank="0" text="" dxfId="10">
      <formula>"Unused"</formula>
    </cfRule>
    <cfRule type="cellIs" priority="242" operator="equal" aboveAverage="0" equalAverage="0" bottom="0" percent="0" rank="0" text="" dxfId="10">
      <formula>"Excluded"</formula>
    </cfRule>
  </conditionalFormatting>
  <conditionalFormatting sqref="C174">
    <cfRule type="cellIs" priority="243" operator="equal" aboveAverage="0" equalAverage="0" bottom="0" percent="0" rank="0" text="" dxfId="8">
      <formula>"ERROR"</formula>
    </cfRule>
    <cfRule type="cellIs" priority="244" operator="equal" aboveAverage="0" equalAverage="0" bottom="0" percent="0" rank="0" text="" dxfId="9">
      <formula>"OK"</formula>
    </cfRule>
    <cfRule type="cellIs" priority="245" operator="equal" aboveAverage="0" equalAverage="0" bottom="0" percent="0" rank="0" text="" dxfId="10">
      <formula>"Off"</formula>
    </cfRule>
    <cfRule type="cellIs" priority="246" operator="equal" aboveAverage="0" equalAverage="0" bottom="0" percent="0" rank="0" text="" dxfId="10">
      <formula>"Unused"</formula>
    </cfRule>
    <cfRule type="cellIs" priority="247" operator="equal" aboveAverage="0" equalAverage="0" bottom="0" percent="0" rank="0" text="" dxfId="10">
      <formula>"Excluded"</formula>
    </cfRule>
  </conditionalFormatting>
  <conditionalFormatting sqref="C178">
    <cfRule type="cellIs" priority="248" operator="equal" aboveAverage="0" equalAverage="0" bottom="0" percent="0" rank="0" text="" dxfId="8">
      <formula>"ERROR"</formula>
    </cfRule>
    <cfRule type="cellIs" priority="249" operator="equal" aboveAverage="0" equalAverage="0" bottom="0" percent="0" rank="0" text="" dxfId="9">
      <formula>"OK"</formula>
    </cfRule>
    <cfRule type="cellIs" priority="250" operator="equal" aboveAverage="0" equalAverage="0" bottom="0" percent="0" rank="0" text="" dxfId="10">
      <formula>"Off"</formula>
    </cfRule>
    <cfRule type="cellIs" priority="251" operator="equal" aboveAverage="0" equalAverage="0" bottom="0" percent="0" rank="0" text="" dxfId="10">
      <formula>"Unused"</formula>
    </cfRule>
    <cfRule type="cellIs" priority="252" operator="equal" aboveAverage="0" equalAverage="0" bottom="0" percent="0" rank="0" text="" dxfId="10">
      <formula>"Excluded"</formula>
    </cfRule>
  </conditionalFormatting>
  <conditionalFormatting sqref="C182">
    <cfRule type="cellIs" priority="253" operator="equal" aboveAverage="0" equalAverage="0" bottom="0" percent="0" rank="0" text="" dxfId="8">
      <formula>"ERROR"</formula>
    </cfRule>
    <cfRule type="cellIs" priority="254" operator="equal" aboveAverage="0" equalAverage="0" bottom="0" percent="0" rank="0" text="" dxfId="9">
      <formula>"OK"</formula>
    </cfRule>
    <cfRule type="cellIs" priority="255" operator="equal" aboveAverage="0" equalAverage="0" bottom="0" percent="0" rank="0" text="" dxfId="10">
      <formula>"Off"</formula>
    </cfRule>
    <cfRule type="cellIs" priority="256" operator="equal" aboveAverage="0" equalAverage="0" bottom="0" percent="0" rank="0" text="" dxfId="10">
      <formula>"Unused"</formula>
    </cfRule>
    <cfRule type="cellIs" priority="257" operator="equal" aboveAverage="0" equalAverage="0" bottom="0" percent="0" rank="0" text="" dxfId="10">
      <formula>"Excluded"</formula>
    </cfRule>
  </conditionalFormatting>
  <conditionalFormatting sqref="C186">
    <cfRule type="cellIs" priority="258" operator="equal" aboveAverage="0" equalAverage="0" bottom="0" percent="0" rank="0" text="" dxfId="8">
      <formula>"ERROR"</formula>
    </cfRule>
    <cfRule type="cellIs" priority="259" operator="equal" aboveAverage="0" equalAverage="0" bottom="0" percent="0" rank="0" text="" dxfId="9">
      <formula>"OK"</formula>
    </cfRule>
    <cfRule type="cellIs" priority="260" operator="equal" aboveAverage="0" equalAverage="0" bottom="0" percent="0" rank="0" text="" dxfId="10">
      <formula>"Off"</formula>
    </cfRule>
    <cfRule type="cellIs" priority="261" operator="equal" aboveAverage="0" equalAverage="0" bottom="0" percent="0" rank="0" text="" dxfId="10">
      <formula>"Unused"</formula>
    </cfRule>
    <cfRule type="cellIs" priority="262" operator="equal" aboveAverage="0" equalAverage="0" bottom="0" percent="0" rank="0" text="" dxfId="10">
      <formula>"Excluded"</formula>
    </cfRule>
  </conditionalFormatting>
  <conditionalFormatting sqref="C190">
    <cfRule type="cellIs" priority="263" operator="equal" aboveAverage="0" equalAverage="0" bottom="0" percent="0" rank="0" text="" dxfId="8">
      <formula>"ERROR"</formula>
    </cfRule>
    <cfRule type="cellIs" priority="264" operator="equal" aboveAverage="0" equalAverage="0" bottom="0" percent="0" rank="0" text="" dxfId="9">
      <formula>"OK"</formula>
    </cfRule>
    <cfRule type="cellIs" priority="265" operator="equal" aboveAverage="0" equalAverage="0" bottom="0" percent="0" rank="0" text="" dxfId="10">
      <formula>"Off"</formula>
    </cfRule>
    <cfRule type="cellIs" priority="266" operator="equal" aboveAverage="0" equalAverage="0" bottom="0" percent="0" rank="0" text="" dxfId="10">
      <formula>"Unused"</formula>
    </cfRule>
    <cfRule type="cellIs" priority="267" operator="equal" aboveAverage="0" equalAverage="0" bottom="0" percent="0" rank="0" text="" dxfId="10">
      <formula>"Excluded"</formula>
    </cfRule>
  </conditionalFormatting>
  <conditionalFormatting sqref="C194">
    <cfRule type="cellIs" priority="268" operator="equal" aboveAverage="0" equalAverage="0" bottom="0" percent="0" rank="0" text="" dxfId="8">
      <formula>"ERROR"</formula>
    </cfRule>
    <cfRule type="cellIs" priority="269" operator="equal" aboveAverage="0" equalAverage="0" bottom="0" percent="0" rank="0" text="" dxfId="9">
      <formula>"OK"</formula>
    </cfRule>
    <cfRule type="cellIs" priority="270" operator="equal" aboveAverage="0" equalAverage="0" bottom="0" percent="0" rank="0" text="" dxfId="10">
      <formula>"Off"</formula>
    </cfRule>
    <cfRule type="cellIs" priority="271" operator="equal" aboveAverage="0" equalAverage="0" bottom="0" percent="0" rank="0" text="" dxfId="10">
      <formula>"Unused"</formula>
    </cfRule>
    <cfRule type="cellIs" priority="272" operator="equal" aboveAverage="0" equalAverage="0" bottom="0" percent="0" rank="0" text="" dxfId="10">
      <formula>"Excluded"</formula>
    </cfRule>
  </conditionalFormatting>
  <conditionalFormatting sqref="C198">
    <cfRule type="cellIs" priority="273" operator="equal" aboveAverage="0" equalAverage="0" bottom="0" percent="0" rank="0" text="" dxfId="8">
      <formula>"ERROR"</formula>
    </cfRule>
    <cfRule type="cellIs" priority="274" operator="equal" aboveAverage="0" equalAverage="0" bottom="0" percent="0" rank="0" text="" dxfId="9">
      <formula>"OK"</formula>
    </cfRule>
    <cfRule type="cellIs" priority="275" operator="equal" aboveAverage="0" equalAverage="0" bottom="0" percent="0" rank="0" text="" dxfId="10">
      <formula>"Off"</formula>
    </cfRule>
    <cfRule type="cellIs" priority="276" operator="equal" aboveAverage="0" equalAverage="0" bottom="0" percent="0" rank="0" text="" dxfId="10">
      <formula>"Unused"</formula>
    </cfRule>
    <cfRule type="cellIs" priority="277" operator="equal" aboveAverage="0" equalAverage="0" bottom="0" percent="0" rank="0" text="" dxfId="10">
      <formula>"Excluded"</formula>
    </cfRule>
  </conditionalFormatting>
  <conditionalFormatting sqref="C202">
    <cfRule type="cellIs" priority="278" operator="equal" aboveAverage="0" equalAverage="0" bottom="0" percent="0" rank="0" text="" dxfId="8">
      <formula>"ERROR"</formula>
    </cfRule>
    <cfRule type="cellIs" priority="279" operator="equal" aboveAverage="0" equalAverage="0" bottom="0" percent="0" rank="0" text="" dxfId="9">
      <formula>"OK"</formula>
    </cfRule>
    <cfRule type="cellIs" priority="280" operator="equal" aboveAverage="0" equalAverage="0" bottom="0" percent="0" rank="0" text="" dxfId="10">
      <formula>"Off"</formula>
    </cfRule>
    <cfRule type="cellIs" priority="281" operator="equal" aboveAverage="0" equalAverage="0" bottom="0" percent="0" rank="0" text="" dxfId="10">
      <formula>"Unused"</formula>
    </cfRule>
    <cfRule type="cellIs" priority="282" operator="equal" aboveAverage="0" equalAverage="0" bottom="0" percent="0" rank="0" text="" dxfId="10">
      <formula>"Excluded"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AQ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3" min="4" style="0" width="9"/>
  </cols>
  <sheetData>
    <row r="2" customFormat="false" ht="19.7" hidden="false" customHeight="false" outlineLevel="0" collapsed="false">
      <c r="B2" s="1" t="s">
        <v>659</v>
      </c>
    </row>
    <row r="3" customFormat="false" ht="15" hidden="false" customHeight="false" outlineLevel="0" collapsed="false">
      <c r="B3" s="2" t="s">
        <v>660</v>
      </c>
      <c r="C3" s="34" t="str">
        <f aca="false">IF(COUNTIF(C186:C192,"ERROR")=0,"OK","ERROR")</f>
        <v>OK</v>
      </c>
    </row>
    <row r="4" customFormat="false" ht="15" hidden="false" customHeight="false" outlineLevel="0" collapsed="false">
      <c r="B4" s="17" t="s">
        <v>661</v>
      </c>
    </row>
    <row r="6" customFormat="false" ht="15" hidden="false" customHeight="false" outlineLevel="0" collapsed="false">
      <c r="B6" s="112" t="s">
        <v>186</v>
      </c>
      <c r="C6" s="102" t="s">
        <v>662</v>
      </c>
      <c r="D6" s="113" t="str">
        <f aca="false">TIMELINE!D8</f>
        <v>Q1</v>
      </c>
      <c r="E6" s="113" t="str">
        <f aca="false">TIMELINE!E8</f>
        <v>Q2</v>
      </c>
      <c r="F6" s="113" t="str">
        <f aca="false">TIMELINE!F8</f>
        <v>Q3</v>
      </c>
      <c r="G6" s="113" t="str">
        <f aca="false">TIMELINE!G8</f>
        <v>Q4</v>
      </c>
      <c r="H6" s="113" t="str">
        <f aca="false">TIMELINE!H8</f>
        <v>Q5</v>
      </c>
      <c r="I6" s="113" t="str">
        <f aca="false">TIMELINE!I8</f>
        <v>Q6</v>
      </c>
      <c r="J6" s="113" t="str">
        <f aca="false">TIMELINE!J8</f>
        <v>Q7</v>
      </c>
      <c r="K6" s="113" t="str">
        <f aca="false">TIMELINE!K8</f>
        <v>Q8</v>
      </c>
      <c r="L6" s="113" t="str">
        <f aca="false">TIMELINE!L8</f>
        <v>Q9</v>
      </c>
      <c r="M6" s="113" t="str">
        <f aca="false">TIMELINE!M8</f>
        <v>Q10</v>
      </c>
      <c r="N6" s="113" t="str">
        <f aca="false">TIMELINE!N8</f>
        <v>Q11</v>
      </c>
      <c r="O6" s="113" t="str">
        <f aca="false">TIMELINE!O8</f>
        <v>Q12</v>
      </c>
      <c r="P6" s="113" t="str">
        <f aca="false">TIMELINE!P8</f>
        <v>Q13</v>
      </c>
      <c r="Q6" s="113" t="str">
        <f aca="false">TIMELINE!Q8</f>
        <v>Q14</v>
      </c>
      <c r="R6" s="113" t="str">
        <f aca="false">TIMELINE!R8</f>
        <v>Q15</v>
      </c>
      <c r="S6" s="113" t="str">
        <f aca="false">TIMELINE!S8</f>
        <v>Q16</v>
      </c>
      <c r="T6" s="113" t="str">
        <f aca="false">TIMELINE!T8</f>
        <v>Q17</v>
      </c>
      <c r="U6" s="113" t="str">
        <f aca="false">TIMELINE!U8</f>
        <v>Q18</v>
      </c>
      <c r="V6" s="113" t="str">
        <f aca="false">TIMELINE!V8</f>
        <v>Q19</v>
      </c>
      <c r="W6" s="113" t="str">
        <f aca="false">TIMELINE!W8</f>
        <v>Q20</v>
      </c>
      <c r="X6" s="113" t="str">
        <f aca="false">TIMELINE!X8</f>
        <v>Q21</v>
      </c>
      <c r="Y6" s="113" t="str">
        <f aca="false">TIMELINE!Y8</f>
        <v>Q22</v>
      </c>
      <c r="Z6" s="113" t="str">
        <f aca="false">TIMELINE!Z8</f>
        <v>Q23</v>
      </c>
      <c r="AA6" s="113" t="str">
        <f aca="false">TIMELINE!AA8</f>
        <v>Q24</v>
      </c>
      <c r="AB6" s="113" t="str">
        <f aca="false">TIMELINE!AB8</f>
        <v>Q25</v>
      </c>
      <c r="AC6" s="113" t="str">
        <f aca="false">TIMELINE!AC8</f>
        <v>Q26</v>
      </c>
      <c r="AD6" s="113" t="str">
        <f aca="false">TIMELINE!AD8</f>
        <v>Q27</v>
      </c>
      <c r="AE6" s="113" t="str">
        <f aca="false">TIMELINE!AE8</f>
        <v>Q28</v>
      </c>
      <c r="AF6" s="113" t="str">
        <f aca="false">TIMELINE!AF8</f>
        <v>Q29</v>
      </c>
      <c r="AG6" s="113" t="str">
        <f aca="false">TIMELINE!AG8</f>
        <v>Q30</v>
      </c>
      <c r="AH6" s="113" t="str">
        <f aca="false">TIMELINE!AH8</f>
        <v>Q31</v>
      </c>
      <c r="AI6" s="113" t="str">
        <f aca="false">TIMELINE!AI8</f>
        <v>Q32</v>
      </c>
      <c r="AJ6" s="113" t="str">
        <f aca="false">TIMELINE!AJ8</f>
        <v>Q33</v>
      </c>
      <c r="AK6" s="113" t="str">
        <f aca="false">TIMELINE!AK8</f>
        <v>Q34</v>
      </c>
      <c r="AL6" s="113" t="str">
        <f aca="false">TIMELINE!AL8</f>
        <v>Q35</v>
      </c>
      <c r="AM6" s="113" t="str">
        <f aca="false">TIMELINE!AM8</f>
        <v>Q36</v>
      </c>
      <c r="AN6" s="113" t="str">
        <f aca="false">TIMELINE!AN8</f>
        <v>Q37</v>
      </c>
      <c r="AO6" s="113" t="str">
        <f aca="false">TIMELINE!AO8</f>
        <v>Q38</v>
      </c>
      <c r="AP6" s="113" t="str">
        <f aca="false">TIMELINE!AP8</f>
        <v>Q39</v>
      </c>
      <c r="AQ6" s="113" t="str">
        <f aca="false">TIMELINE!AQ8</f>
        <v>Q40</v>
      </c>
    </row>
    <row r="7" customFormat="false" ht="15" hidden="false" customHeight="false" outlineLevel="0" collapsed="false">
      <c r="B7" s="17" t="s">
        <v>663</v>
      </c>
      <c r="D7" s="114" t="n">
        <f aca="false">TIMELINE!D9</f>
        <v>46568</v>
      </c>
      <c r="E7" s="114" t="n">
        <f aca="false">TIMELINE!E9</f>
        <v>46660</v>
      </c>
      <c r="F7" s="114" t="n">
        <f aca="false">TIMELINE!F9</f>
        <v>46752</v>
      </c>
      <c r="G7" s="114" t="n">
        <f aca="false">TIMELINE!G9</f>
        <v>46843</v>
      </c>
      <c r="H7" s="114" t="n">
        <f aca="false">TIMELINE!H9</f>
        <v>46934</v>
      </c>
      <c r="I7" s="114" t="n">
        <f aca="false">TIMELINE!I9</f>
        <v>47026</v>
      </c>
      <c r="J7" s="114" t="n">
        <f aca="false">TIMELINE!J9</f>
        <v>47118</v>
      </c>
      <c r="K7" s="114" t="n">
        <f aca="false">TIMELINE!K9</f>
        <v>47208</v>
      </c>
      <c r="L7" s="114" t="n">
        <f aca="false">TIMELINE!L9</f>
        <v>47299</v>
      </c>
      <c r="M7" s="114" t="n">
        <f aca="false">TIMELINE!M9</f>
        <v>47391</v>
      </c>
      <c r="N7" s="114" t="n">
        <f aca="false">TIMELINE!N9</f>
        <v>47483</v>
      </c>
      <c r="O7" s="114" t="n">
        <f aca="false">TIMELINE!O9</f>
        <v>47573</v>
      </c>
      <c r="P7" s="114" t="n">
        <f aca="false">TIMELINE!P9</f>
        <v>47664</v>
      </c>
      <c r="Q7" s="114" t="n">
        <f aca="false">TIMELINE!Q9</f>
        <v>47756</v>
      </c>
      <c r="R7" s="114" t="n">
        <f aca="false">TIMELINE!R9</f>
        <v>47848</v>
      </c>
      <c r="S7" s="114" t="n">
        <f aca="false">TIMELINE!S9</f>
        <v>47938</v>
      </c>
      <c r="T7" s="114" t="n">
        <f aca="false">TIMELINE!T9</f>
        <v>48029</v>
      </c>
      <c r="U7" s="114" t="n">
        <f aca="false">TIMELINE!U9</f>
        <v>48121</v>
      </c>
      <c r="V7" s="114" t="n">
        <f aca="false">TIMELINE!V9</f>
        <v>48213</v>
      </c>
      <c r="W7" s="114" t="n">
        <f aca="false">TIMELINE!W9</f>
        <v>48304</v>
      </c>
      <c r="X7" s="114" t="n">
        <f aca="false">TIMELINE!X9</f>
        <v>48395</v>
      </c>
      <c r="Y7" s="114" t="n">
        <f aca="false">TIMELINE!Y9</f>
        <v>48487</v>
      </c>
      <c r="Z7" s="114" t="n">
        <f aca="false">TIMELINE!Z9</f>
        <v>48579</v>
      </c>
      <c r="AA7" s="114" t="n">
        <f aca="false">TIMELINE!AA9</f>
        <v>48669</v>
      </c>
      <c r="AB7" s="114" t="n">
        <f aca="false">TIMELINE!AB9</f>
        <v>48760</v>
      </c>
      <c r="AC7" s="114" t="n">
        <f aca="false">TIMELINE!AC9</f>
        <v>48852</v>
      </c>
      <c r="AD7" s="114" t="n">
        <f aca="false">TIMELINE!AD9</f>
        <v>48944</v>
      </c>
      <c r="AE7" s="114" t="n">
        <f aca="false">TIMELINE!AE9</f>
        <v>49034</v>
      </c>
      <c r="AF7" s="114" t="n">
        <f aca="false">TIMELINE!AF9</f>
        <v>49125</v>
      </c>
      <c r="AG7" s="114" t="n">
        <f aca="false">TIMELINE!AG9</f>
        <v>49217</v>
      </c>
      <c r="AH7" s="114" t="n">
        <f aca="false">TIMELINE!AH9</f>
        <v>49309</v>
      </c>
      <c r="AI7" s="114" t="n">
        <f aca="false">TIMELINE!AI9</f>
        <v>49399</v>
      </c>
      <c r="AJ7" s="114" t="n">
        <f aca="false">TIMELINE!AJ9</f>
        <v>49490</v>
      </c>
      <c r="AK7" s="114" t="n">
        <f aca="false">TIMELINE!AK9</f>
        <v>49582</v>
      </c>
      <c r="AL7" s="114" t="n">
        <f aca="false">TIMELINE!AL9</f>
        <v>49674</v>
      </c>
      <c r="AM7" s="114" t="n">
        <f aca="false">TIMELINE!AM9</f>
        <v>49765</v>
      </c>
      <c r="AN7" s="114" t="n">
        <f aca="false">TIMELINE!AN9</f>
        <v>49856</v>
      </c>
      <c r="AO7" s="114" t="n">
        <f aca="false">TIMELINE!AO9</f>
        <v>49948</v>
      </c>
      <c r="AP7" s="114" t="n">
        <f aca="false">TIMELINE!AP9</f>
        <v>50040</v>
      </c>
      <c r="AQ7" s="114" t="n">
        <f aca="false">TIMELINE!AQ9</f>
        <v>50130</v>
      </c>
    </row>
    <row r="9" customFormat="false" ht="19.5" hidden="false" customHeight="true" outlineLevel="0" collapsed="false">
      <c r="B9" s="4" t="s">
        <v>664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customFormat="false" ht="15" hidden="false" customHeight="false" outlineLevel="0" collapsed="false">
      <c r="B10" s="3" t="s">
        <v>665</v>
      </c>
      <c r="C10" s="115" t="n">
        <v>12</v>
      </c>
    </row>
    <row r="11" customFormat="false" ht="15" hidden="false" customHeight="false" outlineLevel="0" collapsed="false">
      <c r="B11" s="2" t="s">
        <v>666</v>
      </c>
      <c r="D11" s="101" t="n">
        <v>1</v>
      </c>
      <c r="E11" s="101" t="n">
        <v>2</v>
      </c>
      <c r="F11" s="101" t="n">
        <v>3</v>
      </c>
      <c r="G11" s="101" t="n">
        <v>4</v>
      </c>
      <c r="H11" s="101" t="n">
        <v>5</v>
      </c>
      <c r="I11" s="101" t="n">
        <v>6</v>
      </c>
      <c r="J11" s="101" t="n">
        <v>7</v>
      </c>
      <c r="K11" s="101" t="n">
        <v>8</v>
      </c>
      <c r="L11" s="101" t="n">
        <v>9</v>
      </c>
      <c r="M11" s="101" t="n">
        <v>10</v>
      </c>
      <c r="N11" s="101" t="n">
        <v>11</v>
      </c>
      <c r="O11" s="101" t="n">
        <v>12</v>
      </c>
    </row>
    <row r="12" customFormat="false" ht="15" hidden="false" customHeight="false" outlineLevel="0" collapsed="false">
      <c r="B12" s="3" t="s">
        <v>221</v>
      </c>
      <c r="C12" s="116" t="n">
        <f aca="false">SUM(D12:O12)</f>
        <v>1</v>
      </c>
      <c r="D12" s="44" t="n">
        <f aca="false">IF(OR(D$11=0,$C$10=0),0,IF("Upfront"="Upfront",--(D$11=1),IF("Upfront"="Even",1/$C$10,IF("Upfront"="Front-loaded",($C$10-D$11+1)*2/($C$10*($C$10+1)),IF("Upfront"="Back-loaded",D$11*2/($C$10*($C$10+1)),IF("Upfront"="S-curve",SIN(PI()*(D$11-0.5)/$C$10)*SIN(PI()/(2*$C$10)),0))))))</f>
        <v>1</v>
      </c>
      <c r="E12" s="44" t="n">
        <f aca="false">IF(OR(E$11=0,$C$10=0),0,IF("Upfront"="Upfront",--(E$11=1),IF("Upfront"="Even",1/$C$10,IF("Upfront"="Front-loaded",($C$10-E$11+1)*2/($C$10*($C$10+1)),IF("Upfront"="Back-loaded",E$11*2/($C$10*($C$10+1)),IF("Upfront"="S-curve",SIN(PI()*(E$11-0.5)/$C$10)*SIN(PI()/(2*$C$10)),0))))))</f>
        <v>0</v>
      </c>
      <c r="F12" s="44" t="n">
        <f aca="false">IF(OR(F$11=0,$C$10=0),0,IF("Upfront"="Upfront",--(F$11=1),IF("Upfront"="Even",1/$C$10,IF("Upfront"="Front-loaded",($C$10-F$11+1)*2/($C$10*($C$10+1)),IF("Upfront"="Back-loaded",F$11*2/($C$10*($C$10+1)),IF("Upfront"="S-curve",SIN(PI()*(F$11-0.5)/$C$10)*SIN(PI()/(2*$C$10)),0))))))</f>
        <v>0</v>
      </c>
      <c r="G12" s="44" t="n">
        <f aca="false">IF(OR(G$11=0,$C$10=0),0,IF("Upfront"="Upfront",--(G$11=1),IF("Upfront"="Even",1/$C$10,IF("Upfront"="Front-loaded",($C$10-G$11+1)*2/($C$10*($C$10+1)),IF("Upfront"="Back-loaded",G$11*2/($C$10*($C$10+1)),IF("Upfront"="S-curve",SIN(PI()*(G$11-0.5)/$C$10)*SIN(PI()/(2*$C$10)),0))))))</f>
        <v>0</v>
      </c>
      <c r="H12" s="44" t="n">
        <f aca="false">IF(OR(H$11=0,$C$10=0),0,IF("Upfront"="Upfront",--(H$11=1),IF("Upfront"="Even",1/$C$10,IF("Upfront"="Front-loaded",($C$10-H$11+1)*2/($C$10*($C$10+1)),IF("Upfront"="Back-loaded",H$11*2/($C$10*($C$10+1)),IF("Upfront"="S-curve",SIN(PI()*(H$11-0.5)/$C$10)*SIN(PI()/(2*$C$10)),0))))))</f>
        <v>0</v>
      </c>
      <c r="I12" s="44" t="n">
        <f aca="false">IF(OR(I$11=0,$C$10=0),0,IF("Upfront"="Upfront",--(I$11=1),IF("Upfront"="Even",1/$C$10,IF("Upfront"="Front-loaded",($C$10-I$11+1)*2/($C$10*($C$10+1)),IF("Upfront"="Back-loaded",I$11*2/($C$10*($C$10+1)),IF("Upfront"="S-curve",SIN(PI()*(I$11-0.5)/$C$10)*SIN(PI()/(2*$C$10)),0))))))</f>
        <v>0</v>
      </c>
      <c r="J12" s="44" t="n">
        <f aca="false">IF(OR(J$11=0,$C$10=0),0,IF("Upfront"="Upfront",--(J$11=1),IF("Upfront"="Even",1/$C$10,IF("Upfront"="Front-loaded",($C$10-J$11+1)*2/($C$10*($C$10+1)),IF("Upfront"="Back-loaded",J$11*2/($C$10*($C$10+1)),IF("Upfront"="S-curve",SIN(PI()*(J$11-0.5)/$C$10)*SIN(PI()/(2*$C$10)),0))))))</f>
        <v>0</v>
      </c>
      <c r="K12" s="44" t="n">
        <f aca="false">IF(OR(K$11=0,$C$10=0),0,IF("Upfront"="Upfront",--(K$11=1),IF("Upfront"="Even",1/$C$10,IF("Upfront"="Front-loaded",($C$10-K$11+1)*2/($C$10*($C$10+1)),IF("Upfront"="Back-loaded",K$11*2/($C$10*($C$10+1)),IF("Upfront"="S-curve",SIN(PI()*(K$11-0.5)/$C$10)*SIN(PI()/(2*$C$10)),0))))))</f>
        <v>0</v>
      </c>
      <c r="L12" s="44" t="n">
        <f aca="false">IF(OR(L$11=0,$C$10=0),0,IF("Upfront"="Upfront",--(L$11=1),IF("Upfront"="Even",1/$C$10,IF("Upfront"="Front-loaded",($C$10-L$11+1)*2/($C$10*($C$10+1)),IF("Upfront"="Back-loaded",L$11*2/($C$10*($C$10+1)),IF("Upfront"="S-curve",SIN(PI()*(L$11-0.5)/$C$10)*SIN(PI()/(2*$C$10)),0))))))</f>
        <v>0</v>
      </c>
      <c r="M12" s="44" t="n">
        <f aca="false">IF(OR(M$11=0,$C$10=0),0,IF("Upfront"="Upfront",--(M$11=1),IF("Upfront"="Even",1/$C$10,IF("Upfront"="Front-loaded",($C$10-M$11+1)*2/($C$10*($C$10+1)),IF("Upfront"="Back-loaded",M$11*2/($C$10*($C$10+1)),IF("Upfront"="S-curve",SIN(PI()*(M$11-0.5)/$C$10)*SIN(PI()/(2*$C$10)),0))))))</f>
        <v>0</v>
      </c>
      <c r="N12" s="44" t="n">
        <f aca="false">IF(OR(N$11=0,$C$10=0),0,IF("Upfront"="Upfront",--(N$11=1),IF("Upfront"="Even",1/$C$10,IF("Upfront"="Front-loaded",($C$10-N$11+1)*2/($C$10*($C$10+1)),IF("Upfront"="Back-loaded",N$11*2/($C$10*($C$10+1)),IF("Upfront"="S-curve",SIN(PI()*(N$11-0.5)/$C$10)*SIN(PI()/(2*$C$10)),0))))))</f>
        <v>0</v>
      </c>
      <c r="O12" s="44" t="n">
        <f aca="false">IF(OR(O$11=0,$C$10=0),0,IF("Upfront"="Upfront",--(O$11=1),IF("Upfront"="Even",1/$C$10,IF("Upfront"="Front-loaded",($C$10-O$11+1)*2/($C$10*($C$10+1)),IF("Upfront"="Back-loaded",O$11*2/($C$10*($C$10+1)),IF("Upfront"="S-curve",SIN(PI()*(O$11-0.5)/$C$10)*SIN(PI()/(2*$C$10)),0))))))</f>
        <v>0</v>
      </c>
    </row>
    <row r="13" customFormat="false" ht="15" hidden="false" customHeight="false" outlineLevel="0" collapsed="false">
      <c r="B13" s="3" t="s">
        <v>294</v>
      </c>
      <c r="C13" s="116" t="n">
        <f aca="false">SUM(D13:O13)</f>
        <v>1</v>
      </c>
      <c r="D13" s="44" t="n">
        <f aca="false">IF(OR(D$11=0,$C$10=0),0,IF("Even"="Upfront",--(D$11=1),IF("Even"="Even",1/$C$10,IF("Even"="Front-loaded",($C$10-D$11+1)*2/($C$10*($C$10+1)),IF("Even"="Back-loaded",D$11*2/($C$10*($C$10+1)),IF("Even"="S-curve",SIN(PI()*(D$11-0.5)/$C$10)*SIN(PI()/(2*$C$10)),0))))))</f>
        <v>0.0833333333333333</v>
      </c>
      <c r="E13" s="44" t="n">
        <f aca="false">IF(OR(E$11=0,$C$10=0),0,IF("Even"="Upfront",--(E$11=1),IF("Even"="Even",1/$C$10,IF("Even"="Front-loaded",($C$10-E$11+1)*2/($C$10*($C$10+1)),IF("Even"="Back-loaded",E$11*2/($C$10*($C$10+1)),IF("Even"="S-curve",SIN(PI()*(E$11-0.5)/$C$10)*SIN(PI()/(2*$C$10)),0))))))</f>
        <v>0.0833333333333333</v>
      </c>
      <c r="F13" s="44" t="n">
        <f aca="false">IF(OR(F$11=0,$C$10=0),0,IF("Even"="Upfront",--(F$11=1),IF("Even"="Even",1/$C$10,IF("Even"="Front-loaded",($C$10-F$11+1)*2/($C$10*($C$10+1)),IF("Even"="Back-loaded",F$11*2/($C$10*($C$10+1)),IF("Even"="S-curve",SIN(PI()*(F$11-0.5)/$C$10)*SIN(PI()/(2*$C$10)),0))))))</f>
        <v>0.0833333333333333</v>
      </c>
      <c r="G13" s="44" t="n">
        <f aca="false">IF(OR(G$11=0,$C$10=0),0,IF("Even"="Upfront",--(G$11=1),IF("Even"="Even",1/$C$10,IF("Even"="Front-loaded",($C$10-G$11+1)*2/($C$10*($C$10+1)),IF("Even"="Back-loaded",G$11*2/($C$10*($C$10+1)),IF("Even"="S-curve",SIN(PI()*(G$11-0.5)/$C$10)*SIN(PI()/(2*$C$10)),0))))))</f>
        <v>0.0833333333333333</v>
      </c>
      <c r="H13" s="44" t="n">
        <f aca="false">IF(OR(H$11=0,$C$10=0),0,IF("Even"="Upfront",--(H$11=1),IF("Even"="Even",1/$C$10,IF("Even"="Front-loaded",($C$10-H$11+1)*2/($C$10*($C$10+1)),IF("Even"="Back-loaded",H$11*2/($C$10*($C$10+1)),IF("Even"="S-curve",SIN(PI()*(H$11-0.5)/$C$10)*SIN(PI()/(2*$C$10)),0))))))</f>
        <v>0.0833333333333333</v>
      </c>
      <c r="I13" s="44" t="n">
        <f aca="false">IF(OR(I$11=0,$C$10=0),0,IF("Even"="Upfront",--(I$11=1),IF("Even"="Even",1/$C$10,IF("Even"="Front-loaded",($C$10-I$11+1)*2/($C$10*($C$10+1)),IF("Even"="Back-loaded",I$11*2/($C$10*($C$10+1)),IF("Even"="S-curve",SIN(PI()*(I$11-0.5)/$C$10)*SIN(PI()/(2*$C$10)),0))))))</f>
        <v>0.0833333333333333</v>
      </c>
      <c r="J13" s="44" t="n">
        <f aca="false">IF(OR(J$11=0,$C$10=0),0,IF("Even"="Upfront",--(J$11=1),IF("Even"="Even",1/$C$10,IF("Even"="Front-loaded",($C$10-J$11+1)*2/($C$10*($C$10+1)),IF("Even"="Back-loaded",J$11*2/($C$10*($C$10+1)),IF("Even"="S-curve",SIN(PI()*(J$11-0.5)/$C$10)*SIN(PI()/(2*$C$10)),0))))))</f>
        <v>0.0833333333333333</v>
      </c>
      <c r="K13" s="44" t="n">
        <f aca="false">IF(OR(K$11=0,$C$10=0),0,IF("Even"="Upfront",--(K$11=1),IF("Even"="Even",1/$C$10,IF("Even"="Front-loaded",($C$10-K$11+1)*2/($C$10*($C$10+1)),IF("Even"="Back-loaded",K$11*2/($C$10*($C$10+1)),IF("Even"="S-curve",SIN(PI()*(K$11-0.5)/$C$10)*SIN(PI()/(2*$C$10)),0))))))</f>
        <v>0.0833333333333333</v>
      </c>
      <c r="L13" s="44" t="n">
        <f aca="false">IF(OR(L$11=0,$C$10=0),0,IF("Even"="Upfront",--(L$11=1),IF("Even"="Even",1/$C$10,IF("Even"="Front-loaded",($C$10-L$11+1)*2/($C$10*($C$10+1)),IF("Even"="Back-loaded",L$11*2/($C$10*($C$10+1)),IF("Even"="S-curve",SIN(PI()*(L$11-0.5)/$C$10)*SIN(PI()/(2*$C$10)),0))))))</f>
        <v>0.0833333333333333</v>
      </c>
      <c r="M13" s="44" t="n">
        <f aca="false">IF(OR(M$11=0,$C$10=0),0,IF("Even"="Upfront",--(M$11=1),IF("Even"="Even",1/$C$10,IF("Even"="Front-loaded",($C$10-M$11+1)*2/($C$10*($C$10+1)),IF("Even"="Back-loaded",M$11*2/($C$10*($C$10+1)),IF("Even"="S-curve",SIN(PI()*(M$11-0.5)/$C$10)*SIN(PI()/(2*$C$10)),0))))))</f>
        <v>0.0833333333333333</v>
      </c>
      <c r="N13" s="44" t="n">
        <f aca="false">IF(OR(N$11=0,$C$10=0),0,IF("Even"="Upfront",--(N$11=1),IF("Even"="Even",1/$C$10,IF("Even"="Front-loaded",($C$10-N$11+1)*2/($C$10*($C$10+1)),IF("Even"="Back-loaded",N$11*2/($C$10*($C$10+1)),IF("Even"="S-curve",SIN(PI()*(N$11-0.5)/$C$10)*SIN(PI()/(2*$C$10)),0))))))</f>
        <v>0.0833333333333333</v>
      </c>
      <c r="O13" s="44" t="n">
        <f aca="false">IF(OR(O$11=0,$C$10=0),0,IF("Even"="Upfront",--(O$11=1),IF("Even"="Even",1/$C$10,IF("Even"="Front-loaded",($C$10-O$11+1)*2/($C$10*($C$10+1)),IF("Even"="Back-loaded",O$11*2/($C$10*($C$10+1)),IF("Even"="S-curve",SIN(PI()*(O$11-0.5)/$C$10)*SIN(PI()/(2*$C$10)),0))))))</f>
        <v>0.0833333333333333</v>
      </c>
    </row>
    <row r="14" customFormat="false" ht="15" hidden="false" customHeight="false" outlineLevel="0" collapsed="false">
      <c r="B14" s="3" t="s">
        <v>288</v>
      </c>
      <c r="C14" s="116" t="n">
        <f aca="false">SUM(D14:O14)</f>
        <v>1</v>
      </c>
      <c r="D14" s="44" t="n">
        <f aca="false">IF(OR(D$11=0,$C$10=0),0,IF("Front-loaded"="Upfront",--(D$11=1),IF("Front-loaded"="Even",1/$C$10,IF("Front-loaded"="Front-loaded",($C$10-D$11+1)*2/($C$10*($C$10+1)),IF("Front-loaded"="Back-loaded",D$11*2/($C$10*($C$10+1)),IF("Front-loaded"="S-curve",SIN(PI()*(D$11-0.5)/$C$10)*SIN(PI()/(2*$C$10)),0))))))</f>
        <v>0.153846153846154</v>
      </c>
      <c r="E14" s="44" t="n">
        <f aca="false">IF(OR(E$11=0,$C$10=0),0,IF("Front-loaded"="Upfront",--(E$11=1),IF("Front-loaded"="Even",1/$C$10,IF("Front-loaded"="Front-loaded",($C$10-E$11+1)*2/($C$10*($C$10+1)),IF("Front-loaded"="Back-loaded",E$11*2/($C$10*($C$10+1)),IF("Front-loaded"="S-curve",SIN(PI()*(E$11-0.5)/$C$10)*SIN(PI()/(2*$C$10)),0))))))</f>
        <v>0.141025641025641</v>
      </c>
      <c r="F14" s="44" t="n">
        <f aca="false">IF(OR(F$11=0,$C$10=0),0,IF("Front-loaded"="Upfront",--(F$11=1),IF("Front-loaded"="Even",1/$C$10,IF("Front-loaded"="Front-loaded",($C$10-F$11+1)*2/($C$10*($C$10+1)),IF("Front-loaded"="Back-loaded",F$11*2/($C$10*($C$10+1)),IF("Front-loaded"="S-curve",SIN(PI()*(F$11-0.5)/$C$10)*SIN(PI()/(2*$C$10)),0))))))</f>
        <v>0.128205128205128</v>
      </c>
      <c r="G14" s="44" t="n">
        <f aca="false">IF(OR(G$11=0,$C$10=0),0,IF("Front-loaded"="Upfront",--(G$11=1),IF("Front-loaded"="Even",1/$C$10,IF("Front-loaded"="Front-loaded",($C$10-G$11+1)*2/($C$10*($C$10+1)),IF("Front-loaded"="Back-loaded",G$11*2/($C$10*($C$10+1)),IF("Front-loaded"="S-curve",SIN(PI()*(G$11-0.5)/$C$10)*SIN(PI()/(2*$C$10)),0))))))</f>
        <v>0.115384615384615</v>
      </c>
      <c r="H14" s="44" t="n">
        <f aca="false">IF(OR(H$11=0,$C$10=0),0,IF("Front-loaded"="Upfront",--(H$11=1),IF("Front-loaded"="Even",1/$C$10,IF("Front-loaded"="Front-loaded",($C$10-H$11+1)*2/($C$10*($C$10+1)),IF("Front-loaded"="Back-loaded",H$11*2/($C$10*($C$10+1)),IF("Front-loaded"="S-curve",SIN(PI()*(H$11-0.5)/$C$10)*SIN(PI()/(2*$C$10)),0))))))</f>
        <v>0.102564102564103</v>
      </c>
      <c r="I14" s="44" t="n">
        <f aca="false">IF(OR(I$11=0,$C$10=0),0,IF("Front-loaded"="Upfront",--(I$11=1),IF("Front-loaded"="Even",1/$C$10,IF("Front-loaded"="Front-loaded",($C$10-I$11+1)*2/($C$10*($C$10+1)),IF("Front-loaded"="Back-loaded",I$11*2/($C$10*($C$10+1)),IF("Front-loaded"="S-curve",SIN(PI()*(I$11-0.5)/$C$10)*SIN(PI()/(2*$C$10)),0))))))</f>
        <v>0.0897435897435897</v>
      </c>
      <c r="J14" s="44" t="n">
        <f aca="false">IF(OR(J$11=0,$C$10=0),0,IF("Front-loaded"="Upfront",--(J$11=1),IF("Front-loaded"="Even",1/$C$10,IF("Front-loaded"="Front-loaded",($C$10-J$11+1)*2/($C$10*($C$10+1)),IF("Front-loaded"="Back-loaded",J$11*2/($C$10*($C$10+1)),IF("Front-loaded"="S-curve",SIN(PI()*(J$11-0.5)/$C$10)*SIN(PI()/(2*$C$10)),0))))))</f>
        <v>0.0769230769230769</v>
      </c>
      <c r="K14" s="44" t="n">
        <f aca="false">IF(OR(K$11=0,$C$10=0),0,IF("Front-loaded"="Upfront",--(K$11=1),IF("Front-loaded"="Even",1/$C$10,IF("Front-loaded"="Front-loaded",($C$10-K$11+1)*2/($C$10*($C$10+1)),IF("Front-loaded"="Back-loaded",K$11*2/($C$10*($C$10+1)),IF("Front-loaded"="S-curve",SIN(PI()*(K$11-0.5)/$C$10)*SIN(PI()/(2*$C$10)),0))))))</f>
        <v>0.0641025641025641</v>
      </c>
      <c r="L14" s="44" t="n">
        <f aca="false">IF(OR(L$11=0,$C$10=0),0,IF("Front-loaded"="Upfront",--(L$11=1),IF("Front-loaded"="Even",1/$C$10,IF("Front-loaded"="Front-loaded",($C$10-L$11+1)*2/($C$10*($C$10+1)),IF("Front-loaded"="Back-loaded",L$11*2/($C$10*($C$10+1)),IF("Front-loaded"="S-curve",SIN(PI()*(L$11-0.5)/$C$10)*SIN(PI()/(2*$C$10)),0))))))</f>
        <v>0.0512820512820513</v>
      </c>
      <c r="M14" s="44" t="n">
        <f aca="false">IF(OR(M$11=0,$C$10=0),0,IF("Front-loaded"="Upfront",--(M$11=1),IF("Front-loaded"="Even",1/$C$10,IF("Front-loaded"="Front-loaded",($C$10-M$11+1)*2/($C$10*($C$10+1)),IF("Front-loaded"="Back-loaded",M$11*2/($C$10*($C$10+1)),IF("Front-loaded"="S-curve",SIN(PI()*(M$11-0.5)/$C$10)*SIN(PI()/(2*$C$10)),0))))))</f>
        <v>0.0384615384615385</v>
      </c>
      <c r="N14" s="44" t="n">
        <f aca="false">IF(OR(N$11=0,$C$10=0),0,IF("Front-loaded"="Upfront",--(N$11=1),IF("Front-loaded"="Even",1/$C$10,IF("Front-loaded"="Front-loaded",($C$10-N$11+1)*2/($C$10*($C$10+1)),IF("Front-loaded"="Back-loaded",N$11*2/($C$10*($C$10+1)),IF("Front-loaded"="S-curve",SIN(PI()*(N$11-0.5)/$C$10)*SIN(PI()/(2*$C$10)),0))))))</f>
        <v>0.0256410256410256</v>
      </c>
      <c r="O14" s="44" t="n">
        <f aca="false">IF(OR(O$11=0,$C$10=0),0,IF("Front-loaded"="Upfront",--(O$11=1),IF("Front-loaded"="Even",1/$C$10,IF("Front-loaded"="Front-loaded",($C$10-O$11+1)*2/($C$10*($C$10+1)),IF("Front-loaded"="Back-loaded",O$11*2/($C$10*($C$10+1)),IF("Front-loaded"="S-curve",SIN(PI()*(O$11-0.5)/$C$10)*SIN(PI()/(2*$C$10)),0))))))</f>
        <v>0.0128205128205128</v>
      </c>
    </row>
    <row r="15" customFormat="false" ht="15" hidden="false" customHeight="false" outlineLevel="0" collapsed="false">
      <c r="B15" s="3" t="s">
        <v>300</v>
      </c>
      <c r="C15" s="116" t="n">
        <f aca="false">SUM(D15:O15)</f>
        <v>1</v>
      </c>
      <c r="D15" s="44" t="n">
        <f aca="false">IF(OR(D$11=0,$C$10=0),0,IF("Back-loaded"="Upfront",--(D$11=1),IF("Back-loaded"="Even",1/$C$10,IF("Back-loaded"="Front-loaded",($C$10-D$11+1)*2/($C$10*($C$10+1)),IF("Back-loaded"="Back-loaded",D$11*2/($C$10*($C$10+1)),IF("Back-loaded"="S-curve",SIN(PI()*(D$11-0.5)/$C$10)*SIN(PI()/(2*$C$10)),0))))))</f>
        <v>0.0128205128205128</v>
      </c>
      <c r="E15" s="44" t="n">
        <f aca="false">IF(OR(E$11=0,$C$10=0),0,IF("Back-loaded"="Upfront",--(E$11=1),IF("Back-loaded"="Even",1/$C$10,IF("Back-loaded"="Front-loaded",($C$10-E$11+1)*2/($C$10*($C$10+1)),IF("Back-loaded"="Back-loaded",E$11*2/($C$10*($C$10+1)),IF("Back-loaded"="S-curve",SIN(PI()*(E$11-0.5)/$C$10)*SIN(PI()/(2*$C$10)),0))))))</f>
        <v>0.0256410256410256</v>
      </c>
      <c r="F15" s="44" t="n">
        <f aca="false">IF(OR(F$11=0,$C$10=0),0,IF("Back-loaded"="Upfront",--(F$11=1),IF("Back-loaded"="Even",1/$C$10,IF("Back-loaded"="Front-loaded",($C$10-F$11+1)*2/($C$10*($C$10+1)),IF("Back-loaded"="Back-loaded",F$11*2/($C$10*($C$10+1)),IF("Back-loaded"="S-curve",SIN(PI()*(F$11-0.5)/$C$10)*SIN(PI()/(2*$C$10)),0))))))</f>
        <v>0.0384615384615385</v>
      </c>
      <c r="G15" s="44" t="n">
        <f aca="false">IF(OR(G$11=0,$C$10=0),0,IF("Back-loaded"="Upfront",--(G$11=1),IF("Back-loaded"="Even",1/$C$10,IF("Back-loaded"="Front-loaded",($C$10-G$11+1)*2/($C$10*($C$10+1)),IF("Back-loaded"="Back-loaded",G$11*2/($C$10*($C$10+1)),IF("Back-loaded"="S-curve",SIN(PI()*(G$11-0.5)/$C$10)*SIN(PI()/(2*$C$10)),0))))))</f>
        <v>0.0512820512820513</v>
      </c>
      <c r="H15" s="44" t="n">
        <f aca="false">IF(OR(H$11=0,$C$10=0),0,IF("Back-loaded"="Upfront",--(H$11=1),IF("Back-loaded"="Even",1/$C$10,IF("Back-loaded"="Front-loaded",($C$10-H$11+1)*2/($C$10*($C$10+1)),IF("Back-loaded"="Back-loaded",H$11*2/($C$10*($C$10+1)),IF("Back-loaded"="S-curve",SIN(PI()*(H$11-0.5)/$C$10)*SIN(PI()/(2*$C$10)),0))))))</f>
        <v>0.0641025641025641</v>
      </c>
      <c r="I15" s="44" t="n">
        <f aca="false">IF(OR(I$11=0,$C$10=0),0,IF("Back-loaded"="Upfront",--(I$11=1),IF("Back-loaded"="Even",1/$C$10,IF("Back-loaded"="Front-loaded",($C$10-I$11+1)*2/($C$10*($C$10+1)),IF("Back-loaded"="Back-loaded",I$11*2/($C$10*($C$10+1)),IF("Back-loaded"="S-curve",SIN(PI()*(I$11-0.5)/$C$10)*SIN(PI()/(2*$C$10)),0))))))</f>
        <v>0.0769230769230769</v>
      </c>
      <c r="J15" s="44" t="n">
        <f aca="false">IF(OR(J$11=0,$C$10=0),0,IF("Back-loaded"="Upfront",--(J$11=1),IF("Back-loaded"="Even",1/$C$10,IF("Back-loaded"="Front-loaded",($C$10-J$11+1)*2/($C$10*($C$10+1)),IF("Back-loaded"="Back-loaded",J$11*2/($C$10*($C$10+1)),IF("Back-loaded"="S-curve",SIN(PI()*(J$11-0.5)/$C$10)*SIN(PI()/(2*$C$10)),0))))))</f>
        <v>0.0897435897435897</v>
      </c>
      <c r="K15" s="44" t="n">
        <f aca="false">IF(OR(K$11=0,$C$10=0),0,IF("Back-loaded"="Upfront",--(K$11=1),IF("Back-loaded"="Even",1/$C$10,IF("Back-loaded"="Front-loaded",($C$10-K$11+1)*2/($C$10*($C$10+1)),IF("Back-loaded"="Back-loaded",K$11*2/($C$10*($C$10+1)),IF("Back-loaded"="S-curve",SIN(PI()*(K$11-0.5)/$C$10)*SIN(PI()/(2*$C$10)),0))))))</f>
        <v>0.102564102564103</v>
      </c>
      <c r="L15" s="44" t="n">
        <f aca="false">IF(OR(L$11=0,$C$10=0),0,IF("Back-loaded"="Upfront",--(L$11=1),IF("Back-loaded"="Even",1/$C$10,IF("Back-loaded"="Front-loaded",($C$10-L$11+1)*2/($C$10*($C$10+1)),IF("Back-loaded"="Back-loaded",L$11*2/($C$10*($C$10+1)),IF("Back-loaded"="S-curve",SIN(PI()*(L$11-0.5)/$C$10)*SIN(PI()/(2*$C$10)),0))))))</f>
        <v>0.115384615384615</v>
      </c>
      <c r="M15" s="44" t="n">
        <f aca="false">IF(OR(M$11=0,$C$10=0),0,IF("Back-loaded"="Upfront",--(M$11=1),IF("Back-loaded"="Even",1/$C$10,IF("Back-loaded"="Front-loaded",($C$10-M$11+1)*2/($C$10*($C$10+1)),IF("Back-loaded"="Back-loaded",M$11*2/($C$10*($C$10+1)),IF("Back-loaded"="S-curve",SIN(PI()*(M$11-0.5)/$C$10)*SIN(PI()/(2*$C$10)),0))))))</f>
        <v>0.128205128205128</v>
      </c>
      <c r="N15" s="44" t="n">
        <f aca="false">IF(OR(N$11=0,$C$10=0),0,IF("Back-loaded"="Upfront",--(N$11=1),IF("Back-loaded"="Even",1/$C$10,IF("Back-loaded"="Front-loaded",($C$10-N$11+1)*2/($C$10*($C$10+1)),IF("Back-loaded"="Back-loaded",N$11*2/($C$10*($C$10+1)),IF("Back-loaded"="S-curve",SIN(PI()*(N$11-0.5)/$C$10)*SIN(PI()/(2*$C$10)),0))))))</f>
        <v>0.141025641025641</v>
      </c>
      <c r="O15" s="44" t="n">
        <f aca="false">IF(OR(O$11=0,$C$10=0),0,IF("Back-loaded"="Upfront",--(O$11=1),IF("Back-loaded"="Even",1/$C$10,IF("Back-loaded"="Front-loaded",($C$10-O$11+1)*2/($C$10*($C$10+1)),IF("Back-loaded"="Back-loaded",O$11*2/($C$10*($C$10+1)),IF("Back-loaded"="S-curve",SIN(PI()*(O$11-0.5)/$C$10)*SIN(PI()/(2*$C$10)),0))))))</f>
        <v>0.153846153846154</v>
      </c>
    </row>
    <row r="16" customFormat="false" ht="15" hidden="false" customHeight="false" outlineLevel="0" collapsed="false">
      <c r="B16" s="3" t="s">
        <v>290</v>
      </c>
      <c r="C16" s="116" t="n">
        <f aca="false">SUM(D16:O16)</f>
        <v>1</v>
      </c>
      <c r="D16" s="44" t="n">
        <f aca="false">IF(OR(D$11=0,$C$10=0),0,IF("S-curve"="Upfront",--(D$11=1),IF("S-curve"="Even",1/$C$10,IF("S-curve"="Front-loaded",($C$10-D$11+1)*2/($C$10*($C$10+1)),IF("S-curve"="Back-loaded",D$11*2/($C$10*($C$10+1)),IF("S-curve"="S-curve",SIN(PI()*(D$11-0.5)/$C$10)*SIN(PI()/(2*$C$10)),0))))))</f>
        <v>0.0170370868554659</v>
      </c>
      <c r="E16" s="44" t="n">
        <f aca="false">IF(OR(E$11=0,$C$10=0),0,IF("S-curve"="Upfront",--(E$11=1),IF("S-curve"="Even",1/$C$10,IF("S-curve"="Front-loaded",($C$10-E$11+1)*2/($C$10*($C$10+1)),IF("S-curve"="Back-loaded",E$11*2/($C$10*($C$10+1)),IF("S-curve"="S-curve",SIN(PI()*(E$11-0.5)/$C$10)*SIN(PI()/(2*$C$10)),0))))))</f>
        <v>0.0499502112523148</v>
      </c>
      <c r="F16" s="44" t="n">
        <f aca="false">IF(OR(F$11=0,$C$10=0),0,IF("S-curve"="Upfront",--(F$11=1),IF("S-curve"="Even",1/$C$10,IF("S-curve"="Front-loaded",($C$10-F$11+1)*2/($C$10*($C$10+1)),IF("S-curve"="Back-loaded",F$11*2/($C$10*($C$10+1)),IF("S-curve"="S-curve",SIN(PI()*(F$11-0.5)/$C$10)*SIN(PI()/(2*$C$10)),0))))))</f>
        <v>0.0794593112989456</v>
      </c>
      <c r="G16" s="44" t="n">
        <f aca="false">IF(OR(G$11=0,$C$10=0),0,IF("S-curve"="Upfront",--(G$11=1),IF("S-curve"="Even",1/$C$10,IF("S-curve"="Front-loaded",($C$10-G$11+1)*2/($C$10*($C$10+1)),IF("S-curve"="Back-loaded",G$11*2/($C$10*($C$10+1)),IF("S-curve"="S-curve",SIN(PI()*(G$11-0.5)/$C$10)*SIN(PI()/(2*$C$10)),0))))))</f>
        <v>0.103553390593274</v>
      </c>
      <c r="H16" s="44" t="n">
        <f aca="false">IF(OR(H$11=0,$C$10=0),0,IF("S-curve"="Upfront",--(H$11=1),IF("S-curve"="Even",1/$C$10,IF("S-curve"="Front-loaded",($C$10-H$11+1)*2/($C$10*($C$10+1)),IF("S-curve"="Back-loaded",H$11*2/($C$10*($C$10+1)),IF("S-curve"="S-curve",SIN(PI()*(H$11-0.5)/$C$10)*SIN(PI()/(2*$C$10)),0))))))</f>
        <v>0.12059047744874</v>
      </c>
      <c r="I16" s="44" t="n">
        <f aca="false">IF(OR(I$11=0,$C$10=0),0,IF("S-curve"="Upfront",--(I$11=1),IF("S-curve"="Even",1/$C$10,IF("S-curve"="Front-loaded",($C$10-I$11+1)*2/($C$10*($C$10+1)),IF("S-curve"="Back-loaded",I$11*2/($C$10*($C$10+1)),IF("S-curve"="S-curve",SIN(PI()*(I$11-0.5)/$C$10)*SIN(PI()/(2*$C$10)),0))))))</f>
        <v>0.12940952255126</v>
      </c>
      <c r="J16" s="44" t="n">
        <f aca="false">IF(OR(J$11=0,$C$10=0),0,IF("S-curve"="Upfront",--(J$11=1),IF("S-curve"="Even",1/$C$10,IF("S-curve"="Front-loaded",($C$10-J$11+1)*2/($C$10*($C$10+1)),IF("S-curve"="Back-loaded",J$11*2/($C$10*($C$10+1)),IF("S-curve"="S-curve",SIN(PI()*(J$11-0.5)/$C$10)*SIN(PI()/(2*$C$10)),0))))))</f>
        <v>0.12940952255126</v>
      </c>
      <c r="K16" s="44" t="n">
        <f aca="false">IF(OR(K$11=0,$C$10=0),0,IF("S-curve"="Upfront",--(K$11=1),IF("S-curve"="Even",1/$C$10,IF("S-curve"="Front-loaded",($C$10-K$11+1)*2/($C$10*($C$10+1)),IF("S-curve"="Back-loaded",K$11*2/($C$10*($C$10+1)),IF("S-curve"="S-curve",SIN(PI()*(K$11-0.5)/$C$10)*SIN(PI()/(2*$C$10)),0))))))</f>
        <v>0.12059047744874</v>
      </c>
      <c r="L16" s="44" t="n">
        <f aca="false">IF(OR(L$11=0,$C$10=0),0,IF("S-curve"="Upfront",--(L$11=1),IF("S-curve"="Even",1/$C$10,IF("S-curve"="Front-loaded",($C$10-L$11+1)*2/($C$10*($C$10+1)),IF("S-curve"="Back-loaded",L$11*2/($C$10*($C$10+1)),IF("S-curve"="S-curve",SIN(PI()*(L$11-0.5)/$C$10)*SIN(PI()/(2*$C$10)),0))))))</f>
        <v>0.103553390593274</v>
      </c>
      <c r="M16" s="44" t="n">
        <f aca="false">IF(OR(M$11=0,$C$10=0),0,IF("S-curve"="Upfront",--(M$11=1),IF("S-curve"="Even",1/$C$10,IF("S-curve"="Front-loaded",($C$10-M$11+1)*2/($C$10*($C$10+1)),IF("S-curve"="Back-loaded",M$11*2/($C$10*($C$10+1)),IF("S-curve"="S-curve",SIN(PI()*(M$11-0.5)/$C$10)*SIN(PI()/(2*$C$10)),0))))))</f>
        <v>0.0794593112989456</v>
      </c>
      <c r="N16" s="44" t="n">
        <f aca="false">IF(OR(N$11=0,$C$10=0),0,IF("S-curve"="Upfront",--(N$11=1),IF("S-curve"="Even",1/$C$10,IF("S-curve"="Front-loaded",($C$10-N$11+1)*2/($C$10*($C$10+1)),IF("S-curve"="Back-loaded",N$11*2/($C$10*($C$10+1)),IF("S-curve"="S-curve",SIN(PI()*(N$11-0.5)/$C$10)*SIN(PI()/(2*$C$10)),0))))))</f>
        <v>0.0499502112523148</v>
      </c>
      <c r="O16" s="44" t="n">
        <f aca="false">IF(OR(O$11=0,$C$10=0),0,IF("S-curve"="Upfront",--(O$11=1),IF("S-curve"="Even",1/$C$10,IF("S-curve"="Front-loaded",($C$10-O$11+1)*2/($C$10*($C$10+1)),IF("S-curve"="Back-loaded",O$11*2/($C$10*($C$10+1)),IF("S-curve"="S-curve",SIN(PI()*(O$11-0.5)/$C$10)*SIN(PI()/(2*$C$10)),0))))))</f>
        <v>0.0170370868554659</v>
      </c>
    </row>
    <row r="17" customFormat="false" ht="15" hidden="false" customHeight="false" outlineLevel="0" collapsed="false">
      <c r="B17" s="3" t="s">
        <v>667</v>
      </c>
      <c r="D17" s="44" t="n">
        <f aca="false">SUM($D16:D16)</f>
        <v>0.0170370868554659</v>
      </c>
      <c r="E17" s="44" t="n">
        <f aca="false">SUM($D16:E16)</f>
        <v>0.0669872981077807</v>
      </c>
      <c r="F17" s="44" t="n">
        <f aca="false">SUM($D16:F16)</f>
        <v>0.146446609406726</v>
      </c>
      <c r="G17" s="44" t="n">
        <f aca="false">SUM($D16:G16)</f>
        <v>0.25</v>
      </c>
      <c r="H17" s="44" t="n">
        <f aca="false">SUM($D16:H16)</f>
        <v>0.37059047744874</v>
      </c>
      <c r="I17" s="44" t="n">
        <f aca="false">SUM($D16:I16)</f>
        <v>0.5</v>
      </c>
      <c r="J17" s="44" t="n">
        <f aca="false">SUM($D16:J16)</f>
        <v>0.62940952255126</v>
      </c>
      <c r="K17" s="44" t="n">
        <f aca="false">SUM($D16:K16)</f>
        <v>0.75</v>
      </c>
      <c r="L17" s="44" t="n">
        <f aca="false">SUM($D16:L16)</f>
        <v>0.853553390593274</v>
      </c>
      <c r="M17" s="44" t="n">
        <f aca="false">SUM($D16:M16)</f>
        <v>0.933012701892219</v>
      </c>
      <c r="N17" s="44" t="n">
        <f aca="false">SUM($D16:N16)</f>
        <v>0.982962913144534</v>
      </c>
      <c r="O17" s="44" t="n">
        <f aca="false">SUM($D16:O16)</f>
        <v>1</v>
      </c>
    </row>
    <row r="18" customFormat="false" ht="15" hidden="false" customHeight="false" outlineLevel="0" collapsed="false">
      <c r="B18" s="17" t="s">
        <v>668</v>
      </c>
    </row>
    <row r="36" customFormat="false" ht="19.5" hidden="false" customHeight="true" outlineLevel="0" collapsed="false">
      <c r="B36" s="4" t="s">
        <v>669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customFormat="false" ht="15" hidden="false" customHeight="false" outlineLevel="0" collapsed="false">
      <c r="B37" s="110" t="str">
        <f aca="false">IF(INPUTS!$E$88="Yes",INPUTS!$B$88,"Product row 1 (off)")</f>
        <v>Villas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</row>
    <row r="38" customFormat="false" ht="15" hidden="false" customHeight="false" outlineLevel="0" collapsed="false">
      <c r="B38" s="3" t="s">
        <v>670</v>
      </c>
      <c r="C38" s="117" t="n">
        <f aca="false">SUM(D38:AQ38)</f>
        <v>1</v>
      </c>
      <c r="D38" s="118" t="n">
        <f aca="false">IF(INPUTS!$E$88="Yes",IF(OR(TIMELINE!D36=0,TIMELINE!$C$35=0),0,IF(INPUTS!$K$88="Upfront",--(TIMELINE!D36=1),IF(INPUTS!$K$88="Even",1/TIMELINE!$C$35,IF(INPUTS!$K$88="Front-loaded",(TIMELINE!$C$35-TIMELINE!D36+1)*2/(TIMELINE!$C$35*(TIMELINE!$C$35+1)),IF(INPUTS!$K$88="Back-loaded",TIMELINE!D36*2/(TIMELINE!$C$35*(TIMELINE!$C$35+1)),IF(INPUTS!$K$88="S-curve",SIN(PI()*(TIMELINE!D36-0.5)/TIMELINE!$C$35)*SIN(PI()/(2*TIMELINE!$C$35)),0)))))),0)</f>
        <v>0</v>
      </c>
      <c r="E38" s="118" t="n">
        <f aca="false">IF(INPUTS!$E$88="Yes",IF(OR(TIMELINE!E36=0,TIMELINE!$C$35=0),0,IF(INPUTS!$K$88="Upfront",--(TIMELINE!E36=1),IF(INPUTS!$K$88="Even",1/TIMELINE!$C$35,IF(INPUTS!$K$88="Front-loaded",(TIMELINE!$C$35-TIMELINE!E36+1)*2/(TIMELINE!$C$35*(TIMELINE!$C$35+1)),IF(INPUTS!$K$88="Back-loaded",TIMELINE!E36*2/(TIMELINE!$C$35*(TIMELINE!$C$35+1)),IF(INPUTS!$K$88="S-curve",SIN(PI()*(TIMELINE!E36-0.5)/TIMELINE!$C$35)*SIN(PI()/(2*TIMELINE!$C$35)),0)))))),0)</f>
        <v>0</v>
      </c>
      <c r="F38" s="118" t="n">
        <f aca="false">IF(INPUTS!$E$88="Yes",IF(OR(TIMELINE!F36=0,TIMELINE!$C$35=0),0,IF(INPUTS!$K$88="Upfront",--(TIMELINE!F36=1),IF(INPUTS!$K$88="Even",1/TIMELINE!$C$35,IF(INPUTS!$K$88="Front-loaded",(TIMELINE!$C$35-TIMELINE!F36+1)*2/(TIMELINE!$C$35*(TIMELINE!$C$35+1)),IF(INPUTS!$K$88="Back-loaded",TIMELINE!F36*2/(TIMELINE!$C$35*(TIMELINE!$C$35+1)),IF(INPUTS!$K$88="S-curve",SIN(PI()*(TIMELINE!F36-0.5)/TIMELINE!$C$35)*SIN(PI()/(2*TIMELINE!$C$35)),0)))))),0)</f>
        <v>0.222222222222222</v>
      </c>
      <c r="G38" s="118" t="n">
        <f aca="false">IF(INPUTS!$E$88="Yes",IF(OR(TIMELINE!G36=0,TIMELINE!$C$35=0),0,IF(INPUTS!$K$88="Upfront",--(TIMELINE!G36=1),IF(INPUTS!$K$88="Even",1/TIMELINE!$C$35,IF(INPUTS!$K$88="Front-loaded",(TIMELINE!$C$35-TIMELINE!G36+1)*2/(TIMELINE!$C$35*(TIMELINE!$C$35+1)),IF(INPUTS!$K$88="Back-loaded",TIMELINE!G36*2/(TIMELINE!$C$35*(TIMELINE!$C$35+1)),IF(INPUTS!$K$88="S-curve",SIN(PI()*(TIMELINE!G36-0.5)/TIMELINE!$C$35)*SIN(PI()/(2*TIMELINE!$C$35)),0)))))),0)</f>
        <v>0.194444444444444</v>
      </c>
      <c r="H38" s="118" t="n">
        <f aca="false">IF(INPUTS!$E$88="Yes",IF(OR(TIMELINE!H36=0,TIMELINE!$C$35=0),0,IF(INPUTS!$K$88="Upfront",--(TIMELINE!H36=1),IF(INPUTS!$K$88="Even",1/TIMELINE!$C$35,IF(INPUTS!$K$88="Front-loaded",(TIMELINE!$C$35-TIMELINE!H36+1)*2/(TIMELINE!$C$35*(TIMELINE!$C$35+1)),IF(INPUTS!$K$88="Back-loaded",TIMELINE!H36*2/(TIMELINE!$C$35*(TIMELINE!$C$35+1)),IF(INPUTS!$K$88="S-curve",SIN(PI()*(TIMELINE!H36-0.5)/TIMELINE!$C$35)*SIN(PI()/(2*TIMELINE!$C$35)),0)))))),0)</f>
        <v>0.166666666666667</v>
      </c>
      <c r="I38" s="118" t="n">
        <f aca="false">IF(INPUTS!$E$88="Yes",IF(OR(TIMELINE!I36=0,TIMELINE!$C$35=0),0,IF(INPUTS!$K$88="Upfront",--(TIMELINE!I36=1),IF(INPUTS!$K$88="Even",1/TIMELINE!$C$35,IF(INPUTS!$K$88="Front-loaded",(TIMELINE!$C$35-TIMELINE!I36+1)*2/(TIMELINE!$C$35*(TIMELINE!$C$35+1)),IF(INPUTS!$K$88="Back-loaded",TIMELINE!I36*2/(TIMELINE!$C$35*(TIMELINE!$C$35+1)),IF(INPUTS!$K$88="S-curve",SIN(PI()*(TIMELINE!I36-0.5)/TIMELINE!$C$35)*SIN(PI()/(2*TIMELINE!$C$35)),0)))))),0)</f>
        <v>0.138888888888889</v>
      </c>
      <c r="J38" s="118" t="n">
        <f aca="false">IF(INPUTS!$E$88="Yes",IF(OR(TIMELINE!J36=0,TIMELINE!$C$35=0),0,IF(INPUTS!$K$88="Upfront",--(TIMELINE!J36=1),IF(INPUTS!$K$88="Even",1/TIMELINE!$C$35,IF(INPUTS!$K$88="Front-loaded",(TIMELINE!$C$35-TIMELINE!J36+1)*2/(TIMELINE!$C$35*(TIMELINE!$C$35+1)),IF(INPUTS!$K$88="Back-loaded",TIMELINE!J36*2/(TIMELINE!$C$35*(TIMELINE!$C$35+1)),IF(INPUTS!$K$88="S-curve",SIN(PI()*(TIMELINE!J36-0.5)/TIMELINE!$C$35)*SIN(PI()/(2*TIMELINE!$C$35)),0)))))),0)</f>
        <v>0.111111111111111</v>
      </c>
      <c r="K38" s="118" t="n">
        <f aca="false">IF(INPUTS!$E$88="Yes",IF(OR(TIMELINE!K36=0,TIMELINE!$C$35=0),0,IF(INPUTS!$K$88="Upfront",--(TIMELINE!K36=1),IF(INPUTS!$K$88="Even",1/TIMELINE!$C$35,IF(INPUTS!$K$88="Front-loaded",(TIMELINE!$C$35-TIMELINE!K36+1)*2/(TIMELINE!$C$35*(TIMELINE!$C$35+1)),IF(INPUTS!$K$88="Back-loaded",TIMELINE!K36*2/(TIMELINE!$C$35*(TIMELINE!$C$35+1)),IF(INPUTS!$K$88="S-curve",SIN(PI()*(TIMELINE!K36-0.5)/TIMELINE!$C$35)*SIN(PI()/(2*TIMELINE!$C$35)),0)))))),0)</f>
        <v>0.0833333333333333</v>
      </c>
      <c r="L38" s="118" t="n">
        <f aca="false">IF(INPUTS!$E$88="Yes",IF(OR(TIMELINE!L36=0,TIMELINE!$C$35=0),0,IF(INPUTS!$K$88="Upfront",--(TIMELINE!L36=1),IF(INPUTS!$K$88="Even",1/TIMELINE!$C$35,IF(INPUTS!$K$88="Front-loaded",(TIMELINE!$C$35-TIMELINE!L36+1)*2/(TIMELINE!$C$35*(TIMELINE!$C$35+1)),IF(INPUTS!$K$88="Back-loaded",TIMELINE!L36*2/(TIMELINE!$C$35*(TIMELINE!$C$35+1)),IF(INPUTS!$K$88="S-curve",SIN(PI()*(TIMELINE!L36-0.5)/TIMELINE!$C$35)*SIN(PI()/(2*TIMELINE!$C$35)),0)))))),0)</f>
        <v>0.0555555555555556</v>
      </c>
      <c r="M38" s="118" t="n">
        <f aca="false">IF(INPUTS!$E$88="Yes",IF(OR(TIMELINE!M36=0,TIMELINE!$C$35=0),0,IF(INPUTS!$K$88="Upfront",--(TIMELINE!M36=1),IF(INPUTS!$K$88="Even",1/TIMELINE!$C$35,IF(INPUTS!$K$88="Front-loaded",(TIMELINE!$C$35-TIMELINE!M36+1)*2/(TIMELINE!$C$35*(TIMELINE!$C$35+1)),IF(INPUTS!$K$88="Back-loaded",TIMELINE!M36*2/(TIMELINE!$C$35*(TIMELINE!$C$35+1)),IF(INPUTS!$K$88="S-curve",SIN(PI()*(TIMELINE!M36-0.5)/TIMELINE!$C$35)*SIN(PI()/(2*TIMELINE!$C$35)),0)))))),0)</f>
        <v>0.0277777777777778</v>
      </c>
      <c r="N38" s="118" t="n">
        <f aca="false">IF(INPUTS!$E$88="Yes",IF(OR(TIMELINE!N36=0,TIMELINE!$C$35=0),0,IF(INPUTS!$K$88="Upfront",--(TIMELINE!N36=1),IF(INPUTS!$K$88="Even",1/TIMELINE!$C$35,IF(INPUTS!$K$88="Front-loaded",(TIMELINE!$C$35-TIMELINE!N36+1)*2/(TIMELINE!$C$35*(TIMELINE!$C$35+1)),IF(INPUTS!$K$88="Back-loaded",TIMELINE!N36*2/(TIMELINE!$C$35*(TIMELINE!$C$35+1)),IF(INPUTS!$K$88="S-curve",SIN(PI()*(TIMELINE!N36-0.5)/TIMELINE!$C$35)*SIN(PI()/(2*TIMELINE!$C$35)),0)))))),0)</f>
        <v>0</v>
      </c>
      <c r="O38" s="118" t="n">
        <f aca="false">IF(INPUTS!$E$88="Yes",IF(OR(TIMELINE!O36=0,TIMELINE!$C$35=0),0,IF(INPUTS!$K$88="Upfront",--(TIMELINE!O36=1),IF(INPUTS!$K$88="Even",1/TIMELINE!$C$35,IF(INPUTS!$K$88="Front-loaded",(TIMELINE!$C$35-TIMELINE!O36+1)*2/(TIMELINE!$C$35*(TIMELINE!$C$35+1)),IF(INPUTS!$K$88="Back-loaded",TIMELINE!O36*2/(TIMELINE!$C$35*(TIMELINE!$C$35+1)),IF(INPUTS!$K$88="S-curve",SIN(PI()*(TIMELINE!O36-0.5)/TIMELINE!$C$35)*SIN(PI()/(2*TIMELINE!$C$35)),0)))))),0)</f>
        <v>0</v>
      </c>
      <c r="P38" s="118" t="n">
        <f aca="false">IF(INPUTS!$E$88="Yes",IF(OR(TIMELINE!P36=0,TIMELINE!$C$35=0),0,IF(INPUTS!$K$88="Upfront",--(TIMELINE!P36=1),IF(INPUTS!$K$88="Even",1/TIMELINE!$C$35,IF(INPUTS!$K$88="Front-loaded",(TIMELINE!$C$35-TIMELINE!P36+1)*2/(TIMELINE!$C$35*(TIMELINE!$C$35+1)),IF(INPUTS!$K$88="Back-loaded",TIMELINE!P36*2/(TIMELINE!$C$35*(TIMELINE!$C$35+1)),IF(INPUTS!$K$88="S-curve",SIN(PI()*(TIMELINE!P36-0.5)/TIMELINE!$C$35)*SIN(PI()/(2*TIMELINE!$C$35)),0)))))),0)</f>
        <v>0</v>
      </c>
      <c r="Q38" s="118" t="n">
        <f aca="false">IF(INPUTS!$E$88="Yes",IF(OR(TIMELINE!Q36=0,TIMELINE!$C$35=0),0,IF(INPUTS!$K$88="Upfront",--(TIMELINE!Q36=1),IF(INPUTS!$K$88="Even",1/TIMELINE!$C$35,IF(INPUTS!$K$88="Front-loaded",(TIMELINE!$C$35-TIMELINE!Q36+1)*2/(TIMELINE!$C$35*(TIMELINE!$C$35+1)),IF(INPUTS!$K$88="Back-loaded",TIMELINE!Q36*2/(TIMELINE!$C$35*(TIMELINE!$C$35+1)),IF(INPUTS!$K$88="S-curve",SIN(PI()*(TIMELINE!Q36-0.5)/TIMELINE!$C$35)*SIN(PI()/(2*TIMELINE!$C$35)),0)))))),0)</f>
        <v>0</v>
      </c>
      <c r="R38" s="118" t="n">
        <f aca="false">IF(INPUTS!$E$88="Yes",IF(OR(TIMELINE!R36=0,TIMELINE!$C$35=0),0,IF(INPUTS!$K$88="Upfront",--(TIMELINE!R36=1),IF(INPUTS!$K$88="Even",1/TIMELINE!$C$35,IF(INPUTS!$K$88="Front-loaded",(TIMELINE!$C$35-TIMELINE!R36+1)*2/(TIMELINE!$C$35*(TIMELINE!$C$35+1)),IF(INPUTS!$K$88="Back-loaded",TIMELINE!R36*2/(TIMELINE!$C$35*(TIMELINE!$C$35+1)),IF(INPUTS!$K$88="S-curve",SIN(PI()*(TIMELINE!R36-0.5)/TIMELINE!$C$35)*SIN(PI()/(2*TIMELINE!$C$35)),0)))))),0)</f>
        <v>0</v>
      </c>
      <c r="S38" s="118" t="n">
        <f aca="false">IF(INPUTS!$E$88="Yes",IF(OR(TIMELINE!S36=0,TIMELINE!$C$35=0),0,IF(INPUTS!$K$88="Upfront",--(TIMELINE!S36=1),IF(INPUTS!$K$88="Even",1/TIMELINE!$C$35,IF(INPUTS!$K$88="Front-loaded",(TIMELINE!$C$35-TIMELINE!S36+1)*2/(TIMELINE!$C$35*(TIMELINE!$C$35+1)),IF(INPUTS!$K$88="Back-loaded",TIMELINE!S36*2/(TIMELINE!$C$35*(TIMELINE!$C$35+1)),IF(INPUTS!$K$88="S-curve",SIN(PI()*(TIMELINE!S36-0.5)/TIMELINE!$C$35)*SIN(PI()/(2*TIMELINE!$C$35)),0)))))),0)</f>
        <v>0</v>
      </c>
      <c r="T38" s="118" t="n">
        <f aca="false">IF(INPUTS!$E$88="Yes",IF(OR(TIMELINE!T36=0,TIMELINE!$C$35=0),0,IF(INPUTS!$K$88="Upfront",--(TIMELINE!T36=1),IF(INPUTS!$K$88="Even",1/TIMELINE!$C$35,IF(INPUTS!$K$88="Front-loaded",(TIMELINE!$C$35-TIMELINE!T36+1)*2/(TIMELINE!$C$35*(TIMELINE!$C$35+1)),IF(INPUTS!$K$88="Back-loaded",TIMELINE!T36*2/(TIMELINE!$C$35*(TIMELINE!$C$35+1)),IF(INPUTS!$K$88="S-curve",SIN(PI()*(TIMELINE!T36-0.5)/TIMELINE!$C$35)*SIN(PI()/(2*TIMELINE!$C$35)),0)))))),0)</f>
        <v>0</v>
      </c>
      <c r="U38" s="118" t="n">
        <f aca="false">IF(INPUTS!$E$88="Yes",IF(OR(TIMELINE!U36=0,TIMELINE!$C$35=0),0,IF(INPUTS!$K$88="Upfront",--(TIMELINE!U36=1),IF(INPUTS!$K$88="Even",1/TIMELINE!$C$35,IF(INPUTS!$K$88="Front-loaded",(TIMELINE!$C$35-TIMELINE!U36+1)*2/(TIMELINE!$C$35*(TIMELINE!$C$35+1)),IF(INPUTS!$K$88="Back-loaded",TIMELINE!U36*2/(TIMELINE!$C$35*(TIMELINE!$C$35+1)),IF(INPUTS!$K$88="S-curve",SIN(PI()*(TIMELINE!U36-0.5)/TIMELINE!$C$35)*SIN(PI()/(2*TIMELINE!$C$35)),0)))))),0)</f>
        <v>0</v>
      </c>
      <c r="V38" s="118" t="n">
        <f aca="false">IF(INPUTS!$E$88="Yes",IF(OR(TIMELINE!V36=0,TIMELINE!$C$35=0),0,IF(INPUTS!$K$88="Upfront",--(TIMELINE!V36=1),IF(INPUTS!$K$88="Even",1/TIMELINE!$C$35,IF(INPUTS!$K$88="Front-loaded",(TIMELINE!$C$35-TIMELINE!V36+1)*2/(TIMELINE!$C$35*(TIMELINE!$C$35+1)),IF(INPUTS!$K$88="Back-loaded",TIMELINE!V36*2/(TIMELINE!$C$35*(TIMELINE!$C$35+1)),IF(INPUTS!$K$88="S-curve",SIN(PI()*(TIMELINE!V36-0.5)/TIMELINE!$C$35)*SIN(PI()/(2*TIMELINE!$C$35)),0)))))),0)</f>
        <v>0</v>
      </c>
      <c r="W38" s="118" t="n">
        <f aca="false">IF(INPUTS!$E$88="Yes",IF(OR(TIMELINE!W36=0,TIMELINE!$C$35=0),0,IF(INPUTS!$K$88="Upfront",--(TIMELINE!W36=1),IF(INPUTS!$K$88="Even",1/TIMELINE!$C$35,IF(INPUTS!$K$88="Front-loaded",(TIMELINE!$C$35-TIMELINE!W36+1)*2/(TIMELINE!$C$35*(TIMELINE!$C$35+1)),IF(INPUTS!$K$88="Back-loaded",TIMELINE!W36*2/(TIMELINE!$C$35*(TIMELINE!$C$35+1)),IF(INPUTS!$K$88="S-curve",SIN(PI()*(TIMELINE!W36-0.5)/TIMELINE!$C$35)*SIN(PI()/(2*TIMELINE!$C$35)),0)))))),0)</f>
        <v>0</v>
      </c>
      <c r="X38" s="118" t="n">
        <f aca="false">IF(INPUTS!$E$88="Yes",IF(OR(TIMELINE!X36=0,TIMELINE!$C$35=0),0,IF(INPUTS!$K$88="Upfront",--(TIMELINE!X36=1),IF(INPUTS!$K$88="Even",1/TIMELINE!$C$35,IF(INPUTS!$K$88="Front-loaded",(TIMELINE!$C$35-TIMELINE!X36+1)*2/(TIMELINE!$C$35*(TIMELINE!$C$35+1)),IF(INPUTS!$K$88="Back-loaded",TIMELINE!X36*2/(TIMELINE!$C$35*(TIMELINE!$C$35+1)),IF(INPUTS!$K$88="S-curve",SIN(PI()*(TIMELINE!X36-0.5)/TIMELINE!$C$35)*SIN(PI()/(2*TIMELINE!$C$35)),0)))))),0)</f>
        <v>0</v>
      </c>
      <c r="Y38" s="118" t="n">
        <f aca="false">IF(INPUTS!$E$88="Yes",IF(OR(TIMELINE!Y36=0,TIMELINE!$C$35=0),0,IF(INPUTS!$K$88="Upfront",--(TIMELINE!Y36=1),IF(INPUTS!$K$88="Even",1/TIMELINE!$C$35,IF(INPUTS!$K$88="Front-loaded",(TIMELINE!$C$35-TIMELINE!Y36+1)*2/(TIMELINE!$C$35*(TIMELINE!$C$35+1)),IF(INPUTS!$K$88="Back-loaded",TIMELINE!Y36*2/(TIMELINE!$C$35*(TIMELINE!$C$35+1)),IF(INPUTS!$K$88="S-curve",SIN(PI()*(TIMELINE!Y36-0.5)/TIMELINE!$C$35)*SIN(PI()/(2*TIMELINE!$C$35)),0)))))),0)</f>
        <v>0</v>
      </c>
      <c r="Z38" s="118" t="n">
        <f aca="false">IF(INPUTS!$E$88="Yes",IF(OR(TIMELINE!Z36=0,TIMELINE!$C$35=0),0,IF(INPUTS!$K$88="Upfront",--(TIMELINE!Z36=1),IF(INPUTS!$K$88="Even",1/TIMELINE!$C$35,IF(INPUTS!$K$88="Front-loaded",(TIMELINE!$C$35-TIMELINE!Z36+1)*2/(TIMELINE!$C$35*(TIMELINE!$C$35+1)),IF(INPUTS!$K$88="Back-loaded",TIMELINE!Z36*2/(TIMELINE!$C$35*(TIMELINE!$C$35+1)),IF(INPUTS!$K$88="S-curve",SIN(PI()*(TIMELINE!Z36-0.5)/TIMELINE!$C$35)*SIN(PI()/(2*TIMELINE!$C$35)),0)))))),0)</f>
        <v>0</v>
      </c>
      <c r="AA38" s="118" t="n">
        <f aca="false">IF(INPUTS!$E$88="Yes",IF(OR(TIMELINE!AA36=0,TIMELINE!$C$35=0),0,IF(INPUTS!$K$88="Upfront",--(TIMELINE!AA36=1),IF(INPUTS!$K$88="Even",1/TIMELINE!$C$35,IF(INPUTS!$K$88="Front-loaded",(TIMELINE!$C$35-TIMELINE!AA36+1)*2/(TIMELINE!$C$35*(TIMELINE!$C$35+1)),IF(INPUTS!$K$88="Back-loaded",TIMELINE!AA36*2/(TIMELINE!$C$35*(TIMELINE!$C$35+1)),IF(INPUTS!$K$88="S-curve",SIN(PI()*(TIMELINE!AA36-0.5)/TIMELINE!$C$35)*SIN(PI()/(2*TIMELINE!$C$35)),0)))))),0)</f>
        <v>0</v>
      </c>
      <c r="AB38" s="118" t="n">
        <f aca="false">IF(INPUTS!$E$88="Yes",IF(OR(TIMELINE!AB36=0,TIMELINE!$C$35=0),0,IF(INPUTS!$K$88="Upfront",--(TIMELINE!AB36=1),IF(INPUTS!$K$88="Even",1/TIMELINE!$C$35,IF(INPUTS!$K$88="Front-loaded",(TIMELINE!$C$35-TIMELINE!AB36+1)*2/(TIMELINE!$C$35*(TIMELINE!$C$35+1)),IF(INPUTS!$K$88="Back-loaded",TIMELINE!AB36*2/(TIMELINE!$C$35*(TIMELINE!$C$35+1)),IF(INPUTS!$K$88="S-curve",SIN(PI()*(TIMELINE!AB36-0.5)/TIMELINE!$C$35)*SIN(PI()/(2*TIMELINE!$C$35)),0)))))),0)</f>
        <v>0</v>
      </c>
      <c r="AC38" s="118" t="n">
        <f aca="false">IF(INPUTS!$E$88="Yes",IF(OR(TIMELINE!AC36=0,TIMELINE!$C$35=0),0,IF(INPUTS!$K$88="Upfront",--(TIMELINE!AC36=1),IF(INPUTS!$K$88="Even",1/TIMELINE!$C$35,IF(INPUTS!$K$88="Front-loaded",(TIMELINE!$C$35-TIMELINE!AC36+1)*2/(TIMELINE!$C$35*(TIMELINE!$C$35+1)),IF(INPUTS!$K$88="Back-loaded",TIMELINE!AC36*2/(TIMELINE!$C$35*(TIMELINE!$C$35+1)),IF(INPUTS!$K$88="S-curve",SIN(PI()*(TIMELINE!AC36-0.5)/TIMELINE!$C$35)*SIN(PI()/(2*TIMELINE!$C$35)),0)))))),0)</f>
        <v>0</v>
      </c>
      <c r="AD38" s="118" t="n">
        <f aca="false">IF(INPUTS!$E$88="Yes",IF(OR(TIMELINE!AD36=0,TIMELINE!$C$35=0),0,IF(INPUTS!$K$88="Upfront",--(TIMELINE!AD36=1),IF(INPUTS!$K$88="Even",1/TIMELINE!$C$35,IF(INPUTS!$K$88="Front-loaded",(TIMELINE!$C$35-TIMELINE!AD36+1)*2/(TIMELINE!$C$35*(TIMELINE!$C$35+1)),IF(INPUTS!$K$88="Back-loaded",TIMELINE!AD36*2/(TIMELINE!$C$35*(TIMELINE!$C$35+1)),IF(INPUTS!$K$88="S-curve",SIN(PI()*(TIMELINE!AD36-0.5)/TIMELINE!$C$35)*SIN(PI()/(2*TIMELINE!$C$35)),0)))))),0)</f>
        <v>0</v>
      </c>
      <c r="AE38" s="118" t="n">
        <f aca="false">IF(INPUTS!$E$88="Yes",IF(OR(TIMELINE!AE36=0,TIMELINE!$C$35=0),0,IF(INPUTS!$K$88="Upfront",--(TIMELINE!AE36=1),IF(INPUTS!$K$88="Even",1/TIMELINE!$C$35,IF(INPUTS!$K$88="Front-loaded",(TIMELINE!$C$35-TIMELINE!AE36+1)*2/(TIMELINE!$C$35*(TIMELINE!$C$35+1)),IF(INPUTS!$K$88="Back-loaded",TIMELINE!AE36*2/(TIMELINE!$C$35*(TIMELINE!$C$35+1)),IF(INPUTS!$K$88="S-curve",SIN(PI()*(TIMELINE!AE36-0.5)/TIMELINE!$C$35)*SIN(PI()/(2*TIMELINE!$C$35)),0)))))),0)</f>
        <v>0</v>
      </c>
      <c r="AF38" s="118" t="n">
        <f aca="false">IF(INPUTS!$E$88="Yes",IF(OR(TIMELINE!AF36=0,TIMELINE!$C$35=0),0,IF(INPUTS!$K$88="Upfront",--(TIMELINE!AF36=1),IF(INPUTS!$K$88="Even",1/TIMELINE!$C$35,IF(INPUTS!$K$88="Front-loaded",(TIMELINE!$C$35-TIMELINE!AF36+1)*2/(TIMELINE!$C$35*(TIMELINE!$C$35+1)),IF(INPUTS!$K$88="Back-loaded",TIMELINE!AF36*2/(TIMELINE!$C$35*(TIMELINE!$C$35+1)),IF(INPUTS!$K$88="S-curve",SIN(PI()*(TIMELINE!AF36-0.5)/TIMELINE!$C$35)*SIN(PI()/(2*TIMELINE!$C$35)),0)))))),0)</f>
        <v>0</v>
      </c>
      <c r="AG38" s="118" t="n">
        <f aca="false">IF(INPUTS!$E$88="Yes",IF(OR(TIMELINE!AG36=0,TIMELINE!$C$35=0),0,IF(INPUTS!$K$88="Upfront",--(TIMELINE!AG36=1),IF(INPUTS!$K$88="Even",1/TIMELINE!$C$35,IF(INPUTS!$K$88="Front-loaded",(TIMELINE!$C$35-TIMELINE!AG36+1)*2/(TIMELINE!$C$35*(TIMELINE!$C$35+1)),IF(INPUTS!$K$88="Back-loaded",TIMELINE!AG36*2/(TIMELINE!$C$35*(TIMELINE!$C$35+1)),IF(INPUTS!$K$88="S-curve",SIN(PI()*(TIMELINE!AG36-0.5)/TIMELINE!$C$35)*SIN(PI()/(2*TIMELINE!$C$35)),0)))))),0)</f>
        <v>0</v>
      </c>
      <c r="AH38" s="118" t="n">
        <f aca="false">IF(INPUTS!$E$88="Yes",IF(OR(TIMELINE!AH36=0,TIMELINE!$C$35=0),0,IF(INPUTS!$K$88="Upfront",--(TIMELINE!AH36=1),IF(INPUTS!$K$88="Even",1/TIMELINE!$C$35,IF(INPUTS!$K$88="Front-loaded",(TIMELINE!$C$35-TIMELINE!AH36+1)*2/(TIMELINE!$C$35*(TIMELINE!$C$35+1)),IF(INPUTS!$K$88="Back-loaded",TIMELINE!AH36*2/(TIMELINE!$C$35*(TIMELINE!$C$35+1)),IF(INPUTS!$K$88="S-curve",SIN(PI()*(TIMELINE!AH36-0.5)/TIMELINE!$C$35)*SIN(PI()/(2*TIMELINE!$C$35)),0)))))),0)</f>
        <v>0</v>
      </c>
      <c r="AI38" s="118" t="n">
        <f aca="false">IF(INPUTS!$E$88="Yes",IF(OR(TIMELINE!AI36=0,TIMELINE!$C$35=0),0,IF(INPUTS!$K$88="Upfront",--(TIMELINE!AI36=1),IF(INPUTS!$K$88="Even",1/TIMELINE!$C$35,IF(INPUTS!$K$88="Front-loaded",(TIMELINE!$C$35-TIMELINE!AI36+1)*2/(TIMELINE!$C$35*(TIMELINE!$C$35+1)),IF(INPUTS!$K$88="Back-loaded",TIMELINE!AI36*2/(TIMELINE!$C$35*(TIMELINE!$C$35+1)),IF(INPUTS!$K$88="S-curve",SIN(PI()*(TIMELINE!AI36-0.5)/TIMELINE!$C$35)*SIN(PI()/(2*TIMELINE!$C$35)),0)))))),0)</f>
        <v>0</v>
      </c>
      <c r="AJ38" s="118" t="n">
        <f aca="false">IF(INPUTS!$E$88="Yes",IF(OR(TIMELINE!AJ36=0,TIMELINE!$C$35=0),0,IF(INPUTS!$K$88="Upfront",--(TIMELINE!AJ36=1),IF(INPUTS!$K$88="Even",1/TIMELINE!$C$35,IF(INPUTS!$K$88="Front-loaded",(TIMELINE!$C$35-TIMELINE!AJ36+1)*2/(TIMELINE!$C$35*(TIMELINE!$C$35+1)),IF(INPUTS!$K$88="Back-loaded",TIMELINE!AJ36*2/(TIMELINE!$C$35*(TIMELINE!$C$35+1)),IF(INPUTS!$K$88="S-curve",SIN(PI()*(TIMELINE!AJ36-0.5)/TIMELINE!$C$35)*SIN(PI()/(2*TIMELINE!$C$35)),0)))))),0)</f>
        <v>0</v>
      </c>
      <c r="AK38" s="118" t="n">
        <f aca="false">IF(INPUTS!$E$88="Yes",IF(OR(TIMELINE!AK36=0,TIMELINE!$C$35=0),0,IF(INPUTS!$K$88="Upfront",--(TIMELINE!AK36=1),IF(INPUTS!$K$88="Even",1/TIMELINE!$C$35,IF(INPUTS!$K$88="Front-loaded",(TIMELINE!$C$35-TIMELINE!AK36+1)*2/(TIMELINE!$C$35*(TIMELINE!$C$35+1)),IF(INPUTS!$K$88="Back-loaded",TIMELINE!AK36*2/(TIMELINE!$C$35*(TIMELINE!$C$35+1)),IF(INPUTS!$K$88="S-curve",SIN(PI()*(TIMELINE!AK36-0.5)/TIMELINE!$C$35)*SIN(PI()/(2*TIMELINE!$C$35)),0)))))),0)</f>
        <v>0</v>
      </c>
      <c r="AL38" s="118" t="n">
        <f aca="false">IF(INPUTS!$E$88="Yes",IF(OR(TIMELINE!AL36=0,TIMELINE!$C$35=0),0,IF(INPUTS!$K$88="Upfront",--(TIMELINE!AL36=1),IF(INPUTS!$K$88="Even",1/TIMELINE!$C$35,IF(INPUTS!$K$88="Front-loaded",(TIMELINE!$C$35-TIMELINE!AL36+1)*2/(TIMELINE!$C$35*(TIMELINE!$C$35+1)),IF(INPUTS!$K$88="Back-loaded",TIMELINE!AL36*2/(TIMELINE!$C$35*(TIMELINE!$C$35+1)),IF(INPUTS!$K$88="S-curve",SIN(PI()*(TIMELINE!AL36-0.5)/TIMELINE!$C$35)*SIN(PI()/(2*TIMELINE!$C$35)),0)))))),0)</f>
        <v>0</v>
      </c>
      <c r="AM38" s="118" t="n">
        <f aca="false">IF(INPUTS!$E$88="Yes",IF(OR(TIMELINE!AM36=0,TIMELINE!$C$35=0),0,IF(INPUTS!$K$88="Upfront",--(TIMELINE!AM36=1),IF(INPUTS!$K$88="Even",1/TIMELINE!$C$35,IF(INPUTS!$K$88="Front-loaded",(TIMELINE!$C$35-TIMELINE!AM36+1)*2/(TIMELINE!$C$35*(TIMELINE!$C$35+1)),IF(INPUTS!$K$88="Back-loaded",TIMELINE!AM36*2/(TIMELINE!$C$35*(TIMELINE!$C$35+1)),IF(INPUTS!$K$88="S-curve",SIN(PI()*(TIMELINE!AM36-0.5)/TIMELINE!$C$35)*SIN(PI()/(2*TIMELINE!$C$35)),0)))))),0)</f>
        <v>0</v>
      </c>
      <c r="AN38" s="118" t="n">
        <f aca="false">IF(INPUTS!$E$88="Yes",IF(OR(TIMELINE!AN36=0,TIMELINE!$C$35=0),0,IF(INPUTS!$K$88="Upfront",--(TIMELINE!AN36=1),IF(INPUTS!$K$88="Even",1/TIMELINE!$C$35,IF(INPUTS!$K$88="Front-loaded",(TIMELINE!$C$35-TIMELINE!AN36+1)*2/(TIMELINE!$C$35*(TIMELINE!$C$35+1)),IF(INPUTS!$K$88="Back-loaded",TIMELINE!AN36*2/(TIMELINE!$C$35*(TIMELINE!$C$35+1)),IF(INPUTS!$K$88="S-curve",SIN(PI()*(TIMELINE!AN36-0.5)/TIMELINE!$C$35)*SIN(PI()/(2*TIMELINE!$C$35)),0)))))),0)</f>
        <v>0</v>
      </c>
      <c r="AO38" s="118" t="n">
        <f aca="false">IF(INPUTS!$E$88="Yes",IF(OR(TIMELINE!AO36=0,TIMELINE!$C$35=0),0,IF(INPUTS!$K$88="Upfront",--(TIMELINE!AO36=1),IF(INPUTS!$K$88="Even",1/TIMELINE!$C$35,IF(INPUTS!$K$88="Front-loaded",(TIMELINE!$C$35-TIMELINE!AO36+1)*2/(TIMELINE!$C$35*(TIMELINE!$C$35+1)),IF(INPUTS!$K$88="Back-loaded",TIMELINE!AO36*2/(TIMELINE!$C$35*(TIMELINE!$C$35+1)),IF(INPUTS!$K$88="S-curve",SIN(PI()*(TIMELINE!AO36-0.5)/TIMELINE!$C$35)*SIN(PI()/(2*TIMELINE!$C$35)),0)))))),0)</f>
        <v>0</v>
      </c>
      <c r="AP38" s="118" t="n">
        <f aca="false">IF(INPUTS!$E$88="Yes",IF(OR(TIMELINE!AP36=0,TIMELINE!$C$35=0),0,IF(INPUTS!$K$88="Upfront",--(TIMELINE!AP36=1),IF(INPUTS!$K$88="Even",1/TIMELINE!$C$35,IF(INPUTS!$K$88="Front-loaded",(TIMELINE!$C$35-TIMELINE!AP36+1)*2/(TIMELINE!$C$35*(TIMELINE!$C$35+1)),IF(INPUTS!$K$88="Back-loaded",TIMELINE!AP36*2/(TIMELINE!$C$35*(TIMELINE!$C$35+1)),IF(INPUTS!$K$88="S-curve",SIN(PI()*(TIMELINE!AP36-0.5)/TIMELINE!$C$35)*SIN(PI()/(2*TIMELINE!$C$35)),0)))))),0)</f>
        <v>0</v>
      </c>
      <c r="AQ38" s="118" t="n">
        <f aca="false">IF(INPUTS!$E$88="Yes",IF(OR(TIMELINE!AQ36=0,TIMELINE!$C$35=0),0,IF(INPUTS!$K$88="Upfront",--(TIMELINE!AQ36=1),IF(INPUTS!$K$88="Even",1/TIMELINE!$C$35,IF(INPUTS!$K$88="Front-loaded",(TIMELINE!$C$35-TIMELINE!AQ36+1)*2/(TIMELINE!$C$35*(TIMELINE!$C$35+1)),IF(INPUTS!$K$88="Back-loaded",TIMELINE!AQ36*2/(TIMELINE!$C$35*(TIMELINE!$C$35+1)),IF(INPUTS!$K$88="S-curve",SIN(PI()*(TIMELINE!AQ36-0.5)/TIMELINE!$C$35)*SIN(PI()/(2*TIMELINE!$C$35)),0)))))),0)</f>
        <v>0</v>
      </c>
    </row>
    <row r="39" customFormat="false" ht="15" hidden="false" customHeight="false" outlineLevel="0" collapsed="false">
      <c r="B39" s="3" t="s">
        <v>671</v>
      </c>
      <c r="D39" s="118" t="n">
        <f aca="false">SUM($D38:D38)</f>
        <v>0</v>
      </c>
      <c r="E39" s="118" t="n">
        <f aca="false">SUM($D38:E38)</f>
        <v>0</v>
      </c>
      <c r="F39" s="118" t="n">
        <f aca="false">SUM($D38:F38)</f>
        <v>0.222222222222222</v>
      </c>
      <c r="G39" s="118" t="n">
        <f aca="false">SUM($D38:G38)</f>
        <v>0.416666666666667</v>
      </c>
      <c r="H39" s="118" t="n">
        <f aca="false">SUM($D38:H38)</f>
        <v>0.583333333333333</v>
      </c>
      <c r="I39" s="118" t="n">
        <f aca="false">SUM($D38:I38)</f>
        <v>0.722222222222222</v>
      </c>
      <c r="J39" s="118" t="n">
        <f aca="false">SUM($D38:J38)</f>
        <v>0.833333333333333</v>
      </c>
      <c r="K39" s="118" t="n">
        <f aca="false">SUM($D38:K38)</f>
        <v>0.916666666666667</v>
      </c>
      <c r="L39" s="118" t="n">
        <f aca="false">SUM($D38:L38)</f>
        <v>0.972222222222222</v>
      </c>
      <c r="M39" s="118" t="n">
        <f aca="false">SUM($D38:M38)</f>
        <v>1</v>
      </c>
      <c r="N39" s="118" t="n">
        <f aca="false">SUM($D38:N38)</f>
        <v>1</v>
      </c>
      <c r="O39" s="118" t="n">
        <f aca="false">SUM($D38:O38)</f>
        <v>1</v>
      </c>
      <c r="P39" s="118" t="n">
        <f aca="false">SUM($D38:P38)</f>
        <v>1</v>
      </c>
      <c r="Q39" s="118" t="n">
        <f aca="false">SUM($D38:Q38)</f>
        <v>1</v>
      </c>
      <c r="R39" s="118" t="n">
        <f aca="false">SUM($D38:R38)</f>
        <v>1</v>
      </c>
      <c r="S39" s="118" t="n">
        <f aca="false">SUM($D38:S38)</f>
        <v>1</v>
      </c>
      <c r="T39" s="118" t="n">
        <f aca="false">SUM($D38:T38)</f>
        <v>1</v>
      </c>
      <c r="U39" s="118" t="n">
        <f aca="false">SUM($D38:U38)</f>
        <v>1</v>
      </c>
      <c r="V39" s="118" t="n">
        <f aca="false">SUM($D38:V38)</f>
        <v>1</v>
      </c>
      <c r="W39" s="118" t="n">
        <f aca="false">SUM($D38:W38)</f>
        <v>1</v>
      </c>
      <c r="X39" s="118" t="n">
        <f aca="false">SUM($D38:X38)</f>
        <v>1</v>
      </c>
      <c r="Y39" s="118" t="n">
        <f aca="false">SUM($D38:Y38)</f>
        <v>1</v>
      </c>
      <c r="Z39" s="118" t="n">
        <f aca="false">SUM($D38:Z38)</f>
        <v>1</v>
      </c>
      <c r="AA39" s="118" t="n">
        <f aca="false">SUM($D38:AA38)</f>
        <v>1</v>
      </c>
      <c r="AB39" s="118" t="n">
        <f aca="false">SUM($D38:AB38)</f>
        <v>1</v>
      </c>
      <c r="AC39" s="118" t="n">
        <f aca="false">SUM($D38:AC38)</f>
        <v>1</v>
      </c>
      <c r="AD39" s="118" t="n">
        <f aca="false">SUM($D38:AD38)</f>
        <v>1</v>
      </c>
      <c r="AE39" s="118" t="n">
        <f aca="false">SUM($D38:AE38)</f>
        <v>1</v>
      </c>
      <c r="AF39" s="118" t="n">
        <f aca="false">SUM($D38:AF38)</f>
        <v>1</v>
      </c>
      <c r="AG39" s="118" t="n">
        <f aca="false">SUM($D38:AG38)</f>
        <v>1</v>
      </c>
      <c r="AH39" s="118" t="n">
        <f aca="false">SUM($D38:AH38)</f>
        <v>1</v>
      </c>
      <c r="AI39" s="118" t="n">
        <f aca="false">SUM($D38:AI38)</f>
        <v>1</v>
      </c>
      <c r="AJ39" s="118" t="n">
        <f aca="false">SUM($D38:AJ38)</f>
        <v>1</v>
      </c>
      <c r="AK39" s="118" t="n">
        <f aca="false">SUM($D38:AK38)</f>
        <v>1</v>
      </c>
      <c r="AL39" s="118" t="n">
        <f aca="false">SUM($D38:AL38)</f>
        <v>1</v>
      </c>
      <c r="AM39" s="118" t="n">
        <f aca="false">SUM($D38:AM38)</f>
        <v>1</v>
      </c>
      <c r="AN39" s="118" t="n">
        <f aca="false">SUM($D38:AN38)</f>
        <v>1</v>
      </c>
      <c r="AO39" s="118" t="n">
        <f aca="false">SUM($D38:AO38)</f>
        <v>1</v>
      </c>
      <c r="AP39" s="118" t="n">
        <f aca="false">SUM($D38:AP38)</f>
        <v>1</v>
      </c>
      <c r="AQ39" s="118" t="n">
        <f aca="false">SUM($D38:AQ38)</f>
        <v>1</v>
      </c>
    </row>
    <row r="40" customFormat="false" ht="15" hidden="false" customHeight="false" outlineLevel="0" collapsed="false">
      <c r="B40" s="3" t="s">
        <v>672</v>
      </c>
      <c r="C40" s="117" t="n">
        <f aca="false">SUM(D40:AQ40)</f>
        <v>1</v>
      </c>
      <c r="D40" s="118" t="n">
        <f aca="false">IF(INPUTS!$E$88="Yes",IF(OR(TIMELINE!D38=0,TIMELINE!$C$37=0),0,IF(INPUTS!$O$88="Upfront",--(TIMELINE!D38=1),IF(INPUTS!$O$88="Even",1/TIMELINE!$C$37,IF(INPUTS!$O$88="Front-loaded",(TIMELINE!$C$37-TIMELINE!D38+1)*2/(TIMELINE!$C$37*(TIMELINE!$C$37+1)),IF(INPUTS!$O$88="Back-loaded",TIMELINE!D38*2/(TIMELINE!$C$37*(TIMELINE!$C$37+1)),IF(INPUTS!$O$88="S-curve",SIN(PI()*(TIMELINE!D38-0.5)/TIMELINE!$C$37)*SIN(PI()/(2*TIMELINE!$C$37)),0)))))),0)</f>
        <v>0</v>
      </c>
      <c r="E40" s="118" t="n">
        <f aca="false">IF(INPUTS!$E$88="Yes",IF(OR(TIMELINE!E38=0,TIMELINE!$C$37=0),0,IF(INPUTS!$O$88="Upfront",--(TIMELINE!E38=1),IF(INPUTS!$O$88="Even",1/TIMELINE!$C$37,IF(INPUTS!$O$88="Front-loaded",(TIMELINE!$C$37-TIMELINE!E38+1)*2/(TIMELINE!$C$37*(TIMELINE!$C$37+1)),IF(INPUTS!$O$88="Back-loaded",TIMELINE!E38*2/(TIMELINE!$C$37*(TIMELINE!$C$37+1)),IF(INPUTS!$O$88="S-curve",SIN(PI()*(TIMELINE!E38-0.5)/TIMELINE!$C$37)*SIN(PI()/(2*TIMELINE!$C$37)),0)))))),0)</f>
        <v>0</v>
      </c>
      <c r="F40" s="118" t="n">
        <f aca="false">IF(INPUTS!$E$88="Yes",IF(OR(TIMELINE!F38=0,TIMELINE!$C$37=0),0,IF(INPUTS!$O$88="Upfront",--(TIMELINE!F38=1),IF(INPUTS!$O$88="Even",1/TIMELINE!$C$37,IF(INPUTS!$O$88="Front-loaded",(TIMELINE!$C$37-TIMELINE!F38+1)*2/(TIMELINE!$C$37*(TIMELINE!$C$37+1)),IF(INPUTS!$O$88="Back-loaded",TIMELINE!F38*2/(TIMELINE!$C$37*(TIMELINE!$C$37+1)),IF(INPUTS!$O$88="S-curve",SIN(PI()*(TIMELINE!F38-0.5)/TIMELINE!$C$37)*SIN(PI()/(2*TIMELINE!$C$37)),0)))))),0)</f>
        <v>0</v>
      </c>
      <c r="G40" s="118" t="n">
        <f aca="false">IF(INPUTS!$E$88="Yes",IF(OR(TIMELINE!G38=0,TIMELINE!$C$37=0),0,IF(INPUTS!$O$88="Upfront",--(TIMELINE!G38=1),IF(INPUTS!$O$88="Even",1/TIMELINE!$C$37,IF(INPUTS!$O$88="Front-loaded",(TIMELINE!$C$37-TIMELINE!G38+1)*2/(TIMELINE!$C$37*(TIMELINE!$C$37+1)),IF(INPUTS!$O$88="Back-loaded",TIMELINE!G38*2/(TIMELINE!$C$37*(TIMELINE!$C$37+1)),IF(INPUTS!$O$88="S-curve",SIN(PI()*(TIMELINE!G38-0.5)/TIMELINE!$C$37)*SIN(PI()/(2*TIMELINE!$C$37)),0)))))),0)</f>
        <v>0.0170370868554659</v>
      </c>
      <c r="H40" s="118" t="n">
        <f aca="false">IF(INPUTS!$E$88="Yes",IF(OR(TIMELINE!H38=0,TIMELINE!$C$37=0),0,IF(INPUTS!$O$88="Upfront",--(TIMELINE!H38=1),IF(INPUTS!$O$88="Even",1/TIMELINE!$C$37,IF(INPUTS!$O$88="Front-loaded",(TIMELINE!$C$37-TIMELINE!H38+1)*2/(TIMELINE!$C$37*(TIMELINE!$C$37+1)),IF(INPUTS!$O$88="Back-loaded",TIMELINE!H38*2/(TIMELINE!$C$37*(TIMELINE!$C$37+1)),IF(INPUTS!$O$88="S-curve",SIN(PI()*(TIMELINE!H38-0.5)/TIMELINE!$C$37)*SIN(PI()/(2*TIMELINE!$C$37)),0)))))),0)</f>
        <v>0.0499502112523148</v>
      </c>
      <c r="I40" s="118" t="n">
        <f aca="false">IF(INPUTS!$E$88="Yes",IF(OR(TIMELINE!I38=0,TIMELINE!$C$37=0),0,IF(INPUTS!$O$88="Upfront",--(TIMELINE!I38=1),IF(INPUTS!$O$88="Even",1/TIMELINE!$C$37,IF(INPUTS!$O$88="Front-loaded",(TIMELINE!$C$37-TIMELINE!I38+1)*2/(TIMELINE!$C$37*(TIMELINE!$C$37+1)),IF(INPUTS!$O$88="Back-loaded",TIMELINE!I38*2/(TIMELINE!$C$37*(TIMELINE!$C$37+1)),IF(INPUTS!$O$88="S-curve",SIN(PI()*(TIMELINE!I38-0.5)/TIMELINE!$C$37)*SIN(PI()/(2*TIMELINE!$C$37)),0)))))),0)</f>
        <v>0.0794593112989456</v>
      </c>
      <c r="J40" s="118" t="n">
        <f aca="false">IF(INPUTS!$E$88="Yes",IF(OR(TIMELINE!J38=0,TIMELINE!$C$37=0),0,IF(INPUTS!$O$88="Upfront",--(TIMELINE!J38=1),IF(INPUTS!$O$88="Even",1/TIMELINE!$C$37,IF(INPUTS!$O$88="Front-loaded",(TIMELINE!$C$37-TIMELINE!J38+1)*2/(TIMELINE!$C$37*(TIMELINE!$C$37+1)),IF(INPUTS!$O$88="Back-loaded",TIMELINE!J38*2/(TIMELINE!$C$37*(TIMELINE!$C$37+1)),IF(INPUTS!$O$88="S-curve",SIN(PI()*(TIMELINE!J38-0.5)/TIMELINE!$C$37)*SIN(PI()/(2*TIMELINE!$C$37)),0)))))),0)</f>
        <v>0.103553390593274</v>
      </c>
      <c r="K40" s="118" t="n">
        <f aca="false">IF(INPUTS!$E$88="Yes",IF(OR(TIMELINE!K38=0,TIMELINE!$C$37=0),0,IF(INPUTS!$O$88="Upfront",--(TIMELINE!K38=1),IF(INPUTS!$O$88="Even",1/TIMELINE!$C$37,IF(INPUTS!$O$88="Front-loaded",(TIMELINE!$C$37-TIMELINE!K38+1)*2/(TIMELINE!$C$37*(TIMELINE!$C$37+1)),IF(INPUTS!$O$88="Back-loaded",TIMELINE!K38*2/(TIMELINE!$C$37*(TIMELINE!$C$37+1)),IF(INPUTS!$O$88="S-curve",SIN(PI()*(TIMELINE!K38-0.5)/TIMELINE!$C$37)*SIN(PI()/(2*TIMELINE!$C$37)),0)))))),0)</f>
        <v>0.12059047744874</v>
      </c>
      <c r="L40" s="118" t="n">
        <f aca="false">IF(INPUTS!$E$88="Yes",IF(OR(TIMELINE!L38=0,TIMELINE!$C$37=0),0,IF(INPUTS!$O$88="Upfront",--(TIMELINE!L38=1),IF(INPUTS!$O$88="Even",1/TIMELINE!$C$37,IF(INPUTS!$O$88="Front-loaded",(TIMELINE!$C$37-TIMELINE!L38+1)*2/(TIMELINE!$C$37*(TIMELINE!$C$37+1)),IF(INPUTS!$O$88="Back-loaded",TIMELINE!L38*2/(TIMELINE!$C$37*(TIMELINE!$C$37+1)),IF(INPUTS!$O$88="S-curve",SIN(PI()*(TIMELINE!L38-0.5)/TIMELINE!$C$37)*SIN(PI()/(2*TIMELINE!$C$37)),0)))))),0)</f>
        <v>0.12940952255126</v>
      </c>
      <c r="M40" s="118" t="n">
        <f aca="false">IF(INPUTS!$E$88="Yes",IF(OR(TIMELINE!M38=0,TIMELINE!$C$37=0),0,IF(INPUTS!$O$88="Upfront",--(TIMELINE!M38=1),IF(INPUTS!$O$88="Even",1/TIMELINE!$C$37,IF(INPUTS!$O$88="Front-loaded",(TIMELINE!$C$37-TIMELINE!M38+1)*2/(TIMELINE!$C$37*(TIMELINE!$C$37+1)),IF(INPUTS!$O$88="Back-loaded",TIMELINE!M38*2/(TIMELINE!$C$37*(TIMELINE!$C$37+1)),IF(INPUTS!$O$88="S-curve",SIN(PI()*(TIMELINE!M38-0.5)/TIMELINE!$C$37)*SIN(PI()/(2*TIMELINE!$C$37)),0)))))),0)</f>
        <v>0.12940952255126</v>
      </c>
      <c r="N40" s="118" t="n">
        <f aca="false">IF(INPUTS!$E$88="Yes",IF(OR(TIMELINE!N38=0,TIMELINE!$C$37=0),0,IF(INPUTS!$O$88="Upfront",--(TIMELINE!N38=1),IF(INPUTS!$O$88="Even",1/TIMELINE!$C$37,IF(INPUTS!$O$88="Front-loaded",(TIMELINE!$C$37-TIMELINE!N38+1)*2/(TIMELINE!$C$37*(TIMELINE!$C$37+1)),IF(INPUTS!$O$88="Back-loaded",TIMELINE!N38*2/(TIMELINE!$C$37*(TIMELINE!$C$37+1)),IF(INPUTS!$O$88="S-curve",SIN(PI()*(TIMELINE!N38-0.5)/TIMELINE!$C$37)*SIN(PI()/(2*TIMELINE!$C$37)),0)))))),0)</f>
        <v>0.12059047744874</v>
      </c>
      <c r="O40" s="118" t="n">
        <f aca="false">IF(INPUTS!$E$88="Yes",IF(OR(TIMELINE!O38=0,TIMELINE!$C$37=0),0,IF(INPUTS!$O$88="Upfront",--(TIMELINE!O38=1),IF(INPUTS!$O$88="Even",1/TIMELINE!$C$37,IF(INPUTS!$O$88="Front-loaded",(TIMELINE!$C$37-TIMELINE!O38+1)*2/(TIMELINE!$C$37*(TIMELINE!$C$37+1)),IF(INPUTS!$O$88="Back-loaded",TIMELINE!O38*2/(TIMELINE!$C$37*(TIMELINE!$C$37+1)),IF(INPUTS!$O$88="S-curve",SIN(PI()*(TIMELINE!O38-0.5)/TIMELINE!$C$37)*SIN(PI()/(2*TIMELINE!$C$37)),0)))))),0)</f>
        <v>0.103553390593274</v>
      </c>
      <c r="P40" s="118" t="n">
        <f aca="false">IF(INPUTS!$E$88="Yes",IF(OR(TIMELINE!P38=0,TIMELINE!$C$37=0),0,IF(INPUTS!$O$88="Upfront",--(TIMELINE!P38=1),IF(INPUTS!$O$88="Even",1/TIMELINE!$C$37,IF(INPUTS!$O$88="Front-loaded",(TIMELINE!$C$37-TIMELINE!P38+1)*2/(TIMELINE!$C$37*(TIMELINE!$C$37+1)),IF(INPUTS!$O$88="Back-loaded",TIMELINE!P38*2/(TIMELINE!$C$37*(TIMELINE!$C$37+1)),IF(INPUTS!$O$88="S-curve",SIN(PI()*(TIMELINE!P38-0.5)/TIMELINE!$C$37)*SIN(PI()/(2*TIMELINE!$C$37)),0)))))),0)</f>
        <v>0.0794593112989456</v>
      </c>
      <c r="Q40" s="118" t="n">
        <f aca="false">IF(INPUTS!$E$88="Yes",IF(OR(TIMELINE!Q38=0,TIMELINE!$C$37=0),0,IF(INPUTS!$O$88="Upfront",--(TIMELINE!Q38=1),IF(INPUTS!$O$88="Even",1/TIMELINE!$C$37,IF(INPUTS!$O$88="Front-loaded",(TIMELINE!$C$37-TIMELINE!Q38+1)*2/(TIMELINE!$C$37*(TIMELINE!$C$37+1)),IF(INPUTS!$O$88="Back-loaded",TIMELINE!Q38*2/(TIMELINE!$C$37*(TIMELINE!$C$37+1)),IF(INPUTS!$O$88="S-curve",SIN(PI()*(TIMELINE!Q38-0.5)/TIMELINE!$C$37)*SIN(PI()/(2*TIMELINE!$C$37)),0)))))),0)</f>
        <v>0.0499502112523148</v>
      </c>
      <c r="R40" s="118" t="n">
        <f aca="false">IF(INPUTS!$E$88="Yes",IF(OR(TIMELINE!R38=0,TIMELINE!$C$37=0),0,IF(INPUTS!$O$88="Upfront",--(TIMELINE!R38=1),IF(INPUTS!$O$88="Even",1/TIMELINE!$C$37,IF(INPUTS!$O$88="Front-loaded",(TIMELINE!$C$37-TIMELINE!R38+1)*2/(TIMELINE!$C$37*(TIMELINE!$C$37+1)),IF(INPUTS!$O$88="Back-loaded",TIMELINE!R38*2/(TIMELINE!$C$37*(TIMELINE!$C$37+1)),IF(INPUTS!$O$88="S-curve",SIN(PI()*(TIMELINE!R38-0.5)/TIMELINE!$C$37)*SIN(PI()/(2*TIMELINE!$C$37)),0)))))),0)</f>
        <v>0.0170370868554659</v>
      </c>
      <c r="S40" s="118" t="n">
        <f aca="false">IF(INPUTS!$E$88="Yes",IF(OR(TIMELINE!S38=0,TIMELINE!$C$37=0),0,IF(INPUTS!$O$88="Upfront",--(TIMELINE!S38=1),IF(INPUTS!$O$88="Even",1/TIMELINE!$C$37,IF(INPUTS!$O$88="Front-loaded",(TIMELINE!$C$37-TIMELINE!S38+1)*2/(TIMELINE!$C$37*(TIMELINE!$C$37+1)),IF(INPUTS!$O$88="Back-loaded",TIMELINE!S38*2/(TIMELINE!$C$37*(TIMELINE!$C$37+1)),IF(INPUTS!$O$88="S-curve",SIN(PI()*(TIMELINE!S38-0.5)/TIMELINE!$C$37)*SIN(PI()/(2*TIMELINE!$C$37)),0)))))),0)</f>
        <v>0</v>
      </c>
      <c r="T40" s="118" t="n">
        <f aca="false">IF(INPUTS!$E$88="Yes",IF(OR(TIMELINE!T38=0,TIMELINE!$C$37=0),0,IF(INPUTS!$O$88="Upfront",--(TIMELINE!T38=1),IF(INPUTS!$O$88="Even",1/TIMELINE!$C$37,IF(INPUTS!$O$88="Front-loaded",(TIMELINE!$C$37-TIMELINE!T38+1)*2/(TIMELINE!$C$37*(TIMELINE!$C$37+1)),IF(INPUTS!$O$88="Back-loaded",TIMELINE!T38*2/(TIMELINE!$C$37*(TIMELINE!$C$37+1)),IF(INPUTS!$O$88="S-curve",SIN(PI()*(TIMELINE!T38-0.5)/TIMELINE!$C$37)*SIN(PI()/(2*TIMELINE!$C$37)),0)))))),0)</f>
        <v>0</v>
      </c>
      <c r="U40" s="118" t="n">
        <f aca="false">IF(INPUTS!$E$88="Yes",IF(OR(TIMELINE!U38=0,TIMELINE!$C$37=0),0,IF(INPUTS!$O$88="Upfront",--(TIMELINE!U38=1),IF(INPUTS!$O$88="Even",1/TIMELINE!$C$37,IF(INPUTS!$O$88="Front-loaded",(TIMELINE!$C$37-TIMELINE!U38+1)*2/(TIMELINE!$C$37*(TIMELINE!$C$37+1)),IF(INPUTS!$O$88="Back-loaded",TIMELINE!U38*2/(TIMELINE!$C$37*(TIMELINE!$C$37+1)),IF(INPUTS!$O$88="S-curve",SIN(PI()*(TIMELINE!U38-0.5)/TIMELINE!$C$37)*SIN(PI()/(2*TIMELINE!$C$37)),0)))))),0)</f>
        <v>0</v>
      </c>
      <c r="V40" s="118" t="n">
        <f aca="false">IF(INPUTS!$E$88="Yes",IF(OR(TIMELINE!V38=0,TIMELINE!$C$37=0),0,IF(INPUTS!$O$88="Upfront",--(TIMELINE!V38=1),IF(INPUTS!$O$88="Even",1/TIMELINE!$C$37,IF(INPUTS!$O$88="Front-loaded",(TIMELINE!$C$37-TIMELINE!V38+1)*2/(TIMELINE!$C$37*(TIMELINE!$C$37+1)),IF(INPUTS!$O$88="Back-loaded",TIMELINE!V38*2/(TIMELINE!$C$37*(TIMELINE!$C$37+1)),IF(INPUTS!$O$88="S-curve",SIN(PI()*(TIMELINE!V38-0.5)/TIMELINE!$C$37)*SIN(PI()/(2*TIMELINE!$C$37)),0)))))),0)</f>
        <v>0</v>
      </c>
      <c r="W40" s="118" t="n">
        <f aca="false">IF(INPUTS!$E$88="Yes",IF(OR(TIMELINE!W38=0,TIMELINE!$C$37=0),0,IF(INPUTS!$O$88="Upfront",--(TIMELINE!W38=1),IF(INPUTS!$O$88="Even",1/TIMELINE!$C$37,IF(INPUTS!$O$88="Front-loaded",(TIMELINE!$C$37-TIMELINE!W38+1)*2/(TIMELINE!$C$37*(TIMELINE!$C$37+1)),IF(INPUTS!$O$88="Back-loaded",TIMELINE!W38*2/(TIMELINE!$C$37*(TIMELINE!$C$37+1)),IF(INPUTS!$O$88="S-curve",SIN(PI()*(TIMELINE!W38-0.5)/TIMELINE!$C$37)*SIN(PI()/(2*TIMELINE!$C$37)),0)))))),0)</f>
        <v>0</v>
      </c>
      <c r="X40" s="118" t="n">
        <f aca="false">IF(INPUTS!$E$88="Yes",IF(OR(TIMELINE!X38=0,TIMELINE!$C$37=0),0,IF(INPUTS!$O$88="Upfront",--(TIMELINE!X38=1),IF(INPUTS!$O$88="Even",1/TIMELINE!$C$37,IF(INPUTS!$O$88="Front-loaded",(TIMELINE!$C$37-TIMELINE!X38+1)*2/(TIMELINE!$C$37*(TIMELINE!$C$37+1)),IF(INPUTS!$O$88="Back-loaded",TIMELINE!X38*2/(TIMELINE!$C$37*(TIMELINE!$C$37+1)),IF(INPUTS!$O$88="S-curve",SIN(PI()*(TIMELINE!X38-0.5)/TIMELINE!$C$37)*SIN(PI()/(2*TIMELINE!$C$37)),0)))))),0)</f>
        <v>0</v>
      </c>
      <c r="Y40" s="118" t="n">
        <f aca="false">IF(INPUTS!$E$88="Yes",IF(OR(TIMELINE!Y38=0,TIMELINE!$C$37=0),0,IF(INPUTS!$O$88="Upfront",--(TIMELINE!Y38=1),IF(INPUTS!$O$88="Even",1/TIMELINE!$C$37,IF(INPUTS!$O$88="Front-loaded",(TIMELINE!$C$37-TIMELINE!Y38+1)*2/(TIMELINE!$C$37*(TIMELINE!$C$37+1)),IF(INPUTS!$O$88="Back-loaded",TIMELINE!Y38*2/(TIMELINE!$C$37*(TIMELINE!$C$37+1)),IF(INPUTS!$O$88="S-curve",SIN(PI()*(TIMELINE!Y38-0.5)/TIMELINE!$C$37)*SIN(PI()/(2*TIMELINE!$C$37)),0)))))),0)</f>
        <v>0</v>
      </c>
      <c r="Z40" s="118" t="n">
        <f aca="false">IF(INPUTS!$E$88="Yes",IF(OR(TIMELINE!Z38=0,TIMELINE!$C$37=0),0,IF(INPUTS!$O$88="Upfront",--(TIMELINE!Z38=1),IF(INPUTS!$O$88="Even",1/TIMELINE!$C$37,IF(INPUTS!$O$88="Front-loaded",(TIMELINE!$C$37-TIMELINE!Z38+1)*2/(TIMELINE!$C$37*(TIMELINE!$C$37+1)),IF(INPUTS!$O$88="Back-loaded",TIMELINE!Z38*2/(TIMELINE!$C$37*(TIMELINE!$C$37+1)),IF(INPUTS!$O$88="S-curve",SIN(PI()*(TIMELINE!Z38-0.5)/TIMELINE!$C$37)*SIN(PI()/(2*TIMELINE!$C$37)),0)))))),0)</f>
        <v>0</v>
      </c>
      <c r="AA40" s="118" t="n">
        <f aca="false">IF(INPUTS!$E$88="Yes",IF(OR(TIMELINE!AA38=0,TIMELINE!$C$37=0),0,IF(INPUTS!$O$88="Upfront",--(TIMELINE!AA38=1),IF(INPUTS!$O$88="Even",1/TIMELINE!$C$37,IF(INPUTS!$O$88="Front-loaded",(TIMELINE!$C$37-TIMELINE!AA38+1)*2/(TIMELINE!$C$37*(TIMELINE!$C$37+1)),IF(INPUTS!$O$88="Back-loaded",TIMELINE!AA38*2/(TIMELINE!$C$37*(TIMELINE!$C$37+1)),IF(INPUTS!$O$88="S-curve",SIN(PI()*(TIMELINE!AA38-0.5)/TIMELINE!$C$37)*SIN(PI()/(2*TIMELINE!$C$37)),0)))))),0)</f>
        <v>0</v>
      </c>
      <c r="AB40" s="118" t="n">
        <f aca="false">IF(INPUTS!$E$88="Yes",IF(OR(TIMELINE!AB38=0,TIMELINE!$C$37=0),0,IF(INPUTS!$O$88="Upfront",--(TIMELINE!AB38=1),IF(INPUTS!$O$88="Even",1/TIMELINE!$C$37,IF(INPUTS!$O$88="Front-loaded",(TIMELINE!$C$37-TIMELINE!AB38+1)*2/(TIMELINE!$C$37*(TIMELINE!$C$37+1)),IF(INPUTS!$O$88="Back-loaded",TIMELINE!AB38*2/(TIMELINE!$C$37*(TIMELINE!$C$37+1)),IF(INPUTS!$O$88="S-curve",SIN(PI()*(TIMELINE!AB38-0.5)/TIMELINE!$C$37)*SIN(PI()/(2*TIMELINE!$C$37)),0)))))),0)</f>
        <v>0</v>
      </c>
      <c r="AC40" s="118" t="n">
        <f aca="false">IF(INPUTS!$E$88="Yes",IF(OR(TIMELINE!AC38=0,TIMELINE!$C$37=0),0,IF(INPUTS!$O$88="Upfront",--(TIMELINE!AC38=1),IF(INPUTS!$O$88="Even",1/TIMELINE!$C$37,IF(INPUTS!$O$88="Front-loaded",(TIMELINE!$C$37-TIMELINE!AC38+1)*2/(TIMELINE!$C$37*(TIMELINE!$C$37+1)),IF(INPUTS!$O$88="Back-loaded",TIMELINE!AC38*2/(TIMELINE!$C$37*(TIMELINE!$C$37+1)),IF(INPUTS!$O$88="S-curve",SIN(PI()*(TIMELINE!AC38-0.5)/TIMELINE!$C$37)*SIN(PI()/(2*TIMELINE!$C$37)),0)))))),0)</f>
        <v>0</v>
      </c>
      <c r="AD40" s="118" t="n">
        <f aca="false">IF(INPUTS!$E$88="Yes",IF(OR(TIMELINE!AD38=0,TIMELINE!$C$37=0),0,IF(INPUTS!$O$88="Upfront",--(TIMELINE!AD38=1),IF(INPUTS!$O$88="Even",1/TIMELINE!$C$37,IF(INPUTS!$O$88="Front-loaded",(TIMELINE!$C$37-TIMELINE!AD38+1)*2/(TIMELINE!$C$37*(TIMELINE!$C$37+1)),IF(INPUTS!$O$88="Back-loaded",TIMELINE!AD38*2/(TIMELINE!$C$37*(TIMELINE!$C$37+1)),IF(INPUTS!$O$88="S-curve",SIN(PI()*(TIMELINE!AD38-0.5)/TIMELINE!$C$37)*SIN(PI()/(2*TIMELINE!$C$37)),0)))))),0)</f>
        <v>0</v>
      </c>
      <c r="AE40" s="118" t="n">
        <f aca="false">IF(INPUTS!$E$88="Yes",IF(OR(TIMELINE!AE38=0,TIMELINE!$C$37=0),0,IF(INPUTS!$O$88="Upfront",--(TIMELINE!AE38=1),IF(INPUTS!$O$88="Even",1/TIMELINE!$C$37,IF(INPUTS!$O$88="Front-loaded",(TIMELINE!$C$37-TIMELINE!AE38+1)*2/(TIMELINE!$C$37*(TIMELINE!$C$37+1)),IF(INPUTS!$O$88="Back-loaded",TIMELINE!AE38*2/(TIMELINE!$C$37*(TIMELINE!$C$37+1)),IF(INPUTS!$O$88="S-curve",SIN(PI()*(TIMELINE!AE38-0.5)/TIMELINE!$C$37)*SIN(PI()/(2*TIMELINE!$C$37)),0)))))),0)</f>
        <v>0</v>
      </c>
      <c r="AF40" s="118" t="n">
        <f aca="false">IF(INPUTS!$E$88="Yes",IF(OR(TIMELINE!AF38=0,TIMELINE!$C$37=0),0,IF(INPUTS!$O$88="Upfront",--(TIMELINE!AF38=1),IF(INPUTS!$O$88="Even",1/TIMELINE!$C$37,IF(INPUTS!$O$88="Front-loaded",(TIMELINE!$C$37-TIMELINE!AF38+1)*2/(TIMELINE!$C$37*(TIMELINE!$C$37+1)),IF(INPUTS!$O$88="Back-loaded",TIMELINE!AF38*2/(TIMELINE!$C$37*(TIMELINE!$C$37+1)),IF(INPUTS!$O$88="S-curve",SIN(PI()*(TIMELINE!AF38-0.5)/TIMELINE!$C$37)*SIN(PI()/(2*TIMELINE!$C$37)),0)))))),0)</f>
        <v>0</v>
      </c>
      <c r="AG40" s="118" t="n">
        <f aca="false">IF(INPUTS!$E$88="Yes",IF(OR(TIMELINE!AG38=0,TIMELINE!$C$37=0),0,IF(INPUTS!$O$88="Upfront",--(TIMELINE!AG38=1),IF(INPUTS!$O$88="Even",1/TIMELINE!$C$37,IF(INPUTS!$O$88="Front-loaded",(TIMELINE!$C$37-TIMELINE!AG38+1)*2/(TIMELINE!$C$37*(TIMELINE!$C$37+1)),IF(INPUTS!$O$88="Back-loaded",TIMELINE!AG38*2/(TIMELINE!$C$37*(TIMELINE!$C$37+1)),IF(INPUTS!$O$88="S-curve",SIN(PI()*(TIMELINE!AG38-0.5)/TIMELINE!$C$37)*SIN(PI()/(2*TIMELINE!$C$37)),0)))))),0)</f>
        <v>0</v>
      </c>
      <c r="AH40" s="118" t="n">
        <f aca="false">IF(INPUTS!$E$88="Yes",IF(OR(TIMELINE!AH38=0,TIMELINE!$C$37=0),0,IF(INPUTS!$O$88="Upfront",--(TIMELINE!AH38=1),IF(INPUTS!$O$88="Even",1/TIMELINE!$C$37,IF(INPUTS!$O$88="Front-loaded",(TIMELINE!$C$37-TIMELINE!AH38+1)*2/(TIMELINE!$C$37*(TIMELINE!$C$37+1)),IF(INPUTS!$O$88="Back-loaded",TIMELINE!AH38*2/(TIMELINE!$C$37*(TIMELINE!$C$37+1)),IF(INPUTS!$O$88="S-curve",SIN(PI()*(TIMELINE!AH38-0.5)/TIMELINE!$C$37)*SIN(PI()/(2*TIMELINE!$C$37)),0)))))),0)</f>
        <v>0</v>
      </c>
      <c r="AI40" s="118" t="n">
        <f aca="false">IF(INPUTS!$E$88="Yes",IF(OR(TIMELINE!AI38=0,TIMELINE!$C$37=0),0,IF(INPUTS!$O$88="Upfront",--(TIMELINE!AI38=1),IF(INPUTS!$O$88="Even",1/TIMELINE!$C$37,IF(INPUTS!$O$88="Front-loaded",(TIMELINE!$C$37-TIMELINE!AI38+1)*2/(TIMELINE!$C$37*(TIMELINE!$C$37+1)),IF(INPUTS!$O$88="Back-loaded",TIMELINE!AI38*2/(TIMELINE!$C$37*(TIMELINE!$C$37+1)),IF(INPUTS!$O$88="S-curve",SIN(PI()*(TIMELINE!AI38-0.5)/TIMELINE!$C$37)*SIN(PI()/(2*TIMELINE!$C$37)),0)))))),0)</f>
        <v>0</v>
      </c>
      <c r="AJ40" s="118" t="n">
        <f aca="false">IF(INPUTS!$E$88="Yes",IF(OR(TIMELINE!AJ38=0,TIMELINE!$C$37=0),0,IF(INPUTS!$O$88="Upfront",--(TIMELINE!AJ38=1),IF(INPUTS!$O$88="Even",1/TIMELINE!$C$37,IF(INPUTS!$O$88="Front-loaded",(TIMELINE!$C$37-TIMELINE!AJ38+1)*2/(TIMELINE!$C$37*(TIMELINE!$C$37+1)),IF(INPUTS!$O$88="Back-loaded",TIMELINE!AJ38*2/(TIMELINE!$C$37*(TIMELINE!$C$37+1)),IF(INPUTS!$O$88="S-curve",SIN(PI()*(TIMELINE!AJ38-0.5)/TIMELINE!$C$37)*SIN(PI()/(2*TIMELINE!$C$37)),0)))))),0)</f>
        <v>0</v>
      </c>
      <c r="AK40" s="118" t="n">
        <f aca="false">IF(INPUTS!$E$88="Yes",IF(OR(TIMELINE!AK38=0,TIMELINE!$C$37=0),0,IF(INPUTS!$O$88="Upfront",--(TIMELINE!AK38=1),IF(INPUTS!$O$88="Even",1/TIMELINE!$C$37,IF(INPUTS!$O$88="Front-loaded",(TIMELINE!$C$37-TIMELINE!AK38+1)*2/(TIMELINE!$C$37*(TIMELINE!$C$37+1)),IF(INPUTS!$O$88="Back-loaded",TIMELINE!AK38*2/(TIMELINE!$C$37*(TIMELINE!$C$37+1)),IF(INPUTS!$O$88="S-curve",SIN(PI()*(TIMELINE!AK38-0.5)/TIMELINE!$C$37)*SIN(PI()/(2*TIMELINE!$C$37)),0)))))),0)</f>
        <v>0</v>
      </c>
      <c r="AL40" s="118" t="n">
        <f aca="false">IF(INPUTS!$E$88="Yes",IF(OR(TIMELINE!AL38=0,TIMELINE!$C$37=0),0,IF(INPUTS!$O$88="Upfront",--(TIMELINE!AL38=1),IF(INPUTS!$O$88="Even",1/TIMELINE!$C$37,IF(INPUTS!$O$88="Front-loaded",(TIMELINE!$C$37-TIMELINE!AL38+1)*2/(TIMELINE!$C$37*(TIMELINE!$C$37+1)),IF(INPUTS!$O$88="Back-loaded",TIMELINE!AL38*2/(TIMELINE!$C$37*(TIMELINE!$C$37+1)),IF(INPUTS!$O$88="S-curve",SIN(PI()*(TIMELINE!AL38-0.5)/TIMELINE!$C$37)*SIN(PI()/(2*TIMELINE!$C$37)),0)))))),0)</f>
        <v>0</v>
      </c>
      <c r="AM40" s="118" t="n">
        <f aca="false">IF(INPUTS!$E$88="Yes",IF(OR(TIMELINE!AM38=0,TIMELINE!$C$37=0),0,IF(INPUTS!$O$88="Upfront",--(TIMELINE!AM38=1),IF(INPUTS!$O$88="Even",1/TIMELINE!$C$37,IF(INPUTS!$O$88="Front-loaded",(TIMELINE!$C$37-TIMELINE!AM38+1)*2/(TIMELINE!$C$37*(TIMELINE!$C$37+1)),IF(INPUTS!$O$88="Back-loaded",TIMELINE!AM38*2/(TIMELINE!$C$37*(TIMELINE!$C$37+1)),IF(INPUTS!$O$88="S-curve",SIN(PI()*(TIMELINE!AM38-0.5)/TIMELINE!$C$37)*SIN(PI()/(2*TIMELINE!$C$37)),0)))))),0)</f>
        <v>0</v>
      </c>
      <c r="AN40" s="118" t="n">
        <f aca="false">IF(INPUTS!$E$88="Yes",IF(OR(TIMELINE!AN38=0,TIMELINE!$C$37=0),0,IF(INPUTS!$O$88="Upfront",--(TIMELINE!AN38=1),IF(INPUTS!$O$88="Even",1/TIMELINE!$C$37,IF(INPUTS!$O$88="Front-loaded",(TIMELINE!$C$37-TIMELINE!AN38+1)*2/(TIMELINE!$C$37*(TIMELINE!$C$37+1)),IF(INPUTS!$O$88="Back-loaded",TIMELINE!AN38*2/(TIMELINE!$C$37*(TIMELINE!$C$37+1)),IF(INPUTS!$O$88="S-curve",SIN(PI()*(TIMELINE!AN38-0.5)/TIMELINE!$C$37)*SIN(PI()/(2*TIMELINE!$C$37)),0)))))),0)</f>
        <v>0</v>
      </c>
      <c r="AO40" s="118" t="n">
        <f aca="false">IF(INPUTS!$E$88="Yes",IF(OR(TIMELINE!AO38=0,TIMELINE!$C$37=0),0,IF(INPUTS!$O$88="Upfront",--(TIMELINE!AO38=1),IF(INPUTS!$O$88="Even",1/TIMELINE!$C$37,IF(INPUTS!$O$88="Front-loaded",(TIMELINE!$C$37-TIMELINE!AO38+1)*2/(TIMELINE!$C$37*(TIMELINE!$C$37+1)),IF(INPUTS!$O$88="Back-loaded",TIMELINE!AO38*2/(TIMELINE!$C$37*(TIMELINE!$C$37+1)),IF(INPUTS!$O$88="S-curve",SIN(PI()*(TIMELINE!AO38-0.5)/TIMELINE!$C$37)*SIN(PI()/(2*TIMELINE!$C$37)),0)))))),0)</f>
        <v>0</v>
      </c>
      <c r="AP40" s="118" t="n">
        <f aca="false">IF(INPUTS!$E$88="Yes",IF(OR(TIMELINE!AP38=0,TIMELINE!$C$37=0),0,IF(INPUTS!$O$88="Upfront",--(TIMELINE!AP38=1),IF(INPUTS!$O$88="Even",1/TIMELINE!$C$37,IF(INPUTS!$O$88="Front-loaded",(TIMELINE!$C$37-TIMELINE!AP38+1)*2/(TIMELINE!$C$37*(TIMELINE!$C$37+1)),IF(INPUTS!$O$88="Back-loaded",TIMELINE!AP38*2/(TIMELINE!$C$37*(TIMELINE!$C$37+1)),IF(INPUTS!$O$88="S-curve",SIN(PI()*(TIMELINE!AP38-0.5)/TIMELINE!$C$37)*SIN(PI()/(2*TIMELINE!$C$37)),0)))))),0)</f>
        <v>0</v>
      </c>
      <c r="AQ40" s="118" t="n">
        <f aca="false">IF(INPUTS!$E$88="Yes",IF(OR(TIMELINE!AQ38=0,TIMELINE!$C$37=0),0,IF(INPUTS!$O$88="Upfront",--(TIMELINE!AQ38=1),IF(INPUTS!$O$88="Even",1/TIMELINE!$C$37,IF(INPUTS!$O$88="Front-loaded",(TIMELINE!$C$37-TIMELINE!AQ38+1)*2/(TIMELINE!$C$37*(TIMELINE!$C$37+1)),IF(INPUTS!$O$88="Back-loaded",TIMELINE!AQ38*2/(TIMELINE!$C$37*(TIMELINE!$C$37+1)),IF(INPUTS!$O$88="S-curve",SIN(PI()*(TIMELINE!AQ38-0.5)/TIMELINE!$C$37)*SIN(PI()/(2*TIMELINE!$C$37)),0)))))),0)</f>
        <v>0</v>
      </c>
    </row>
    <row r="41" customFormat="false" ht="15" hidden="false" customHeight="false" outlineLevel="0" collapsed="false">
      <c r="B41" s="3" t="s">
        <v>673</v>
      </c>
      <c r="D41" s="118" t="n">
        <f aca="false">SUM($D40:D40)</f>
        <v>0</v>
      </c>
      <c r="E41" s="118" t="n">
        <f aca="false">SUM($D40:E40)</f>
        <v>0</v>
      </c>
      <c r="F41" s="118" t="n">
        <f aca="false">SUM($D40:F40)</f>
        <v>0</v>
      </c>
      <c r="G41" s="118" t="n">
        <f aca="false">SUM($D40:G40)</f>
        <v>0.0170370868554659</v>
      </c>
      <c r="H41" s="118" t="n">
        <f aca="false">SUM($D40:H40)</f>
        <v>0.0669872981077807</v>
      </c>
      <c r="I41" s="118" t="n">
        <f aca="false">SUM($D40:I40)</f>
        <v>0.146446609406726</v>
      </c>
      <c r="J41" s="118" t="n">
        <f aca="false">SUM($D40:J40)</f>
        <v>0.25</v>
      </c>
      <c r="K41" s="118" t="n">
        <f aca="false">SUM($D40:K40)</f>
        <v>0.37059047744874</v>
      </c>
      <c r="L41" s="118" t="n">
        <f aca="false">SUM($D40:L40)</f>
        <v>0.5</v>
      </c>
      <c r="M41" s="118" t="n">
        <f aca="false">SUM($D40:M40)</f>
        <v>0.62940952255126</v>
      </c>
      <c r="N41" s="118" t="n">
        <f aca="false">SUM($D40:N40)</f>
        <v>0.75</v>
      </c>
      <c r="O41" s="118" t="n">
        <f aca="false">SUM($D40:O40)</f>
        <v>0.853553390593274</v>
      </c>
      <c r="P41" s="118" t="n">
        <f aca="false">SUM($D40:P40)</f>
        <v>0.933012701892219</v>
      </c>
      <c r="Q41" s="118" t="n">
        <f aca="false">SUM($D40:Q40)</f>
        <v>0.982962913144534</v>
      </c>
      <c r="R41" s="118" t="n">
        <f aca="false">SUM($D40:R40)</f>
        <v>1</v>
      </c>
      <c r="S41" s="118" t="n">
        <f aca="false">SUM($D40:S40)</f>
        <v>1</v>
      </c>
      <c r="T41" s="118" t="n">
        <f aca="false">SUM($D40:T40)</f>
        <v>1</v>
      </c>
      <c r="U41" s="118" t="n">
        <f aca="false">SUM($D40:U40)</f>
        <v>1</v>
      </c>
      <c r="V41" s="118" t="n">
        <f aca="false">SUM($D40:V40)</f>
        <v>1</v>
      </c>
      <c r="W41" s="118" t="n">
        <f aca="false">SUM($D40:W40)</f>
        <v>1</v>
      </c>
      <c r="X41" s="118" t="n">
        <f aca="false">SUM($D40:X40)</f>
        <v>1</v>
      </c>
      <c r="Y41" s="118" t="n">
        <f aca="false">SUM($D40:Y40)</f>
        <v>1</v>
      </c>
      <c r="Z41" s="118" t="n">
        <f aca="false">SUM($D40:Z40)</f>
        <v>1</v>
      </c>
      <c r="AA41" s="118" t="n">
        <f aca="false">SUM($D40:AA40)</f>
        <v>1</v>
      </c>
      <c r="AB41" s="118" t="n">
        <f aca="false">SUM($D40:AB40)</f>
        <v>1</v>
      </c>
      <c r="AC41" s="118" t="n">
        <f aca="false">SUM($D40:AC40)</f>
        <v>1</v>
      </c>
      <c r="AD41" s="118" t="n">
        <f aca="false">SUM($D40:AD40)</f>
        <v>1</v>
      </c>
      <c r="AE41" s="118" t="n">
        <f aca="false">SUM($D40:AE40)</f>
        <v>1</v>
      </c>
      <c r="AF41" s="118" t="n">
        <f aca="false">SUM($D40:AF40)</f>
        <v>1</v>
      </c>
      <c r="AG41" s="118" t="n">
        <f aca="false">SUM($D40:AG40)</f>
        <v>1</v>
      </c>
      <c r="AH41" s="118" t="n">
        <f aca="false">SUM($D40:AH40)</f>
        <v>1</v>
      </c>
      <c r="AI41" s="118" t="n">
        <f aca="false">SUM($D40:AI40)</f>
        <v>1</v>
      </c>
      <c r="AJ41" s="118" t="n">
        <f aca="false">SUM($D40:AJ40)</f>
        <v>1</v>
      </c>
      <c r="AK41" s="118" t="n">
        <f aca="false">SUM($D40:AK40)</f>
        <v>1</v>
      </c>
      <c r="AL41" s="118" t="n">
        <f aca="false">SUM($D40:AL40)</f>
        <v>1</v>
      </c>
      <c r="AM41" s="118" t="n">
        <f aca="false">SUM($D40:AM40)</f>
        <v>1</v>
      </c>
      <c r="AN41" s="118" t="n">
        <f aca="false">SUM($D40:AN40)</f>
        <v>1</v>
      </c>
      <c r="AO41" s="118" t="n">
        <f aca="false">SUM($D40:AO40)</f>
        <v>1</v>
      </c>
      <c r="AP41" s="118" t="n">
        <f aca="false">SUM($D40:AP40)</f>
        <v>1</v>
      </c>
      <c r="AQ41" s="118" t="n">
        <f aca="false">SUM($D40:AQ40)</f>
        <v>1</v>
      </c>
    </row>
    <row r="42" customFormat="false" ht="15" hidden="false" customHeight="false" outlineLevel="0" collapsed="false">
      <c r="B42" s="17" t="s">
        <v>674</v>
      </c>
      <c r="C42" s="105" t="str">
        <f aca="false">IF(NOT(INPUTS!$E$88="Yes"),"Off",IF(AND(ABS(C38-1)&lt;0.000000001,ABS(C40-1)&lt;0.000000001,ABS(AQ41-1)&lt;0.000000001),"OK","ERROR"))</f>
        <v>OK</v>
      </c>
    </row>
    <row r="43" customFormat="false" ht="15" hidden="false" customHeight="false" outlineLevel="0" collapsed="false">
      <c r="B43" s="110" t="str">
        <f aca="false">IF(INPUTS!$E$89="Yes",INPUTS!$B$89,"Product row 2 (off)")</f>
        <v>Apartments – Towers A &amp; B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  <row r="44" customFormat="false" ht="15" hidden="false" customHeight="false" outlineLevel="0" collapsed="false">
      <c r="B44" s="3" t="s">
        <v>670</v>
      </c>
      <c r="C44" s="117" t="n">
        <f aca="false">SUM(D44:AQ44)</f>
        <v>1</v>
      </c>
      <c r="D44" s="118" t="n">
        <f aca="false">IF(INPUTS!$E$89="Yes",IF(OR(TIMELINE!D43=0,TIMELINE!$C$42=0),0,IF(INPUTS!$K$89="Upfront",--(TIMELINE!D43=1),IF(INPUTS!$K$89="Even",1/TIMELINE!$C$42,IF(INPUTS!$K$89="Front-loaded",(TIMELINE!$C$42-TIMELINE!D43+1)*2/(TIMELINE!$C$42*(TIMELINE!$C$42+1)),IF(INPUTS!$K$89="Back-loaded",TIMELINE!D43*2/(TIMELINE!$C$42*(TIMELINE!$C$42+1)),IF(INPUTS!$K$89="S-curve",SIN(PI()*(TIMELINE!D43-0.5)/TIMELINE!$C$42)*SIN(PI()/(2*TIMELINE!$C$42)),0)))))),0)</f>
        <v>0</v>
      </c>
      <c r="E44" s="118" t="n">
        <f aca="false">IF(INPUTS!$E$89="Yes",IF(OR(TIMELINE!E43=0,TIMELINE!$C$42=0),0,IF(INPUTS!$K$89="Upfront",--(TIMELINE!E43=1),IF(INPUTS!$K$89="Even",1/TIMELINE!$C$42,IF(INPUTS!$K$89="Front-loaded",(TIMELINE!$C$42-TIMELINE!E43+1)*2/(TIMELINE!$C$42*(TIMELINE!$C$42+1)),IF(INPUTS!$K$89="Back-loaded",TIMELINE!E43*2/(TIMELINE!$C$42*(TIMELINE!$C$42+1)),IF(INPUTS!$K$89="S-curve",SIN(PI()*(TIMELINE!E43-0.5)/TIMELINE!$C$42)*SIN(PI()/(2*TIMELINE!$C$42)),0)))))),0)</f>
        <v>0</v>
      </c>
      <c r="F44" s="118" t="n">
        <f aca="false">IF(INPUTS!$E$89="Yes",IF(OR(TIMELINE!F43=0,TIMELINE!$C$42=0),0,IF(INPUTS!$K$89="Upfront",--(TIMELINE!F43=1),IF(INPUTS!$K$89="Even",1/TIMELINE!$C$42,IF(INPUTS!$K$89="Front-loaded",(TIMELINE!$C$42-TIMELINE!F43+1)*2/(TIMELINE!$C$42*(TIMELINE!$C$42+1)),IF(INPUTS!$K$89="Back-loaded",TIMELINE!F43*2/(TIMELINE!$C$42*(TIMELINE!$C$42+1)),IF(INPUTS!$K$89="S-curve",SIN(PI()*(TIMELINE!F43-0.5)/TIMELINE!$C$42)*SIN(PI()/(2*TIMELINE!$C$42)),0)))))),0)</f>
        <v>0</v>
      </c>
      <c r="G44" s="118" t="n">
        <f aca="false">IF(INPUTS!$E$89="Yes",IF(OR(TIMELINE!G43=0,TIMELINE!$C$42=0),0,IF(INPUTS!$K$89="Upfront",--(TIMELINE!G43=1),IF(INPUTS!$K$89="Even",1/TIMELINE!$C$42,IF(INPUTS!$K$89="Front-loaded",(TIMELINE!$C$42-TIMELINE!G43+1)*2/(TIMELINE!$C$42*(TIMELINE!$C$42+1)),IF(INPUTS!$K$89="Back-loaded",TIMELINE!G43*2/(TIMELINE!$C$42*(TIMELINE!$C$42+1)),IF(INPUTS!$K$89="S-curve",SIN(PI()*(TIMELINE!G43-0.5)/TIMELINE!$C$42)*SIN(PI()/(2*TIMELINE!$C$42)),0)))))),0)</f>
        <v>0.0833333333333333</v>
      </c>
      <c r="H44" s="118" t="n">
        <f aca="false">IF(INPUTS!$E$89="Yes",IF(OR(TIMELINE!H43=0,TIMELINE!$C$42=0),0,IF(INPUTS!$K$89="Upfront",--(TIMELINE!H43=1),IF(INPUTS!$K$89="Even",1/TIMELINE!$C$42,IF(INPUTS!$K$89="Front-loaded",(TIMELINE!$C$42-TIMELINE!H43+1)*2/(TIMELINE!$C$42*(TIMELINE!$C$42+1)),IF(INPUTS!$K$89="Back-loaded",TIMELINE!H43*2/(TIMELINE!$C$42*(TIMELINE!$C$42+1)),IF(INPUTS!$K$89="S-curve",SIN(PI()*(TIMELINE!H43-0.5)/TIMELINE!$C$42)*SIN(PI()/(2*TIMELINE!$C$42)),0)))))),0)</f>
        <v>0.0833333333333333</v>
      </c>
      <c r="I44" s="118" t="n">
        <f aca="false">IF(INPUTS!$E$89="Yes",IF(OR(TIMELINE!I43=0,TIMELINE!$C$42=0),0,IF(INPUTS!$K$89="Upfront",--(TIMELINE!I43=1),IF(INPUTS!$K$89="Even",1/TIMELINE!$C$42,IF(INPUTS!$K$89="Front-loaded",(TIMELINE!$C$42-TIMELINE!I43+1)*2/(TIMELINE!$C$42*(TIMELINE!$C$42+1)),IF(INPUTS!$K$89="Back-loaded",TIMELINE!I43*2/(TIMELINE!$C$42*(TIMELINE!$C$42+1)),IF(INPUTS!$K$89="S-curve",SIN(PI()*(TIMELINE!I43-0.5)/TIMELINE!$C$42)*SIN(PI()/(2*TIMELINE!$C$42)),0)))))),0)</f>
        <v>0.0833333333333333</v>
      </c>
      <c r="J44" s="118" t="n">
        <f aca="false">IF(INPUTS!$E$89="Yes",IF(OR(TIMELINE!J43=0,TIMELINE!$C$42=0),0,IF(INPUTS!$K$89="Upfront",--(TIMELINE!J43=1),IF(INPUTS!$K$89="Even",1/TIMELINE!$C$42,IF(INPUTS!$K$89="Front-loaded",(TIMELINE!$C$42-TIMELINE!J43+1)*2/(TIMELINE!$C$42*(TIMELINE!$C$42+1)),IF(INPUTS!$K$89="Back-loaded",TIMELINE!J43*2/(TIMELINE!$C$42*(TIMELINE!$C$42+1)),IF(INPUTS!$K$89="S-curve",SIN(PI()*(TIMELINE!J43-0.5)/TIMELINE!$C$42)*SIN(PI()/(2*TIMELINE!$C$42)),0)))))),0)</f>
        <v>0.0833333333333333</v>
      </c>
      <c r="K44" s="118" t="n">
        <f aca="false">IF(INPUTS!$E$89="Yes",IF(OR(TIMELINE!K43=0,TIMELINE!$C$42=0),0,IF(INPUTS!$K$89="Upfront",--(TIMELINE!K43=1),IF(INPUTS!$K$89="Even",1/TIMELINE!$C$42,IF(INPUTS!$K$89="Front-loaded",(TIMELINE!$C$42-TIMELINE!K43+1)*2/(TIMELINE!$C$42*(TIMELINE!$C$42+1)),IF(INPUTS!$K$89="Back-loaded",TIMELINE!K43*2/(TIMELINE!$C$42*(TIMELINE!$C$42+1)),IF(INPUTS!$K$89="S-curve",SIN(PI()*(TIMELINE!K43-0.5)/TIMELINE!$C$42)*SIN(PI()/(2*TIMELINE!$C$42)),0)))))),0)</f>
        <v>0.0833333333333333</v>
      </c>
      <c r="L44" s="118" t="n">
        <f aca="false">IF(INPUTS!$E$89="Yes",IF(OR(TIMELINE!L43=0,TIMELINE!$C$42=0),0,IF(INPUTS!$K$89="Upfront",--(TIMELINE!L43=1),IF(INPUTS!$K$89="Even",1/TIMELINE!$C$42,IF(INPUTS!$K$89="Front-loaded",(TIMELINE!$C$42-TIMELINE!L43+1)*2/(TIMELINE!$C$42*(TIMELINE!$C$42+1)),IF(INPUTS!$K$89="Back-loaded",TIMELINE!L43*2/(TIMELINE!$C$42*(TIMELINE!$C$42+1)),IF(INPUTS!$K$89="S-curve",SIN(PI()*(TIMELINE!L43-0.5)/TIMELINE!$C$42)*SIN(PI()/(2*TIMELINE!$C$42)),0)))))),0)</f>
        <v>0.0833333333333333</v>
      </c>
      <c r="M44" s="118" t="n">
        <f aca="false">IF(INPUTS!$E$89="Yes",IF(OR(TIMELINE!M43=0,TIMELINE!$C$42=0),0,IF(INPUTS!$K$89="Upfront",--(TIMELINE!M43=1),IF(INPUTS!$K$89="Even",1/TIMELINE!$C$42,IF(INPUTS!$K$89="Front-loaded",(TIMELINE!$C$42-TIMELINE!M43+1)*2/(TIMELINE!$C$42*(TIMELINE!$C$42+1)),IF(INPUTS!$K$89="Back-loaded",TIMELINE!M43*2/(TIMELINE!$C$42*(TIMELINE!$C$42+1)),IF(INPUTS!$K$89="S-curve",SIN(PI()*(TIMELINE!M43-0.5)/TIMELINE!$C$42)*SIN(PI()/(2*TIMELINE!$C$42)),0)))))),0)</f>
        <v>0.0833333333333333</v>
      </c>
      <c r="N44" s="118" t="n">
        <f aca="false">IF(INPUTS!$E$89="Yes",IF(OR(TIMELINE!N43=0,TIMELINE!$C$42=0),0,IF(INPUTS!$K$89="Upfront",--(TIMELINE!N43=1),IF(INPUTS!$K$89="Even",1/TIMELINE!$C$42,IF(INPUTS!$K$89="Front-loaded",(TIMELINE!$C$42-TIMELINE!N43+1)*2/(TIMELINE!$C$42*(TIMELINE!$C$42+1)),IF(INPUTS!$K$89="Back-loaded",TIMELINE!N43*2/(TIMELINE!$C$42*(TIMELINE!$C$42+1)),IF(INPUTS!$K$89="S-curve",SIN(PI()*(TIMELINE!N43-0.5)/TIMELINE!$C$42)*SIN(PI()/(2*TIMELINE!$C$42)),0)))))),0)</f>
        <v>0.0833333333333333</v>
      </c>
      <c r="O44" s="118" t="n">
        <f aca="false">IF(INPUTS!$E$89="Yes",IF(OR(TIMELINE!O43=0,TIMELINE!$C$42=0),0,IF(INPUTS!$K$89="Upfront",--(TIMELINE!O43=1),IF(INPUTS!$K$89="Even",1/TIMELINE!$C$42,IF(INPUTS!$K$89="Front-loaded",(TIMELINE!$C$42-TIMELINE!O43+1)*2/(TIMELINE!$C$42*(TIMELINE!$C$42+1)),IF(INPUTS!$K$89="Back-loaded",TIMELINE!O43*2/(TIMELINE!$C$42*(TIMELINE!$C$42+1)),IF(INPUTS!$K$89="S-curve",SIN(PI()*(TIMELINE!O43-0.5)/TIMELINE!$C$42)*SIN(PI()/(2*TIMELINE!$C$42)),0)))))),0)</f>
        <v>0.0833333333333333</v>
      </c>
      <c r="P44" s="118" t="n">
        <f aca="false">IF(INPUTS!$E$89="Yes",IF(OR(TIMELINE!P43=0,TIMELINE!$C$42=0),0,IF(INPUTS!$K$89="Upfront",--(TIMELINE!P43=1),IF(INPUTS!$K$89="Even",1/TIMELINE!$C$42,IF(INPUTS!$K$89="Front-loaded",(TIMELINE!$C$42-TIMELINE!P43+1)*2/(TIMELINE!$C$42*(TIMELINE!$C$42+1)),IF(INPUTS!$K$89="Back-loaded",TIMELINE!P43*2/(TIMELINE!$C$42*(TIMELINE!$C$42+1)),IF(INPUTS!$K$89="S-curve",SIN(PI()*(TIMELINE!P43-0.5)/TIMELINE!$C$42)*SIN(PI()/(2*TIMELINE!$C$42)),0)))))),0)</f>
        <v>0.0833333333333333</v>
      </c>
      <c r="Q44" s="118" t="n">
        <f aca="false">IF(INPUTS!$E$89="Yes",IF(OR(TIMELINE!Q43=0,TIMELINE!$C$42=0),0,IF(INPUTS!$K$89="Upfront",--(TIMELINE!Q43=1),IF(INPUTS!$K$89="Even",1/TIMELINE!$C$42,IF(INPUTS!$K$89="Front-loaded",(TIMELINE!$C$42-TIMELINE!Q43+1)*2/(TIMELINE!$C$42*(TIMELINE!$C$42+1)),IF(INPUTS!$K$89="Back-loaded",TIMELINE!Q43*2/(TIMELINE!$C$42*(TIMELINE!$C$42+1)),IF(INPUTS!$K$89="S-curve",SIN(PI()*(TIMELINE!Q43-0.5)/TIMELINE!$C$42)*SIN(PI()/(2*TIMELINE!$C$42)),0)))))),0)</f>
        <v>0.0833333333333333</v>
      </c>
      <c r="R44" s="118" t="n">
        <f aca="false">IF(INPUTS!$E$89="Yes",IF(OR(TIMELINE!R43=0,TIMELINE!$C$42=0),0,IF(INPUTS!$K$89="Upfront",--(TIMELINE!R43=1),IF(INPUTS!$K$89="Even",1/TIMELINE!$C$42,IF(INPUTS!$K$89="Front-loaded",(TIMELINE!$C$42-TIMELINE!R43+1)*2/(TIMELINE!$C$42*(TIMELINE!$C$42+1)),IF(INPUTS!$K$89="Back-loaded",TIMELINE!R43*2/(TIMELINE!$C$42*(TIMELINE!$C$42+1)),IF(INPUTS!$K$89="S-curve",SIN(PI()*(TIMELINE!R43-0.5)/TIMELINE!$C$42)*SIN(PI()/(2*TIMELINE!$C$42)),0)))))),0)</f>
        <v>0.0833333333333333</v>
      </c>
      <c r="S44" s="118" t="n">
        <f aca="false">IF(INPUTS!$E$89="Yes",IF(OR(TIMELINE!S43=0,TIMELINE!$C$42=0),0,IF(INPUTS!$K$89="Upfront",--(TIMELINE!S43=1),IF(INPUTS!$K$89="Even",1/TIMELINE!$C$42,IF(INPUTS!$K$89="Front-loaded",(TIMELINE!$C$42-TIMELINE!S43+1)*2/(TIMELINE!$C$42*(TIMELINE!$C$42+1)),IF(INPUTS!$K$89="Back-loaded",TIMELINE!S43*2/(TIMELINE!$C$42*(TIMELINE!$C$42+1)),IF(INPUTS!$K$89="S-curve",SIN(PI()*(TIMELINE!S43-0.5)/TIMELINE!$C$42)*SIN(PI()/(2*TIMELINE!$C$42)),0)))))),0)</f>
        <v>0</v>
      </c>
      <c r="T44" s="118" t="n">
        <f aca="false">IF(INPUTS!$E$89="Yes",IF(OR(TIMELINE!T43=0,TIMELINE!$C$42=0),0,IF(INPUTS!$K$89="Upfront",--(TIMELINE!T43=1),IF(INPUTS!$K$89="Even",1/TIMELINE!$C$42,IF(INPUTS!$K$89="Front-loaded",(TIMELINE!$C$42-TIMELINE!T43+1)*2/(TIMELINE!$C$42*(TIMELINE!$C$42+1)),IF(INPUTS!$K$89="Back-loaded",TIMELINE!T43*2/(TIMELINE!$C$42*(TIMELINE!$C$42+1)),IF(INPUTS!$K$89="S-curve",SIN(PI()*(TIMELINE!T43-0.5)/TIMELINE!$C$42)*SIN(PI()/(2*TIMELINE!$C$42)),0)))))),0)</f>
        <v>0</v>
      </c>
      <c r="U44" s="118" t="n">
        <f aca="false">IF(INPUTS!$E$89="Yes",IF(OR(TIMELINE!U43=0,TIMELINE!$C$42=0),0,IF(INPUTS!$K$89="Upfront",--(TIMELINE!U43=1),IF(INPUTS!$K$89="Even",1/TIMELINE!$C$42,IF(INPUTS!$K$89="Front-loaded",(TIMELINE!$C$42-TIMELINE!U43+1)*2/(TIMELINE!$C$42*(TIMELINE!$C$42+1)),IF(INPUTS!$K$89="Back-loaded",TIMELINE!U43*2/(TIMELINE!$C$42*(TIMELINE!$C$42+1)),IF(INPUTS!$K$89="S-curve",SIN(PI()*(TIMELINE!U43-0.5)/TIMELINE!$C$42)*SIN(PI()/(2*TIMELINE!$C$42)),0)))))),0)</f>
        <v>0</v>
      </c>
      <c r="V44" s="118" t="n">
        <f aca="false">IF(INPUTS!$E$89="Yes",IF(OR(TIMELINE!V43=0,TIMELINE!$C$42=0),0,IF(INPUTS!$K$89="Upfront",--(TIMELINE!V43=1),IF(INPUTS!$K$89="Even",1/TIMELINE!$C$42,IF(INPUTS!$K$89="Front-loaded",(TIMELINE!$C$42-TIMELINE!V43+1)*2/(TIMELINE!$C$42*(TIMELINE!$C$42+1)),IF(INPUTS!$K$89="Back-loaded",TIMELINE!V43*2/(TIMELINE!$C$42*(TIMELINE!$C$42+1)),IF(INPUTS!$K$89="S-curve",SIN(PI()*(TIMELINE!V43-0.5)/TIMELINE!$C$42)*SIN(PI()/(2*TIMELINE!$C$42)),0)))))),0)</f>
        <v>0</v>
      </c>
      <c r="W44" s="118" t="n">
        <f aca="false">IF(INPUTS!$E$89="Yes",IF(OR(TIMELINE!W43=0,TIMELINE!$C$42=0),0,IF(INPUTS!$K$89="Upfront",--(TIMELINE!W43=1),IF(INPUTS!$K$89="Even",1/TIMELINE!$C$42,IF(INPUTS!$K$89="Front-loaded",(TIMELINE!$C$42-TIMELINE!W43+1)*2/(TIMELINE!$C$42*(TIMELINE!$C$42+1)),IF(INPUTS!$K$89="Back-loaded",TIMELINE!W43*2/(TIMELINE!$C$42*(TIMELINE!$C$42+1)),IF(INPUTS!$K$89="S-curve",SIN(PI()*(TIMELINE!W43-0.5)/TIMELINE!$C$42)*SIN(PI()/(2*TIMELINE!$C$42)),0)))))),0)</f>
        <v>0</v>
      </c>
      <c r="X44" s="118" t="n">
        <f aca="false">IF(INPUTS!$E$89="Yes",IF(OR(TIMELINE!X43=0,TIMELINE!$C$42=0),0,IF(INPUTS!$K$89="Upfront",--(TIMELINE!X43=1),IF(INPUTS!$K$89="Even",1/TIMELINE!$C$42,IF(INPUTS!$K$89="Front-loaded",(TIMELINE!$C$42-TIMELINE!X43+1)*2/(TIMELINE!$C$42*(TIMELINE!$C$42+1)),IF(INPUTS!$K$89="Back-loaded",TIMELINE!X43*2/(TIMELINE!$C$42*(TIMELINE!$C$42+1)),IF(INPUTS!$K$89="S-curve",SIN(PI()*(TIMELINE!X43-0.5)/TIMELINE!$C$42)*SIN(PI()/(2*TIMELINE!$C$42)),0)))))),0)</f>
        <v>0</v>
      </c>
      <c r="Y44" s="118" t="n">
        <f aca="false">IF(INPUTS!$E$89="Yes",IF(OR(TIMELINE!Y43=0,TIMELINE!$C$42=0),0,IF(INPUTS!$K$89="Upfront",--(TIMELINE!Y43=1),IF(INPUTS!$K$89="Even",1/TIMELINE!$C$42,IF(INPUTS!$K$89="Front-loaded",(TIMELINE!$C$42-TIMELINE!Y43+1)*2/(TIMELINE!$C$42*(TIMELINE!$C$42+1)),IF(INPUTS!$K$89="Back-loaded",TIMELINE!Y43*2/(TIMELINE!$C$42*(TIMELINE!$C$42+1)),IF(INPUTS!$K$89="S-curve",SIN(PI()*(TIMELINE!Y43-0.5)/TIMELINE!$C$42)*SIN(PI()/(2*TIMELINE!$C$42)),0)))))),0)</f>
        <v>0</v>
      </c>
      <c r="Z44" s="118" t="n">
        <f aca="false">IF(INPUTS!$E$89="Yes",IF(OR(TIMELINE!Z43=0,TIMELINE!$C$42=0),0,IF(INPUTS!$K$89="Upfront",--(TIMELINE!Z43=1),IF(INPUTS!$K$89="Even",1/TIMELINE!$C$42,IF(INPUTS!$K$89="Front-loaded",(TIMELINE!$C$42-TIMELINE!Z43+1)*2/(TIMELINE!$C$42*(TIMELINE!$C$42+1)),IF(INPUTS!$K$89="Back-loaded",TIMELINE!Z43*2/(TIMELINE!$C$42*(TIMELINE!$C$42+1)),IF(INPUTS!$K$89="S-curve",SIN(PI()*(TIMELINE!Z43-0.5)/TIMELINE!$C$42)*SIN(PI()/(2*TIMELINE!$C$42)),0)))))),0)</f>
        <v>0</v>
      </c>
      <c r="AA44" s="118" t="n">
        <f aca="false">IF(INPUTS!$E$89="Yes",IF(OR(TIMELINE!AA43=0,TIMELINE!$C$42=0),0,IF(INPUTS!$K$89="Upfront",--(TIMELINE!AA43=1),IF(INPUTS!$K$89="Even",1/TIMELINE!$C$42,IF(INPUTS!$K$89="Front-loaded",(TIMELINE!$C$42-TIMELINE!AA43+1)*2/(TIMELINE!$C$42*(TIMELINE!$C$42+1)),IF(INPUTS!$K$89="Back-loaded",TIMELINE!AA43*2/(TIMELINE!$C$42*(TIMELINE!$C$42+1)),IF(INPUTS!$K$89="S-curve",SIN(PI()*(TIMELINE!AA43-0.5)/TIMELINE!$C$42)*SIN(PI()/(2*TIMELINE!$C$42)),0)))))),0)</f>
        <v>0</v>
      </c>
      <c r="AB44" s="118" t="n">
        <f aca="false">IF(INPUTS!$E$89="Yes",IF(OR(TIMELINE!AB43=0,TIMELINE!$C$42=0),0,IF(INPUTS!$K$89="Upfront",--(TIMELINE!AB43=1),IF(INPUTS!$K$89="Even",1/TIMELINE!$C$42,IF(INPUTS!$K$89="Front-loaded",(TIMELINE!$C$42-TIMELINE!AB43+1)*2/(TIMELINE!$C$42*(TIMELINE!$C$42+1)),IF(INPUTS!$K$89="Back-loaded",TIMELINE!AB43*2/(TIMELINE!$C$42*(TIMELINE!$C$42+1)),IF(INPUTS!$K$89="S-curve",SIN(PI()*(TIMELINE!AB43-0.5)/TIMELINE!$C$42)*SIN(PI()/(2*TIMELINE!$C$42)),0)))))),0)</f>
        <v>0</v>
      </c>
      <c r="AC44" s="118" t="n">
        <f aca="false">IF(INPUTS!$E$89="Yes",IF(OR(TIMELINE!AC43=0,TIMELINE!$C$42=0),0,IF(INPUTS!$K$89="Upfront",--(TIMELINE!AC43=1),IF(INPUTS!$K$89="Even",1/TIMELINE!$C$42,IF(INPUTS!$K$89="Front-loaded",(TIMELINE!$C$42-TIMELINE!AC43+1)*2/(TIMELINE!$C$42*(TIMELINE!$C$42+1)),IF(INPUTS!$K$89="Back-loaded",TIMELINE!AC43*2/(TIMELINE!$C$42*(TIMELINE!$C$42+1)),IF(INPUTS!$K$89="S-curve",SIN(PI()*(TIMELINE!AC43-0.5)/TIMELINE!$C$42)*SIN(PI()/(2*TIMELINE!$C$42)),0)))))),0)</f>
        <v>0</v>
      </c>
      <c r="AD44" s="118" t="n">
        <f aca="false">IF(INPUTS!$E$89="Yes",IF(OR(TIMELINE!AD43=0,TIMELINE!$C$42=0),0,IF(INPUTS!$K$89="Upfront",--(TIMELINE!AD43=1),IF(INPUTS!$K$89="Even",1/TIMELINE!$C$42,IF(INPUTS!$K$89="Front-loaded",(TIMELINE!$C$42-TIMELINE!AD43+1)*2/(TIMELINE!$C$42*(TIMELINE!$C$42+1)),IF(INPUTS!$K$89="Back-loaded",TIMELINE!AD43*2/(TIMELINE!$C$42*(TIMELINE!$C$42+1)),IF(INPUTS!$K$89="S-curve",SIN(PI()*(TIMELINE!AD43-0.5)/TIMELINE!$C$42)*SIN(PI()/(2*TIMELINE!$C$42)),0)))))),0)</f>
        <v>0</v>
      </c>
      <c r="AE44" s="118" t="n">
        <f aca="false">IF(INPUTS!$E$89="Yes",IF(OR(TIMELINE!AE43=0,TIMELINE!$C$42=0),0,IF(INPUTS!$K$89="Upfront",--(TIMELINE!AE43=1),IF(INPUTS!$K$89="Even",1/TIMELINE!$C$42,IF(INPUTS!$K$89="Front-loaded",(TIMELINE!$C$42-TIMELINE!AE43+1)*2/(TIMELINE!$C$42*(TIMELINE!$C$42+1)),IF(INPUTS!$K$89="Back-loaded",TIMELINE!AE43*2/(TIMELINE!$C$42*(TIMELINE!$C$42+1)),IF(INPUTS!$K$89="S-curve",SIN(PI()*(TIMELINE!AE43-0.5)/TIMELINE!$C$42)*SIN(PI()/(2*TIMELINE!$C$42)),0)))))),0)</f>
        <v>0</v>
      </c>
      <c r="AF44" s="118" t="n">
        <f aca="false">IF(INPUTS!$E$89="Yes",IF(OR(TIMELINE!AF43=0,TIMELINE!$C$42=0),0,IF(INPUTS!$K$89="Upfront",--(TIMELINE!AF43=1),IF(INPUTS!$K$89="Even",1/TIMELINE!$C$42,IF(INPUTS!$K$89="Front-loaded",(TIMELINE!$C$42-TIMELINE!AF43+1)*2/(TIMELINE!$C$42*(TIMELINE!$C$42+1)),IF(INPUTS!$K$89="Back-loaded",TIMELINE!AF43*2/(TIMELINE!$C$42*(TIMELINE!$C$42+1)),IF(INPUTS!$K$89="S-curve",SIN(PI()*(TIMELINE!AF43-0.5)/TIMELINE!$C$42)*SIN(PI()/(2*TIMELINE!$C$42)),0)))))),0)</f>
        <v>0</v>
      </c>
      <c r="AG44" s="118" t="n">
        <f aca="false">IF(INPUTS!$E$89="Yes",IF(OR(TIMELINE!AG43=0,TIMELINE!$C$42=0),0,IF(INPUTS!$K$89="Upfront",--(TIMELINE!AG43=1),IF(INPUTS!$K$89="Even",1/TIMELINE!$C$42,IF(INPUTS!$K$89="Front-loaded",(TIMELINE!$C$42-TIMELINE!AG43+1)*2/(TIMELINE!$C$42*(TIMELINE!$C$42+1)),IF(INPUTS!$K$89="Back-loaded",TIMELINE!AG43*2/(TIMELINE!$C$42*(TIMELINE!$C$42+1)),IF(INPUTS!$K$89="S-curve",SIN(PI()*(TIMELINE!AG43-0.5)/TIMELINE!$C$42)*SIN(PI()/(2*TIMELINE!$C$42)),0)))))),0)</f>
        <v>0</v>
      </c>
      <c r="AH44" s="118" t="n">
        <f aca="false">IF(INPUTS!$E$89="Yes",IF(OR(TIMELINE!AH43=0,TIMELINE!$C$42=0),0,IF(INPUTS!$K$89="Upfront",--(TIMELINE!AH43=1),IF(INPUTS!$K$89="Even",1/TIMELINE!$C$42,IF(INPUTS!$K$89="Front-loaded",(TIMELINE!$C$42-TIMELINE!AH43+1)*2/(TIMELINE!$C$42*(TIMELINE!$C$42+1)),IF(INPUTS!$K$89="Back-loaded",TIMELINE!AH43*2/(TIMELINE!$C$42*(TIMELINE!$C$42+1)),IF(INPUTS!$K$89="S-curve",SIN(PI()*(TIMELINE!AH43-0.5)/TIMELINE!$C$42)*SIN(PI()/(2*TIMELINE!$C$42)),0)))))),0)</f>
        <v>0</v>
      </c>
      <c r="AI44" s="118" t="n">
        <f aca="false">IF(INPUTS!$E$89="Yes",IF(OR(TIMELINE!AI43=0,TIMELINE!$C$42=0),0,IF(INPUTS!$K$89="Upfront",--(TIMELINE!AI43=1),IF(INPUTS!$K$89="Even",1/TIMELINE!$C$42,IF(INPUTS!$K$89="Front-loaded",(TIMELINE!$C$42-TIMELINE!AI43+1)*2/(TIMELINE!$C$42*(TIMELINE!$C$42+1)),IF(INPUTS!$K$89="Back-loaded",TIMELINE!AI43*2/(TIMELINE!$C$42*(TIMELINE!$C$42+1)),IF(INPUTS!$K$89="S-curve",SIN(PI()*(TIMELINE!AI43-0.5)/TIMELINE!$C$42)*SIN(PI()/(2*TIMELINE!$C$42)),0)))))),0)</f>
        <v>0</v>
      </c>
      <c r="AJ44" s="118" t="n">
        <f aca="false">IF(INPUTS!$E$89="Yes",IF(OR(TIMELINE!AJ43=0,TIMELINE!$C$42=0),0,IF(INPUTS!$K$89="Upfront",--(TIMELINE!AJ43=1),IF(INPUTS!$K$89="Even",1/TIMELINE!$C$42,IF(INPUTS!$K$89="Front-loaded",(TIMELINE!$C$42-TIMELINE!AJ43+1)*2/(TIMELINE!$C$42*(TIMELINE!$C$42+1)),IF(INPUTS!$K$89="Back-loaded",TIMELINE!AJ43*2/(TIMELINE!$C$42*(TIMELINE!$C$42+1)),IF(INPUTS!$K$89="S-curve",SIN(PI()*(TIMELINE!AJ43-0.5)/TIMELINE!$C$42)*SIN(PI()/(2*TIMELINE!$C$42)),0)))))),0)</f>
        <v>0</v>
      </c>
      <c r="AK44" s="118" t="n">
        <f aca="false">IF(INPUTS!$E$89="Yes",IF(OR(TIMELINE!AK43=0,TIMELINE!$C$42=0),0,IF(INPUTS!$K$89="Upfront",--(TIMELINE!AK43=1),IF(INPUTS!$K$89="Even",1/TIMELINE!$C$42,IF(INPUTS!$K$89="Front-loaded",(TIMELINE!$C$42-TIMELINE!AK43+1)*2/(TIMELINE!$C$42*(TIMELINE!$C$42+1)),IF(INPUTS!$K$89="Back-loaded",TIMELINE!AK43*2/(TIMELINE!$C$42*(TIMELINE!$C$42+1)),IF(INPUTS!$K$89="S-curve",SIN(PI()*(TIMELINE!AK43-0.5)/TIMELINE!$C$42)*SIN(PI()/(2*TIMELINE!$C$42)),0)))))),0)</f>
        <v>0</v>
      </c>
      <c r="AL44" s="118" t="n">
        <f aca="false">IF(INPUTS!$E$89="Yes",IF(OR(TIMELINE!AL43=0,TIMELINE!$C$42=0),0,IF(INPUTS!$K$89="Upfront",--(TIMELINE!AL43=1),IF(INPUTS!$K$89="Even",1/TIMELINE!$C$42,IF(INPUTS!$K$89="Front-loaded",(TIMELINE!$C$42-TIMELINE!AL43+1)*2/(TIMELINE!$C$42*(TIMELINE!$C$42+1)),IF(INPUTS!$K$89="Back-loaded",TIMELINE!AL43*2/(TIMELINE!$C$42*(TIMELINE!$C$42+1)),IF(INPUTS!$K$89="S-curve",SIN(PI()*(TIMELINE!AL43-0.5)/TIMELINE!$C$42)*SIN(PI()/(2*TIMELINE!$C$42)),0)))))),0)</f>
        <v>0</v>
      </c>
      <c r="AM44" s="118" t="n">
        <f aca="false">IF(INPUTS!$E$89="Yes",IF(OR(TIMELINE!AM43=0,TIMELINE!$C$42=0),0,IF(INPUTS!$K$89="Upfront",--(TIMELINE!AM43=1),IF(INPUTS!$K$89="Even",1/TIMELINE!$C$42,IF(INPUTS!$K$89="Front-loaded",(TIMELINE!$C$42-TIMELINE!AM43+1)*2/(TIMELINE!$C$42*(TIMELINE!$C$42+1)),IF(INPUTS!$K$89="Back-loaded",TIMELINE!AM43*2/(TIMELINE!$C$42*(TIMELINE!$C$42+1)),IF(INPUTS!$K$89="S-curve",SIN(PI()*(TIMELINE!AM43-0.5)/TIMELINE!$C$42)*SIN(PI()/(2*TIMELINE!$C$42)),0)))))),0)</f>
        <v>0</v>
      </c>
      <c r="AN44" s="118" t="n">
        <f aca="false">IF(INPUTS!$E$89="Yes",IF(OR(TIMELINE!AN43=0,TIMELINE!$C$42=0),0,IF(INPUTS!$K$89="Upfront",--(TIMELINE!AN43=1),IF(INPUTS!$K$89="Even",1/TIMELINE!$C$42,IF(INPUTS!$K$89="Front-loaded",(TIMELINE!$C$42-TIMELINE!AN43+1)*2/(TIMELINE!$C$42*(TIMELINE!$C$42+1)),IF(INPUTS!$K$89="Back-loaded",TIMELINE!AN43*2/(TIMELINE!$C$42*(TIMELINE!$C$42+1)),IF(INPUTS!$K$89="S-curve",SIN(PI()*(TIMELINE!AN43-0.5)/TIMELINE!$C$42)*SIN(PI()/(2*TIMELINE!$C$42)),0)))))),0)</f>
        <v>0</v>
      </c>
      <c r="AO44" s="118" t="n">
        <f aca="false">IF(INPUTS!$E$89="Yes",IF(OR(TIMELINE!AO43=0,TIMELINE!$C$42=0),0,IF(INPUTS!$K$89="Upfront",--(TIMELINE!AO43=1),IF(INPUTS!$K$89="Even",1/TIMELINE!$C$42,IF(INPUTS!$K$89="Front-loaded",(TIMELINE!$C$42-TIMELINE!AO43+1)*2/(TIMELINE!$C$42*(TIMELINE!$C$42+1)),IF(INPUTS!$K$89="Back-loaded",TIMELINE!AO43*2/(TIMELINE!$C$42*(TIMELINE!$C$42+1)),IF(INPUTS!$K$89="S-curve",SIN(PI()*(TIMELINE!AO43-0.5)/TIMELINE!$C$42)*SIN(PI()/(2*TIMELINE!$C$42)),0)))))),0)</f>
        <v>0</v>
      </c>
      <c r="AP44" s="118" t="n">
        <f aca="false">IF(INPUTS!$E$89="Yes",IF(OR(TIMELINE!AP43=0,TIMELINE!$C$42=0),0,IF(INPUTS!$K$89="Upfront",--(TIMELINE!AP43=1),IF(INPUTS!$K$89="Even",1/TIMELINE!$C$42,IF(INPUTS!$K$89="Front-loaded",(TIMELINE!$C$42-TIMELINE!AP43+1)*2/(TIMELINE!$C$42*(TIMELINE!$C$42+1)),IF(INPUTS!$K$89="Back-loaded",TIMELINE!AP43*2/(TIMELINE!$C$42*(TIMELINE!$C$42+1)),IF(INPUTS!$K$89="S-curve",SIN(PI()*(TIMELINE!AP43-0.5)/TIMELINE!$C$42)*SIN(PI()/(2*TIMELINE!$C$42)),0)))))),0)</f>
        <v>0</v>
      </c>
      <c r="AQ44" s="118" t="n">
        <f aca="false">IF(INPUTS!$E$89="Yes",IF(OR(TIMELINE!AQ43=0,TIMELINE!$C$42=0),0,IF(INPUTS!$K$89="Upfront",--(TIMELINE!AQ43=1),IF(INPUTS!$K$89="Even",1/TIMELINE!$C$42,IF(INPUTS!$K$89="Front-loaded",(TIMELINE!$C$42-TIMELINE!AQ43+1)*2/(TIMELINE!$C$42*(TIMELINE!$C$42+1)),IF(INPUTS!$K$89="Back-loaded",TIMELINE!AQ43*2/(TIMELINE!$C$42*(TIMELINE!$C$42+1)),IF(INPUTS!$K$89="S-curve",SIN(PI()*(TIMELINE!AQ43-0.5)/TIMELINE!$C$42)*SIN(PI()/(2*TIMELINE!$C$42)),0)))))),0)</f>
        <v>0</v>
      </c>
    </row>
    <row r="45" customFormat="false" ht="15" hidden="false" customHeight="false" outlineLevel="0" collapsed="false">
      <c r="B45" s="3" t="s">
        <v>671</v>
      </c>
      <c r="D45" s="118" t="n">
        <f aca="false">SUM($D44:D44)</f>
        <v>0</v>
      </c>
      <c r="E45" s="118" t="n">
        <f aca="false">SUM($D44:E44)</f>
        <v>0</v>
      </c>
      <c r="F45" s="118" t="n">
        <f aca="false">SUM($D44:F44)</f>
        <v>0</v>
      </c>
      <c r="G45" s="118" t="n">
        <f aca="false">SUM($D44:G44)</f>
        <v>0.0833333333333333</v>
      </c>
      <c r="H45" s="118" t="n">
        <f aca="false">SUM($D44:H44)</f>
        <v>0.166666666666667</v>
      </c>
      <c r="I45" s="118" t="n">
        <f aca="false">SUM($D44:I44)</f>
        <v>0.25</v>
      </c>
      <c r="J45" s="118" t="n">
        <f aca="false">SUM($D44:J44)</f>
        <v>0.333333333333333</v>
      </c>
      <c r="K45" s="118" t="n">
        <f aca="false">SUM($D44:K44)</f>
        <v>0.416666666666667</v>
      </c>
      <c r="L45" s="118" t="n">
        <f aca="false">SUM($D44:L44)</f>
        <v>0.5</v>
      </c>
      <c r="M45" s="118" t="n">
        <f aca="false">SUM($D44:M44)</f>
        <v>0.583333333333333</v>
      </c>
      <c r="N45" s="118" t="n">
        <f aca="false">SUM($D44:N44)</f>
        <v>0.666666666666667</v>
      </c>
      <c r="O45" s="118" t="n">
        <f aca="false">SUM($D44:O44)</f>
        <v>0.75</v>
      </c>
      <c r="P45" s="118" t="n">
        <f aca="false">SUM($D44:P44)</f>
        <v>0.833333333333333</v>
      </c>
      <c r="Q45" s="118" t="n">
        <f aca="false">SUM($D44:Q44)</f>
        <v>0.916666666666667</v>
      </c>
      <c r="R45" s="118" t="n">
        <f aca="false">SUM($D44:R44)</f>
        <v>1</v>
      </c>
      <c r="S45" s="118" t="n">
        <f aca="false">SUM($D44:S44)</f>
        <v>1</v>
      </c>
      <c r="T45" s="118" t="n">
        <f aca="false">SUM($D44:T44)</f>
        <v>1</v>
      </c>
      <c r="U45" s="118" t="n">
        <f aca="false">SUM($D44:U44)</f>
        <v>1</v>
      </c>
      <c r="V45" s="118" t="n">
        <f aca="false">SUM($D44:V44)</f>
        <v>1</v>
      </c>
      <c r="W45" s="118" t="n">
        <f aca="false">SUM($D44:W44)</f>
        <v>1</v>
      </c>
      <c r="X45" s="118" t="n">
        <f aca="false">SUM($D44:X44)</f>
        <v>1</v>
      </c>
      <c r="Y45" s="118" t="n">
        <f aca="false">SUM($D44:Y44)</f>
        <v>1</v>
      </c>
      <c r="Z45" s="118" t="n">
        <f aca="false">SUM($D44:Z44)</f>
        <v>1</v>
      </c>
      <c r="AA45" s="118" t="n">
        <f aca="false">SUM($D44:AA44)</f>
        <v>1</v>
      </c>
      <c r="AB45" s="118" t="n">
        <f aca="false">SUM($D44:AB44)</f>
        <v>1</v>
      </c>
      <c r="AC45" s="118" t="n">
        <f aca="false">SUM($D44:AC44)</f>
        <v>1</v>
      </c>
      <c r="AD45" s="118" t="n">
        <f aca="false">SUM($D44:AD44)</f>
        <v>1</v>
      </c>
      <c r="AE45" s="118" t="n">
        <f aca="false">SUM($D44:AE44)</f>
        <v>1</v>
      </c>
      <c r="AF45" s="118" t="n">
        <f aca="false">SUM($D44:AF44)</f>
        <v>1</v>
      </c>
      <c r="AG45" s="118" t="n">
        <f aca="false">SUM($D44:AG44)</f>
        <v>1</v>
      </c>
      <c r="AH45" s="118" t="n">
        <f aca="false">SUM($D44:AH44)</f>
        <v>1</v>
      </c>
      <c r="AI45" s="118" t="n">
        <f aca="false">SUM($D44:AI44)</f>
        <v>1</v>
      </c>
      <c r="AJ45" s="118" t="n">
        <f aca="false">SUM($D44:AJ44)</f>
        <v>1</v>
      </c>
      <c r="AK45" s="118" t="n">
        <f aca="false">SUM($D44:AK44)</f>
        <v>1</v>
      </c>
      <c r="AL45" s="118" t="n">
        <f aca="false">SUM($D44:AL44)</f>
        <v>1</v>
      </c>
      <c r="AM45" s="118" t="n">
        <f aca="false">SUM($D44:AM44)</f>
        <v>1</v>
      </c>
      <c r="AN45" s="118" t="n">
        <f aca="false">SUM($D44:AN44)</f>
        <v>1</v>
      </c>
      <c r="AO45" s="118" t="n">
        <f aca="false">SUM($D44:AO44)</f>
        <v>1</v>
      </c>
      <c r="AP45" s="118" t="n">
        <f aca="false">SUM($D44:AP44)</f>
        <v>1</v>
      </c>
      <c r="AQ45" s="118" t="n">
        <f aca="false">SUM($D44:AQ44)</f>
        <v>1</v>
      </c>
    </row>
    <row r="46" customFormat="false" ht="15" hidden="false" customHeight="false" outlineLevel="0" collapsed="false">
      <c r="B46" s="3" t="s">
        <v>672</v>
      </c>
      <c r="C46" s="117" t="n">
        <f aca="false">SUM(D46:AQ46)</f>
        <v>1</v>
      </c>
      <c r="D46" s="118" t="n">
        <f aca="false">IF(INPUTS!$E$89="Yes",IF(OR(TIMELINE!D45=0,TIMELINE!$C$44=0),0,IF(INPUTS!$O$89="Upfront",--(TIMELINE!D45=1),IF(INPUTS!$O$89="Even",1/TIMELINE!$C$44,IF(INPUTS!$O$89="Front-loaded",(TIMELINE!$C$44-TIMELINE!D45+1)*2/(TIMELINE!$C$44*(TIMELINE!$C$44+1)),IF(INPUTS!$O$89="Back-loaded",TIMELINE!D45*2/(TIMELINE!$C$44*(TIMELINE!$C$44+1)),IF(INPUTS!$O$89="S-curve",SIN(PI()*(TIMELINE!D45-0.5)/TIMELINE!$C$44)*SIN(PI()/(2*TIMELINE!$C$44)),0)))))),0)</f>
        <v>0</v>
      </c>
      <c r="E46" s="118" t="n">
        <f aca="false">IF(INPUTS!$E$89="Yes",IF(OR(TIMELINE!E45=0,TIMELINE!$C$44=0),0,IF(INPUTS!$O$89="Upfront",--(TIMELINE!E45=1),IF(INPUTS!$O$89="Even",1/TIMELINE!$C$44,IF(INPUTS!$O$89="Front-loaded",(TIMELINE!$C$44-TIMELINE!E45+1)*2/(TIMELINE!$C$44*(TIMELINE!$C$44+1)),IF(INPUTS!$O$89="Back-loaded",TIMELINE!E45*2/(TIMELINE!$C$44*(TIMELINE!$C$44+1)),IF(INPUTS!$O$89="S-curve",SIN(PI()*(TIMELINE!E45-0.5)/TIMELINE!$C$44)*SIN(PI()/(2*TIMELINE!$C$44)),0)))))),0)</f>
        <v>0</v>
      </c>
      <c r="F46" s="118" t="n">
        <f aca="false">IF(INPUTS!$E$89="Yes",IF(OR(TIMELINE!F45=0,TIMELINE!$C$44=0),0,IF(INPUTS!$O$89="Upfront",--(TIMELINE!F45=1),IF(INPUTS!$O$89="Even",1/TIMELINE!$C$44,IF(INPUTS!$O$89="Front-loaded",(TIMELINE!$C$44-TIMELINE!F45+1)*2/(TIMELINE!$C$44*(TIMELINE!$C$44+1)),IF(INPUTS!$O$89="Back-loaded",TIMELINE!F45*2/(TIMELINE!$C$44*(TIMELINE!$C$44+1)),IF(INPUTS!$O$89="S-curve",SIN(PI()*(TIMELINE!F45-0.5)/TIMELINE!$C$44)*SIN(PI()/(2*TIMELINE!$C$44)),0)))))),0)</f>
        <v>0</v>
      </c>
      <c r="G46" s="118" t="n">
        <f aca="false">IF(INPUTS!$E$89="Yes",IF(OR(TIMELINE!G45=0,TIMELINE!$C$44=0),0,IF(INPUTS!$O$89="Upfront",--(TIMELINE!G45=1),IF(INPUTS!$O$89="Even",1/TIMELINE!$C$44,IF(INPUTS!$O$89="Front-loaded",(TIMELINE!$C$44-TIMELINE!G45+1)*2/(TIMELINE!$C$44*(TIMELINE!$C$44+1)),IF(INPUTS!$O$89="Back-loaded",TIMELINE!G45*2/(TIMELINE!$C$44*(TIMELINE!$C$44+1)),IF(INPUTS!$O$89="S-curve",SIN(PI()*(TIMELINE!G45-0.5)/TIMELINE!$C$44)*SIN(PI()/(2*TIMELINE!$C$44)),0)))))),0)</f>
        <v>0</v>
      </c>
      <c r="H46" s="118" t="n">
        <f aca="false">IF(INPUTS!$E$89="Yes",IF(OR(TIMELINE!H45=0,TIMELINE!$C$44=0),0,IF(INPUTS!$O$89="Upfront",--(TIMELINE!H45=1),IF(INPUTS!$O$89="Even",1/TIMELINE!$C$44,IF(INPUTS!$O$89="Front-loaded",(TIMELINE!$C$44-TIMELINE!H45+1)*2/(TIMELINE!$C$44*(TIMELINE!$C$44+1)),IF(INPUTS!$O$89="Back-loaded",TIMELINE!H45*2/(TIMELINE!$C$44*(TIMELINE!$C$44+1)),IF(INPUTS!$O$89="S-curve",SIN(PI()*(TIMELINE!H45-0.5)/TIMELINE!$C$44)*SIN(PI()/(2*TIMELINE!$C$44)),0)))))),0)</f>
        <v>0.00960735979838478</v>
      </c>
      <c r="I46" s="118" t="n">
        <f aca="false">IF(INPUTS!$E$89="Yes",IF(OR(TIMELINE!I45=0,TIMELINE!$C$44=0),0,IF(INPUTS!$O$89="Upfront",--(TIMELINE!I45=1),IF(INPUTS!$O$89="Even",1/TIMELINE!$C$44,IF(INPUTS!$O$89="Front-loaded",(TIMELINE!$C$44-TIMELINE!I45+1)*2/(TIMELINE!$C$44*(TIMELINE!$C$44+1)),IF(INPUTS!$O$89="Back-loaded",TIMELINE!I45*2/(TIMELINE!$C$44*(TIMELINE!$C$44+1)),IF(INPUTS!$O$89="S-curve",SIN(PI()*(TIMELINE!I45-0.5)/TIMELINE!$C$44)*SIN(PI()/(2*TIMELINE!$C$44)),0)))))),0)</f>
        <v>0.0284528739459718</v>
      </c>
      <c r="J46" s="118" t="n">
        <f aca="false">IF(INPUTS!$E$89="Yes",IF(OR(TIMELINE!J45=0,TIMELINE!$C$44=0),0,IF(INPUTS!$O$89="Upfront",--(TIMELINE!J45=1),IF(INPUTS!$O$89="Even",1/TIMELINE!$C$44,IF(INPUTS!$O$89="Front-loaded",(TIMELINE!$C$44-TIMELINE!J45+1)*2/(TIMELINE!$C$44*(TIMELINE!$C$44+1)),IF(INPUTS!$O$89="Back-loaded",TIMELINE!J45*2/(TIMELINE!$C$44*(TIMELINE!$C$44+1)),IF(INPUTS!$O$89="S-curve",SIN(PI()*(TIMELINE!J45-0.5)/TIMELINE!$C$44)*SIN(PI()/(2*TIMELINE!$C$44)),0)))))),0)</f>
        <v>0.0462049601043708</v>
      </c>
      <c r="K46" s="118" t="n">
        <f aca="false">IF(INPUTS!$E$89="Yes",IF(OR(TIMELINE!K45=0,TIMELINE!$C$44=0),0,IF(INPUTS!$O$89="Upfront",--(TIMELINE!K45=1),IF(INPUTS!$O$89="Even",1/TIMELINE!$C$44,IF(INPUTS!$O$89="Front-loaded",(TIMELINE!$C$44-TIMELINE!K45+1)*2/(TIMELINE!$C$44*(TIMELINE!$C$44+1)),IF(INPUTS!$O$89="Back-loaded",TIMELINE!K45*2/(TIMELINE!$C$44*(TIMELINE!$C$44+1)),IF(INPUTS!$O$89="S-curve",SIN(PI()*(TIMELINE!K45-0.5)/TIMELINE!$C$44)*SIN(PI()/(2*TIMELINE!$C$44)),0)))))),0)</f>
        <v>0.0621814155579989</v>
      </c>
      <c r="L46" s="118" t="n">
        <f aca="false">IF(INPUTS!$E$89="Yes",IF(OR(TIMELINE!L45=0,TIMELINE!$C$44=0),0,IF(INPUTS!$O$89="Upfront",--(TIMELINE!L45=1),IF(INPUTS!$O$89="Even",1/TIMELINE!$C$44,IF(INPUTS!$O$89="Front-loaded",(TIMELINE!$C$44-TIMELINE!L45+1)*2/(TIMELINE!$C$44*(TIMELINE!$C$44+1)),IF(INPUTS!$O$89="Back-loaded",TIMELINE!L45*2/(TIMELINE!$C$44*(TIMELINE!$C$44+1)),IF(INPUTS!$O$89="S-curve",SIN(PI()*(TIMELINE!L45-0.5)/TIMELINE!$C$44)*SIN(PI()/(2*TIMELINE!$C$44)),0)))))),0)</f>
        <v>0.0757682740834727</v>
      </c>
      <c r="M46" s="118" t="n">
        <f aca="false">IF(INPUTS!$E$89="Yes",IF(OR(TIMELINE!M45=0,TIMELINE!$C$44=0),0,IF(INPUTS!$O$89="Upfront",--(TIMELINE!M45=1),IF(INPUTS!$O$89="Even",1/TIMELINE!$C$44,IF(INPUTS!$O$89="Front-loaded",(TIMELINE!$C$44-TIMELINE!M45+1)*2/(TIMELINE!$C$44*(TIMELINE!$C$44+1)),IF(INPUTS!$O$89="Back-loaded",TIMELINE!M45*2/(TIMELINE!$C$44*(TIMELINE!$C$44+1)),IF(INPUTS!$O$89="S-curve",SIN(PI()*(TIMELINE!M45-0.5)/TIMELINE!$C$44)*SIN(PI()/(2*TIMELINE!$C$44)),0)))))),0)</f>
        <v>0.0864434003272562</v>
      </c>
      <c r="N46" s="118" t="n">
        <f aca="false">IF(INPUTS!$E$89="Yes",IF(OR(TIMELINE!N45=0,TIMELINE!$C$44=0),0,IF(INPUTS!$O$89="Upfront",--(TIMELINE!N45=1),IF(INPUTS!$O$89="Even",1/TIMELINE!$C$44,IF(INPUTS!$O$89="Front-loaded",(TIMELINE!$C$44-TIMELINE!N45+1)*2/(TIMELINE!$C$44*(TIMELINE!$C$44+1)),IF(INPUTS!$O$89="Back-loaded",TIMELINE!N45*2/(TIMELINE!$C$44*(TIMELINE!$C$44+1)),IF(INPUTS!$O$89="S-curve",SIN(PI()*(TIMELINE!N45-0.5)/TIMELINE!$C$44)*SIN(PI()/(2*TIMELINE!$C$44)),0)))))),0)</f>
        <v>0.0937965551744808</v>
      </c>
      <c r="O46" s="118" t="n">
        <f aca="false">IF(INPUTS!$E$89="Yes",IF(OR(TIMELINE!O45=0,TIMELINE!$C$44=0),0,IF(INPUTS!$O$89="Upfront",--(TIMELINE!O45=1),IF(INPUTS!$O$89="Even",1/TIMELINE!$C$44,IF(INPUTS!$O$89="Front-loaded",(TIMELINE!$C$44-TIMELINE!O45+1)*2/(TIMELINE!$C$44*(TIMELINE!$C$44+1)),IF(INPUTS!$O$89="Back-loaded",TIMELINE!O45*2/(TIMELINE!$C$44*(TIMELINE!$C$44+1)),IF(INPUTS!$O$89="S-curve",SIN(PI()*(TIMELINE!O45-0.5)/TIMELINE!$C$44)*SIN(PI()/(2*TIMELINE!$C$44)),0)))))),0)</f>
        <v>0.0975451610080641</v>
      </c>
      <c r="P46" s="118" t="n">
        <f aca="false">IF(INPUTS!$E$89="Yes",IF(OR(TIMELINE!P45=0,TIMELINE!$C$44=0),0,IF(INPUTS!$O$89="Upfront",--(TIMELINE!P45=1),IF(INPUTS!$O$89="Even",1/TIMELINE!$C$44,IF(INPUTS!$O$89="Front-loaded",(TIMELINE!$C$44-TIMELINE!P45+1)*2/(TIMELINE!$C$44*(TIMELINE!$C$44+1)),IF(INPUTS!$O$89="Back-loaded",TIMELINE!P45*2/(TIMELINE!$C$44*(TIMELINE!$C$44+1)),IF(INPUTS!$O$89="S-curve",SIN(PI()*(TIMELINE!P45-0.5)/TIMELINE!$C$44)*SIN(PI()/(2*TIMELINE!$C$44)),0)))))),0)</f>
        <v>0.0975451610080641</v>
      </c>
      <c r="Q46" s="118" t="n">
        <f aca="false">IF(INPUTS!$E$89="Yes",IF(OR(TIMELINE!Q45=0,TIMELINE!$C$44=0),0,IF(INPUTS!$O$89="Upfront",--(TIMELINE!Q45=1),IF(INPUTS!$O$89="Even",1/TIMELINE!$C$44,IF(INPUTS!$O$89="Front-loaded",(TIMELINE!$C$44-TIMELINE!Q45+1)*2/(TIMELINE!$C$44*(TIMELINE!$C$44+1)),IF(INPUTS!$O$89="Back-loaded",TIMELINE!Q45*2/(TIMELINE!$C$44*(TIMELINE!$C$44+1)),IF(INPUTS!$O$89="S-curve",SIN(PI()*(TIMELINE!Q45-0.5)/TIMELINE!$C$44)*SIN(PI()/(2*TIMELINE!$C$44)),0)))))),0)</f>
        <v>0.0937965551744808</v>
      </c>
      <c r="R46" s="118" t="n">
        <f aca="false">IF(INPUTS!$E$89="Yes",IF(OR(TIMELINE!R45=0,TIMELINE!$C$44=0),0,IF(INPUTS!$O$89="Upfront",--(TIMELINE!R45=1),IF(INPUTS!$O$89="Even",1/TIMELINE!$C$44,IF(INPUTS!$O$89="Front-loaded",(TIMELINE!$C$44-TIMELINE!R45+1)*2/(TIMELINE!$C$44*(TIMELINE!$C$44+1)),IF(INPUTS!$O$89="Back-loaded",TIMELINE!R45*2/(TIMELINE!$C$44*(TIMELINE!$C$44+1)),IF(INPUTS!$O$89="S-curve",SIN(PI()*(TIMELINE!R45-0.5)/TIMELINE!$C$44)*SIN(PI()/(2*TIMELINE!$C$44)),0)))))),0)</f>
        <v>0.0864434003272562</v>
      </c>
      <c r="S46" s="118" t="n">
        <f aca="false">IF(INPUTS!$E$89="Yes",IF(OR(TIMELINE!S45=0,TIMELINE!$C$44=0),0,IF(INPUTS!$O$89="Upfront",--(TIMELINE!S45=1),IF(INPUTS!$O$89="Even",1/TIMELINE!$C$44,IF(INPUTS!$O$89="Front-loaded",(TIMELINE!$C$44-TIMELINE!S45+1)*2/(TIMELINE!$C$44*(TIMELINE!$C$44+1)),IF(INPUTS!$O$89="Back-loaded",TIMELINE!S45*2/(TIMELINE!$C$44*(TIMELINE!$C$44+1)),IF(INPUTS!$O$89="S-curve",SIN(PI()*(TIMELINE!S45-0.5)/TIMELINE!$C$44)*SIN(PI()/(2*TIMELINE!$C$44)),0)))))),0)</f>
        <v>0.0757682740834727</v>
      </c>
      <c r="T46" s="118" t="n">
        <f aca="false">IF(INPUTS!$E$89="Yes",IF(OR(TIMELINE!T45=0,TIMELINE!$C$44=0),0,IF(INPUTS!$O$89="Upfront",--(TIMELINE!T45=1),IF(INPUTS!$O$89="Even",1/TIMELINE!$C$44,IF(INPUTS!$O$89="Front-loaded",(TIMELINE!$C$44-TIMELINE!T45+1)*2/(TIMELINE!$C$44*(TIMELINE!$C$44+1)),IF(INPUTS!$O$89="Back-loaded",TIMELINE!T45*2/(TIMELINE!$C$44*(TIMELINE!$C$44+1)),IF(INPUTS!$O$89="S-curve",SIN(PI()*(TIMELINE!T45-0.5)/TIMELINE!$C$44)*SIN(PI()/(2*TIMELINE!$C$44)),0)))))),0)</f>
        <v>0.0621814155579989</v>
      </c>
      <c r="U46" s="118" t="n">
        <f aca="false">IF(INPUTS!$E$89="Yes",IF(OR(TIMELINE!U45=0,TIMELINE!$C$44=0),0,IF(INPUTS!$O$89="Upfront",--(TIMELINE!U45=1),IF(INPUTS!$O$89="Even",1/TIMELINE!$C$44,IF(INPUTS!$O$89="Front-loaded",(TIMELINE!$C$44-TIMELINE!U45+1)*2/(TIMELINE!$C$44*(TIMELINE!$C$44+1)),IF(INPUTS!$O$89="Back-loaded",TIMELINE!U45*2/(TIMELINE!$C$44*(TIMELINE!$C$44+1)),IF(INPUTS!$O$89="S-curve",SIN(PI()*(TIMELINE!U45-0.5)/TIMELINE!$C$44)*SIN(PI()/(2*TIMELINE!$C$44)),0)))))),0)</f>
        <v>0.0462049601043708</v>
      </c>
      <c r="V46" s="118" t="n">
        <f aca="false">IF(INPUTS!$E$89="Yes",IF(OR(TIMELINE!V45=0,TIMELINE!$C$44=0),0,IF(INPUTS!$O$89="Upfront",--(TIMELINE!V45=1),IF(INPUTS!$O$89="Even",1/TIMELINE!$C$44,IF(INPUTS!$O$89="Front-loaded",(TIMELINE!$C$44-TIMELINE!V45+1)*2/(TIMELINE!$C$44*(TIMELINE!$C$44+1)),IF(INPUTS!$O$89="Back-loaded",TIMELINE!V45*2/(TIMELINE!$C$44*(TIMELINE!$C$44+1)),IF(INPUTS!$O$89="S-curve",SIN(PI()*(TIMELINE!V45-0.5)/TIMELINE!$C$44)*SIN(PI()/(2*TIMELINE!$C$44)),0)))))),0)</f>
        <v>0.0284528739459719</v>
      </c>
      <c r="W46" s="118" t="n">
        <f aca="false">IF(INPUTS!$E$89="Yes",IF(OR(TIMELINE!W45=0,TIMELINE!$C$44=0),0,IF(INPUTS!$O$89="Upfront",--(TIMELINE!W45=1),IF(INPUTS!$O$89="Even",1/TIMELINE!$C$44,IF(INPUTS!$O$89="Front-loaded",(TIMELINE!$C$44-TIMELINE!W45+1)*2/(TIMELINE!$C$44*(TIMELINE!$C$44+1)),IF(INPUTS!$O$89="Back-loaded",TIMELINE!W45*2/(TIMELINE!$C$44*(TIMELINE!$C$44+1)),IF(INPUTS!$O$89="S-curve",SIN(PI()*(TIMELINE!W45-0.5)/TIMELINE!$C$44)*SIN(PI()/(2*TIMELINE!$C$44)),0)))))),0)</f>
        <v>0.0096073597983848</v>
      </c>
      <c r="X46" s="118" t="n">
        <f aca="false">IF(INPUTS!$E$89="Yes",IF(OR(TIMELINE!X45=0,TIMELINE!$C$44=0),0,IF(INPUTS!$O$89="Upfront",--(TIMELINE!X45=1),IF(INPUTS!$O$89="Even",1/TIMELINE!$C$44,IF(INPUTS!$O$89="Front-loaded",(TIMELINE!$C$44-TIMELINE!X45+1)*2/(TIMELINE!$C$44*(TIMELINE!$C$44+1)),IF(INPUTS!$O$89="Back-loaded",TIMELINE!X45*2/(TIMELINE!$C$44*(TIMELINE!$C$44+1)),IF(INPUTS!$O$89="S-curve",SIN(PI()*(TIMELINE!X45-0.5)/TIMELINE!$C$44)*SIN(PI()/(2*TIMELINE!$C$44)),0)))))),0)</f>
        <v>0</v>
      </c>
      <c r="Y46" s="118" t="n">
        <f aca="false">IF(INPUTS!$E$89="Yes",IF(OR(TIMELINE!Y45=0,TIMELINE!$C$44=0),0,IF(INPUTS!$O$89="Upfront",--(TIMELINE!Y45=1),IF(INPUTS!$O$89="Even",1/TIMELINE!$C$44,IF(INPUTS!$O$89="Front-loaded",(TIMELINE!$C$44-TIMELINE!Y45+1)*2/(TIMELINE!$C$44*(TIMELINE!$C$44+1)),IF(INPUTS!$O$89="Back-loaded",TIMELINE!Y45*2/(TIMELINE!$C$44*(TIMELINE!$C$44+1)),IF(INPUTS!$O$89="S-curve",SIN(PI()*(TIMELINE!Y45-0.5)/TIMELINE!$C$44)*SIN(PI()/(2*TIMELINE!$C$44)),0)))))),0)</f>
        <v>0</v>
      </c>
      <c r="Z46" s="118" t="n">
        <f aca="false">IF(INPUTS!$E$89="Yes",IF(OR(TIMELINE!Z45=0,TIMELINE!$C$44=0),0,IF(INPUTS!$O$89="Upfront",--(TIMELINE!Z45=1),IF(INPUTS!$O$89="Even",1/TIMELINE!$C$44,IF(INPUTS!$O$89="Front-loaded",(TIMELINE!$C$44-TIMELINE!Z45+1)*2/(TIMELINE!$C$44*(TIMELINE!$C$44+1)),IF(INPUTS!$O$89="Back-loaded",TIMELINE!Z45*2/(TIMELINE!$C$44*(TIMELINE!$C$44+1)),IF(INPUTS!$O$89="S-curve",SIN(PI()*(TIMELINE!Z45-0.5)/TIMELINE!$C$44)*SIN(PI()/(2*TIMELINE!$C$44)),0)))))),0)</f>
        <v>0</v>
      </c>
      <c r="AA46" s="118" t="n">
        <f aca="false">IF(INPUTS!$E$89="Yes",IF(OR(TIMELINE!AA45=0,TIMELINE!$C$44=0),0,IF(INPUTS!$O$89="Upfront",--(TIMELINE!AA45=1),IF(INPUTS!$O$89="Even",1/TIMELINE!$C$44,IF(INPUTS!$O$89="Front-loaded",(TIMELINE!$C$44-TIMELINE!AA45+1)*2/(TIMELINE!$C$44*(TIMELINE!$C$44+1)),IF(INPUTS!$O$89="Back-loaded",TIMELINE!AA45*2/(TIMELINE!$C$44*(TIMELINE!$C$44+1)),IF(INPUTS!$O$89="S-curve",SIN(PI()*(TIMELINE!AA45-0.5)/TIMELINE!$C$44)*SIN(PI()/(2*TIMELINE!$C$44)),0)))))),0)</f>
        <v>0</v>
      </c>
      <c r="AB46" s="118" t="n">
        <f aca="false">IF(INPUTS!$E$89="Yes",IF(OR(TIMELINE!AB45=0,TIMELINE!$C$44=0),0,IF(INPUTS!$O$89="Upfront",--(TIMELINE!AB45=1),IF(INPUTS!$O$89="Even",1/TIMELINE!$C$44,IF(INPUTS!$O$89="Front-loaded",(TIMELINE!$C$44-TIMELINE!AB45+1)*2/(TIMELINE!$C$44*(TIMELINE!$C$44+1)),IF(INPUTS!$O$89="Back-loaded",TIMELINE!AB45*2/(TIMELINE!$C$44*(TIMELINE!$C$44+1)),IF(INPUTS!$O$89="S-curve",SIN(PI()*(TIMELINE!AB45-0.5)/TIMELINE!$C$44)*SIN(PI()/(2*TIMELINE!$C$44)),0)))))),0)</f>
        <v>0</v>
      </c>
      <c r="AC46" s="118" t="n">
        <f aca="false">IF(INPUTS!$E$89="Yes",IF(OR(TIMELINE!AC45=0,TIMELINE!$C$44=0),0,IF(INPUTS!$O$89="Upfront",--(TIMELINE!AC45=1),IF(INPUTS!$O$89="Even",1/TIMELINE!$C$44,IF(INPUTS!$O$89="Front-loaded",(TIMELINE!$C$44-TIMELINE!AC45+1)*2/(TIMELINE!$C$44*(TIMELINE!$C$44+1)),IF(INPUTS!$O$89="Back-loaded",TIMELINE!AC45*2/(TIMELINE!$C$44*(TIMELINE!$C$44+1)),IF(INPUTS!$O$89="S-curve",SIN(PI()*(TIMELINE!AC45-0.5)/TIMELINE!$C$44)*SIN(PI()/(2*TIMELINE!$C$44)),0)))))),0)</f>
        <v>0</v>
      </c>
      <c r="AD46" s="118" t="n">
        <f aca="false">IF(INPUTS!$E$89="Yes",IF(OR(TIMELINE!AD45=0,TIMELINE!$C$44=0),0,IF(INPUTS!$O$89="Upfront",--(TIMELINE!AD45=1),IF(INPUTS!$O$89="Even",1/TIMELINE!$C$44,IF(INPUTS!$O$89="Front-loaded",(TIMELINE!$C$44-TIMELINE!AD45+1)*2/(TIMELINE!$C$44*(TIMELINE!$C$44+1)),IF(INPUTS!$O$89="Back-loaded",TIMELINE!AD45*2/(TIMELINE!$C$44*(TIMELINE!$C$44+1)),IF(INPUTS!$O$89="S-curve",SIN(PI()*(TIMELINE!AD45-0.5)/TIMELINE!$C$44)*SIN(PI()/(2*TIMELINE!$C$44)),0)))))),0)</f>
        <v>0</v>
      </c>
      <c r="AE46" s="118" t="n">
        <f aca="false">IF(INPUTS!$E$89="Yes",IF(OR(TIMELINE!AE45=0,TIMELINE!$C$44=0),0,IF(INPUTS!$O$89="Upfront",--(TIMELINE!AE45=1),IF(INPUTS!$O$89="Even",1/TIMELINE!$C$44,IF(INPUTS!$O$89="Front-loaded",(TIMELINE!$C$44-TIMELINE!AE45+1)*2/(TIMELINE!$C$44*(TIMELINE!$C$44+1)),IF(INPUTS!$O$89="Back-loaded",TIMELINE!AE45*2/(TIMELINE!$C$44*(TIMELINE!$C$44+1)),IF(INPUTS!$O$89="S-curve",SIN(PI()*(TIMELINE!AE45-0.5)/TIMELINE!$C$44)*SIN(PI()/(2*TIMELINE!$C$44)),0)))))),0)</f>
        <v>0</v>
      </c>
      <c r="AF46" s="118" t="n">
        <f aca="false">IF(INPUTS!$E$89="Yes",IF(OR(TIMELINE!AF45=0,TIMELINE!$C$44=0),0,IF(INPUTS!$O$89="Upfront",--(TIMELINE!AF45=1),IF(INPUTS!$O$89="Even",1/TIMELINE!$C$44,IF(INPUTS!$O$89="Front-loaded",(TIMELINE!$C$44-TIMELINE!AF45+1)*2/(TIMELINE!$C$44*(TIMELINE!$C$44+1)),IF(INPUTS!$O$89="Back-loaded",TIMELINE!AF45*2/(TIMELINE!$C$44*(TIMELINE!$C$44+1)),IF(INPUTS!$O$89="S-curve",SIN(PI()*(TIMELINE!AF45-0.5)/TIMELINE!$C$44)*SIN(PI()/(2*TIMELINE!$C$44)),0)))))),0)</f>
        <v>0</v>
      </c>
      <c r="AG46" s="118" t="n">
        <f aca="false">IF(INPUTS!$E$89="Yes",IF(OR(TIMELINE!AG45=0,TIMELINE!$C$44=0),0,IF(INPUTS!$O$89="Upfront",--(TIMELINE!AG45=1),IF(INPUTS!$O$89="Even",1/TIMELINE!$C$44,IF(INPUTS!$O$89="Front-loaded",(TIMELINE!$C$44-TIMELINE!AG45+1)*2/(TIMELINE!$C$44*(TIMELINE!$C$44+1)),IF(INPUTS!$O$89="Back-loaded",TIMELINE!AG45*2/(TIMELINE!$C$44*(TIMELINE!$C$44+1)),IF(INPUTS!$O$89="S-curve",SIN(PI()*(TIMELINE!AG45-0.5)/TIMELINE!$C$44)*SIN(PI()/(2*TIMELINE!$C$44)),0)))))),0)</f>
        <v>0</v>
      </c>
      <c r="AH46" s="118" t="n">
        <f aca="false">IF(INPUTS!$E$89="Yes",IF(OR(TIMELINE!AH45=0,TIMELINE!$C$44=0),0,IF(INPUTS!$O$89="Upfront",--(TIMELINE!AH45=1),IF(INPUTS!$O$89="Even",1/TIMELINE!$C$44,IF(INPUTS!$O$89="Front-loaded",(TIMELINE!$C$44-TIMELINE!AH45+1)*2/(TIMELINE!$C$44*(TIMELINE!$C$44+1)),IF(INPUTS!$O$89="Back-loaded",TIMELINE!AH45*2/(TIMELINE!$C$44*(TIMELINE!$C$44+1)),IF(INPUTS!$O$89="S-curve",SIN(PI()*(TIMELINE!AH45-0.5)/TIMELINE!$C$44)*SIN(PI()/(2*TIMELINE!$C$44)),0)))))),0)</f>
        <v>0</v>
      </c>
      <c r="AI46" s="118" t="n">
        <f aca="false">IF(INPUTS!$E$89="Yes",IF(OR(TIMELINE!AI45=0,TIMELINE!$C$44=0),0,IF(INPUTS!$O$89="Upfront",--(TIMELINE!AI45=1),IF(INPUTS!$O$89="Even",1/TIMELINE!$C$44,IF(INPUTS!$O$89="Front-loaded",(TIMELINE!$C$44-TIMELINE!AI45+1)*2/(TIMELINE!$C$44*(TIMELINE!$C$44+1)),IF(INPUTS!$O$89="Back-loaded",TIMELINE!AI45*2/(TIMELINE!$C$44*(TIMELINE!$C$44+1)),IF(INPUTS!$O$89="S-curve",SIN(PI()*(TIMELINE!AI45-0.5)/TIMELINE!$C$44)*SIN(PI()/(2*TIMELINE!$C$44)),0)))))),0)</f>
        <v>0</v>
      </c>
      <c r="AJ46" s="118" t="n">
        <f aca="false">IF(INPUTS!$E$89="Yes",IF(OR(TIMELINE!AJ45=0,TIMELINE!$C$44=0),0,IF(INPUTS!$O$89="Upfront",--(TIMELINE!AJ45=1),IF(INPUTS!$O$89="Even",1/TIMELINE!$C$44,IF(INPUTS!$O$89="Front-loaded",(TIMELINE!$C$44-TIMELINE!AJ45+1)*2/(TIMELINE!$C$44*(TIMELINE!$C$44+1)),IF(INPUTS!$O$89="Back-loaded",TIMELINE!AJ45*2/(TIMELINE!$C$44*(TIMELINE!$C$44+1)),IF(INPUTS!$O$89="S-curve",SIN(PI()*(TIMELINE!AJ45-0.5)/TIMELINE!$C$44)*SIN(PI()/(2*TIMELINE!$C$44)),0)))))),0)</f>
        <v>0</v>
      </c>
      <c r="AK46" s="118" t="n">
        <f aca="false">IF(INPUTS!$E$89="Yes",IF(OR(TIMELINE!AK45=0,TIMELINE!$C$44=0),0,IF(INPUTS!$O$89="Upfront",--(TIMELINE!AK45=1),IF(INPUTS!$O$89="Even",1/TIMELINE!$C$44,IF(INPUTS!$O$89="Front-loaded",(TIMELINE!$C$44-TIMELINE!AK45+1)*2/(TIMELINE!$C$44*(TIMELINE!$C$44+1)),IF(INPUTS!$O$89="Back-loaded",TIMELINE!AK45*2/(TIMELINE!$C$44*(TIMELINE!$C$44+1)),IF(INPUTS!$O$89="S-curve",SIN(PI()*(TIMELINE!AK45-0.5)/TIMELINE!$C$44)*SIN(PI()/(2*TIMELINE!$C$44)),0)))))),0)</f>
        <v>0</v>
      </c>
      <c r="AL46" s="118" t="n">
        <f aca="false">IF(INPUTS!$E$89="Yes",IF(OR(TIMELINE!AL45=0,TIMELINE!$C$44=0),0,IF(INPUTS!$O$89="Upfront",--(TIMELINE!AL45=1),IF(INPUTS!$O$89="Even",1/TIMELINE!$C$44,IF(INPUTS!$O$89="Front-loaded",(TIMELINE!$C$44-TIMELINE!AL45+1)*2/(TIMELINE!$C$44*(TIMELINE!$C$44+1)),IF(INPUTS!$O$89="Back-loaded",TIMELINE!AL45*2/(TIMELINE!$C$44*(TIMELINE!$C$44+1)),IF(INPUTS!$O$89="S-curve",SIN(PI()*(TIMELINE!AL45-0.5)/TIMELINE!$C$44)*SIN(PI()/(2*TIMELINE!$C$44)),0)))))),0)</f>
        <v>0</v>
      </c>
      <c r="AM46" s="118" t="n">
        <f aca="false">IF(INPUTS!$E$89="Yes",IF(OR(TIMELINE!AM45=0,TIMELINE!$C$44=0),0,IF(INPUTS!$O$89="Upfront",--(TIMELINE!AM45=1),IF(INPUTS!$O$89="Even",1/TIMELINE!$C$44,IF(INPUTS!$O$89="Front-loaded",(TIMELINE!$C$44-TIMELINE!AM45+1)*2/(TIMELINE!$C$44*(TIMELINE!$C$44+1)),IF(INPUTS!$O$89="Back-loaded",TIMELINE!AM45*2/(TIMELINE!$C$44*(TIMELINE!$C$44+1)),IF(INPUTS!$O$89="S-curve",SIN(PI()*(TIMELINE!AM45-0.5)/TIMELINE!$C$44)*SIN(PI()/(2*TIMELINE!$C$44)),0)))))),0)</f>
        <v>0</v>
      </c>
      <c r="AN46" s="118" t="n">
        <f aca="false">IF(INPUTS!$E$89="Yes",IF(OR(TIMELINE!AN45=0,TIMELINE!$C$44=0),0,IF(INPUTS!$O$89="Upfront",--(TIMELINE!AN45=1),IF(INPUTS!$O$89="Even",1/TIMELINE!$C$44,IF(INPUTS!$O$89="Front-loaded",(TIMELINE!$C$44-TIMELINE!AN45+1)*2/(TIMELINE!$C$44*(TIMELINE!$C$44+1)),IF(INPUTS!$O$89="Back-loaded",TIMELINE!AN45*2/(TIMELINE!$C$44*(TIMELINE!$C$44+1)),IF(INPUTS!$O$89="S-curve",SIN(PI()*(TIMELINE!AN45-0.5)/TIMELINE!$C$44)*SIN(PI()/(2*TIMELINE!$C$44)),0)))))),0)</f>
        <v>0</v>
      </c>
      <c r="AO46" s="118" t="n">
        <f aca="false">IF(INPUTS!$E$89="Yes",IF(OR(TIMELINE!AO45=0,TIMELINE!$C$44=0),0,IF(INPUTS!$O$89="Upfront",--(TIMELINE!AO45=1),IF(INPUTS!$O$89="Even",1/TIMELINE!$C$44,IF(INPUTS!$O$89="Front-loaded",(TIMELINE!$C$44-TIMELINE!AO45+1)*2/(TIMELINE!$C$44*(TIMELINE!$C$44+1)),IF(INPUTS!$O$89="Back-loaded",TIMELINE!AO45*2/(TIMELINE!$C$44*(TIMELINE!$C$44+1)),IF(INPUTS!$O$89="S-curve",SIN(PI()*(TIMELINE!AO45-0.5)/TIMELINE!$C$44)*SIN(PI()/(2*TIMELINE!$C$44)),0)))))),0)</f>
        <v>0</v>
      </c>
      <c r="AP46" s="118" t="n">
        <f aca="false">IF(INPUTS!$E$89="Yes",IF(OR(TIMELINE!AP45=0,TIMELINE!$C$44=0),0,IF(INPUTS!$O$89="Upfront",--(TIMELINE!AP45=1),IF(INPUTS!$O$89="Even",1/TIMELINE!$C$44,IF(INPUTS!$O$89="Front-loaded",(TIMELINE!$C$44-TIMELINE!AP45+1)*2/(TIMELINE!$C$44*(TIMELINE!$C$44+1)),IF(INPUTS!$O$89="Back-loaded",TIMELINE!AP45*2/(TIMELINE!$C$44*(TIMELINE!$C$44+1)),IF(INPUTS!$O$89="S-curve",SIN(PI()*(TIMELINE!AP45-0.5)/TIMELINE!$C$44)*SIN(PI()/(2*TIMELINE!$C$44)),0)))))),0)</f>
        <v>0</v>
      </c>
      <c r="AQ46" s="118" t="n">
        <f aca="false">IF(INPUTS!$E$89="Yes",IF(OR(TIMELINE!AQ45=0,TIMELINE!$C$44=0),0,IF(INPUTS!$O$89="Upfront",--(TIMELINE!AQ45=1),IF(INPUTS!$O$89="Even",1/TIMELINE!$C$44,IF(INPUTS!$O$89="Front-loaded",(TIMELINE!$C$44-TIMELINE!AQ45+1)*2/(TIMELINE!$C$44*(TIMELINE!$C$44+1)),IF(INPUTS!$O$89="Back-loaded",TIMELINE!AQ45*2/(TIMELINE!$C$44*(TIMELINE!$C$44+1)),IF(INPUTS!$O$89="S-curve",SIN(PI()*(TIMELINE!AQ45-0.5)/TIMELINE!$C$44)*SIN(PI()/(2*TIMELINE!$C$44)),0)))))),0)</f>
        <v>0</v>
      </c>
    </row>
    <row r="47" customFormat="false" ht="15" hidden="false" customHeight="false" outlineLevel="0" collapsed="false">
      <c r="B47" s="3" t="s">
        <v>673</v>
      </c>
      <c r="D47" s="118" t="n">
        <f aca="false">SUM($D46:D46)</f>
        <v>0</v>
      </c>
      <c r="E47" s="118" t="n">
        <f aca="false">SUM($D46:E46)</f>
        <v>0</v>
      </c>
      <c r="F47" s="118" t="n">
        <f aca="false">SUM($D46:F46)</f>
        <v>0</v>
      </c>
      <c r="G47" s="118" t="n">
        <f aca="false">SUM($D46:G46)</f>
        <v>0</v>
      </c>
      <c r="H47" s="118" t="n">
        <f aca="false">SUM($D46:H46)</f>
        <v>0.00960735979838478</v>
      </c>
      <c r="I47" s="118" t="n">
        <f aca="false">SUM($D46:I46)</f>
        <v>0.0380602337443566</v>
      </c>
      <c r="J47" s="118" t="n">
        <f aca="false">SUM($D46:J46)</f>
        <v>0.0842651938487274</v>
      </c>
      <c r="K47" s="118" t="n">
        <f aca="false">SUM($D46:K46)</f>
        <v>0.146446609406726</v>
      </c>
      <c r="L47" s="118" t="n">
        <f aca="false">SUM($D46:L46)</f>
        <v>0.222214883490199</v>
      </c>
      <c r="M47" s="118" t="n">
        <f aca="false">SUM($D46:M46)</f>
        <v>0.308658283817455</v>
      </c>
      <c r="N47" s="118" t="n">
        <f aca="false">SUM($D46:N46)</f>
        <v>0.402454838991936</v>
      </c>
      <c r="O47" s="118" t="n">
        <f aca="false">SUM($D46:O46)</f>
        <v>0.5</v>
      </c>
      <c r="P47" s="118" t="n">
        <f aca="false">SUM($D46:P46)</f>
        <v>0.597545161008064</v>
      </c>
      <c r="Q47" s="118" t="n">
        <f aca="false">SUM($D46:Q46)</f>
        <v>0.691341716182545</v>
      </c>
      <c r="R47" s="118" t="n">
        <f aca="false">SUM($D46:R46)</f>
        <v>0.777785116509801</v>
      </c>
      <c r="S47" s="118" t="n">
        <f aca="false">SUM($D46:S46)</f>
        <v>0.853553390593274</v>
      </c>
      <c r="T47" s="118" t="n">
        <f aca="false">SUM($D46:T46)</f>
        <v>0.915734806151273</v>
      </c>
      <c r="U47" s="118" t="n">
        <f aca="false">SUM($D46:U46)</f>
        <v>0.961939766255644</v>
      </c>
      <c r="V47" s="118" t="n">
        <f aca="false">SUM($D46:V46)</f>
        <v>0.990392640201615</v>
      </c>
      <c r="W47" s="118" t="n">
        <f aca="false">SUM($D46:W46)</f>
        <v>1</v>
      </c>
      <c r="X47" s="118" t="n">
        <f aca="false">SUM($D46:X46)</f>
        <v>1</v>
      </c>
      <c r="Y47" s="118" t="n">
        <f aca="false">SUM($D46:Y46)</f>
        <v>1</v>
      </c>
      <c r="Z47" s="118" t="n">
        <f aca="false">SUM($D46:Z46)</f>
        <v>1</v>
      </c>
      <c r="AA47" s="118" t="n">
        <f aca="false">SUM($D46:AA46)</f>
        <v>1</v>
      </c>
      <c r="AB47" s="118" t="n">
        <f aca="false">SUM($D46:AB46)</f>
        <v>1</v>
      </c>
      <c r="AC47" s="118" t="n">
        <f aca="false">SUM($D46:AC46)</f>
        <v>1</v>
      </c>
      <c r="AD47" s="118" t="n">
        <f aca="false">SUM($D46:AD46)</f>
        <v>1</v>
      </c>
      <c r="AE47" s="118" t="n">
        <f aca="false">SUM($D46:AE46)</f>
        <v>1</v>
      </c>
      <c r="AF47" s="118" t="n">
        <f aca="false">SUM($D46:AF46)</f>
        <v>1</v>
      </c>
      <c r="AG47" s="118" t="n">
        <f aca="false">SUM($D46:AG46)</f>
        <v>1</v>
      </c>
      <c r="AH47" s="118" t="n">
        <f aca="false">SUM($D46:AH46)</f>
        <v>1</v>
      </c>
      <c r="AI47" s="118" t="n">
        <f aca="false">SUM($D46:AI46)</f>
        <v>1</v>
      </c>
      <c r="AJ47" s="118" t="n">
        <f aca="false">SUM($D46:AJ46)</f>
        <v>1</v>
      </c>
      <c r="AK47" s="118" t="n">
        <f aca="false">SUM($D46:AK46)</f>
        <v>1</v>
      </c>
      <c r="AL47" s="118" t="n">
        <f aca="false">SUM($D46:AL46)</f>
        <v>1</v>
      </c>
      <c r="AM47" s="118" t="n">
        <f aca="false">SUM($D46:AM46)</f>
        <v>1</v>
      </c>
      <c r="AN47" s="118" t="n">
        <f aca="false">SUM($D46:AN46)</f>
        <v>1</v>
      </c>
      <c r="AO47" s="118" t="n">
        <f aca="false">SUM($D46:AO46)</f>
        <v>1</v>
      </c>
      <c r="AP47" s="118" t="n">
        <f aca="false">SUM($D46:AP46)</f>
        <v>1</v>
      </c>
      <c r="AQ47" s="118" t="n">
        <f aca="false">SUM($D46:AQ46)</f>
        <v>1</v>
      </c>
    </row>
    <row r="48" customFormat="false" ht="15" hidden="false" customHeight="false" outlineLevel="0" collapsed="false">
      <c r="B48" s="17" t="s">
        <v>674</v>
      </c>
      <c r="C48" s="105" t="str">
        <f aca="false">IF(NOT(INPUTS!$E$89="Yes"),"Off",IF(AND(ABS(C44-1)&lt;0.000000001,ABS(C46-1)&lt;0.000000001,ABS(AQ47-1)&lt;0.000000001),"OK","ERROR"))</f>
        <v>OK</v>
      </c>
    </row>
    <row r="49" customFormat="false" ht="15" hidden="false" customHeight="false" outlineLevel="0" collapsed="false">
      <c r="B49" s="110" t="str">
        <f aca="false">IF(INPUTS!$E$90="Yes",INPUTS!$B$90,"Product row 3 (off)")</f>
        <v>Studios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</row>
    <row r="50" customFormat="false" ht="15" hidden="false" customHeight="false" outlineLevel="0" collapsed="false">
      <c r="B50" s="3" t="s">
        <v>670</v>
      </c>
      <c r="C50" s="117" t="n">
        <f aca="false">SUM(D50:AQ50)</f>
        <v>1</v>
      </c>
      <c r="D50" s="118" t="n">
        <f aca="false">IF(INPUTS!$E$90="Yes",IF(OR(TIMELINE!D50=0,TIMELINE!$C$49=0),0,IF(INPUTS!$K$90="Upfront",--(TIMELINE!D50=1),IF(INPUTS!$K$90="Even",1/TIMELINE!$C$49,IF(INPUTS!$K$90="Front-loaded",(TIMELINE!$C$49-TIMELINE!D50+1)*2/(TIMELINE!$C$49*(TIMELINE!$C$49+1)),IF(INPUTS!$K$90="Back-loaded",TIMELINE!D50*2/(TIMELINE!$C$49*(TIMELINE!$C$49+1)),IF(INPUTS!$K$90="S-curve",SIN(PI()*(TIMELINE!D50-0.5)/TIMELINE!$C$49)*SIN(PI()/(2*TIMELINE!$C$49)),0)))))),0)</f>
        <v>0</v>
      </c>
      <c r="E50" s="118" t="n">
        <f aca="false">IF(INPUTS!$E$90="Yes",IF(OR(TIMELINE!E50=0,TIMELINE!$C$49=0),0,IF(INPUTS!$K$90="Upfront",--(TIMELINE!E50=1),IF(INPUTS!$K$90="Even",1/TIMELINE!$C$49,IF(INPUTS!$K$90="Front-loaded",(TIMELINE!$C$49-TIMELINE!E50+1)*2/(TIMELINE!$C$49*(TIMELINE!$C$49+1)),IF(INPUTS!$K$90="Back-loaded",TIMELINE!E50*2/(TIMELINE!$C$49*(TIMELINE!$C$49+1)),IF(INPUTS!$K$90="S-curve",SIN(PI()*(TIMELINE!E50-0.5)/TIMELINE!$C$49)*SIN(PI()/(2*TIMELINE!$C$49)),0)))))),0)</f>
        <v>0</v>
      </c>
      <c r="F50" s="118" t="n">
        <f aca="false">IF(INPUTS!$E$90="Yes",IF(OR(TIMELINE!F50=0,TIMELINE!$C$49=0),0,IF(INPUTS!$K$90="Upfront",--(TIMELINE!F50=1),IF(INPUTS!$K$90="Even",1/TIMELINE!$C$49,IF(INPUTS!$K$90="Front-loaded",(TIMELINE!$C$49-TIMELINE!F50+1)*2/(TIMELINE!$C$49*(TIMELINE!$C$49+1)),IF(INPUTS!$K$90="Back-loaded",TIMELINE!F50*2/(TIMELINE!$C$49*(TIMELINE!$C$49+1)),IF(INPUTS!$K$90="S-curve",SIN(PI()*(TIMELINE!F50-0.5)/TIMELINE!$C$49)*SIN(PI()/(2*TIMELINE!$C$49)),0)))))),0)</f>
        <v>0</v>
      </c>
      <c r="G50" s="118" t="n">
        <f aca="false">IF(INPUTS!$E$90="Yes",IF(OR(TIMELINE!G50=0,TIMELINE!$C$49=0),0,IF(INPUTS!$K$90="Upfront",--(TIMELINE!G50=1),IF(INPUTS!$K$90="Even",1/TIMELINE!$C$49,IF(INPUTS!$K$90="Front-loaded",(TIMELINE!$C$49-TIMELINE!G50+1)*2/(TIMELINE!$C$49*(TIMELINE!$C$49+1)),IF(INPUTS!$K$90="Back-loaded",TIMELINE!G50*2/(TIMELINE!$C$49*(TIMELINE!$C$49+1)),IF(INPUTS!$K$90="S-curve",SIN(PI()*(TIMELINE!G50-0.5)/TIMELINE!$C$49)*SIN(PI()/(2*TIMELINE!$C$49)),0)))))),0)</f>
        <v>0</v>
      </c>
      <c r="H50" s="118" t="n">
        <f aca="false">IF(INPUTS!$E$90="Yes",IF(OR(TIMELINE!H50=0,TIMELINE!$C$49=0),0,IF(INPUTS!$K$90="Upfront",--(TIMELINE!H50=1),IF(INPUTS!$K$90="Even",1/TIMELINE!$C$49,IF(INPUTS!$K$90="Front-loaded",(TIMELINE!$C$49-TIMELINE!H50+1)*2/(TIMELINE!$C$49*(TIMELINE!$C$49+1)),IF(INPUTS!$K$90="Back-loaded",TIMELINE!H50*2/(TIMELINE!$C$49*(TIMELINE!$C$49+1)),IF(INPUTS!$K$90="S-curve",SIN(PI()*(TIMELINE!H50-0.5)/TIMELINE!$C$49)*SIN(PI()/(2*TIMELINE!$C$49)),0)))))),0)</f>
        <v>0</v>
      </c>
      <c r="I50" s="118" t="n">
        <f aca="false">IF(INPUTS!$E$90="Yes",IF(OR(TIMELINE!I50=0,TIMELINE!$C$49=0),0,IF(INPUTS!$K$90="Upfront",--(TIMELINE!I50=1),IF(INPUTS!$K$90="Even",1/TIMELINE!$C$49,IF(INPUTS!$K$90="Front-loaded",(TIMELINE!$C$49-TIMELINE!I50+1)*2/(TIMELINE!$C$49*(TIMELINE!$C$49+1)),IF(INPUTS!$K$90="Back-loaded",TIMELINE!I50*2/(TIMELINE!$C$49*(TIMELINE!$C$49+1)),IF(INPUTS!$K$90="S-curve",SIN(PI()*(TIMELINE!I50-0.5)/TIMELINE!$C$49)*SIN(PI()/(2*TIMELINE!$C$49)),0)))))),0)</f>
        <v>0.125</v>
      </c>
      <c r="J50" s="118" t="n">
        <f aca="false">IF(INPUTS!$E$90="Yes",IF(OR(TIMELINE!J50=0,TIMELINE!$C$49=0),0,IF(INPUTS!$K$90="Upfront",--(TIMELINE!J50=1),IF(INPUTS!$K$90="Even",1/TIMELINE!$C$49,IF(INPUTS!$K$90="Front-loaded",(TIMELINE!$C$49-TIMELINE!J50+1)*2/(TIMELINE!$C$49*(TIMELINE!$C$49+1)),IF(INPUTS!$K$90="Back-loaded",TIMELINE!J50*2/(TIMELINE!$C$49*(TIMELINE!$C$49+1)),IF(INPUTS!$K$90="S-curve",SIN(PI()*(TIMELINE!J50-0.5)/TIMELINE!$C$49)*SIN(PI()/(2*TIMELINE!$C$49)),0)))))),0)</f>
        <v>0.125</v>
      </c>
      <c r="K50" s="118" t="n">
        <f aca="false">IF(INPUTS!$E$90="Yes",IF(OR(TIMELINE!K50=0,TIMELINE!$C$49=0),0,IF(INPUTS!$K$90="Upfront",--(TIMELINE!K50=1),IF(INPUTS!$K$90="Even",1/TIMELINE!$C$49,IF(INPUTS!$K$90="Front-loaded",(TIMELINE!$C$49-TIMELINE!K50+1)*2/(TIMELINE!$C$49*(TIMELINE!$C$49+1)),IF(INPUTS!$K$90="Back-loaded",TIMELINE!K50*2/(TIMELINE!$C$49*(TIMELINE!$C$49+1)),IF(INPUTS!$K$90="S-curve",SIN(PI()*(TIMELINE!K50-0.5)/TIMELINE!$C$49)*SIN(PI()/(2*TIMELINE!$C$49)),0)))))),0)</f>
        <v>0.125</v>
      </c>
      <c r="L50" s="118" t="n">
        <f aca="false">IF(INPUTS!$E$90="Yes",IF(OR(TIMELINE!L50=0,TIMELINE!$C$49=0),0,IF(INPUTS!$K$90="Upfront",--(TIMELINE!L50=1),IF(INPUTS!$K$90="Even",1/TIMELINE!$C$49,IF(INPUTS!$K$90="Front-loaded",(TIMELINE!$C$49-TIMELINE!L50+1)*2/(TIMELINE!$C$49*(TIMELINE!$C$49+1)),IF(INPUTS!$K$90="Back-loaded",TIMELINE!L50*2/(TIMELINE!$C$49*(TIMELINE!$C$49+1)),IF(INPUTS!$K$90="S-curve",SIN(PI()*(TIMELINE!L50-0.5)/TIMELINE!$C$49)*SIN(PI()/(2*TIMELINE!$C$49)),0)))))),0)</f>
        <v>0.125</v>
      </c>
      <c r="M50" s="118" t="n">
        <f aca="false">IF(INPUTS!$E$90="Yes",IF(OR(TIMELINE!M50=0,TIMELINE!$C$49=0),0,IF(INPUTS!$K$90="Upfront",--(TIMELINE!M50=1),IF(INPUTS!$K$90="Even",1/TIMELINE!$C$49,IF(INPUTS!$K$90="Front-loaded",(TIMELINE!$C$49-TIMELINE!M50+1)*2/(TIMELINE!$C$49*(TIMELINE!$C$49+1)),IF(INPUTS!$K$90="Back-loaded",TIMELINE!M50*2/(TIMELINE!$C$49*(TIMELINE!$C$49+1)),IF(INPUTS!$K$90="S-curve",SIN(PI()*(TIMELINE!M50-0.5)/TIMELINE!$C$49)*SIN(PI()/(2*TIMELINE!$C$49)),0)))))),0)</f>
        <v>0.125</v>
      </c>
      <c r="N50" s="118" t="n">
        <f aca="false">IF(INPUTS!$E$90="Yes",IF(OR(TIMELINE!N50=0,TIMELINE!$C$49=0),0,IF(INPUTS!$K$90="Upfront",--(TIMELINE!N50=1),IF(INPUTS!$K$90="Even",1/TIMELINE!$C$49,IF(INPUTS!$K$90="Front-loaded",(TIMELINE!$C$49-TIMELINE!N50+1)*2/(TIMELINE!$C$49*(TIMELINE!$C$49+1)),IF(INPUTS!$K$90="Back-loaded",TIMELINE!N50*2/(TIMELINE!$C$49*(TIMELINE!$C$49+1)),IF(INPUTS!$K$90="S-curve",SIN(PI()*(TIMELINE!N50-0.5)/TIMELINE!$C$49)*SIN(PI()/(2*TIMELINE!$C$49)),0)))))),0)</f>
        <v>0.125</v>
      </c>
      <c r="O50" s="118" t="n">
        <f aca="false">IF(INPUTS!$E$90="Yes",IF(OR(TIMELINE!O50=0,TIMELINE!$C$49=0),0,IF(INPUTS!$K$90="Upfront",--(TIMELINE!O50=1),IF(INPUTS!$K$90="Even",1/TIMELINE!$C$49,IF(INPUTS!$K$90="Front-loaded",(TIMELINE!$C$49-TIMELINE!O50+1)*2/(TIMELINE!$C$49*(TIMELINE!$C$49+1)),IF(INPUTS!$K$90="Back-loaded",TIMELINE!O50*2/(TIMELINE!$C$49*(TIMELINE!$C$49+1)),IF(INPUTS!$K$90="S-curve",SIN(PI()*(TIMELINE!O50-0.5)/TIMELINE!$C$49)*SIN(PI()/(2*TIMELINE!$C$49)),0)))))),0)</f>
        <v>0.125</v>
      </c>
      <c r="P50" s="118" t="n">
        <f aca="false">IF(INPUTS!$E$90="Yes",IF(OR(TIMELINE!P50=0,TIMELINE!$C$49=0),0,IF(INPUTS!$K$90="Upfront",--(TIMELINE!P50=1),IF(INPUTS!$K$90="Even",1/TIMELINE!$C$49,IF(INPUTS!$K$90="Front-loaded",(TIMELINE!$C$49-TIMELINE!P50+1)*2/(TIMELINE!$C$49*(TIMELINE!$C$49+1)),IF(INPUTS!$K$90="Back-loaded",TIMELINE!P50*2/(TIMELINE!$C$49*(TIMELINE!$C$49+1)),IF(INPUTS!$K$90="S-curve",SIN(PI()*(TIMELINE!P50-0.5)/TIMELINE!$C$49)*SIN(PI()/(2*TIMELINE!$C$49)),0)))))),0)</f>
        <v>0.125</v>
      </c>
      <c r="Q50" s="118" t="n">
        <f aca="false">IF(INPUTS!$E$90="Yes",IF(OR(TIMELINE!Q50=0,TIMELINE!$C$49=0),0,IF(INPUTS!$K$90="Upfront",--(TIMELINE!Q50=1),IF(INPUTS!$K$90="Even",1/TIMELINE!$C$49,IF(INPUTS!$K$90="Front-loaded",(TIMELINE!$C$49-TIMELINE!Q50+1)*2/(TIMELINE!$C$49*(TIMELINE!$C$49+1)),IF(INPUTS!$K$90="Back-loaded",TIMELINE!Q50*2/(TIMELINE!$C$49*(TIMELINE!$C$49+1)),IF(INPUTS!$K$90="S-curve",SIN(PI()*(TIMELINE!Q50-0.5)/TIMELINE!$C$49)*SIN(PI()/(2*TIMELINE!$C$49)),0)))))),0)</f>
        <v>0</v>
      </c>
      <c r="R50" s="118" t="n">
        <f aca="false">IF(INPUTS!$E$90="Yes",IF(OR(TIMELINE!R50=0,TIMELINE!$C$49=0),0,IF(INPUTS!$K$90="Upfront",--(TIMELINE!R50=1),IF(INPUTS!$K$90="Even",1/TIMELINE!$C$49,IF(INPUTS!$K$90="Front-loaded",(TIMELINE!$C$49-TIMELINE!R50+1)*2/(TIMELINE!$C$49*(TIMELINE!$C$49+1)),IF(INPUTS!$K$90="Back-loaded",TIMELINE!R50*2/(TIMELINE!$C$49*(TIMELINE!$C$49+1)),IF(INPUTS!$K$90="S-curve",SIN(PI()*(TIMELINE!R50-0.5)/TIMELINE!$C$49)*SIN(PI()/(2*TIMELINE!$C$49)),0)))))),0)</f>
        <v>0</v>
      </c>
      <c r="S50" s="118" t="n">
        <f aca="false">IF(INPUTS!$E$90="Yes",IF(OR(TIMELINE!S50=0,TIMELINE!$C$49=0),0,IF(INPUTS!$K$90="Upfront",--(TIMELINE!S50=1),IF(INPUTS!$K$90="Even",1/TIMELINE!$C$49,IF(INPUTS!$K$90="Front-loaded",(TIMELINE!$C$49-TIMELINE!S50+1)*2/(TIMELINE!$C$49*(TIMELINE!$C$49+1)),IF(INPUTS!$K$90="Back-loaded",TIMELINE!S50*2/(TIMELINE!$C$49*(TIMELINE!$C$49+1)),IF(INPUTS!$K$90="S-curve",SIN(PI()*(TIMELINE!S50-0.5)/TIMELINE!$C$49)*SIN(PI()/(2*TIMELINE!$C$49)),0)))))),0)</f>
        <v>0</v>
      </c>
      <c r="T50" s="118" t="n">
        <f aca="false">IF(INPUTS!$E$90="Yes",IF(OR(TIMELINE!T50=0,TIMELINE!$C$49=0),0,IF(INPUTS!$K$90="Upfront",--(TIMELINE!T50=1),IF(INPUTS!$K$90="Even",1/TIMELINE!$C$49,IF(INPUTS!$K$90="Front-loaded",(TIMELINE!$C$49-TIMELINE!T50+1)*2/(TIMELINE!$C$49*(TIMELINE!$C$49+1)),IF(INPUTS!$K$90="Back-loaded",TIMELINE!T50*2/(TIMELINE!$C$49*(TIMELINE!$C$49+1)),IF(INPUTS!$K$90="S-curve",SIN(PI()*(TIMELINE!T50-0.5)/TIMELINE!$C$49)*SIN(PI()/(2*TIMELINE!$C$49)),0)))))),0)</f>
        <v>0</v>
      </c>
      <c r="U50" s="118" t="n">
        <f aca="false">IF(INPUTS!$E$90="Yes",IF(OR(TIMELINE!U50=0,TIMELINE!$C$49=0),0,IF(INPUTS!$K$90="Upfront",--(TIMELINE!U50=1),IF(INPUTS!$K$90="Even",1/TIMELINE!$C$49,IF(INPUTS!$K$90="Front-loaded",(TIMELINE!$C$49-TIMELINE!U50+1)*2/(TIMELINE!$C$49*(TIMELINE!$C$49+1)),IF(INPUTS!$K$90="Back-loaded",TIMELINE!U50*2/(TIMELINE!$C$49*(TIMELINE!$C$49+1)),IF(INPUTS!$K$90="S-curve",SIN(PI()*(TIMELINE!U50-0.5)/TIMELINE!$C$49)*SIN(PI()/(2*TIMELINE!$C$49)),0)))))),0)</f>
        <v>0</v>
      </c>
      <c r="V50" s="118" t="n">
        <f aca="false">IF(INPUTS!$E$90="Yes",IF(OR(TIMELINE!V50=0,TIMELINE!$C$49=0),0,IF(INPUTS!$K$90="Upfront",--(TIMELINE!V50=1),IF(INPUTS!$K$90="Even",1/TIMELINE!$C$49,IF(INPUTS!$K$90="Front-loaded",(TIMELINE!$C$49-TIMELINE!V50+1)*2/(TIMELINE!$C$49*(TIMELINE!$C$49+1)),IF(INPUTS!$K$90="Back-loaded",TIMELINE!V50*2/(TIMELINE!$C$49*(TIMELINE!$C$49+1)),IF(INPUTS!$K$90="S-curve",SIN(PI()*(TIMELINE!V50-0.5)/TIMELINE!$C$49)*SIN(PI()/(2*TIMELINE!$C$49)),0)))))),0)</f>
        <v>0</v>
      </c>
      <c r="W50" s="118" t="n">
        <f aca="false">IF(INPUTS!$E$90="Yes",IF(OR(TIMELINE!W50=0,TIMELINE!$C$49=0),0,IF(INPUTS!$K$90="Upfront",--(TIMELINE!W50=1),IF(INPUTS!$K$90="Even",1/TIMELINE!$C$49,IF(INPUTS!$K$90="Front-loaded",(TIMELINE!$C$49-TIMELINE!W50+1)*2/(TIMELINE!$C$49*(TIMELINE!$C$49+1)),IF(INPUTS!$K$90="Back-loaded",TIMELINE!W50*2/(TIMELINE!$C$49*(TIMELINE!$C$49+1)),IF(INPUTS!$K$90="S-curve",SIN(PI()*(TIMELINE!W50-0.5)/TIMELINE!$C$49)*SIN(PI()/(2*TIMELINE!$C$49)),0)))))),0)</f>
        <v>0</v>
      </c>
      <c r="X50" s="118" t="n">
        <f aca="false">IF(INPUTS!$E$90="Yes",IF(OR(TIMELINE!X50=0,TIMELINE!$C$49=0),0,IF(INPUTS!$K$90="Upfront",--(TIMELINE!X50=1),IF(INPUTS!$K$90="Even",1/TIMELINE!$C$49,IF(INPUTS!$K$90="Front-loaded",(TIMELINE!$C$49-TIMELINE!X50+1)*2/(TIMELINE!$C$49*(TIMELINE!$C$49+1)),IF(INPUTS!$K$90="Back-loaded",TIMELINE!X50*2/(TIMELINE!$C$49*(TIMELINE!$C$49+1)),IF(INPUTS!$K$90="S-curve",SIN(PI()*(TIMELINE!X50-0.5)/TIMELINE!$C$49)*SIN(PI()/(2*TIMELINE!$C$49)),0)))))),0)</f>
        <v>0</v>
      </c>
      <c r="Y50" s="118" t="n">
        <f aca="false">IF(INPUTS!$E$90="Yes",IF(OR(TIMELINE!Y50=0,TIMELINE!$C$49=0),0,IF(INPUTS!$K$90="Upfront",--(TIMELINE!Y50=1),IF(INPUTS!$K$90="Even",1/TIMELINE!$C$49,IF(INPUTS!$K$90="Front-loaded",(TIMELINE!$C$49-TIMELINE!Y50+1)*2/(TIMELINE!$C$49*(TIMELINE!$C$49+1)),IF(INPUTS!$K$90="Back-loaded",TIMELINE!Y50*2/(TIMELINE!$C$49*(TIMELINE!$C$49+1)),IF(INPUTS!$K$90="S-curve",SIN(PI()*(TIMELINE!Y50-0.5)/TIMELINE!$C$49)*SIN(PI()/(2*TIMELINE!$C$49)),0)))))),0)</f>
        <v>0</v>
      </c>
      <c r="Z50" s="118" t="n">
        <f aca="false">IF(INPUTS!$E$90="Yes",IF(OR(TIMELINE!Z50=0,TIMELINE!$C$49=0),0,IF(INPUTS!$K$90="Upfront",--(TIMELINE!Z50=1),IF(INPUTS!$K$90="Even",1/TIMELINE!$C$49,IF(INPUTS!$K$90="Front-loaded",(TIMELINE!$C$49-TIMELINE!Z50+1)*2/(TIMELINE!$C$49*(TIMELINE!$C$49+1)),IF(INPUTS!$K$90="Back-loaded",TIMELINE!Z50*2/(TIMELINE!$C$49*(TIMELINE!$C$49+1)),IF(INPUTS!$K$90="S-curve",SIN(PI()*(TIMELINE!Z50-0.5)/TIMELINE!$C$49)*SIN(PI()/(2*TIMELINE!$C$49)),0)))))),0)</f>
        <v>0</v>
      </c>
      <c r="AA50" s="118" t="n">
        <f aca="false">IF(INPUTS!$E$90="Yes",IF(OR(TIMELINE!AA50=0,TIMELINE!$C$49=0),0,IF(INPUTS!$K$90="Upfront",--(TIMELINE!AA50=1),IF(INPUTS!$K$90="Even",1/TIMELINE!$C$49,IF(INPUTS!$K$90="Front-loaded",(TIMELINE!$C$49-TIMELINE!AA50+1)*2/(TIMELINE!$C$49*(TIMELINE!$C$49+1)),IF(INPUTS!$K$90="Back-loaded",TIMELINE!AA50*2/(TIMELINE!$C$49*(TIMELINE!$C$49+1)),IF(INPUTS!$K$90="S-curve",SIN(PI()*(TIMELINE!AA50-0.5)/TIMELINE!$C$49)*SIN(PI()/(2*TIMELINE!$C$49)),0)))))),0)</f>
        <v>0</v>
      </c>
      <c r="AB50" s="118" t="n">
        <f aca="false">IF(INPUTS!$E$90="Yes",IF(OR(TIMELINE!AB50=0,TIMELINE!$C$49=0),0,IF(INPUTS!$K$90="Upfront",--(TIMELINE!AB50=1),IF(INPUTS!$K$90="Even",1/TIMELINE!$C$49,IF(INPUTS!$K$90="Front-loaded",(TIMELINE!$C$49-TIMELINE!AB50+1)*2/(TIMELINE!$C$49*(TIMELINE!$C$49+1)),IF(INPUTS!$K$90="Back-loaded",TIMELINE!AB50*2/(TIMELINE!$C$49*(TIMELINE!$C$49+1)),IF(INPUTS!$K$90="S-curve",SIN(PI()*(TIMELINE!AB50-0.5)/TIMELINE!$C$49)*SIN(PI()/(2*TIMELINE!$C$49)),0)))))),0)</f>
        <v>0</v>
      </c>
      <c r="AC50" s="118" t="n">
        <f aca="false">IF(INPUTS!$E$90="Yes",IF(OR(TIMELINE!AC50=0,TIMELINE!$C$49=0),0,IF(INPUTS!$K$90="Upfront",--(TIMELINE!AC50=1),IF(INPUTS!$K$90="Even",1/TIMELINE!$C$49,IF(INPUTS!$K$90="Front-loaded",(TIMELINE!$C$49-TIMELINE!AC50+1)*2/(TIMELINE!$C$49*(TIMELINE!$C$49+1)),IF(INPUTS!$K$90="Back-loaded",TIMELINE!AC50*2/(TIMELINE!$C$49*(TIMELINE!$C$49+1)),IF(INPUTS!$K$90="S-curve",SIN(PI()*(TIMELINE!AC50-0.5)/TIMELINE!$C$49)*SIN(PI()/(2*TIMELINE!$C$49)),0)))))),0)</f>
        <v>0</v>
      </c>
      <c r="AD50" s="118" t="n">
        <f aca="false">IF(INPUTS!$E$90="Yes",IF(OR(TIMELINE!AD50=0,TIMELINE!$C$49=0),0,IF(INPUTS!$K$90="Upfront",--(TIMELINE!AD50=1),IF(INPUTS!$K$90="Even",1/TIMELINE!$C$49,IF(INPUTS!$K$90="Front-loaded",(TIMELINE!$C$49-TIMELINE!AD50+1)*2/(TIMELINE!$C$49*(TIMELINE!$C$49+1)),IF(INPUTS!$K$90="Back-loaded",TIMELINE!AD50*2/(TIMELINE!$C$49*(TIMELINE!$C$49+1)),IF(INPUTS!$K$90="S-curve",SIN(PI()*(TIMELINE!AD50-0.5)/TIMELINE!$C$49)*SIN(PI()/(2*TIMELINE!$C$49)),0)))))),0)</f>
        <v>0</v>
      </c>
      <c r="AE50" s="118" t="n">
        <f aca="false">IF(INPUTS!$E$90="Yes",IF(OR(TIMELINE!AE50=0,TIMELINE!$C$49=0),0,IF(INPUTS!$K$90="Upfront",--(TIMELINE!AE50=1),IF(INPUTS!$K$90="Even",1/TIMELINE!$C$49,IF(INPUTS!$K$90="Front-loaded",(TIMELINE!$C$49-TIMELINE!AE50+1)*2/(TIMELINE!$C$49*(TIMELINE!$C$49+1)),IF(INPUTS!$K$90="Back-loaded",TIMELINE!AE50*2/(TIMELINE!$C$49*(TIMELINE!$C$49+1)),IF(INPUTS!$K$90="S-curve",SIN(PI()*(TIMELINE!AE50-0.5)/TIMELINE!$C$49)*SIN(PI()/(2*TIMELINE!$C$49)),0)))))),0)</f>
        <v>0</v>
      </c>
      <c r="AF50" s="118" t="n">
        <f aca="false">IF(INPUTS!$E$90="Yes",IF(OR(TIMELINE!AF50=0,TIMELINE!$C$49=0),0,IF(INPUTS!$K$90="Upfront",--(TIMELINE!AF50=1),IF(INPUTS!$K$90="Even",1/TIMELINE!$C$49,IF(INPUTS!$K$90="Front-loaded",(TIMELINE!$C$49-TIMELINE!AF50+1)*2/(TIMELINE!$C$49*(TIMELINE!$C$49+1)),IF(INPUTS!$K$90="Back-loaded",TIMELINE!AF50*2/(TIMELINE!$C$49*(TIMELINE!$C$49+1)),IF(INPUTS!$K$90="S-curve",SIN(PI()*(TIMELINE!AF50-0.5)/TIMELINE!$C$49)*SIN(PI()/(2*TIMELINE!$C$49)),0)))))),0)</f>
        <v>0</v>
      </c>
      <c r="AG50" s="118" t="n">
        <f aca="false">IF(INPUTS!$E$90="Yes",IF(OR(TIMELINE!AG50=0,TIMELINE!$C$49=0),0,IF(INPUTS!$K$90="Upfront",--(TIMELINE!AG50=1),IF(INPUTS!$K$90="Even",1/TIMELINE!$C$49,IF(INPUTS!$K$90="Front-loaded",(TIMELINE!$C$49-TIMELINE!AG50+1)*2/(TIMELINE!$C$49*(TIMELINE!$C$49+1)),IF(INPUTS!$K$90="Back-loaded",TIMELINE!AG50*2/(TIMELINE!$C$49*(TIMELINE!$C$49+1)),IF(INPUTS!$K$90="S-curve",SIN(PI()*(TIMELINE!AG50-0.5)/TIMELINE!$C$49)*SIN(PI()/(2*TIMELINE!$C$49)),0)))))),0)</f>
        <v>0</v>
      </c>
      <c r="AH50" s="118" t="n">
        <f aca="false">IF(INPUTS!$E$90="Yes",IF(OR(TIMELINE!AH50=0,TIMELINE!$C$49=0),0,IF(INPUTS!$K$90="Upfront",--(TIMELINE!AH50=1),IF(INPUTS!$K$90="Even",1/TIMELINE!$C$49,IF(INPUTS!$K$90="Front-loaded",(TIMELINE!$C$49-TIMELINE!AH50+1)*2/(TIMELINE!$C$49*(TIMELINE!$C$49+1)),IF(INPUTS!$K$90="Back-loaded",TIMELINE!AH50*2/(TIMELINE!$C$49*(TIMELINE!$C$49+1)),IF(INPUTS!$K$90="S-curve",SIN(PI()*(TIMELINE!AH50-0.5)/TIMELINE!$C$49)*SIN(PI()/(2*TIMELINE!$C$49)),0)))))),0)</f>
        <v>0</v>
      </c>
      <c r="AI50" s="118" t="n">
        <f aca="false">IF(INPUTS!$E$90="Yes",IF(OR(TIMELINE!AI50=0,TIMELINE!$C$49=0),0,IF(INPUTS!$K$90="Upfront",--(TIMELINE!AI50=1),IF(INPUTS!$K$90="Even",1/TIMELINE!$C$49,IF(INPUTS!$K$90="Front-loaded",(TIMELINE!$C$49-TIMELINE!AI50+1)*2/(TIMELINE!$C$49*(TIMELINE!$C$49+1)),IF(INPUTS!$K$90="Back-loaded",TIMELINE!AI50*2/(TIMELINE!$C$49*(TIMELINE!$C$49+1)),IF(INPUTS!$K$90="S-curve",SIN(PI()*(TIMELINE!AI50-0.5)/TIMELINE!$C$49)*SIN(PI()/(2*TIMELINE!$C$49)),0)))))),0)</f>
        <v>0</v>
      </c>
      <c r="AJ50" s="118" t="n">
        <f aca="false">IF(INPUTS!$E$90="Yes",IF(OR(TIMELINE!AJ50=0,TIMELINE!$C$49=0),0,IF(INPUTS!$K$90="Upfront",--(TIMELINE!AJ50=1),IF(INPUTS!$K$90="Even",1/TIMELINE!$C$49,IF(INPUTS!$K$90="Front-loaded",(TIMELINE!$C$49-TIMELINE!AJ50+1)*2/(TIMELINE!$C$49*(TIMELINE!$C$49+1)),IF(INPUTS!$K$90="Back-loaded",TIMELINE!AJ50*2/(TIMELINE!$C$49*(TIMELINE!$C$49+1)),IF(INPUTS!$K$90="S-curve",SIN(PI()*(TIMELINE!AJ50-0.5)/TIMELINE!$C$49)*SIN(PI()/(2*TIMELINE!$C$49)),0)))))),0)</f>
        <v>0</v>
      </c>
      <c r="AK50" s="118" t="n">
        <f aca="false">IF(INPUTS!$E$90="Yes",IF(OR(TIMELINE!AK50=0,TIMELINE!$C$49=0),0,IF(INPUTS!$K$90="Upfront",--(TIMELINE!AK50=1),IF(INPUTS!$K$90="Even",1/TIMELINE!$C$49,IF(INPUTS!$K$90="Front-loaded",(TIMELINE!$C$49-TIMELINE!AK50+1)*2/(TIMELINE!$C$49*(TIMELINE!$C$49+1)),IF(INPUTS!$K$90="Back-loaded",TIMELINE!AK50*2/(TIMELINE!$C$49*(TIMELINE!$C$49+1)),IF(INPUTS!$K$90="S-curve",SIN(PI()*(TIMELINE!AK50-0.5)/TIMELINE!$C$49)*SIN(PI()/(2*TIMELINE!$C$49)),0)))))),0)</f>
        <v>0</v>
      </c>
      <c r="AL50" s="118" t="n">
        <f aca="false">IF(INPUTS!$E$90="Yes",IF(OR(TIMELINE!AL50=0,TIMELINE!$C$49=0),0,IF(INPUTS!$K$90="Upfront",--(TIMELINE!AL50=1),IF(INPUTS!$K$90="Even",1/TIMELINE!$C$49,IF(INPUTS!$K$90="Front-loaded",(TIMELINE!$C$49-TIMELINE!AL50+1)*2/(TIMELINE!$C$49*(TIMELINE!$C$49+1)),IF(INPUTS!$K$90="Back-loaded",TIMELINE!AL50*2/(TIMELINE!$C$49*(TIMELINE!$C$49+1)),IF(INPUTS!$K$90="S-curve",SIN(PI()*(TIMELINE!AL50-0.5)/TIMELINE!$C$49)*SIN(PI()/(2*TIMELINE!$C$49)),0)))))),0)</f>
        <v>0</v>
      </c>
      <c r="AM50" s="118" t="n">
        <f aca="false">IF(INPUTS!$E$90="Yes",IF(OR(TIMELINE!AM50=0,TIMELINE!$C$49=0),0,IF(INPUTS!$K$90="Upfront",--(TIMELINE!AM50=1),IF(INPUTS!$K$90="Even",1/TIMELINE!$C$49,IF(INPUTS!$K$90="Front-loaded",(TIMELINE!$C$49-TIMELINE!AM50+1)*2/(TIMELINE!$C$49*(TIMELINE!$C$49+1)),IF(INPUTS!$K$90="Back-loaded",TIMELINE!AM50*2/(TIMELINE!$C$49*(TIMELINE!$C$49+1)),IF(INPUTS!$K$90="S-curve",SIN(PI()*(TIMELINE!AM50-0.5)/TIMELINE!$C$49)*SIN(PI()/(2*TIMELINE!$C$49)),0)))))),0)</f>
        <v>0</v>
      </c>
      <c r="AN50" s="118" t="n">
        <f aca="false">IF(INPUTS!$E$90="Yes",IF(OR(TIMELINE!AN50=0,TIMELINE!$C$49=0),0,IF(INPUTS!$K$90="Upfront",--(TIMELINE!AN50=1),IF(INPUTS!$K$90="Even",1/TIMELINE!$C$49,IF(INPUTS!$K$90="Front-loaded",(TIMELINE!$C$49-TIMELINE!AN50+1)*2/(TIMELINE!$C$49*(TIMELINE!$C$49+1)),IF(INPUTS!$K$90="Back-loaded",TIMELINE!AN50*2/(TIMELINE!$C$49*(TIMELINE!$C$49+1)),IF(INPUTS!$K$90="S-curve",SIN(PI()*(TIMELINE!AN50-0.5)/TIMELINE!$C$49)*SIN(PI()/(2*TIMELINE!$C$49)),0)))))),0)</f>
        <v>0</v>
      </c>
      <c r="AO50" s="118" t="n">
        <f aca="false">IF(INPUTS!$E$90="Yes",IF(OR(TIMELINE!AO50=0,TIMELINE!$C$49=0),0,IF(INPUTS!$K$90="Upfront",--(TIMELINE!AO50=1),IF(INPUTS!$K$90="Even",1/TIMELINE!$C$49,IF(INPUTS!$K$90="Front-loaded",(TIMELINE!$C$49-TIMELINE!AO50+1)*2/(TIMELINE!$C$49*(TIMELINE!$C$49+1)),IF(INPUTS!$K$90="Back-loaded",TIMELINE!AO50*2/(TIMELINE!$C$49*(TIMELINE!$C$49+1)),IF(INPUTS!$K$90="S-curve",SIN(PI()*(TIMELINE!AO50-0.5)/TIMELINE!$C$49)*SIN(PI()/(2*TIMELINE!$C$49)),0)))))),0)</f>
        <v>0</v>
      </c>
      <c r="AP50" s="118" t="n">
        <f aca="false">IF(INPUTS!$E$90="Yes",IF(OR(TIMELINE!AP50=0,TIMELINE!$C$49=0),0,IF(INPUTS!$K$90="Upfront",--(TIMELINE!AP50=1),IF(INPUTS!$K$90="Even",1/TIMELINE!$C$49,IF(INPUTS!$K$90="Front-loaded",(TIMELINE!$C$49-TIMELINE!AP50+1)*2/(TIMELINE!$C$49*(TIMELINE!$C$49+1)),IF(INPUTS!$K$90="Back-loaded",TIMELINE!AP50*2/(TIMELINE!$C$49*(TIMELINE!$C$49+1)),IF(INPUTS!$K$90="S-curve",SIN(PI()*(TIMELINE!AP50-0.5)/TIMELINE!$C$49)*SIN(PI()/(2*TIMELINE!$C$49)),0)))))),0)</f>
        <v>0</v>
      </c>
      <c r="AQ50" s="118" t="n">
        <f aca="false">IF(INPUTS!$E$90="Yes",IF(OR(TIMELINE!AQ50=0,TIMELINE!$C$49=0),0,IF(INPUTS!$K$90="Upfront",--(TIMELINE!AQ50=1),IF(INPUTS!$K$90="Even",1/TIMELINE!$C$49,IF(INPUTS!$K$90="Front-loaded",(TIMELINE!$C$49-TIMELINE!AQ50+1)*2/(TIMELINE!$C$49*(TIMELINE!$C$49+1)),IF(INPUTS!$K$90="Back-loaded",TIMELINE!AQ50*2/(TIMELINE!$C$49*(TIMELINE!$C$49+1)),IF(INPUTS!$K$90="S-curve",SIN(PI()*(TIMELINE!AQ50-0.5)/TIMELINE!$C$49)*SIN(PI()/(2*TIMELINE!$C$49)),0)))))),0)</f>
        <v>0</v>
      </c>
    </row>
    <row r="51" customFormat="false" ht="15" hidden="false" customHeight="false" outlineLevel="0" collapsed="false">
      <c r="B51" s="3" t="s">
        <v>671</v>
      </c>
      <c r="D51" s="118" t="n">
        <f aca="false">SUM($D50:D50)</f>
        <v>0</v>
      </c>
      <c r="E51" s="118" t="n">
        <f aca="false">SUM($D50:E50)</f>
        <v>0</v>
      </c>
      <c r="F51" s="118" t="n">
        <f aca="false">SUM($D50:F50)</f>
        <v>0</v>
      </c>
      <c r="G51" s="118" t="n">
        <f aca="false">SUM($D50:G50)</f>
        <v>0</v>
      </c>
      <c r="H51" s="118" t="n">
        <f aca="false">SUM($D50:H50)</f>
        <v>0</v>
      </c>
      <c r="I51" s="118" t="n">
        <f aca="false">SUM($D50:I50)</f>
        <v>0.125</v>
      </c>
      <c r="J51" s="118" t="n">
        <f aca="false">SUM($D50:J50)</f>
        <v>0.25</v>
      </c>
      <c r="K51" s="118" t="n">
        <f aca="false">SUM($D50:K50)</f>
        <v>0.375</v>
      </c>
      <c r="L51" s="118" t="n">
        <f aca="false">SUM($D50:L50)</f>
        <v>0.5</v>
      </c>
      <c r="M51" s="118" t="n">
        <f aca="false">SUM($D50:M50)</f>
        <v>0.625</v>
      </c>
      <c r="N51" s="118" t="n">
        <f aca="false">SUM($D50:N50)</f>
        <v>0.75</v>
      </c>
      <c r="O51" s="118" t="n">
        <f aca="false">SUM($D50:O50)</f>
        <v>0.875</v>
      </c>
      <c r="P51" s="118" t="n">
        <f aca="false">SUM($D50:P50)</f>
        <v>1</v>
      </c>
      <c r="Q51" s="118" t="n">
        <f aca="false">SUM($D50:Q50)</f>
        <v>1</v>
      </c>
      <c r="R51" s="118" t="n">
        <f aca="false">SUM($D50:R50)</f>
        <v>1</v>
      </c>
      <c r="S51" s="118" t="n">
        <f aca="false">SUM($D50:S50)</f>
        <v>1</v>
      </c>
      <c r="T51" s="118" t="n">
        <f aca="false">SUM($D50:T50)</f>
        <v>1</v>
      </c>
      <c r="U51" s="118" t="n">
        <f aca="false">SUM($D50:U50)</f>
        <v>1</v>
      </c>
      <c r="V51" s="118" t="n">
        <f aca="false">SUM($D50:V50)</f>
        <v>1</v>
      </c>
      <c r="W51" s="118" t="n">
        <f aca="false">SUM($D50:W50)</f>
        <v>1</v>
      </c>
      <c r="X51" s="118" t="n">
        <f aca="false">SUM($D50:X50)</f>
        <v>1</v>
      </c>
      <c r="Y51" s="118" t="n">
        <f aca="false">SUM($D50:Y50)</f>
        <v>1</v>
      </c>
      <c r="Z51" s="118" t="n">
        <f aca="false">SUM($D50:Z50)</f>
        <v>1</v>
      </c>
      <c r="AA51" s="118" t="n">
        <f aca="false">SUM($D50:AA50)</f>
        <v>1</v>
      </c>
      <c r="AB51" s="118" t="n">
        <f aca="false">SUM($D50:AB50)</f>
        <v>1</v>
      </c>
      <c r="AC51" s="118" t="n">
        <f aca="false">SUM($D50:AC50)</f>
        <v>1</v>
      </c>
      <c r="AD51" s="118" t="n">
        <f aca="false">SUM($D50:AD50)</f>
        <v>1</v>
      </c>
      <c r="AE51" s="118" t="n">
        <f aca="false">SUM($D50:AE50)</f>
        <v>1</v>
      </c>
      <c r="AF51" s="118" t="n">
        <f aca="false">SUM($D50:AF50)</f>
        <v>1</v>
      </c>
      <c r="AG51" s="118" t="n">
        <f aca="false">SUM($D50:AG50)</f>
        <v>1</v>
      </c>
      <c r="AH51" s="118" t="n">
        <f aca="false">SUM($D50:AH50)</f>
        <v>1</v>
      </c>
      <c r="AI51" s="118" t="n">
        <f aca="false">SUM($D50:AI50)</f>
        <v>1</v>
      </c>
      <c r="AJ51" s="118" t="n">
        <f aca="false">SUM($D50:AJ50)</f>
        <v>1</v>
      </c>
      <c r="AK51" s="118" t="n">
        <f aca="false">SUM($D50:AK50)</f>
        <v>1</v>
      </c>
      <c r="AL51" s="118" t="n">
        <f aca="false">SUM($D50:AL50)</f>
        <v>1</v>
      </c>
      <c r="AM51" s="118" t="n">
        <f aca="false">SUM($D50:AM50)</f>
        <v>1</v>
      </c>
      <c r="AN51" s="118" t="n">
        <f aca="false">SUM($D50:AN50)</f>
        <v>1</v>
      </c>
      <c r="AO51" s="118" t="n">
        <f aca="false">SUM($D50:AO50)</f>
        <v>1</v>
      </c>
      <c r="AP51" s="118" t="n">
        <f aca="false">SUM($D50:AP50)</f>
        <v>1</v>
      </c>
      <c r="AQ51" s="118" t="n">
        <f aca="false">SUM($D50:AQ50)</f>
        <v>1</v>
      </c>
    </row>
    <row r="52" customFormat="false" ht="15" hidden="false" customHeight="false" outlineLevel="0" collapsed="false">
      <c r="B52" s="3" t="s">
        <v>672</v>
      </c>
      <c r="C52" s="117" t="n">
        <f aca="false">SUM(D52:AQ52)</f>
        <v>1</v>
      </c>
      <c r="D52" s="118" t="n">
        <f aca="false">IF(INPUTS!$E$90="Yes",IF(OR(TIMELINE!D52=0,TIMELINE!$C$51=0),0,IF(INPUTS!$O$90="Upfront",--(TIMELINE!D52=1),IF(INPUTS!$O$90="Even",1/TIMELINE!$C$51,IF(INPUTS!$O$90="Front-loaded",(TIMELINE!$C$51-TIMELINE!D52+1)*2/(TIMELINE!$C$51*(TIMELINE!$C$51+1)),IF(INPUTS!$O$90="Back-loaded",TIMELINE!D52*2/(TIMELINE!$C$51*(TIMELINE!$C$51+1)),IF(INPUTS!$O$90="S-curve",SIN(PI()*(TIMELINE!D52-0.5)/TIMELINE!$C$51)*SIN(PI()/(2*TIMELINE!$C$51)),0)))))),0)</f>
        <v>0</v>
      </c>
      <c r="E52" s="118" t="n">
        <f aca="false">IF(INPUTS!$E$90="Yes",IF(OR(TIMELINE!E52=0,TIMELINE!$C$51=0),0,IF(INPUTS!$O$90="Upfront",--(TIMELINE!E52=1),IF(INPUTS!$O$90="Even",1/TIMELINE!$C$51,IF(INPUTS!$O$90="Front-loaded",(TIMELINE!$C$51-TIMELINE!E52+1)*2/(TIMELINE!$C$51*(TIMELINE!$C$51+1)),IF(INPUTS!$O$90="Back-loaded",TIMELINE!E52*2/(TIMELINE!$C$51*(TIMELINE!$C$51+1)),IF(INPUTS!$O$90="S-curve",SIN(PI()*(TIMELINE!E52-0.5)/TIMELINE!$C$51)*SIN(PI()/(2*TIMELINE!$C$51)),0)))))),0)</f>
        <v>0</v>
      </c>
      <c r="F52" s="118" t="n">
        <f aca="false">IF(INPUTS!$E$90="Yes",IF(OR(TIMELINE!F52=0,TIMELINE!$C$51=0),0,IF(INPUTS!$O$90="Upfront",--(TIMELINE!F52=1),IF(INPUTS!$O$90="Even",1/TIMELINE!$C$51,IF(INPUTS!$O$90="Front-loaded",(TIMELINE!$C$51-TIMELINE!F52+1)*2/(TIMELINE!$C$51*(TIMELINE!$C$51+1)),IF(INPUTS!$O$90="Back-loaded",TIMELINE!F52*2/(TIMELINE!$C$51*(TIMELINE!$C$51+1)),IF(INPUTS!$O$90="S-curve",SIN(PI()*(TIMELINE!F52-0.5)/TIMELINE!$C$51)*SIN(PI()/(2*TIMELINE!$C$51)),0)))))),0)</f>
        <v>0</v>
      </c>
      <c r="G52" s="118" t="n">
        <f aca="false">IF(INPUTS!$E$90="Yes",IF(OR(TIMELINE!G52=0,TIMELINE!$C$51=0),0,IF(INPUTS!$O$90="Upfront",--(TIMELINE!G52=1),IF(INPUTS!$O$90="Even",1/TIMELINE!$C$51,IF(INPUTS!$O$90="Front-loaded",(TIMELINE!$C$51-TIMELINE!G52+1)*2/(TIMELINE!$C$51*(TIMELINE!$C$51+1)),IF(INPUTS!$O$90="Back-loaded",TIMELINE!G52*2/(TIMELINE!$C$51*(TIMELINE!$C$51+1)),IF(INPUTS!$O$90="S-curve",SIN(PI()*(TIMELINE!G52-0.5)/TIMELINE!$C$51)*SIN(PI()/(2*TIMELINE!$C$51)),0)))))),0)</f>
        <v>0</v>
      </c>
      <c r="H52" s="118" t="n">
        <f aca="false">IF(INPUTS!$E$90="Yes",IF(OR(TIMELINE!H52=0,TIMELINE!$C$51=0),0,IF(INPUTS!$O$90="Upfront",--(TIMELINE!H52=1),IF(INPUTS!$O$90="Even",1/TIMELINE!$C$51,IF(INPUTS!$O$90="Front-loaded",(TIMELINE!$C$51-TIMELINE!H52+1)*2/(TIMELINE!$C$51*(TIMELINE!$C$51+1)),IF(INPUTS!$O$90="Back-loaded",TIMELINE!H52*2/(TIMELINE!$C$51*(TIMELINE!$C$51+1)),IF(INPUTS!$O$90="S-curve",SIN(PI()*(TIMELINE!H52-0.5)/TIMELINE!$C$51)*SIN(PI()/(2*TIMELINE!$C$51)),0)))))),0)</f>
        <v>0</v>
      </c>
      <c r="I52" s="118" t="n">
        <f aca="false">IF(INPUTS!$E$90="Yes",IF(OR(TIMELINE!I52=0,TIMELINE!$C$51=0),0,IF(INPUTS!$O$90="Upfront",--(TIMELINE!I52=1),IF(INPUTS!$O$90="Even",1/TIMELINE!$C$51,IF(INPUTS!$O$90="Front-loaded",(TIMELINE!$C$51-TIMELINE!I52+1)*2/(TIMELINE!$C$51*(TIMELINE!$C$51+1)),IF(INPUTS!$O$90="Back-loaded",TIMELINE!I52*2/(TIMELINE!$C$51*(TIMELINE!$C$51+1)),IF(INPUTS!$O$90="S-curve",SIN(PI()*(TIMELINE!I52-0.5)/TIMELINE!$C$51)*SIN(PI()/(2*TIMELINE!$C$51)),0)))))),0)</f>
        <v>0.0170370868554659</v>
      </c>
      <c r="J52" s="118" t="n">
        <f aca="false">IF(INPUTS!$E$90="Yes",IF(OR(TIMELINE!J52=0,TIMELINE!$C$51=0),0,IF(INPUTS!$O$90="Upfront",--(TIMELINE!J52=1),IF(INPUTS!$O$90="Even",1/TIMELINE!$C$51,IF(INPUTS!$O$90="Front-loaded",(TIMELINE!$C$51-TIMELINE!J52+1)*2/(TIMELINE!$C$51*(TIMELINE!$C$51+1)),IF(INPUTS!$O$90="Back-loaded",TIMELINE!J52*2/(TIMELINE!$C$51*(TIMELINE!$C$51+1)),IF(INPUTS!$O$90="S-curve",SIN(PI()*(TIMELINE!J52-0.5)/TIMELINE!$C$51)*SIN(PI()/(2*TIMELINE!$C$51)),0)))))),0)</f>
        <v>0.0499502112523148</v>
      </c>
      <c r="K52" s="118" t="n">
        <f aca="false">IF(INPUTS!$E$90="Yes",IF(OR(TIMELINE!K52=0,TIMELINE!$C$51=0),0,IF(INPUTS!$O$90="Upfront",--(TIMELINE!K52=1),IF(INPUTS!$O$90="Even",1/TIMELINE!$C$51,IF(INPUTS!$O$90="Front-loaded",(TIMELINE!$C$51-TIMELINE!K52+1)*2/(TIMELINE!$C$51*(TIMELINE!$C$51+1)),IF(INPUTS!$O$90="Back-loaded",TIMELINE!K52*2/(TIMELINE!$C$51*(TIMELINE!$C$51+1)),IF(INPUTS!$O$90="S-curve",SIN(PI()*(TIMELINE!K52-0.5)/TIMELINE!$C$51)*SIN(PI()/(2*TIMELINE!$C$51)),0)))))),0)</f>
        <v>0.0794593112989456</v>
      </c>
      <c r="L52" s="118" t="n">
        <f aca="false">IF(INPUTS!$E$90="Yes",IF(OR(TIMELINE!L52=0,TIMELINE!$C$51=0),0,IF(INPUTS!$O$90="Upfront",--(TIMELINE!L52=1),IF(INPUTS!$O$90="Even",1/TIMELINE!$C$51,IF(INPUTS!$O$90="Front-loaded",(TIMELINE!$C$51-TIMELINE!L52+1)*2/(TIMELINE!$C$51*(TIMELINE!$C$51+1)),IF(INPUTS!$O$90="Back-loaded",TIMELINE!L52*2/(TIMELINE!$C$51*(TIMELINE!$C$51+1)),IF(INPUTS!$O$90="S-curve",SIN(PI()*(TIMELINE!L52-0.5)/TIMELINE!$C$51)*SIN(PI()/(2*TIMELINE!$C$51)),0)))))),0)</f>
        <v>0.103553390593274</v>
      </c>
      <c r="M52" s="118" t="n">
        <f aca="false">IF(INPUTS!$E$90="Yes",IF(OR(TIMELINE!M52=0,TIMELINE!$C$51=0),0,IF(INPUTS!$O$90="Upfront",--(TIMELINE!M52=1),IF(INPUTS!$O$90="Even",1/TIMELINE!$C$51,IF(INPUTS!$O$90="Front-loaded",(TIMELINE!$C$51-TIMELINE!M52+1)*2/(TIMELINE!$C$51*(TIMELINE!$C$51+1)),IF(INPUTS!$O$90="Back-loaded",TIMELINE!M52*2/(TIMELINE!$C$51*(TIMELINE!$C$51+1)),IF(INPUTS!$O$90="S-curve",SIN(PI()*(TIMELINE!M52-0.5)/TIMELINE!$C$51)*SIN(PI()/(2*TIMELINE!$C$51)),0)))))),0)</f>
        <v>0.12059047744874</v>
      </c>
      <c r="N52" s="118" t="n">
        <f aca="false">IF(INPUTS!$E$90="Yes",IF(OR(TIMELINE!N52=0,TIMELINE!$C$51=0),0,IF(INPUTS!$O$90="Upfront",--(TIMELINE!N52=1),IF(INPUTS!$O$90="Even",1/TIMELINE!$C$51,IF(INPUTS!$O$90="Front-loaded",(TIMELINE!$C$51-TIMELINE!N52+1)*2/(TIMELINE!$C$51*(TIMELINE!$C$51+1)),IF(INPUTS!$O$90="Back-loaded",TIMELINE!N52*2/(TIMELINE!$C$51*(TIMELINE!$C$51+1)),IF(INPUTS!$O$90="S-curve",SIN(PI()*(TIMELINE!N52-0.5)/TIMELINE!$C$51)*SIN(PI()/(2*TIMELINE!$C$51)),0)))))),0)</f>
        <v>0.12940952255126</v>
      </c>
      <c r="O52" s="118" t="n">
        <f aca="false">IF(INPUTS!$E$90="Yes",IF(OR(TIMELINE!O52=0,TIMELINE!$C$51=0),0,IF(INPUTS!$O$90="Upfront",--(TIMELINE!O52=1),IF(INPUTS!$O$90="Even",1/TIMELINE!$C$51,IF(INPUTS!$O$90="Front-loaded",(TIMELINE!$C$51-TIMELINE!O52+1)*2/(TIMELINE!$C$51*(TIMELINE!$C$51+1)),IF(INPUTS!$O$90="Back-loaded",TIMELINE!O52*2/(TIMELINE!$C$51*(TIMELINE!$C$51+1)),IF(INPUTS!$O$90="S-curve",SIN(PI()*(TIMELINE!O52-0.5)/TIMELINE!$C$51)*SIN(PI()/(2*TIMELINE!$C$51)),0)))))),0)</f>
        <v>0.12940952255126</v>
      </c>
      <c r="P52" s="118" t="n">
        <f aca="false">IF(INPUTS!$E$90="Yes",IF(OR(TIMELINE!P52=0,TIMELINE!$C$51=0),0,IF(INPUTS!$O$90="Upfront",--(TIMELINE!P52=1),IF(INPUTS!$O$90="Even",1/TIMELINE!$C$51,IF(INPUTS!$O$90="Front-loaded",(TIMELINE!$C$51-TIMELINE!P52+1)*2/(TIMELINE!$C$51*(TIMELINE!$C$51+1)),IF(INPUTS!$O$90="Back-loaded",TIMELINE!P52*2/(TIMELINE!$C$51*(TIMELINE!$C$51+1)),IF(INPUTS!$O$90="S-curve",SIN(PI()*(TIMELINE!P52-0.5)/TIMELINE!$C$51)*SIN(PI()/(2*TIMELINE!$C$51)),0)))))),0)</f>
        <v>0.12059047744874</v>
      </c>
      <c r="Q52" s="118" t="n">
        <f aca="false">IF(INPUTS!$E$90="Yes",IF(OR(TIMELINE!Q52=0,TIMELINE!$C$51=0),0,IF(INPUTS!$O$90="Upfront",--(TIMELINE!Q52=1),IF(INPUTS!$O$90="Even",1/TIMELINE!$C$51,IF(INPUTS!$O$90="Front-loaded",(TIMELINE!$C$51-TIMELINE!Q52+1)*2/(TIMELINE!$C$51*(TIMELINE!$C$51+1)),IF(INPUTS!$O$90="Back-loaded",TIMELINE!Q52*2/(TIMELINE!$C$51*(TIMELINE!$C$51+1)),IF(INPUTS!$O$90="S-curve",SIN(PI()*(TIMELINE!Q52-0.5)/TIMELINE!$C$51)*SIN(PI()/(2*TIMELINE!$C$51)),0)))))),0)</f>
        <v>0.103553390593274</v>
      </c>
      <c r="R52" s="118" t="n">
        <f aca="false">IF(INPUTS!$E$90="Yes",IF(OR(TIMELINE!R52=0,TIMELINE!$C$51=0),0,IF(INPUTS!$O$90="Upfront",--(TIMELINE!R52=1),IF(INPUTS!$O$90="Even",1/TIMELINE!$C$51,IF(INPUTS!$O$90="Front-loaded",(TIMELINE!$C$51-TIMELINE!R52+1)*2/(TIMELINE!$C$51*(TIMELINE!$C$51+1)),IF(INPUTS!$O$90="Back-loaded",TIMELINE!R52*2/(TIMELINE!$C$51*(TIMELINE!$C$51+1)),IF(INPUTS!$O$90="S-curve",SIN(PI()*(TIMELINE!R52-0.5)/TIMELINE!$C$51)*SIN(PI()/(2*TIMELINE!$C$51)),0)))))),0)</f>
        <v>0.0794593112989456</v>
      </c>
      <c r="S52" s="118" t="n">
        <f aca="false">IF(INPUTS!$E$90="Yes",IF(OR(TIMELINE!S52=0,TIMELINE!$C$51=0),0,IF(INPUTS!$O$90="Upfront",--(TIMELINE!S52=1),IF(INPUTS!$O$90="Even",1/TIMELINE!$C$51,IF(INPUTS!$O$90="Front-loaded",(TIMELINE!$C$51-TIMELINE!S52+1)*2/(TIMELINE!$C$51*(TIMELINE!$C$51+1)),IF(INPUTS!$O$90="Back-loaded",TIMELINE!S52*2/(TIMELINE!$C$51*(TIMELINE!$C$51+1)),IF(INPUTS!$O$90="S-curve",SIN(PI()*(TIMELINE!S52-0.5)/TIMELINE!$C$51)*SIN(PI()/(2*TIMELINE!$C$51)),0)))))),0)</f>
        <v>0.0499502112523148</v>
      </c>
      <c r="T52" s="118" t="n">
        <f aca="false">IF(INPUTS!$E$90="Yes",IF(OR(TIMELINE!T52=0,TIMELINE!$C$51=0),0,IF(INPUTS!$O$90="Upfront",--(TIMELINE!T52=1),IF(INPUTS!$O$90="Even",1/TIMELINE!$C$51,IF(INPUTS!$O$90="Front-loaded",(TIMELINE!$C$51-TIMELINE!T52+1)*2/(TIMELINE!$C$51*(TIMELINE!$C$51+1)),IF(INPUTS!$O$90="Back-loaded",TIMELINE!T52*2/(TIMELINE!$C$51*(TIMELINE!$C$51+1)),IF(INPUTS!$O$90="S-curve",SIN(PI()*(TIMELINE!T52-0.5)/TIMELINE!$C$51)*SIN(PI()/(2*TIMELINE!$C$51)),0)))))),0)</f>
        <v>0.0170370868554659</v>
      </c>
      <c r="U52" s="118" t="n">
        <f aca="false">IF(INPUTS!$E$90="Yes",IF(OR(TIMELINE!U52=0,TIMELINE!$C$51=0),0,IF(INPUTS!$O$90="Upfront",--(TIMELINE!U52=1),IF(INPUTS!$O$90="Even",1/TIMELINE!$C$51,IF(INPUTS!$O$90="Front-loaded",(TIMELINE!$C$51-TIMELINE!U52+1)*2/(TIMELINE!$C$51*(TIMELINE!$C$51+1)),IF(INPUTS!$O$90="Back-loaded",TIMELINE!U52*2/(TIMELINE!$C$51*(TIMELINE!$C$51+1)),IF(INPUTS!$O$90="S-curve",SIN(PI()*(TIMELINE!U52-0.5)/TIMELINE!$C$51)*SIN(PI()/(2*TIMELINE!$C$51)),0)))))),0)</f>
        <v>0</v>
      </c>
      <c r="V52" s="118" t="n">
        <f aca="false">IF(INPUTS!$E$90="Yes",IF(OR(TIMELINE!V52=0,TIMELINE!$C$51=0),0,IF(INPUTS!$O$90="Upfront",--(TIMELINE!V52=1),IF(INPUTS!$O$90="Even",1/TIMELINE!$C$51,IF(INPUTS!$O$90="Front-loaded",(TIMELINE!$C$51-TIMELINE!V52+1)*2/(TIMELINE!$C$51*(TIMELINE!$C$51+1)),IF(INPUTS!$O$90="Back-loaded",TIMELINE!V52*2/(TIMELINE!$C$51*(TIMELINE!$C$51+1)),IF(INPUTS!$O$90="S-curve",SIN(PI()*(TIMELINE!V52-0.5)/TIMELINE!$C$51)*SIN(PI()/(2*TIMELINE!$C$51)),0)))))),0)</f>
        <v>0</v>
      </c>
      <c r="W52" s="118" t="n">
        <f aca="false">IF(INPUTS!$E$90="Yes",IF(OR(TIMELINE!W52=0,TIMELINE!$C$51=0),0,IF(INPUTS!$O$90="Upfront",--(TIMELINE!W52=1),IF(INPUTS!$O$90="Even",1/TIMELINE!$C$51,IF(INPUTS!$O$90="Front-loaded",(TIMELINE!$C$51-TIMELINE!W52+1)*2/(TIMELINE!$C$51*(TIMELINE!$C$51+1)),IF(INPUTS!$O$90="Back-loaded",TIMELINE!W52*2/(TIMELINE!$C$51*(TIMELINE!$C$51+1)),IF(INPUTS!$O$90="S-curve",SIN(PI()*(TIMELINE!W52-0.5)/TIMELINE!$C$51)*SIN(PI()/(2*TIMELINE!$C$51)),0)))))),0)</f>
        <v>0</v>
      </c>
      <c r="X52" s="118" t="n">
        <f aca="false">IF(INPUTS!$E$90="Yes",IF(OR(TIMELINE!X52=0,TIMELINE!$C$51=0),0,IF(INPUTS!$O$90="Upfront",--(TIMELINE!X52=1),IF(INPUTS!$O$90="Even",1/TIMELINE!$C$51,IF(INPUTS!$O$90="Front-loaded",(TIMELINE!$C$51-TIMELINE!X52+1)*2/(TIMELINE!$C$51*(TIMELINE!$C$51+1)),IF(INPUTS!$O$90="Back-loaded",TIMELINE!X52*2/(TIMELINE!$C$51*(TIMELINE!$C$51+1)),IF(INPUTS!$O$90="S-curve",SIN(PI()*(TIMELINE!X52-0.5)/TIMELINE!$C$51)*SIN(PI()/(2*TIMELINE!$C$51)),0)))))),0)</f>
        <v>0</v>
      </c>
      <c r="Y52" s="118" t="n">
        <f aca="false">IF(INPUTS!$E$90="Yes",IF(OR(TIMELINE!Y52=0,TIMELINE!$C$51=0),0,IF(INPUTS!$O$90="Upfront",--(TIMELINE!Y52=1),IF(INPUTS!$O$90="Even",1/TIMELINE!$C$51,IF(INPUTS!$O$90="Front-loaded",(TIMELINE!$C$51-TIMELINE!Y52+1)*2/(TIMELINE!$C$51*(TIMELINE!$C$51+1)),IF(INPUTS!$O$90="Back-loaded",TIMELINE!Y52*2/(TIMELINE!$C$51*(TIMELINE!$C$51+1)),IF(INPUTS!$O$90="S-curve",SIN(PI()*(TIMELINE!Y52-0.5)/TIMELINE!$C$51)*SIN(PI()/(2*TIMELINE!$C$51)),0)))))),0)</f>
        <v>0</v>
      </c>
      <c r="Z52" s="118" t="n">
        <f aca="false">IF(INPUTS!$E$90="Yes",IF(OR(TIMELINE!Z52=0,TIMELINE!$C$51=0),0,IF(INPUTS!$O$90="Upfront",--(TIMELINE!Z52=1),IF(INPUTS!$O$90="Even",1/TIMELINE!$C$51,IF(INPUTS!$O$90="Front-loaded",(TIMELINE!$C$51-TIMELINE!Z52+1)*2/(TIMELINE!$C$51*(TIMELINE!$C$51+1)),IF(INPUTS!$O$90="Back-loaded",TIMELINE!Z52*2/(TIMELINE!$C$51*(TIMELINE!$C$51+1)),IF(INPUTS!$O$90="S-curve",SIN(PI()*(TIMELINE!Z52-0.5)/TIMELINE!$C$51)*SIN(PI()/(2*TIMELINE!$C$51)),0)))))),0)</f>
        <v>0</v>
      </c>
      <c r="AA52" s="118" t="n">
        <f aca="false">IF(INPUTS!$E$90="Yes",IF(OR(TIMELINE!AA52=0,TIMELINE!$C$51=0),0,IF(INPUTS!$O$90="Upfront",--(TIMELINE!AA52=1),IF(INPUTS!$O$90="Even",1/TIMELINE!$C$51,IF(INPUTS!$O$90="Front-loaded",(TIMELINE!$C$51-TIMELINE!AA52+1)*2/(TIMELINE!$C$51*(TIMELINE!$C$51+1)),IF(INPUTS!$O$90="Back-loaded",TIMELINE!AA52*2/(TIMELINE!$C$51*(TIMELINE!$C$51+1)),IF(INPUTS!$O$90="S-curve",SIN(PI()*(TIMELINE!AA52-0.5)/TIMELINE!$C$51)*SIN(PI()/(2*TIMELINE!$C$51)),0)))))),0)</f>
        <v>0</v>
      </c>
      <c r="AB52" s="118" t="n">
        <f aca="false">IF(INPUTS!$E$90="Yes",IF(OR(TIMELINE!AB52=0,TIMELINE!$C$51=0),0,IF(INPUTS!$O$90="Upfront",--(TIMELINE!AB52=1),IF(INPUTS!$O$90="Even",1/TIMELINE!$C$51,IF(INPUTS!$O$90="Front-loaded",(TIMELINE!$C$51-TIMELINE!AB52+1)*2/(TIMELINE!$C$51*(TIMELINE!$C$51+1)),IF(INPUTS!$O$90="Back-loaded",TIMELINE!AB52*2/(TIMELINE!$C$51*(TIMELINE!$C$51+1)),IF(INPUTS!$O$90="S-curve",SIN(PI()*(TIMELINE!AB52-0.5)/TIMELINE!$C$51)*SIN(PI()/(2*TIMELINE!$C$51)),0)))))),0)</f>
        <v>0</v>
      </c>
      <c r="AC52" s="118" t="n">
        <f aca="false">IF(INPUTS!$E$90="Yes",IF(OR(TIMELINE!AC52=0,TIMELINE!$C$51=0),0,IF(INPUTS!$O$90="Upfront",--(TIMELINE!AC52=1),IF(INPUTS!$O$90="Even",1/TIMELINE!$C$51,IF(INPUTS!$O$90="Front-loaded",(TIMELINE!$C$51-TIMELINE!AC52+1)*2/(TIMELINE!$C$51*(TIMELINE!$C$51+1)),IF(INPUTS!$O$90="Back-loaded",TIMELINE!AC52*2/(TIMELINE!$C$51*(TIMELINE!$C$51+1)),IF(INPUTS!$O$90="S-curve",SIN(PI()*(TIMELINE!AC52-0.5)/TIMELINE!$C$51)*SIN(PI()/(2*TIMELINE!$C$51)),0)))))),0)</f>
        <v>0</v>
      </c>
      <c r="AD52" s="118" t="n">
        <f aca="false">IF(INPUTS!$E$90="Yes",IF(OR(TIMELINE!AD52=0,TIMELINE!$C$51=0),0,IF(INPUTS!$O$90="Upfront",--(TIMELINE!AD52=1),IF(INPUTS!$O$90="Even",1/TIMELINE!$C$51,IF(INPUTS!$O$90="Front-loaded",(TIMELINE!$C$51-TIMELINE!AD52+1)*2/(TIMELINE!$C$51*(TIMELINE!$C$51+1)),IF(INPUTS!$O$90="Back-loaded",TIMELINE!AD52*2/(TIMELINE!$C$51*(TIMELINE!$C$51+1)),IF(INPUTS!$O$90="S-curve",SIN(PI()*(TIMELINE!AD52-0.5)/TIMELINE!$C$51)*SIN(PI()/(2*TIMELINE!$C$51)),0)))))),0)</f>
        <v>0</v>
      </c>
      <c r="AE52" s="118" t="n">
        <f aca="false">IF(INPUTS!$E$90="Yes",IF(OR(TIMELINE!AE52=0,TIMELINE!$C$51=0),0,IF(INPUTS!$O$90="Upfront",--(TIMELINE!AE52=1),IF(INPUTS!$O$90="Even",1/TIMELINE!$C$51,IF(INPUTS!$O$90="Front-loaded",(TIMELINE!$C$51-TIMELINE!AE52+1)*2/(TIMELINE!$C$51*(TIMELINE!$C$51+1)),IF(INPUTS!$O$90="Back-loaded",TIMELINE!AE52*2/(TIMELINE!$C$51*(TIMELINE!$C$51+1)),IF(INPUTS!$O$90="S-curve",SIN(PI()*(TIMELINE!AE52-0.5)/TIMELINE!$C$51)*SIN(PI()/(2*TIMELINE!$C$51)),0)))))),0)</f>
        <v>0</v>
      </c>
      <c r="AF52" s="118" t="n">
        <f aca="false">IF(INPUTS!$E$90="Yes",IF(OR(TIMELINE!AF52=0,TIMELINE!$C$51=0),0,IF(INPUTS!$O$90="Upfront",--(TIMELINE!AF52=1),IF(INPUTS!$O$90="Even",1/TIMELINE!$C$51,IF(INPUTS!$O$90="Front-loaded",(TIMELINE!$C$51-TIMELINE!AF52+1)*2/(TIMELINE!$C$51*(TIMELINE!$C$51+1)),IF(INPUTS!$O$90="Back-loaded",TIMELINE!AF52*2/(TIMELINE!$C$51*(TIMELINE!$C$51+1)),IF(INPUTS!$O$90="S-curve",SIN(PI()*(TIMELINE!AF52-0.5)/TIMELINE!$C$51)*SIN(PI()/(2*TIMELINE!$C$51)),0)))))),0)</f>
        <v>0</v>
      </c>
      <c r="AG52" s="118" t="n">
        <f aca="false">IF(INPUTS!$E$90="Yes",IF(OR(TIMELINE!AG52=0,TIMELINE!$C$51=0),0,IF(INPUTS!$O$90="Upfront",--(TIMELINE!AG52=1),IF(INPUTS!$O$90="Even",1/TIMELINE!$C$51,IF(INPUTS!$O$90="Front-loaded",(TIMELINE!$C$51-TIMELINE!AG52+1)*2/(TIMELINE!$C$51*(TIMELINE!$C$51+1)),IF(INPUTS!$O$90="Back-loaded",TIMELINE!AG52*2/(TIMELINE!$C$51*(TIMELINE!$C$51+1)),IF(INPUTS!$O$90="S-curve",SIN(PI()*(TIMELINE!AG52-0.5)/TIMELINE!$C$51)*SIN(PI()/(2*TIMELINE!$C$51)),0)))))),0)</f>
        <v>0</v>
      </c>
      <c r="AH52" s="118" t="n">
        <f aca="false">IF(INPUTS!$E$90="Yes",IF(OR(TIMELINE!AH52=0,TIMELINE!$C$51=0),0,IF(INPUTS!$O$90="Upfront",--(TIMELINE!AH52=1),IF(INPUTS!$O$90="Even",1/TIMELINE!$C$51,IF(INPUTS!$O$90="Front-loaded",(TIMELINE!$C$51-TIMELINE!AH52+1)*2/(TIMELINE!$C$51*(TIMELINE!$C$51+1)),IF(INPUTS!$O$90="Back-loaded",TIMELINE!AH52*2/(TIMELINE!$C$51*(TIMELINE!$C$51+1)),IF(INPUTS!$O$90="S-curve",SIN(PI()*(TIMELINE!AH52-0.5)/TIMELINE!$C$51)*SIN(PI()/(2*TIMELINE!$C$51)),0)))))),0)</f>
        <v>0</v>
      </c>
      <c r="AI52" s="118" t="n">
        <f aca="false">IF(INPUTS!$E$90="Yes",IF(OR(TIMELINE!AI52=0,TIMELINE!$C$51=0),0,IF(INPUTS!$O$90="Upfront",--(TIMELINE!AI52=1),IF(INPUTS!$O$90="Even",1/TIMELINE!$C$51,IF(INPUTS!$O$90="Front-loaded",(TIMELINE!$C$51-TIMELINE!AI52+1)*2/(TIMELINE!$C$51*(TIMELINE!$C$51+1)),IF(INPUTS!$O$90="Back-loaded",TIMELINE!AI52*2/(TIMELINE!$C$51*(TIMELINE!$C$51+1)),IF(INPUTS!$O$90="S-curve",SIN(PI()*(TIMELINE!AI52-0.5)/TIMELINE!$C$51)*SIN(PI()/(2*TIMELINE!$C$51)),0)))))),0)</f>
        <v>0</v>
      </c>
      <c r="AJ52" s="118" t="n">
        <f aca="false">IF(INPUTS!$E$90="Yes",IF(OR(TIMELINE!AJ52=0,TIMELINE!$C$51=0),0,IF(INPUTS!$O$90="Upfront",--(TIMELINE!AJ52=1),IF(INPUTS!$O$90="Even",1/TIMELINE!$C$51,IF(INPUTS!$O$90="Front-loaded",(TIMELINE!$C$51-TIMELINE!AJ52+1)*2/(TIMELINE!$C$51*(TIMELINE!$C$51+1)),IF(INPUTS!$O$90="Back-loaded",TIMELINE!AJ52*2/(TIMELINE!$C$51*(TIMELINE!$C$51+1)),IF(INPUTS!$O$90="S-curve",SIN(PI()*(TIMELINE!AJ52-0.5)/TIMELINE!$C$51)*SIN(PI()/(2*TIMELINE!$C$51)),0)))))),0)</f>
        <v>0</v>
      </c>
      <c r="AK52" s="118" t="n">
        <f aca="false">IF(INPUTS!$E$90="Yes",IF(OR(TIMELINE!AK52=0,TIMELINE!$C$51=0),0,IF(INPUTS!$O$90="Upfront",--(TIMELINE!AK52=1),IF(INPUTS!$O$90="Even",1/TIMELINE!$C$51,IF(INPUTS!$O$90="Front-loaded",(TIMELINE!$C$51-TIMELINE!AK52+1)*2/(TIMELINE!$C$51*(TIMELINE!$C$51+1)),IF(INPUTS!$O$90="Back-loaded",TIMELINE!AK52*2/(TIMELINE!$C$51*(TIMELINE!$C$51+1)),IF(INPUTS!$O$90="S-curve",SIN(PI()*(TIMELINE!AK52-0.5)/TIMELINE!$C$51)*SIN(PI()/(2*TIMELINE!$C$51)),0)))))),0)</f>
        <v>0</v>
      </c>
      <c r="AL52" s="118" t="n">
        <f aca="false">IF(INPUTS!$E$90="Yes",IF(OR(TIMELINE!AL52=0,TIMELINE!$C$51=0),0,IF(INPUTS!$O$90="Upfront",--(TIMELINE!AL52=1),IF(INPUTS!$O$90="Even",1/TIMELINE!$C$51,IF(INPUTS!$O$90="Front-loaded",(TIMELINE!$C$51-TIMELINE!AL52+1)*2/(TIMELINE!$C$51*(TIMELINE!$C$51+1)),IF(INPUTS!$O$90="Back-loaded",TIMELINE!AL52*2/(TIMELINE!$C$51*(TIMELINE!$C$51+1)),IF(INPUTS!$O$90="S-curve",SIN(PI()*(TIMELINE!AL52-0.5)/TIMELINE!$C$51)*SIN(PI()/(2*TIMELINE!$C$51)),0)))))),0)</f>
        <v>0</v>
      </c>
      <c r="AM52" s="118" t="n">
        <f aca="false">IF(INPUTS!$E$90="Yes",IF(OR(TIMELINE!AM52=0,TIMELINE!$C$51=0),0,IF(INPUTS!$O$90="Upfront",--(TIMELINE!AM52=1),IF(INPUTS!$O$90="Even",1/TIMELINE!$C$51,IF(INPUTS!$O$90="Front-loaded",(TIMELINE!$C$51-TIMELINE!AM52+1)*2/(TIMELINE!$C$51*(TIMELINE!$C$51+1)),IF(INPUTS!$O$90="Back-loaded",TIMELINE!AM52*2/(TIMELINE!$C$51*(TIMELINE!$C$51+1)),IF(INPUTS!$O$90="S-curve",SIN(PI()*(TIMELINE!AM52-0.5)/TIMELINE!$C$51)*SIN(PI()/(2*TIMELINE!$C$51)),0)))))),0)</f>
        <v>0</v>
      </c>
      <c r="AN52" s="118" t="n">
        <f aca="false">IF(INPUTS!$E$90="Yes",IF(OR(TIMELINE!AN52=0,TIMELINE!$C$51=0),0,IF(INPUTS!$O$90="Upfront",--(TIMELINE!AN52=1),IF(INPUTS!$O$90="Even",1/TIMELINE!$C$51,IF(INPUTS!$O$90="Front-loaded",(TIMELINE!$C$51-TIMELINE!AN52+1)*2/(TIMELINE!$C$51*(TIMELINE!$C$51+1)),IF(INPUTS!$O$90="Back-loaded",TIMELINE!AN52*2/(TIMELINE!$C$51*(TIMELINE!$C$51+1)),IF(INPUTS!$O$90="S-curve",SIN(PI()*(TIMELINE!AN52-0.5)/TIMELINE!$C$51)*SIN(PI()/(2*TIMELINE!$C$51)),0)))))),0)</f>
        <v>0</v>
      </c>
      <c r="AO52" s="118" t="n">
        <f aca="false">IF(INPUTS!$E$90="Yes",IF(OR(TIMELINE!AO52=0,TIMELINE!$C$51=0),0,IF(INPUTS!$O$90="Upfront",--(TIMELINE!AO52=1),IF(INPUTS!$O$90="Even",1/TIMELINE!$C$51,IF(INPUTS!$O$90="Front-loaded",(TIMELINE!$C$51-TIMELINE!AO52+1)*2/(TIMELINE!$C$51*(TIMELINE!$C$51+1)),IF(INPUTS!$O$90="Back-loaded",TIMELINE!AO52*2/(TIMELINE!$C$51*(TIMELINE!$C$51+1)),IF(INPUTS!$O$90="S-curve",SIN(PI()*(TIMELINE!AO52-0.5)/TIMELINE!$C$51)*SIN(PI()/(2*TIMELINE!$C$51)),0)))))),0)</f>
        <v>0</v>
      </c>
      <c r="AP52" s="118" t="n">
        <f aca="false">IF(INPUTS!$E$90="Yes",IF(OR(TIMELINE!AP52=0,TIMELINE!$C$51=0),0,IF(INPUTS!$O$90="Upfront",--(TIMELINE!AP52=1),IF(INPUTS!$O$90="Even",1/TIMELINE!$C$51,IF(INPUTS!$O$90="Front-loaded",(TIMELINE!$C$51-TIMELINE!AP52+1)*2/(TIMELINE!$C$51*(TIMELINE!$C$51+1)),IF(INPUTS!$O$90="Back-loaded",TIMELINE!AP52*2/(TIMELINE!$C$51*(TIMELINE!$C$51+1)),IF(INPUTS!$O$90="S-curve",SIN(PI()*(TIMELINE!AP52-0.5)/TIMELINE!$C$51)*SIN(PI()/(2*TIMELINE!$C$51)),0)))))),0)</f>
        <v>0</v>
      </c>
      <c r="AQ52" s="118" t="n">
        <f aca="false">IF(INPUTS!$E$90="Yes",IF(OR(TIMELINE!AQ52=0,TIMELINE!$C$51=0),0,IF(INPUTS!$O$90="Upfront",--(TIMELINE!AQ52=1),IF(INPUTS!$O$90="Even",1/TIMELINE!$C$51,IF(INPUTS!$O$90="Front-loaded",(TIMELINE!$C$51-TIMELINE!AQ52+1)*2/(TIMELINE!$C$51*(TIMELINE!$C$51+1)),IF(INPUTS!$O$90="Back-loaded",TIMELINE!AQ52*2/(TIMELINE!$C$51*(TIMELINE!$C$51+1)),IF(INPUTS!$O$90="S-curve",SIN(PI()*(TIMELINE!AQ52-0.5)/TIMELINE!$C$51)*SIN(PI()/(2*TIMELINE!$C$51)),0)))))),0)</f>
        <v>0</v>
      </c>
    </row>
    <row r="53" customFormat="false" ht="15" hidden="false" customHeight="false" outlineLevel="0" collapsed="false">
      <c r="B53" s="3" t="s">
        <v>673</v>
      </c>
      <c r="D53" s="118" t="n">
        <f aca="false">SUM($D52:D52)</f>
        <v>0</v>
      </c>
      <c r="E53" s="118" t="n">
        <f aca="false">SUM($D52:E52)</f>
        <v>0</v>
      </c>
      <c r="F53" s="118" t="n">
        <f aca="false">SUM($D52:F52)</f>
        <v>0</v>
      </c>
      <c r="G53" s="118" t="n">
        <f aca="false">SUM($D52:G52)</f>
        <v>0</v>
      </c>
      <c r="H53" s="118" t="n">
        <f aca="false">SUM($D52:H52)</f>
        <v>0</v>
      </c>
      <c r="I53" s="118" t="n">
        <f aca="false">SUM($D52:I52)</f>
        <v>0.0170370868554659</v>
      </c>
      <c r="J53" s="118" t="n">
        <f aca="false">SUM($D52:J52)</f>
        <v>0.0669872981077807</v>
      </c>
      <c r="K53" s="118" t="n">
        <f aca="false">SUM($D52:K52)</f>
        <v>0.146446609406726</v>
      </c>
      <c r="L53" s="118" t="n">
        <f aca="false">SUM($D52:L52)</f>
        <v>0.25</v>
      </c>
      <c r="M53" s="118" t="n">
        <f aca="false">SUM($D52:M52)</f>
        <v>0.37059047744874</v>
      </c>
      <c r="N53" s="118" t="n">
        <f aca="false">SUM($D52:N52)</f>
        <v>0.5</v>
      </c>
      <c r="O53" s="118" t="n">
        <f aca="false">SUM($D52:O52)</f>
        <v>0.62940952255126</v>
      </c>
      <c r="P53" s="118" t="n">
        <f aca="false">SUM($D52:P52)</f>
        <v>0.75</v>
      </c>
      <c r="Q53" s="118" t="n">
        <f aca="false">SUM($D52:Q52)</f>
        <v>0.853553390593274</v>
      </c>
      <c r="R53" s="118" t="n">
        <f aca="false">SUM($D52:R52)</f>
        <v>0.933012701892219</v>
      </c>
      <c r="S53" s="118" t="n">
        <f aca="false">SUM($D52:S52)</f>
        <v>0.982962913144534</v>
      </c>
      <c r="T53" s="118" t="n">
        <f aca="false">SUM($D52:T52)</f>
        <v>1</v>
      </c>
      <c r="U53" s="118" t="n">
        <f aca="false">SUM($D52:U52)</f>
        <v>1</v>
      </c>
      <c r="V53" s="118" t="n">
        <f aca="false">SUM($D52:V52)</f>
        <v>1</v>
      </c>
      <c r="W53" s="118" t="n">
        <f aca="false">SUM($D52:W52)</f>
        <v>1</v>
      </c>
      <c r="X53" s="118" t="n">
        <f aca="false">SUM($D52:X52)</f>
        <v>1</v>
      </c>
      <c r="Y53" s="118" t="n">
        <f aca="false">SUM($D52:Y52)</f>
        <v>1</v>
      </c>
      <c r="Z53" s="118" t="n">
        <f aca="false">SUM($D52:Z52)</f>
        <v>1</v>
      </c>
      <c r="AA53" s="118" t="n">
        <f aca="false">SUM($D52:AA52)</f>
        <v>1</v>
      </c>
      <c r="AB53" s="118" t="n">
        <f aca="false">SUM($D52:AB52)</f>
        <v>1</v>
      </c>
      <c r="AC53" s="118" t="n">
        <f aca="false">SUM($D52:AC52)</f>
        <v>1</v>
      </c>
      <c r="AD53" s="118" t="n">
        <f aca="false">SUM($D52:AD52)</f>
        <v>1</v>
      </c>
      <c r="AE53" s="118" t="n">
        <f aca="false">SUM($D52:AE52)</f>
        <v>1</v>
      </c>
      <c r="AF53" s="118" t="n">
        <f aca="false">SUM($D52:AF52)</f>
        <v>1</v>
      </c>
      <c r="AG53" s="118" t="n">
        <f aca="false">SUM($D52:AG52)</f>
        <v>1</v>
      </c>
      <c r="AH53" s="118" t="n">
        <f aca="false">SUM($D52:AH52)</f>
        <v>1</v>
      </c>
      <c r="AI53" s="118" t="n">
        <f aca="false">SUM($D52:AI52)</f>
        <v>1</v>
      </c>
      <c r="AJ53" s="118" t="n">
        <f aca="false">SUM($D52:AJ52)</f>
        <v>1</v>
      </c>
      <c r="AK53" s="118" t="n">
        <f aca="false">SUM($D52:AK52)</f>
        <v>1</v>
      </c>
      <c r="AL53" s="118" t="n">
        <f aca="false">SUM($D52:AL52)</f>
        <v>1</v>
      </c>
      <c r="AM53" s="118" t="n">
        <f aca="false">SUM($D52:AM52)</f>
        <v>1</v>
      </c>
      <c r="AN53" s="118" t="n">
        <f aca="false">SUM($D52:AN52)</f>
        <v>1</v>
      </c>
      <c r="AO53" s="118" t="n">
        <f aca="false">SUM($D52:AO52)</f>
        <v>1</v>
      </c>
      <c r="AP53" s="118" t="n">
        <f aca="false">SUM($D52:AP52)</f>
        <v>1</v>
      </c>
      <c r="AQ53" s="118" t="n">
        <f aca="false">SUM($D52:AQ52)</f>
        <v>1</v>
      </c>
    </row>
    <row r="54" customFormat="false" ht="15" hidden="false" customHeight="false" outlineLevel="0" collapsed="false">
      <c r="B54" s="17" t="s">
        <v>674</v>
      </c>
      <c r="C54" s="105" t="str">
        <f aca="false">IF(NOT(INPUTS!$E$90="Yes"),"Off",IF(AND(ABS(C50-1)&lt;0.000000001,ABS(C52-1)&lt;0.000000001,ABS(AQ53-1)&lt;0.000000001),"OK","ERROR"))</f>
        <v>OK</v>
      </c>
    </row>
    <row r="55" customFormat="false" ht="15" hidden="false" customHeight="false" outlineLevel="0" collapsed="false">
      <c r="B55" s="110" t="str">
        <f aca="false">IF(INPUTS!$E$91="Yes",INPUTS!$B$91,"Product row 4 (off)")</f>
        <v>High-street retail</v>
      </c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</row>
    <row r="56" customFormat="false" ht="15" hidden="false" customHeight="false" outlineLevel="0" collapsed="false">
      <c r="B56" s="3" t="s">
        <v>670</v>
      </c>
      <c r="C56" s="117" t="n">
        <f aca="false">SUM(D56:AQ56)</f>
        <v>1</v>
      </c>
      <c r="D56" s="118" t="n">
        <f aca="false">IF(INPUTS!$E$91="Yes",IF(OR(TIMELINE!D57=0,TIMELINE!$C$56=0),0,IF(INPUTS!$K$91="Upfront",--(TIMELINE!D57=1),IF(INPUTS!$K$91="Even",1/TIMELINE!$C$56,IF(INPUTS!$K$91="Front-loaded",(TIMELINE!$C$56-TIMELINE!D57+1)*2/(TIMELINE!$C$56*(TIMELINE!$C$56+1)),IF(INPUTS!$K$91="Back-loaded",TIMELINE!D57*2/(TIMELINE!$C$56*(TIMELINE!$C$56+1)),IF(INPUTS!$K$91="S-curve",SIN(PI()*(TIMELINE!D57-0.5)/TIMELINE!$C$56)*SIN(PI()/(2*TIMELINE!$C$56)),0)))))),0)</f>
        <v>0</v>
      </c>
      <c r="E56" s="118" t="n">
        <f aca="false">IF(INPUTS!$E$91="Yes",IF(OR(TIMELINE!E57=0,TIMELINE!$C$56=0),0,IF(INPUTS!$K$91="Upfront",--(TIMELINE!E57=1),IF(INPUTS!$K$91="Even",1/TIMELINE!$C$56,IF(INPUTS!$K$91="Front-loaded",(TIMELINE!$C$56-TIMELINE!E57+1)*2/(TIMELINE!$C$56*(TIMELINE!$C$56+1)),IF(INPUTS!$K$91="Back-loaded",TIMELINE!E57*2/(TIMELINE!$C$56*(TIMELINE!$C$56+1)),IF(INPUTS!$K$91="S-curve",SIN(PI()*(TIMELINE!E57-0.5)/TIMELINE!$C$56)*SIN(PI()/(2*TIMELINE!$C$56)),0)))))),0)</f>
        <v>0</v>
      </c>
      <c r="F56" s="118" t="n">
        <f aca="false">IF(INPUTS!$E$91="Yes",IF(OR(TIMELINE!F57=0,TIMELINE!$C$56=0),0,IF(INPUTS!$K$91="Upfront",--(TIMELINE!F57=1),IF(INPUTS!$K$91="Even",1/TIMELINE!$C$56,IF(INPUTS!$K$91="Front-loaded",(TIMELINE!$C$56-TIMELINE!F57+1)*2/(TIMELINE!$C$56*(TIMELINE!$C$56+1)),IF(INPUTS!$K$91="Back-loaded",TIMELINE!F57*2/(TIMELINE!$C$56*(TIMELINE!$C$56+1)),IF(INPUTS!$K$91="S-curve",SIN(PI()*(TIMELINE!F57-0.5)/TIMELINE!$C$56)*SIN(PI()/(2*TIMELINE!$C$56)),0)))))),0)</f>
        <v>0</v>
      </c>
      <c r="G56" s="118" t="n">
        <f aca="false">IF(INPUTS!$E$91="Yes",IF(OR(TIMELINE!G57=0,TIMELINE!$C$56=0),0,IF(INPUTS!$K$91="Upfront",--(TIMELINE!G57=1),IF(INPUTS!$K$91="Even",1/TIMELINE!$C$56,IF(INPUTS!$K$91="Front-loaded",(TIMELINE!$C$56-TIMELINE!G57+1)*2/(TIMELINE!$C$56*(TIMELINE!$C$56+1)),IF(INPUTS!$K$91="Back-loaded",TIMELINE!G57*2/(TIMELINE!$C$56*(TIMELINE!$C$56+1)),IF(INPUTS!$K$91="S-curve",SIN(PI()*(TIMELINE!G57-0.5)/TIMELINE!$C$56)*SIN(PI()/(2*TIMELINE!$C$56)),0)))))),0)</f>
        <v>0</v>
      </c>
      <c r="H56" s="118" t="n">
        <f aca="false">IF(INPUTS!$E$91="Yes",IF(OR(TIMELINE!H57=0,TIMELINE!$C$56=0),0,IF(INPUTS!$K$91="Upfront",--(TIMELINE!H57=1),IF(INPUTS!$K$91="Even",1/TIMELINE!$C$56,IF(INPUTS!$K$91="Front-loaded",(TIMELINE!$C$56-TIMELINE!H57+1)*2/(TIMELINE!$C$56*(TIMELINE!$C$56+1)),IF(INPUTS!$K$91="Back-loaded",TIMELINE!H57*2/(TIMELINE!$C$56*(TIMELINE!$C$56+1)),IF(INPUTS!$K$91="S-curve",SIN(PI()*(TIMELINE!H57-0.5)/TIMELINE!$C$56)*SIN(PI()/(2*TIMELINE!$C$56)),0)))))),0)</f>
        <v>0</v>
      </c>
      <c r="I56" s="118" t="n">
        <f aca="false">IF(INPUTS!$E$91="Yes",IF(OR(TIMELINE!I57=0,TIMELINE!$C$56=0),0,IF(INPUTS!$K$91="Upfront",--(TIMELINE!I57=1),IF(INPUTS!$K$91="Even",1/TIMELINE!$C$56,IF(INPUTS!$K$91="Front-loaded",(TIMELINE!$C$56-TIMELINE!I57+1)*2/(TIMELINE!$C$56*(TIMELINE!$C$56+1)),IF(INPUTS!$K$91="Back-loaded",TIMELINE!I57*2/(TIMELINE!$C$56*(TIMELINE!$C$56+1)),IF(INPUTS!$K$91="S-curve",SIN(PI()*(TIMELINE!I57-0.5)/TIMELINE!$C$56)*SIN(PI()/(2*TIMELINE!$C$56)),0)))))),0)</f>
        <v>0</v>
      </c>
      <c r="J56" s="118" t="n">
        <f aca="false">IF(INPUTS!$E$91="Yes",IF(OR(TIMELINE!J57=0,TIMELINE!$C$56=0),0,IF(INPUTS!$K$91="Upfront",--(TIMELINE!J57=1),IF(INPUTS!$K$91="Even",1/TIMELINE!$C$56,IF(INPUTS!$K$91="Front-loaded",(TIMELINE!$C$56-TIMELINE!J57+1)*2/(TIMELINE!$C$56*(TIMELINE!$C$56+1)),IF(INPUTS!$K$91="Back-loaded",TIMELINE!J57*2/(TIMELINE!$C$56*(TIMELINE!$C$56+1)),IF(INPUTS!$K$91="S-curve",SIN(PI()*(TIMELINE!J57-0.5)/TIMELINE!$C$56)*SIN(PI()/(2*TIMELINE!$C$56)),0)))))),0)</f>
        <v>0</v>
      </c>
      <c r="K56" s="118" t="n">
        <f aca="false">IF(INPUTS!$E$91="Yes",IF(OR(TIMELINE!K57=0,TIMELINE!$C$56=0),0,IF(INPUTS!$K$91="Upfront",--(TIMELINE!K57=1),IF(INPUTS!$K$91="Even",1/TIMELINE!$C$56,IF(INPUTS!$K$91="Front-loaded",(TIMELINE!$C$56-TIMELINE!K57+1)*2/(TIMELINE!$C$56*(TIMELINE!$C$56+1)),IF(INPUTS!$K$91="Back-loaded",TIMELINE!K57*2/(TIMELINE!$C$56*(TIMELINE!$C$56+1)),IF(INPUTS!$K$91="S-curve",SIN(PI()*(TIMELINE!K57-0.5)/TIMELINE!$C$56)*SIN(PI()/(2*TIMELINE!$C$56)),0)))))),0)</f>
        <v>0.0277777777777778</v>
      </c>
      <c r="L56" s="118" t="n">
        <f aca="false">IF(INPUTS!$E$91="Yes",IF(OR(TIMELINE!L57=0,TIMELINE!$C$56=0),0,IF(INPUTS!$K$91="Upfront",--(TIMELINE!L57=1),IF(INPUTS!$K$91="Even",1/TIMELINE!$C$56,IF(INPUTS!$K$91="Front-loaded",(TIMELINE!$C$56-TIMELINE!L57+1)*2/(TIMELINE!$C$56*(TIMELINE!$C$56+1)),IF(INPUTS!$K$91="Back-loaded",TIMELINE!L57*2/(TIMELINE!$C$56*(TIMELINE!$C$56+1)),IF(INPUTS!$K$91="S-curve",SIN(PI()*(TIMELINE!L57-0.5)/TIMELINE!$C$56)*SIN(PI()/(2*TIMELINE!$C$56)),0)))))),0)</f>
        <v>0.0555555555555556</v>
      </c>
      <c r="M56" s="118" t="n">
        <f aca="false">IF(INPUTS!$E$91="Yes",IF(OR(TIMELINE!M57=0,TIMELINE!$C$56=0),0,IF(INPUTS!$K$91="Upfront",--(TIMELINE!M57=1),IF(INPUTS!$K$91="Even",1/TIMELINE!$C$56,IF(INPUTS!$K$91="Front-loaded",(TIMELINE!$C$56-TIMELINE!M57+1)*2/(TIMELINE!$C$56*(TIMELINE!$C$56+1)),IF(INPUTS!$K$91="Back-loaded",TIMELINE!M57*2/(TIMELINE!$C$56*(TIMELINE!$C$56+1)),IF(INPUTS!$K$91="S-curve",SIN(PI()*(TIMELINE!M57-0.5)/TIMELINE!$C$56)*SIN(PI()/(2*TIMELINE!$C$56)),0)))))),0)</f>
        <v>0.0833333333333333</v>
      </c>
      <c r="N56" s="118" t="n">
        <f aca="false">IF(INPUTS!$E$91="Yes",IF(OR(TIMELINE!N57=0,TIMELINE!$C$56=0),0,IF(INPUTS!$K$91="Upfront",--(TIMELINE!N57=1),IF(INPUTS!$K$91="Even",1/TIMELINE!$C$56,IF(INPUTS!$K$91="Front-loaded",(TIMELINE!$C$56-TIMELINE!N57+1)*2/(TIMELINE!$C$56*(TIMELINE!$C$56+1)),IF(INPUTS!$K$91="Back-loaded",TIMELINE!N57*2/(TIMELINE!$C$56*(TIMELINE!$C$56+1)),IF(INPUTS!$K$91="S-curve",SIN(PI()*(TIMELINE!N57-0.5)/TIMELINE!$C$56)*SIN(PI()/(2*TIMELINE!$C$56)),0)))))),0)</f>
        <v>0.111111111111111</v>
      </c>
      <c r="O56" s="118" t="n">
        <f aca="false">IF(INPUTS!$E$91="Yes",IF(OR(TIMELINE!O57=0,TIMELINE!$C$56=0),0,IF(INPUTS!$K$91="Upfront",--(TIMELINE!O57=1),IF(INPUTS!$K$91="Even",1/TIMELINE!$C$56,IF(INPUTS!$K$91="Front-loaded",(TIMELINE!$C$56-TIMELINE!O57+1)*2/(TIMELINE!$C$56*(TIMELINE!$C$56+1)),IF(INPUTS!$K$91="Back-loaded",TIMELINE!O57*2/(TIMELINE!$C$56*(TIMELINE!$C$56+1)),IF(INPUTS!$K$91="S-curve",SIN(PI()*(TIMELINE!O57-0.5)/TIMELINE!$C$56)*SIN(PI()/(2*TIMELINE!$C$56)),0)))))),0)</f>
        <v>0.138888888888889</v>
      </c>
      <c r="P56" s="118" t="n">
        <f aca="false">IF(INPUTS!$E$91="Yes",IF(OR(TIMELINE!P57=0,TIMELINE!$C$56=0),0,IF(INPUTS!$K$91="Upfront",--(TIMELINE!P57=1),IF(INPUTS!$K$91="Even",1/TIMELINE!$C$56,IF(INPUTS!$K$91="Front-loaded",(TIMELINE!$C$56-TIMELINE!P57+1)*2/(TIMELINE!$C$56*(TIMELINE!$C$56+1)),IF(INPUTS!$K$91="Back-loaded",TIMELINE!P57*2/(TIMELINE!$C$56*(TIMELINE!$C$56+1)),IF(INPUTS!$K$91="S-curve",SIN(PI()*(TIMELINE!P57-0.5)/TIMELINE!$C$56)*SIN(PI()/(2*TIMELINE!$C$56)),0)))))),0)</f>
        <v>0.166666666666667</v>
      </c>
      <c r="Q56" s="118" t="n">
        <f aca="false">IF(INPUTS!$E$91="Yes",IF(OR(TIMELINE!Q57=0,TIMELINE!$C$56=0),0,IF(INPUTS!$K$91="Upfront",--(TIMELINE!Q57=1),IF(INPUTS!$K$91="Even",1/TIMELINE!$C$56,IF(INPUTS!$K$91="Front-loaded",(TIMELINE!$C$56-TIMELINE!Q57+1)*2/(TIMELINE!$C$56*(TIMELINE!$C$56+1)),IF(INPUTS!$K$91="Back-loaded",TIMELINE!Q57*2/(TIMELINE!$C$56*(TIMELINE!$C$56+1)),IF(INPUTS!$K$91="S-curve",SIN(PI()*(TIMELINE!Q57-0.5)/TIMELINE!$C$56)*SIN(PI()/(2*TIMELINE!$C$56)),0)))))),0)</f>
        <v>0.194444444444444</v>
      </c>
      <c r="R56" s="118" t="n">
        <f aca="false">IF(INPUTS!$E$91="Yes",IF(OR(TIMELINE!R57=0,TIMELINE!$C$56=0),0,IF(INPUTS!$K$91="Upfront",--(TIMELINE!R57=1),IF(INPUTS!$K$91="Even",1/TIMELINE!$C$56,IF(INPUTS!$K$91="Front-loaded",(TIMELINE!$C$56-TIMELINE!R57+1)*2/(TIMELINE!$C$56*(TIMELINE!$C$56+1)),IF(INPUTS!$K$91="Back-loaded",TIMELINE!R57*2/(TIMELINE!$C$56*(TIMELINE!$C$56+1)),IF(INPUTS!$K$91="S-curve",SIN(PI()*(TIMELINE!R57-0.5)/TIMELINE!$C$56)*SIN(PI()/(2*TIMELINE!$C$56)),0)))))),0)</f>
        <v>0.222222222222222</v>
      </c>
      <c r="S56" s="118" t="n">
        <f aca="false">IF(INPUTS!$E$91="Yes",IF(OR(TIMELINE!S57=0,TIMELINE!$C$56=0),0,IF(INPUTS!$K$91="Upfront",--(TIMELINE!S57=1),IF(INPUTS!$K$91="Even",1/TIMELINE!$C$56,IF(INPUTS!$K$91="Front-loaded",(TIMELINE!$C$56-TIMELINE!S57+1)*2/(TIMELINE!$C$56*(TIMELINE!$C$56+1)),IF(INPUTS!$K$91="Back-loaded",TIMELINE!S57*2/(TIMELINE!$C$56*(TIMELINE!$C$56+1)),IF(INPUTS!$K$91="S-curve",SIN(PI()*(TIMELINE!S57-0.5)/TIMELINE!$C$56)*SIN(PI()/(2*TIMELINE!$C$56)),0)))))),0)</f>
        <v>0</v>
      </c>
      <c r="T56" s="118" t="n">
        <f aca="false">IF(INPUTS!$E$91="Yes",IF(OR(TIMELINE!T57=0,TIMELINE!$C$56=0),0,IF(INPUTS!$K$91="Upfront",--(TIMELINE!T57=1),IF(INPUTS!$K$91="Even",1/TIMELINE!$C$56,IF(INPUTS!$K$91="Front-loaded",(TIMELINE!$C$56-TIMELINE!T57+1)*2/(TIMELINE!$C$56*(TIMELINE!$C$56+1)),IF(INPUTS!$K$91="Back-loaded",TIMELINE!T57*2/(TIMELINE!$C$56*(TIMELINE!$C$56+1)),IF(INPUTS!$K$91="S-curve",SIN(PI()*(TIMELINE!T57-0.5)/TIMELINE!$C$56)*SIN(PI()/(2*TIMELINE!$C$56)),0)))))),0)</f>
        <v>0</v>
      </c>
      <c r="U56" s="118" t="n">
        <f aca="false">IF(INPUTS!$E$91="Yes",IF(OR(TIMELINE!U57=0,TIMELINE!$C$56=0),0,IF(INPUTS!$K$91="Upfront",--(TIMELINE!U57=1),IF(INPUTS!$K$91="Even",1/TIMELINE!$C$56,IF(INPUTS!$K$91="Front-loaded",(TIMELINE!$C$56-TIMELINE!U57+1)*2/(TIMELINE!$C$56*(TIMELINE!$C$56+1)),IF(INPUTS!$K$91="Back-loaded",TIMELINE!U57*2/(TIMELINE!$C$56*(TIMELINE!$C$56+1)),IF(INPUTS!$K$91="S-curve",SIN(PI()*(TIMELINE!U57-0.5)/TIMELINE!$C$56)*SIN(PI()/(2*TIMELINE!$C$56)),0)))))),0)</f>
        <v>0</v>
      </c>
      <c r="V56" s="118" t="n">
        <f aca="false">IF(INPUTS!$E$91="Yes",IF(OR(TIMELINE!V57=0,TIMELINE!$C$56=0),0,IF(INPUTS!$K$91="Upfront",--(TIMELINE!V57=1),IF(INPUTS!$K$91="Even",1/TIMELINE!$C$56,IF(INPUTS!$K$91="Front-loaded",(TIMELINE!$C$56-TIMELINE!V57+1)*2/(TIMELINE!$C$56*(TIMELINE!$C$56+1)),IF(INPUTS!$K$91="Back-loaded",TIMELINE!V57*2/(TIMELINE!$C$56*(TIMELINE!$C$56+1)),IF(INPUTS!$K$91="S-curve",SIN(PI()*(TIMELINE!V57-0.5)/TIMELINE!$C$56)*SIN(PI()/(2*TIMELINE!$C$56)),0)))))),0)</f>
        <v>0</v>
      </c>
      <c r="W56" s="118" t="n">
        <f aca="false">IF(INPUTS!$E$91="Yes",IF(OR(TIMELINE!W57=0,TIMELINE!$C$56=0),0,IF(INPUTS!$K$91="Upfront",--(TIMELINE!W57=1),IF(INPUTS!$K$91="Even",1/TIMELINE!$C$56,IF(INPUTS!$K$91="Front-loaded",(TIMELINE!$C$56-TIMELINE!W57+1)*2/(TIMELINE!$C$56*(TIMELINE!$C$56+1)),IF(INPUTS!$K$91="Back-loaded",TIMELINE!W57*2/(TIMELINE!$C$56*(TIMELINE!$C$56+1)),IF(INPUTS!$K$91="S-curve",SIN(PI()*(TIMELINE!W57-0.5)/TIMELINE!$C$56)*SIN(PI()/(2*TIMELINE!$C$56)),0)))))),0)</f>
        <v>0</v>
      </c>
      <c r="X56" s="118" t="n">
        <f aca="false">IF(INPUTS!$E$91="Yes",IF(OR(TIMELINE!X57=0,TIMELINE!$C$56=0),0,IF(INPUTS!$K$91="Upfront",--(TIMELINE!X57=1),IF(INPUTS!$K$91="Even",1/TIMELINE!$C$56,IF(INPUTS!$K$91="Front-loaded",(TIMELINE!$C$56-TIMELINE!X57+1)*2/(TIMELINE!$C$56*(TIMELINE!$C$56+1)),IF(INPUTS!$K$91="Back-loaded",TIMELINE!X57*2/(TIMELINE!$C$56*(TIMELINE!$C$56+1)),IF(INPUTS!$K$91="S-curve",SIN(PI()*(TIMELINE!X57-0.5)/TIMELINE!$C$56)*SIN(PI()/(2*TIMELINE!$C$56)),0)))))),0)</f>
        <v>0</v>
      </c>
      <c r="Y56" s="118" t="n">
        <f aca="false">IF(INPUTS!$E$91="Yes",IF(OR(TIMELINE!Y57=0,TIMELINE!$C$56=0),0,IF(INPUTS!$K$91="Upfront",--(TIMELINE!Y57=1),IF(INPUTS!$K$91="Even",1/TIMELINE!$C$56,IF(INPUTS!$K$91="Front-loaded",(TIMELINE!$C$56-TIMELINE!Y57+1)*2/(TIMELINE!$C$56*(TIMELINE!$C$56+1)),IF(INPUTS!$K$91="Back-loaded",TIMELINE!Y57*2/(TIMELINE!$C$56*(TIMELINE!$C$56+1)),IF(INPUTS!$K$91="S-curve",SIN(PI()*(TIMELINE!Y57-0.5)/TIMELINE!$C$56)*SIN(PI()/(2*TIMELINE!$C$56)),0)))))),0)</f>
        <v>0</v>
      </c>
      <c r="Z56" s="118" t="n">
        <f aca="false">IF(INPUTS!$E$91="Yes",IF(OR(TIMELINE!Z57=0,TIMELINE!$C$56=0),0,IF(INPUTS!$K$91="Upfront",--(TIMELINE!Z57=1),IF(INPUTS!$K$91="Even",1/TIMELINE!$C$56,IF(INPUTS!$K$91="Front-loaded",(TIMELINE!$C$56-TIMELINE!Z57+1)*2/(TIMELINE!$C$56*(TIMELINE!$C$56+1)),IF(INPUTS!$K$91="Back-loaded",TIMELINE!Z57*2/(TIMELINE!$C$56*(TIMELINE!$C$56+1)),IF(INPUTS!$K$91="S-curve",SIN(PI()*(TIMELINE!Z57-0.5)/TIMELINE!$C$56)*SIN(PI()/(2*TIMELINE!$C$56)),0)))))),0)</f>
        <v>0</v>
      </c>
      <c r="AA56" s="118" t="n">
        <f aca="false">IF(INPUTS!$E$91="Yes",IF(OR(TIMELINE!AA57=0,TIMELINE!$C$56=0),0,IF(INPUTS!$K$91="Upfront",--(TIMELINE!AA57=1),IF(INPUTS!$K$91="Even",1/TIMELINE!$C$56,IF(INPUTS!$K$91="Front-loaded",(TIMELINE!$C$56-TIMELINE!AA57+1)*2/(TIMELINE!$C$56*(TIMELINE!$C$56+1)),IF(INPUTS!$K$91="Back-loaded",TIMELINE!AA57*2/(TIMELINE!$C$56*(TIMELINE!$C$56+1)),IF(INPUTS!$K$91="S-curve",SIN(PI()*(TIMELINE!AA57-0.5)/TIMELINE!$C$56)*SIN(PI()/(2*TIMELINE!$C$56)),0)))))),0)</f>
        <v>0</v>
      </c>
      <c r="AB56" s="118" t="n">
        <f aca="false">IF(INPUTS!$E$91="Yes",IF(OR(TIMELINE!AB57=0,TIMELINE!$C$56=0),0,IF(INPUTS!$K$91="Upfront",--(TIMELINE!AB57=1),IF(INPUTS!$K$91="Even",1/TIMELINE!$C$56,IF(INPUTS!$K$91="Front-loaded",(TIMELINE!$C$56-TIMELINE!AB57+1)*2/(TIMELINE!$C$56*(TIMELINE!$C$56+1)),IF(INPUTS!$K$91="Back-loaded",TIMELINE!AB57*2/(TIMELINE!$C$56*(TIMELINE!$C$56+1)),IF(INPUTS!$K$91="S-curve",SIN(PI()*(TIMELINE!AB57-0.5)/TIMELINE!$C$56)*SIN(PI()/(2*TIMELINE!$C$56)),0)))))),0)</f>
        <v>0</v>
      </c>
      <c r="AC56" s="118" t="n">
        <f aca="false">IF(INPUTS!$E$91="Yes",IF(OR(TIMELINE!AC57=0,TIMELINE!$C$56=0),0,IF(INPUTS!$K$91="Upfront",--(TIMELINE!AC57=1),IF(INPUTS!$K$91="Even",1/TIMELINE!$C$56,IF(INPUTS!$K$91="Front-loaded",(TIMELINE!$C$56-TIMELINE!AC57+1)*2/(TIMELINE!$C$56*(TIMELINE!$C$56+1)),IF(INPUTS!$K$91="Back-loaded",TIMELINE!AC57*2/(TIMELINE!$C$56*(TIMELINE!$C$56+1)),IF(INPUTS!$K$91="S-curve",SIN(PI()*(TIMELINE!AC57-0.5)/TIMELINE!$C$56)*SIN(PI()/(2*TIMELINE!$C$56)),0)))))),0)</f>
        <v>0</v>
      </c>
      <c r="AD56" s="118" t="n">
        <f aca="false">IF(INPUTS!$E$91="Yes",IF(OR(TIMELINE!AD57=0,TIMELINE!$C$56=0),0,IF(INPUTS!$K$91="Upfront",--(TIMELINE!AD57=1),IF(INPUTS!$K$91="Even",1/TIMELINE!$C$56,IF(INPUTS!$K$91="Front-loaded",(TIMELINE!$C$56-TIMELINE!AD57+1)*2/(TIMELINE!$C$56*(TIMELINE!$C$56+1)),IF(INPUTS!$K$91="Back-loaded",TIMELINE!AD57*2/(TIMELINE!$C$56*(TIMELINE!$C$56+1)),IF(INPUTS!$K$91="S-curve",SIN(PI()*(TIMELINE!AD57-0.5)/TIMELINE!$C$56)*SIN(PI()/(2*TIMELINE!$C$56)),0)))))),0)</f>
        <v>0</v>
      </c>
      <c r="AE56" s="118" t="n">
        <f aca="false">IF(INPUTS!$E$91="Yes",IF(OR(TIMELINE!AE57=0,TIMELINE!$C$56=0),0,IF(INPUTS!$K$91="Upfront",--(TIMELINE!AE57=1),IF(INPUTS!$K$91="Even",1/TIMELINE!$C$56,IF(INPUTS!$K$91="Front-loaded",(TIMELINE!$C$56-TIMELINE!AE57+1)*2/(TIMELINE!$C$56*(TIMELINE!$C$56+1)),IF(INPUTS!$K$91="Back-loaded",TIMELINE!AE57*2/(TIMELINE!$C$56*(TIMELINE!$C$56+1)),IF(INPUTS!$K$91="S-curve",SIN(PI()*(TIMELINE!AE57-0.5)/TIMELINE!$C$56)*SIN(PI()/(2*TIMELINE!$C$56)),0)))))),0)</f>
        <v>0</v>
      </c>
      <c r="AF56" s="118" t="n">
        <f aca="false">IF(INPUTS!$E$91="Yes",IF(OR(TIMELINE!AF57=0,TIMELINE!$C$56=0),0,IF(INPUTS!$K$91="Upfront",--(TIMELINE!AF57=1),IF(INPUTS!$K$91="Even",1/TIMELINE!$C$56,IF(INPUTS!$K$91="Front-loaded",(TIMELINE!$C$56-TIMELINE!AF57+1)*2/(TIMELINE!$C$56*(TIMELINE!$C$56+1)),IF(INPUTS!$K$91="Back-loaded",TIMELINE!AF57*2/(TIMELINE!$C$56*(TIMELINE!$C$56+1)),IF(INPUTS!$K$91="S-curve",SIN(PI()*(TIMELINE!AF57-0.5)/TIMELINE!$C$56)*SIN(PI()/(2*TIMELINE!$C$56)),0)))))),0)</f>
        <v>0</v>
      </c>
      <c r="AG56" s="118" t="n">
        <f aca="false">IF(INPUTS!$E$91="Yes",IF(OR(TIMELINE!AG57=0,TIMELINE!$C$56=0),0,IF(INPUTS!$K$91="Upfront",--(TIMELINE!AG57=1),IF(INPUTS!$K$91="Even",1/TIMELINE!$C$56,IF(INPUTS!$K$91="Front-loaded",(TIMELINE!$C$56-TIMELINE!AG57+1)*2/(TIMELINE!$C$56*(TIMELINE!$C$56+1)),IF(INPUTS!$K$91="Back-loaded",TIMELINE!AG57*2/(TIMELINE!$C$56*(TIMELINE!$C$56+1)),IF(INPUTS!$K$91="S-curve",SIN(PI()*(TIMELINE!AG57-0.5)/TIMELINE!$C$56)*SIN(PI()/(2*TIMELINE!$C$56)),0)))))),0)</f>
        <v>0</v>
      </c>
      <c r="AH56" s="118" t="n">
        <f aca="false">IF(INPUTS!$E$91="Yes",IF(OR(TIMELINE!AH57=0,TIMELINE!$C$56=0),0,IF(INPUTS!$K$91="Upfront",--(TIMELINE!AH57=1),IF(INPUTS!$K$91="Even",1/TIMELINE!$C$56,IF(INPUTS!$K$91="Front-loaded",(TIMELINE!$C$56-TIMELINE!AH57+1)*2/(TIMELINE!$C$56*(TIMELINE!$C$56+1)),IF(INPUTS!$K$91="Back-loaded",TIMELINE!AH57*2/(TIMELINE!$C$56*(TIMELINE!$C$56+1)),IF(INPUTS!$K$91="S-curve",SIN(PI()*(TIMELINE!AH57-0.5)/TIMELINE!$C$56)*SIN(PI()/(2*TIMELINE!$C$56)),0)))))),0)</f>
        <v>0</v>
      </c>
      <c r="AI56" s="118" t="n">
        <f aca="false">IF(INPUTS!$E$91="Yes",IF(OR(TIMELINE!AI57=0,TIMELINE!$C$56=0),0,IF(INPUTS!$K$91="Upfront",--(TIMELINE!AI57=1),IF(INPUTS!$K$91="Even",1/TIMELINE!$C$56,IF(INPUTS!$K$91="Front-loaded",(TIMELINE!$C$56-TIMELINE!AI57+1)*2/(TIMELINE!$C$56*(TIMELINE!$C$56+1)),IF(INPUTS!$K$91="Back-loaded",TIMELINE!AI57*2/(TIMELINE!$C$56*(TIMELINE!$C$56+1)),IF(INPUTS!$K$91="S-curve",SIN(PI()*(TIMELINE!AI57-0.5)/TIMELINE!$C$56)*SIN(PI()/(2*TIMELINE!$C$56)),0)))))),0)</f>
        <v>0</v>
      </c>
      <c r="AJ56" s="118" t="n">
        <f aca="false">IF(INPUTS!$E$91="Yes",IF(OR(TIMELINE!AJ57=0,TIMELINE!$C$56=0),0,IF(INPUTS!$K$91="Upfront",--(TIMELINE!AJ57=1),IF(INPUTS!$K$91="Even",1/TIMELINE!$C$56,IF(INPUTS!$K$91="Front-loaded",(TIMELINE!$C$56-TIMELINE!AJ57+1)*2/(TIMELINE!$C$56*(TIMELINE!$C$56+1)),IF(INPUTS!$K$91="Back-loaded",TIMELINE!AJ57*2/(TIMELINE!$C$56*(TIMELINE!$C$56+1)),IF(INPUTS!$K$91="S-curve",SIN(PI()*(TIMELINE!AJ57-0.5)/TIMELINE!$C$56)*SIN(PI()/(2*TIMELINE!$C$56)),0)))))),0)</f>
        <v>0</v>
      </c>
      <c r="AK56" s="118" t="n">
        <f aca="false">IF(INPUTS!$E$91="Yes",IF(OR(TIMELINE!AK57=0,TIMELINE!$C$56=0),0,IF(INPUTS!$K$91="Upfront",--(TIMELINE!AK57=1),IF(INPUTS!$K$91="Even",1/TIMELINE!$C$56,IF(INPUTS!$K$91="Front-loaded",(TIMELINE!$C$56-TIMELINE!AK57+1)*2/(TIMELINE!$C$56*(TIMELINE!$C$56+1)),IF(INPUTS!$K$91="Back-loaded",TIMELINE!AK57*2/(TIMELINE!$C$56*(TIMELINE!$C$56+1)),IF(INPUTS!$K$91="S-curve",SIN(PI()*(TIMELINE!AK57-0.5)/TIMELINE!$C$56)*SIN(PI()/(2*TIMELINE!$C$56)),0)))))),0)</f>
        <v>0</v>
      </c>
      <c r="AL56" s="118" t="n">
        <f aca="false">IF(INPUTS!$E$91="Yes",IF(OR(TIMELINE!AL57=0,TIMELINE!$C$56=0),0,IF(INPUTS!$K$91="Upfront",--(TIMELINE!AL57=1),IF(INPUTS!$K$91="Even",1/TIMELINE!$C$56,IF(INPUTS!$K$91="Front-loaded",(TIMELINE!$C$56-TIMELINE!AL57+1)*2/(TIMELINE!$C$56*(TIMELINE!$C$56+1)),IF(INPUTS!$K$91="Back-loaded",TIMELINE!AL57*2/(TIMELINE!$C$56*(TIMELINE!$C$56+1)),IF(INPUTS!$K$91="S-curve",SIN(PI()*(TIMELINE!AL57-0.5)/TIMELINE!$C$56)*SIN(PI()/(2*TIMELINE!$C$56)),0)))))),0)</f>
        <v>0</v>
      </c>
      <c r="AM56" s="118" t="n">
        <f aca="false">IF(INPUTS!$E$91="Yes",IF(OR(TIMELINE!AM57=0,TIMELINE!$C$56=0),0,IF(INPUTS!$K$91="Upfront",--(TIMELINE!AM57=1),IF(INPUTS!$K$91="Even",1/TIMELINE!$C$56,IF(INPUTS!$K$91="Front-loaded",(TIMELINE!$C$56-TIMELINE!AM57+1)*2/(TIMELINE!$C$56*(TIMELINE!$C$56+1)),IF(INPUTS!$K$91="Back-loaded",TIMELINE!AM57*2/(TIMELINE!$C$56*(TIMELINE!$C$56+1)),IF(INPUTS!$K$91="S-curve",SIN(PI()*(TIMELINE!AM57-0.5)/TIMELINE!$C$56)*SIN(PI()/(2*TIMELINE!$C$56)),0)))))),0)</f>
        <v>0</v>
      </c>
      <c r="AN56" s="118" t="n">
        <f aca="false">IF(INPUTS!$E$91="Yes",IF(OR(TIMELINE!AN57=0,TIMELINE!$C$56=0),0,IF(INPUTS!$K$91="Upfront",--(TIMELINE!AN57=1),IF(INPUTS!$K$91="Even",1/TIMELINE!$C$56,IF(INPUTS!$K$91="Front-loaded",(TIMELINE!$C$56-TIMELINE!AN57+1)*2/(TIMELINE!$C$56*(TIMELINE!$C$56+1)),IF(INPUTS!$K$91="Back-loaded",TIMELINE!AN57*2/(TIMELINE!$C$56*(TIMELINE!$C$56+1)),IF(INPUTS!$K$91="S-curve",SIN(PI()*(TIMELINE!AN57-0.5)/TIMELINE!$C$56)*SIN(PI()/(2*TIMELINE!$C$56)),0)))))),0)</f>
        <v>0</v>
      </c>
      <c r="AO56" s="118" t="n">
        <f aca="false">IF(INPUTS!$E$91="Yes",IF(OR(TIMELINE!AO57=0,TIMELINE!$C$56=0),0,IF(INPUTS!$K$91="Upfront",--(TIMELINE!AO57=1),IF(INPUTS!$K$91="Even",1/TIMELINE!$C$56,IF(INPUTS!$K$91="Front-loaded",(TIMELINE!$C$56-TIMELINE!AO57+1)*2/(TIMELINE!$C$56*(TIMELINE!$C$56+1)),IF(INPUTS!$K$91="Back-loaded",TIMELINE!AO57*2/(TIMELINE!$C$56*(TIMELINE!$C$56+1)),IF(INPUTS!$K$91="S-curve",SIN(PI()*(TIMELINE!AO57-0.5)/TIMELINE!$C$56)*SIN(PI()/(2*TIMELINE!$C$56)),0)))))),0)</f>
        <v>0</v>
      </c>
      <c r="AP56" s="118" t="n">
        <f aca="false">IF(INPUTS!$E$91="Yes",IF(OR(TIMELINE!AP57=0,TIMELINE!$C$56=0),0,IF(INPUTS!$K$91="Upfront",--(TIMELINE!AP57=1),IF(INPUTS!$K$91="Even",1/TIMELINE!$C$56,IF(INPUTS!$K$91="Front-loaded",(TIMELINE!$C$56-TIMELINE!AP57+1)*2/(TIMELINE!$C$56*(TIMELINE!$C$56+1)),IF(INPUTS!$K$91="Back-loaded",TIMELINE!AP57*2/(TIMELINE!$C$56*(TIMELINE!$C$56+1)),IF(INPUTS!$K$91="S-curve",SIN(PI()*(TIMELINE!AP57-0.5)/TIMELINE!$C$56)*SIN(PI()/(2*TIMELINE!$C$56)),0)))))),0)</f>
        <v>0</v>
      </c>
      <c r="AQ56" s="118" t="n">
        <f aca="false">IF(INPUTS!$E$91="Yes",IF(OR(TIMELINE!AQ57=0,TIMELINE!$C$56=0),0,IF(INPUTS!$K$91="Upfront",--(TIMELINE!AQ57=1),IF(INPUTS!$K$91="Even",1/TIMELINE!$C$56,IF(INPUTS!$K$91="Front-loaded",(TIMELINE!$C$56-TIMELINE!AQ57+1)*2/(TIMELINE!$C$56*(TIMELINE!$C$56+1)),IF(INPUTS!$K$91="Back-loaded",TIMELINE!AQ57*2/(TIMELINE!$C$56*(TIMELINE!$C$56+1)),IF(INPUTS!$K$91="S-curve",SIN(PI()*(TIMELINE!AQ57-0.5)/TIMELINE!$C$56)*SIN(PI()/(2*TIMELINE!$C$56)),0)))))),0)</f>
        <v>0</v>
      </c>
    </row>
    <row r="57" customFormat="false" ht="15" hidden="false" customHeight="false" outlineLevel="0" collapsed="false">
      <c r="B57" s="3" t="s">
        <v>671</v>
      </c>
      <c r="D57" s="118" t="n">
        <f aca="false">SUM($D56:D56)</f>
        <v>0</v>
      </c>
      <c r="E57" s="118" t="n">
        <f aca="false">SUM($D56:E56)</f>
        <v>0</v>
      </c>
      <c r="F57" s="118" t="n">
        <f aca="false">SUM($D56:F56)</f>
        <v>0</v>
      </c>
      <c r="G57" s="118" t="n">
        <f aca="false">SUM($D56:G56)</f>
        <v>0</v>
      </c>
      <c r="H57" s="118" t="n">
        <f aca="false">SUM($D56:H56)</f>
        <v>0</v>
      </c>
      <c r="I57" s="118" t="n">
        <f aca="false">SUM($D56:I56)</f>
        <v>0</v>
      </c>
      <c r="J57" s="118" t="n">
        <f aca="false">SUM($D56:J56)</f>
        <v>0</v>
      </c>
      <c r="K57" s="118" t="n">
        <f aca="false">SUM($D56:K56)</f>
        <v>0.0277777777777778</v>
      </c>
      <c r="L57" s="118" t="n">
        <f aca="false">SUM($D56:L56)</f>
        <v>0.0833333333333333</v>
      </c>
      <c r="M57" s="118" t="n">
        <f aca="false">SUM($D56:M56)</f>
        <v>0.166666666666667</v>
      </c>
      <c r="N57" s="118" t="n">
        <f aca="false">SUM($D56:N56)</f>
        <v>0.277777777777778</v>
      </c>
      <c r="O57" s="118" t="n">
        <f aca="false">SUM($D56:O56)</f>
        <v>0.416666666666667</v>
      </c>
      <c r="P57" s="118" t="n">
        <f aca="false">SUM($D56:P56)</f>
        <v>0.583333333333333</v>
      </c>
      <c r="Q57" s="118" t="n">
        <f aca="false">SUM($D56:Q56)</f>
        <v>0.777777777777778</v>
      </c>
      <c r="R57" s="118" t="n">
        <f aca="false">SUM($D56:R56)</f>
        <v>1</v>
      </c>
      <c r="S57" s="118" t="n">
        <f aca="false">SUM($D56:S56)</f>
        <v>1</v>
      </c>
      <c r="T57" s="118" t="n">
        <f aca="false">SUM($D56:T56)</f>
        <v>1</v>
      </c>
      <c r="U57" s="118" t="n">
        <f aca="false">SUM($D56:U56)</f>
        <v>1</v>
      </c>
      <c r="V57" s="118" t="n">
        <f aca="false">SUM($D56:V56)</f>
        <v>1</v>
      </c>
      <c r="W57" s="118" t="n">
        <f aca="false">SUM($D56:W56)</f>
        <v>1</v>
      </c>
      <c r="X57" s="118" t="n">
        <f aca="false">SUM($D56:X56)</f>
        <v>1</v>
      </c>
      <c r="Y57" s="118" t="n">
        <f aca="false">SUM($D56:Y56)</f>
        <v>1</v>
      </c>
      <c r="Z57" s="118" t="n">
        <f aca="false">SUM($D56:Z56)</f>
        <v>1</v>
      </c>
      <c r="AA57" s="118" t="n">
        <f aca="false">SUM($D56:AA56)</f>
        <v>1</v>
      </c>
      <c r="AB57" s="118" t="n">
        <f aca="false">SUM($D56:AB56)</f>
        <v>1</v>
      </c>
      <c r="AC57" s="118" t="n">
        <f aca="false">SUM($D56:AC56)</f>
        <v>1</v>
      </c>
      <c r="AD57" s="118" t="n">
        <f aca="false">SUM($D56:AD56)</f>
        <v>1</v>
      </c>
      <c r="AE57" s="118" t="n">
        <f aca="false">SUM($D56:AE56)</f>
        <v>1</v>
      </c>
      <c r="AF57" s="118" t="n">
        <f aca="false">SUM($D56:AF56)</f>
        <v>1</v>
      </c>
      <c r="AG57" s="118" t="n">
        <f aca="false">SUM($D56:AG56)</f>
        <v>1</v>
      </c>
      <c r="AH57" s="118" t="n">
        <f aca="false">SUM($D56:AH56)</f>
        <v>1</v>
      </c>
      <c r="AI57" s="118" t="n">
        <f aca="false">SUM($D56:AI56)</f>
        <v>1</v>
      </c>
      <c r="AJ57" s="118" t="n">
        <f aca="false">SUM($D56:AJ56)</f>
        <v>1</v>
      </c>
      <c r="AK57" s="118" t="n">
        <f aca="false">SUM($D56:AK56)</f>
        <v>1</v>
      </c>
      <c r="AL57" s="118" t="n">
        <f aca="false">SUM($D56:AL56)</f>
        <v>1</v>
      </c>
      <c r="AM57" s="118" t="n">
        <f aca="false">SUM($D56:AM56)</f>
        <v>1</v>
      </c>
      <c r="AN57" s="118" t="n">
        <f aca="false">SUM($D56:AN56)</f>
        <v>1</v>
      </c>
      <c r="AO57" s="118" t="n">
        <f aca="false">SUM($D56:AO56)</f>
        <v>1</v>
      </c>
      <c r="AP57" s="118" t="n">
        <f aca="false">SUM($D56:AP56)</f>
        <v>1</v>
      </c>
      <c r="AQ57" s="118" t="n">
        <f aca="false">SUM($D56:AQ56)</f>
        <v>1</v>
      </c>
    </row>
    <row r="58" customFormat="false" ht="15" hidden="false" customHeight="false" outlineLevel="0" collapsed="false">
      <c r="B58" s="3" t="s">
        <v>672</v>
      </c>
      <c r="C58" s="117" t="n">
        <f aca="false">SUM(D58:AQ58)</f>
        <v>1</v>
      </c>
      <c r="D58" s="118" t="n">
        <f aca="false">IF(INPUTS!$E$91="Yes",IF(OR(TIMELINE!D59=0,TIMELINE!$C$58=0),0,IF(INPUTS!$O$91="Upfront",--(TIMELINE!D59=1),IF(INPUTS!$O$91="Even",1/TIMELINE!$C$58,IF(INPUTS!$O$91="Front-loaded",(TIMELINE!$C$58-TIMELINE!D59+1)*2/(TIMELINE!$C$58*(TIMELINE!$C$58+1)),IF(INPUTS!$O$91="Back-loaded",TIMELINE!D59*2/(TIMELINE!$C$58*(TIMELINE!$C$58+1)),IF(INPUTS!$O$91="S-curve",SIN(PI()*(TIMELINE!D59-0.5)/TIMELINE!$C$58)*SIN(PI()/(2*TIMELINE!$C$58)),0)))))),0)</f>
        <v>0</v>
      </c>
      <c r="E58" s="118" t="n">
        <f aca="false">IF(INPUTS!$E$91="Yes",IF(OR(TIMELINE!E59=0,TIMELINE!$C$58=0),0,IF(INPUTS!$O$91="Upfront",--(TIMELINE!E59=1),IF(INPUTS!$O$91="Even",1/TIMELINE!$C$58,IF(INPUTS!$O$91="Front-loaded",(TIMELINE!$C$58-TIMELINE!E59+1)*2/(TIMELINE!$C$58*(TIMELINE!$C$58+1)),IF(INPUTS!$O$91="Back-loaded",TIMELINE!E59*2/(TIMELINE!$C$58*(TIMELINE!$C$58+1)),IF(INPUTS!$O$91="S-curve",SIN(PI()*(TIMELINE!E59-0.5)/TIMELINE!$C$58)*SIN(PI()/(2*TIMELINE!$C$58)),0)))))),0)</f>
        <v>0</v>
      </c>
      <c r="F58" s="118" t="n">
        <f aca="false">IF(INPUTS!$E$91="Yes",IF(OR(TIMELINE!F59=0,TIMELINE!$C$58=0),0,IF(INPUTS!$O$91="Upfront",--(TIMELINE!F59=1),IF(INPUTS!$O$91="Even",1/TIMELINE!$C$58,IF(INPUTS!$O$91="Front-loaded",(TIMELINE!$C$58-TIMELINE!F59+1)*2/(TIMELINE!$C$58*(TIMELINE!$C$58+1)),IF(INPUTS!$O$91="Back-loaded",TIMELINE!F59*2/(TIMELINE!$C$58*(TIMELINE!$C$58+1)),IF(INPUTS!$O$91="S-curve",SIN(PI()*(TIMELINE!F59-0.5)/TIMELINE!$C$58)*SIN(PI()/(2*TIMELINE!$C$58)),0)))))),0)</f>
        <v>0</v>
      </c>
      <c r="G58" s="118" t="n">
        <f aca="false">IF(INPUTS!$E$91="Yes",IF(OR(TIMELINE!G59=0,TIMELINE!$C$58=0),0,IF(INPUTS!$O$91="Upfront",--(TIMELINE!G59=1),IF(INPUTS!$O$91="Even",1/TIMELINE!$C$58,IF(INPUTS!$O$91="Front-loaded",(TIMELINE!$C$58-TIMELINE!G59+1)*2/(TIMELINE!$C$58*(TIMELINE!$C$58+1)),IF(INPUTS!$O$91="Back-loaded",TIMELINE!G59*2/(TIMELINE!$C$58*(TIMELINE!$C$58+1)),IF(INPUTS!$O$91="S-curve",SIN(PI()*(TIMELINE!G59-0.5)/TIMELINE!$C$58)*SIN(PI()/(2*TIMELINE!$C$58)),0)))))),0)</f>
        <v>0</v>
      </c>
      <c r="H58" s="118" t="n">
        <f aca="false">IF(INPUTS!$E$91="Yes",IF(OR(TIMELINE!H59=0,TIMELINE!$C$58=0),0,IF(INPUTS!$O$91="Upfront",--(TIMELINE!H59=1),IF(INPUTS!$O$91="Even",1/TIMELINE!$C$58,IF(INPUTS!$O$91="Front-loaded",(TIMELINE!$C$58-TIMELINE!H59+1)*2/(TIMELINE!$C$58*(TIMELINE!$C$58+1)),IF(INPUTS!$O$91="Back-loaded",TIMELINE!H59*2/(TIMELINE!$C$58*(TIMELINE!$C$58+1)),IF(INPUTS!$O$91="S-curve",SIN(PI()*(TIMELINE!H59-0.5)/TIMELINE!$C$58)*SIN(PI()/(2*TIMELINE!$C$58)),0)))))),0)</f>
        <v>0</v>
      </c>
      <c r="I58" s="118" t="n">
        <f aca="false">IF(INPUTS!$E$91="Yes",IF(OR(TIMELINE!I59=0,TIMELINE!$C$58=0),0,IF(INPUTS!$O$91="Upfront",--(TIMELINE!I59=1),IF(INPUTS!$O$91="Even",1/TIMELINE!$C$58,IF(INPUTS!$O$91="Front-loaded",(TIMELINE!$C$58-TIMELINE!I59+1)*2/(TIMELINE!$C$58*(TIMELINE!$C$58+1)),IF(INPUTS!$O$91="Back-loaded",TIMELINE!I59*2/(TIMELINE!$C$58*(TIMELINE!$C$58+1)),IF(INPUTS!$O$91="S-curve",SIN(PI()*(TIMELINE!I59-0.5)/TIMELINE!$C$58)*SIN(PI()/(2*TIMELINE!$C$58)),0)))))),0)</f>
        <v>0.0170370868554659</v>
      </c>
      <c r="J58" s="118" t="n">
        <f aca="false">IF(INPUTS!$E$91="Yes",IF(OR(TIMELINE!J59=0,TIMELINE!$C$58=0),0,IF(INPUTS!$O$91="Upfront",--(TIMELINE!J59=1),IF(INPUTS!$O$91="Even",1/TIMELINE!$C$58,IF(INPUTS!$O$91="Front-loaded",(TIMELINE!$C$58-TIMELINE!J59+1)*2/(TIMELINE!$C$58*(TIMELINE!$C$58+1)),IF(INPUTS!$O$91="Back-loaded",TIMELINE!J59*2/(TIMELINE!$C$58*(TIMELINE!$C$58+1)),IF(INPUTS!$O$91="S-curve",SIN(PI()*(TIMELINE!J59-0.5)/TIMELINE!$C$58)*SIN(PI()/(2*TIMELINE!$C$58)),0)))))),0)</f>
        <v>0.0499502112523148</v>
      </c>
      <c r="K58" s="118" t="n">
        <f aca="false">IF(INPUTS!$E$91="Yes",IF(OR(TIMELINE!K59=0,TIMELINE!$C$58=0),0,IF(INPUTS!$O$91="Upfront",--(TIMELINE!K59=1),IF(INPUTS!$O$91="Even",1/TIMELINE!$C$58,IF(INPUTS!$O$91="Front-loaded",(TIMELINE!$C$58-TIMELINE!K59+1)*2/(TIMELINE!$C$58*(TIMELINE!$C$58+1)),IF(INPUTS!$O$91="Back-loaded",TIMELINE!K59*2/(TIMELINE!$C$58*(TIMELINE!$C$58+1)),IF(INPUTS!$O$91="S-curve",SIN(PI()*(TIMELINE!K59-0.5)/TIMELINE!$C$58)*SIN(PI()/(2*TIMELINE!$C$58)),0)))))),0)</f>
        <v>0.0794593112989456</v>
      </c>
      <c r="L58" s="118" t="n">
        <f aca="false">IF(INPUTS!$E$91="Yes",IF(OR(TIMELINE!L59=0,TIMELINE!$C$58=0),0,IF(INPUTS!$O$91="Upfront",--(TIMELINE!L59=1),IF(INPUTS!$O$91="Even",1/TIMELINE!$C$58,IF(INPUTS!$O$91="Front-loaded",(TIMELINE!$C$58-TIMELINE!L59+1)*2/(TIMELINE!$C$58*(TIMELINE!$C$58+1)),IF(INPUTS!$O$91="Back-loaded",TIMELINE!L59*2/(TIMELINE!$C$58*(TIMELINE!$C$58+1)),IF(INPUTS!$O$91="S-curve",SIN(PI()*(TIMELINE!L59-0.5)/TIMELINE!$C$58)*SIN(PI()/(2*TIMELINE!$C$58)),0)))))),0)</f>
        <v>0.103553390593274</v>
      </c>
      <c r="M58" s="118" t="n">
        <f aca="false">IF(INPUTS!$E$91="Yes",IF(OR(TIMELINE!M59=0,TIMELINE!$C$58=0),0,IF(INPUTS!$O$91="Upfront",--(TIMELINE!M59=1),IF(INPUTS!$O$91="Even",1/TIMELINE!$C$58,IF(INPUTS!$O$91="Front-loaded",(TIMELINE!$C$58-TIMELINE!M59+1)*2/(TIMELINE!$C$58*(TIMELINE!$C$58+1)),IF(INPUTS!$O$91="Back-loaded",TIMELINE!M59*2/(TIMELINE!$C$58*(TIMELINE!$C$58+1)),IF(INPUTS!$O$91="S-curve",SIN(PI()*(TIMELINE!M59-0.5)/TIMELINE!$C$58)*SIN(PI()/(2*TIMELINE!$C$58)),0)))))),0)</f>
        <v>0.12059047744874</v>
      </c>
      <c r="N58" s="118" t="n">
        <f aca="false">IF(INPUTS!$E$91="Yes",IF(OR(TIMELINE!N59=0,TIMELINE!$C$58=0),0,IF(INPUTS!$O$91="Upfront",--(TIMELINE!N59=1),IF(INPUTS!$O$91="Even",1/TIMELINE!$C$58,IF(INPUTS!$O$91="Front-loaded",(TIMELINE!$C$58-TIMELINE!N59+1)*2/(TIMELINE!$C$58*(TIMELINE!$C$58+1)),IF(INPUTS!$O$91="Back-loaded",TIMELINE!N59*2/(TIMELINE!$C$58*(TIMELINE!$C$58+1)),IF(INPUTS!$O$91="S-curve",SIN(PI()*(TIMELINE!N59-0.5)/TIMELINE!$C$58)*SIN(PI()/(2*TIMELINE!$C$58)),0)))))),0)</f>
        <v>0.12940952255126</v>
      </c>
      <c r="O58" s="118" t="n">
        <f aca="false">IF(INPUTS!$E$91="Yes",IF(OR(TIMELINE!O59=0,TIMELINE!$C$58=0),0,IF(INPUTS!$O$91="Upfront",--(TIMELINE!O59=1),IF(INPUTS!$O$91="Even",1/TIMELINE!$C$58,IF(INPUTS!$O$91="Front-loaded",(TIMELINE!$C$58-TIMELINE!O59+1)*2/(TIMELINE!$C$58*(TIMELINE!$C$58+1)),IF(INPUTS!$O$91="Back-loaded",TIMELINE!O59*2/(TIMELINE!$C$58*(TIMELINE!$C$58+1)),IF(INPUTS!$O$91="S-curve",SIN(PI()*(TIMELINE!O59-0.5)/TIMELINE!$C$58)*SIN(PI()/(2*TIMELINE!$C$58)),0)))))),0)</f>
        <v>0.12940952255126</v>
      </c>
      <c r="P58" s="118" t="n">
        <f aca="false">IF(INPUTS!$E$91="Yes",IF(OR(TIMELINE!P59=0,TIMELINE!$C$58=0),0,IF(INPUTS!$O$91="Upfront",--(TIMELINE!P59=1),IF(INPUTS!$O$91="Even",1/TIMELINE!$C$58,IF(INPUTS!$O$91="Front-loaded",(TIMELINE!$C$58-TIMELINE!P59+1)*2/(TIMELINE!$C$58*(TIMELINE!$C$58+1)),IF(INPUTS!$O$91="Back-loaded",TIMELINE!P59*2/(TIMELINE!$C$58*(TIMELINE!$C$58+1)),IF(INPUTS!$O$91="S-curve",SIN(PI()*(TIMELINE!P59-0.5)/TIMELINE!$C$58)*SIN(PI()/(2*TIMELINE!$C$58)),0)))))),0)</f>
        <v>0.12059047744874</v>
      </c>
      <c r="Q58" s="118" t="n">
        <f aca="false">IF(INPUTS!$E$91="Yes",IF(OR(TIMELINE!Q59=0,TIMELINE!$C$58=0),0,IF(INPUTS!$O$91="Upfront",--(TIMELINE!Q59=1),IF(INPUTS!$O$91="Even",1/TIMELINE!$C$58,IF(INPUTS!$O$91="Front-loaded",(TIMELINE!$C$58-TIMELINE!Q59+1)*2/(TIMELINE!$C$58*(TIMELINE!$C$58+1)),IF(INPUTS!$O$91="Back-loaded",TIMELINE!Q59*2/(TIMELINE!$C$58*(TIMELINE!$C$58+1)),IF(INPUTS!$O$91="S-curve",SIN(PI()*(TIMELINE!Q59-0.5)/TIMELINE!$C$58)*SIN(PI()/(2*TIMELINE!$C$58)),0)))))),0)</f>
        <v>0.103553390593274</v>
      </c>
      <c r="R58" s="118" t="n">
        <f aca="false">IF(INPUTS!$E$91="Yes",IF(OR(TIMELINE!R59=0,TIMELINE!$C$58=0),0,IF(INPUTS!$O$91="Upfront",--(TIMELINE!R59=1),IF(INPUTS!$O$91="Even",1/TIMELINE!$C$58,IF(INPUTS!$O$91="Front-loaded",(TIMELINE!$C$58-TIMELINE!R59+1)*2/(TIMELINE!$C$58*(TIMELINE!$C$58+1)),IF(INPUTS!$O$91="Back-loaded",TIMELINE!R59*2/(TIMELINE!$C$58*(TIMELINE!$C$58+1)),IF(INPUTS!$O$91="S-curve",SIN(PI()*(TIMELINE!R59-0.5)/TIMELINE!$C$58)*SIN(PI()/(2*TIMELINE!$C$58)),0)))))),0)</f>
        <v>0.0794593112989456</v>
      </c>
      <c r="S58" s="118" t="n">
        <f aca="false">IF(INPUTS!$E$91="Yes",IF(OR(TIMELINE!S59=0,TIMELINE!$C$58=0),0,IF(INPUTS!$O$91="Upfront",--(TIMELINE!S59=1),IF(INPUTS!$O$91="Even",1/TIMELINE!$C$58,IF(INPUTS!$O$91="Front-loaded",(TIMELINE!$C$58-TIMELINE!S59+1)*2/(TIMELINE!$C$58*(TIMELINE!$C$58+1)),IF(INPUTS!$O$91="Back-loaded",TIMELINE!S59*2/(TIMELINE!$C$58*(TIMELINE!$C$58+1)),IF(INPUTS!$O$91="S-curve",SIN(PI()*(TIMELINE!S59-0.5)/TIMELINE!$C$58)*SIN(PI()/(2*TIMELINE!$C$58)),0)))))),0)</f>
        <v>0.0499502112523148</v>
      </c>
      <c r="T58" s="118" t="n">
        <f aca="false">IF(INPUTS!$E$91="Yes",IF(OR(TIMELINE!T59=0,TIMELINE!$C$58=0),0,IF(INPUTS!$O$91="Upfront",--(TIMELINE!T59=1),IF(INPUTS!$O$91="Even",1/TIMELINE!$C$58,IF(INPUTS!$O$91="Front-loaded",(TIMELINE!$C$58-TIMELINE!T59+1)*2/(TIMELINE!$C$58*(TIMELINE!$C$58+1)),IF(INPUTS!$O$91="Back-loaded",TIMELINE!T59*2/(TIMELINE!$C$58*(TIMELINE!$C$58+1)),IF(INPUTS!$O$91="S-curve",SIN(PI()*(TIMELINE!T59-0.5)/TIMELINE!$C$58)*SIN(PI()/(2*TIMELINE!$C$58)),0)))))),0)</f>
        <v>0.0170370868554659</v>
      </c>
      <c r="U58" s="118" t="n">
        <f aca="false">IF(INPUTS!$E$91="Yes",IF(OR(TIMELINE!U59=0,TIMELINE!$C$58=0),0,IF(INPUTS!$O$91="Upfront",--(TIMELINE!U59=1),IF(INPUTS!$O$91="Even",1/TIMELINE!$C$58,IF(INPUTS!$O$91="Front-loaded",(TIMELINE!$C$58-TIMELINE!U59+1)*2/(TIMELINE!$C$58*(TIMELINE!$C$58+1)),IF(INPUTS!$O$91="Back-loaded",TIMELINE!U59*2/(TIMELINE!$C$58*(TIMELINE!$C$58+1)),IF(INPUTS!$O$91="S-curve",SIN(PI()*(TIMELINE!U59-0.5)/TIMELINE!$C$58)*SIN(PI()/(2*TIMELINE!$C$58)),0)))))),0)</f>
        <v>0</v>
      </c>
      <c r="V58" s="118" t="n">
        <f aca="false">IF(INPUTS!$E$91="Yes",IF(OR(TIMELINE!V59=0,TIMELINE!$C$58=0),0,IF(INPUTS!$O$91="Upfront",--(TIMELINE!V59=1),IF(INPUTS!$O$91="Even",1/TIMELINE!$C$58,IF(INPUTS!$O$91="Front-loaded",(TIMELINE!$C$58-TIMELINE!V59+1)*2/(TIMELINE!$C$58*(TIMELINE!$C$58+1)),IF(INPUTS!$O$91="Back-loaded",TIMELINE!V59*2/(TIMELINE!$C$58*(TIMELINE!$C$58+1)),IF(INPUTS!$O$91="S-curve",SIN(PI()*(TIMELINE!V59-0.5)/TIMELINE!$C$58)*SIN(PI()/(2*TIMELINE!$C$58)),0)))))),0)</f>
        <v>0</v>
      </c>
      <c r="W58" s="118" t="n">
        <f aca="false">IF(INPUTS!$E$91="Yes",IF(OR(TIMELINE!W59=0,TIMELINE!$C$58=0),0,IF(INPUTS!$O$91="Upfront",--(TIMELINE!W59=1),IF(INPUTS!$O$91="Even",1/TIMELINE!$C$58,IF(INPUTS!$O$91="Front-loaded",(TIMELINE!$C$58-TIMELINE!W59+1)*2/(TIMELINE!$C$58*(TIMELINE!$C$58+1)),IF(INPUTS!$O$91="Back-loaded",TIMELINE!W59*2/(TIMELINE!$C$58*(TIMELINE!$C$58+1)),IF(INPUTS!$O$91="S-curve",SIN(PI()*(TIMELINE!W59-0.5)/TIMELINE!$C$58)*SIN(PI()/(2*TIMELINE!$C$58)),0)))))),0)</f>
        <v>0</v>
      </c>
      <c r="X58" s="118" t="n">
        <f aca="false">IF(INPUTS!$E$91="Yes",IF(OR(TIMELINE!X59=0,TIMELINE!$C$58=0),0,IF(INPUTS!$O$91="Upfront",--(TIMELINE!X59=1),IF(INPUTS!$O$91="Even",1/TIMELINE!$C$58,IF(INPUTS!$O$91="Front-loaded",(TIMELINE!$C$58-TIMELINE!X59+1)*2/(TIMELINE!$C$58*(TIMELINE!$C$58+1)),IF(INPUTS!$O$91="Back-loaded",TIMELINE!X59*2/(TIMELINE!$C$58*(TIMELINE!$C$58+1)),IF(INPUTS!$O$91="S-curve",SIN(PI()*(TIMELINE!X59-0.5)/TIMELINE!$C$58)*SIN(PI()/(2*TIMELINE!$C$58)),0)))))),0)</f>
        <v>0</v>
      </c>
      <c r="Y58" s="118" t="n">
        <f aca="false">IF(INPUTS!$E$91="Yes",IF(OR(TIMELINE!Y59=0,TIMELINE!$C$58=0),0,IF(INPUTS!$O$91="Upfront",--(TIMELINE!Y59=1),IF(INPUTS!$O$91="Even",1/TIMELINE!$C$58,IF(INPUTS!$O$91="Front-loaded",(TIMELINE!$C$58-TIMELINE!Y59+1)*2/(TIMELINE!$C$58*(TIMELINE!$C$58+1)),IF(INPUTS!$O$91="Back-loaded",TIMELINE!Y59*2/(TIMELINE!$C$58*(TIMELINE!$C$58+1)),IF(INPUTS!$O$91="S-curve",SIN(PI()*(TIMELINE!Y59-0.5)/TIMELINE!$C$58)*SIN(PI()/(2*TIMELINE!$C$58)),0)))))),0)</f>
        <v>0</v>
      </c>
      <c r="Z58" s="118" t="n">
        <f aca="false">IF(INPUTS!$E$91="Yes",IF(OR(TIMELINE!Z59=0,TIMELINE!$C$58=0),0,IF(INPUTS!$O$91="Upfront",--(TIMELINE!Z59=1),IF(INPUTS!$O$91="Even",1/TIMELINE!$C$58,IF(INPUTS!$O$91="Front-loaded",(TIMELINE!$C$58-TIMELINE!Z59+1)*2/(TIMELINE!$C$58*(TIMELINE!$C$58+1)),IF(INPUTS!$O$91="Back-loaded",TIMELINE!Z59*2/(TIMELINE!$C$58*(TIMELINE!$C$58+1)),IF(INPUTS!$O$91="S-curve",SIN(PI()*(TIMELINE!Z59-0.5)/TIMELINE!$C$58)*SIN(PI()/(2*TIMELINE!$C$58)),0)))))),0)</f>
        <v>0</v>
      </c>
      <c r="AA58" s="118" t="n">
        <f aca="false">IF(INPUTS!$E$91="Yes",IF(OR(TIMELINE!AA59=0,TIMELINE!$C$58=0),0,IF(INPUTS!$O$91="Upfront",--(TIMELINE!AA59=1),IF(INPUTS!$O$91="Even",1/TIMELINE!$C$58,IF(INPUTS!$O$91="Front-loaded",(TIMELINE!$C$58-TIMELINE!AA59+1)*2/(TIMELINE!$C$58*(TIMELINE!$C$58+1)),IF(INPUTS!$O$91="Back-loaded",TIMELINE!AA59*2/(TIMELINE!$C$58*(TIMELINE!$C$58+1)),IF(INPUTS!$O$91="S-curve",SIN(PI()*(TIMELINE!AA59-0.5)/TIMELINE!$C$58)*SIN(PI()/(2*TIMELINE!$C$58)),0)))))),0)</f>
        <v>0</v>
      </c>
      <c r="AB58" s="118" t="n">
        <f aca="false">IF(INPUTS!$E$91="Yes",IF(OR(TIMELINE!AB59=0,TIMELINE!$C$58=0),0,IF(INPUTS!$O$91="Upfront",--(TIMELINE!AB59=1),IF(INPUTS!$O$91="Even",1/TIMELINE!$C$58,IF(INPUTS!$O$91="Front-loaded",(TIMELINE!$C$58-TIMELINE!AB59+1)*2/(TIMELINE!$C$58*(TIMELINE!$C$58+1)),IF(INPUTS!$O$91="Back-loaded",TIMELINE!AB59*2/(TIMELINE!$C$58*(TIMELINE!$C$58+1)),IF(INPUTS!$O$91="S-curve",SIN(PI()*(TIMELINE!AB59-0.5)/TIMELINE!$C$58)*SIN(PI()/(2*TIMELINE!$C$58)),0)))))),0)</f>
        <v>0</v>
      </c>
      <c r="AC58" s="118" t="n">
        <f aca="false">IF(INPUTS!$E$91="Yes",IF(OR(TIMELINE!AC59=0,TIMELINE!$C$58=0),0,IF(INPUTS!$O$91="Upfront",--(TIMELINE!AC59=1),IF(INPUTS!$O$91="Even",1/TIMELINE!$C$58,IF(INPUTS!$O$91="Front-loaded",(TIMELINE!$C$58-TIMELINE!AC59+1)*2/(TIMELINE!$C$58*(TIMELINE!$C$58+1)),IF(INPUTS!$O$91="Back-loaded",TIMELINE!AC59*2/(TIMELINE!$C$58*(TIMELINE!$C$58+1)),IF(INPUTS!$O$91="S-curve",SIN(PI()*(TIMELINE!AC59-0.5)/TIMELINE!$C$58)*SIN(PI()/(2*TIMELINE!$C$58)),0)))))),0)</f>
        <v>0</v>
      </c>
      <c r="AD58" s="118" t="n">
        <f aca="false">IF(INPUTS!$E$91="Yes",IF(OR(TIMELINE!AD59=0,TIMELINE!$C$58=0),0,IF(INPUTS!$O$91="Upfront",--(TIMELINE!AD59=1),IF(INPUTS!$O$91="Even",1/TIMELINE!$C$58,IF(INPUTS!$O$91="Front-loaded",(TIMELINE!$C$58-TIMELINE!AD59+1)*2/(TIMELINE!$C$58*(TIMELINE!$C$58+1)),IF(INPUTS!$O$91="Back-loaded",TIMELINE!AD59*2/(TIMELINE!$C$58*(TIMELINE!$C$58+1)),IF(INPUTS!$O$91="S-curve",SIN(PI()*(TIMELINE!AD59-0.5)/TIMELINE!$C$58)*SIN(PI()/(2*TIMELINE!$C$58)),0)))))),0)</f>
        <v>0</v>
      </c>
      <c r="AE58" s="118" t="n">
        <f aca="false">IF(INPUTS!$E$91="Yes",IF(OR(TIMELINE!AE59=0,TIMELINE!$C$58=0),0,IF(INPUTS!$O$91="Upfront",--(TIMELINE!AE59=1),IF(INPUTS!$O$91="Even",1/TIMELINE!$C$58,IF(INPUTS!$O$91="Front-loaded",(TIMELINE!$C$58-TIMELINE!AE59+1)*2/(TIMELINE!$C$58*(TIMELINE!$C$58+1)),IF(INPUTS!$O$91="Back-loaded",TIMELINE!AE59*2/(TIMELINE!$C$58*(TIMELINE!$C$58+1)),IF(INPUTS!$O$91="S-curve",SIN(PI()*(TIMELINE!AE59-0.5)/TIMELINE!$C$58)*SIN(PI()/(2*TIMELINE!$C$58)),0)))))),0)</f>
        <v>0</v>
      </c>
      <c r="AF58" s="118" t="n">
        <f aca="false">IF(INPUTS!$E$91="Yes",IF(OR(TIMELINE!AF59=0,TIMELINE!$C$58=0),0,IF(INPUTS!$O$91="Upfront",--(TIMELINE!AF59=1),IF(INPUTS!$O$91="Even",1/TIMELINE!$C$58,IF(INPUTS!$O$91="Front-loaded",(TIMELINE!$C$58-TIMELINE!AF59+1)*2/(TIMELINE!$C$58*(TIMELINE!$C$58+1)),IF(INPUTS!$O$91="Back-loaded",TIMELINE!AF59*2/(TIMELINE!$C$58*(TIMELINE!$C$58+1)),IF(INPUTS!$O$91="S-curve",SIN(PI()*(TIMELINE!AF59-0.5)/TIMELINE!$C$58)*SIN(PI()/(2*TIMELINE!$C$58)),0)))))),0)</f>
        <v>0</v>
      </c>
      <c r="AG58" s="118" t="n">
        <f aca="false">IF(INPUTS!$E$91="Yes",IF(OR(TIMELINE!AG59=0,TIMELINE!$C$58=0),0,IF(INPUTS!$O$91="Upfront",--(TIMELINE!AG59=1),IF(INPUTS!$O$91="Even",1/TIMELINE!$C$58,IF(INPUTS!$O$91="Front-loaded",(TIMELINE!$C$58-TIMELINE!AG59+1)*2/(TIMELINE!$C$58*(TIMELINE!$C$58+1)),IF(INPUTS!$O$91="Back-loaded",TIMELINE!AG59*2/(TIMELINE!$C$58*(TIMELINE!$C$58+1)),IF(INPUTS!$O$91="S-curve",SIN(PI()*(TIMELINE!AG59-0.5)/TIMELINE!$C$58)*SIN(PI()/(2*TIMELINE!$C$58)),0)))))),0)</f>
        <v>0</v>
      </c>
      <c r="AH58" s="118" t="n">
        <f aca="false">IF(INPUTS!$E$91="Yes",IF(OR(TIMELINE!AH59=0,TIMELINE!$C$58=0),0,IF(INPUTS!$O$91="Upfront",--(TIMELINE!AH59=1),IF(INPUTS!$O$91="Even",1/TIMELINE!$C$58,IF(INPUTS!$O$91="Front-loaded",(TIMELINE!$C$58-TIMELINE!AH59+1)*2/(TIMELINE!$C$58*(TIMELINE!$C$58+1)),IF(INPUTS!$O$91="Back-loaded",TIMELINE!AH59*2/(TIMELINE!$C$58*(TIMELINE!$C$58+1)),IF(INPUTS!$O$91="S-curve",SIN(PI()*(TIMELINE!AH59-0.5)/TIMELINE!$C$58)*SIN(PI()/(2*TIMELINE!$C$58)),0)))))),0)</f>
        <v>0</v>
      </c>
      <c r="AI58" s="118" t="n">
        <f aca="false">IF(INPUTS!$E$91="Yes",IF(OR(TIMELINE!AI59=0,TIMELINE!$C$58=0),0,IF(INPUTS!$O$91="Upfront",--(TIMELINE!AI59=1),IF(INPUTS!$O$91="Even",1/TIMELINE!$C$58,IF(INPUTS!$O$91="Front-loaded",(TIMELINE!$C$58-TIMELINE!AI59+1)*2/(TIMELINE!$C$58*(TIMELINE!$C$58+1)),IF(INPUTS!$O$91="Back-loaded",TIMELINE!AI59*2/(TIMELINE!$C$58*(TIMELINE!$C$58+1)),IF(INPUTS!$O$91="S-curve",SIN(PI()*(TIMELINE!AI59-0.5)/TIMELINE!$C$58)*SIN(PI()/(2*TIMELINE!$C$58)),0)))))),0)</f>
        <v>0</v>
      </c>
      <c r="AJ58" s="118" t="n">
        <f aca="false">IF(INPUTS!$E$91="Yes",IF(OR(TIMELINE!AJ59=0,TIMELINE!$C$58=0),0,IF(INPUTS!$O$91="Upfront",--(TIMELINE!AJ59=1),IF(INPUTS!$O$91="Even",1/TIMELINE!$C$58,IF(INPUTS!$O$91="Front-loaded",(TIMELINE!$C$58-TIMELINE!AJ59+1)*2/(TIMELINE!$C$58*(TIMELINE!$C$58+1)),IF(INPUTS!$O$91="Back-loaded",TIMELINE!AJ59*2/(TIMELINE!$C$58*(TIMELINE!$C$58+1)),IF(INPUTS!$O$91="S-curve",SIN(PI()*(TIMELINE!AJ59-0.5)/TIMELINE!$C$58)*SIN(PI()/(2*TIMELINE!$C$58)),0)))))),0)</f>
        <v>0</v>
      </c>
      <c r="AK58" s="118" t="n">
        <f aca="false">IF(INPUTS!$E$91="Yes",IF(OR(TIMELINE!AK59=0,TIMELINE!$C$58=0),0,IF(INPUTS!$O$91="Upfront",--(TIMELINE!AK59=1),IF(INPUTS!$O$91="Even",1/TIMELINE!$C$58,IF(INPUTS!$O$91="Front-loaded",(TIMELINE!$C$58-TIMELINE!AK59+1)*2/(TIMELINE!$C$58*(TIMELINE!$C$58+1)),IF(INPUTS!$O$91="Back-loaded",TIMELINE!AK59*2/(TIMELINE!$C$58*(TIMELINE!$C$58+1)),IF(INPUTS!$O$91="S-curve",SIN(PI()*(TIMELINE!AK59-0.5)/TIMELINE!$C$58)*SIN(PI()/(2*TIMELINE!$C$58)),0)))))),0)</f>
        <v>0</v>
      </c>
      <c r="AL58" s="118" t="n">
        <f aca="false">IF(INPUTS!$E$91="Yes",IF(OR(TIMELINE!AL59=0,TIMELINE!$C$58=0),0,IF(INPUTS!$O$91="Upfront",--(TIMELINE!AL59=1),IF(INPUTS!$O$91="Even",1/TIMELINE!$C$58,IF(INPUTS!$O$91="Front-loaded",(TIMELINE!$C$58-TIMELINE!AL59+1)*2/(TIMELINE!$C$58*(TIMELINE!$C$58+1)),IF(INPUTS!$O$91="Back-loaded",TIMELINE!AL59*2/(TIMELINE!$C$58*(TIMELINE!$C$58+1)),IF(INPUTS!$O$91="S-curve",SIN(PI()*(TIMELINE!AL59-0.5)/TIMELINE!$C$58)*SIN(PI()/(2*TIMELINE!$C$58)),0)))))),0)</f>
        <v>0</v>
      </c>
      <c r="AM58" s="118" t="n">
        <f aca="false">IF(INPUTS!$E$91="Yes",IF(OR(TIMELINE!AM59=0,TIMELINE!$C$58=0),0,IF(INPUTS!$O$91="Upfront",--(TIMELINE!AM59=1),IF(INPUTS!$O$91="Even",1/TIMELINE!$C$58,IF(INPUTS!$O$91="Front-loaded",(TIMELINE!$C$58-TIMELINE!AM59+1)*2/(TIMELINE!$C$58*(TIMELINE!$C$58+1)),IF(INPUTS!$O$91="Back-loaded",TIMELINE!AM59*2/(TIMELINE!$C$58*(TIMELINE!$C$58+1)),IF(INPUTS!$O$91="S-curve",SIN(PI()*(TIMELINE!AM59-0.5)/TIMELINE!$C$58)*SIN(PI()/(2*TIMELINE!$C$58)),0)))))),0)</f>
        <v>0</v>
      </c>
      <c r="AN58" s="118" t="n">
        <f aca="false">IF(INPUTS!$E$91="Yes",IF(OR(TIMELINE!AN59=0,TIMELINE!$C$58=0),0,IF(INPUTS!$O$91="Upfront",--(TIMELINE!AN59=1),IF(INPUTS!$O$91="Even",1/TIMELINE!$C$58,IF(INPUTS!$O$91="Front-loaded",(TIMELINE!$C$58-TIMELINE!AN59+1)*2/(TIMELINE!$C$58*(TIMELINE!$C$58+1)),IF(INPUTS!$O$91="Back-loaded",TIMELINE!AN59*2/(TIMELINE!$C$58*(TIMELINE!$C$58+1)),IF(INPUTS!$O$91="S-curve",SIN(PI()*(TIMELINE!AN59-0.5)/TIMELINE!$C$58)*SIN(PI()/(2*TIMELINE!$C$58)),0)))))),0)</f>
        <v>0</v>
      </c>
      <c r="AO58" s="118" t="n">
        <f aca="false">IF(INPUTS!$E$91="Yes",IF(OR(TIMELINE!AO59=0,TIMELINE!$C$58=0),0,IF(INPUTS!$O$91="Upfront",--(TIMELINE!AO59=1),IF(INPUTS!$O$91="Even",1/TIMELINE!$C$58,IF(INPUTS!$O$91="Front-loaded",(TIMELINE!$C$58-TIMELINE!AO59+1)*2/(TIMELINE!$C$58*(TIMELINE!$C$58+1)),IF(INPUTS!$O$91="Back-loaded",TIMELINE!AO59*2/(TIMELINE!$C$58*(TIMELINE!$C$58+1)),IF(INPUTS!$O$91="S-curve",SIN(PI()*(TIMELINE!AO59-0.5)/TIMELINE!$C$58)*SIN(PI()/(2*TIMELINE!$C$58)),0)))))),0)</f>
        <v>0</v>
      </c>
      <c r="AP58" s="118" t="n">
        <f aca="false">IF(INPUTS!$E$91="Yes",IF(OR(TIMELINE!AP59=0,TIMELINE!$C$58=0),0,IF(INPUTS!$O$91="Upfront",--(TIMELINE!AP59=1),IF(INPUTS!$O$91="Even",1/TIMELINE!$C$58,IF(INPUTS!$O$91="Front-loaded",(TIMELINE!$C$58-TIMELINE!AP59+1)*2/(TIMELINE!$C$58*(TIMELINE!$C$58+1)),IF(INPUTS!$O$91="Back-loaded",TIMELINE!AP59*2/(TIMELINE!$C$58*(TIMELINE!$C$58+1)),IF(INPUTS!$O$91="S-curve",SIN(PI()*(TIMELINE!AP59-0.5)/TIMELINE!$C$58)*SIN(PI()/(2*TIMELINE!$C$58)),0)))))),0)</f>
        <v>0</v>
      </c>
      <c r="AQ58" s="118" t="n">
        <f aca="false">IF(INPUTS!$E$91="Yes",IF(OR(TIMELINE!AQ59=0,TIMELINE!$C$58=0),0,IF(INPUTS!$O$91="Upfront",--(TIMELINE!AQ59=1),IF(INPUTS!$O$91="Even",1/TIMELINE!$C$58,IF(INPUTS!$O$91="Front-loaded",(TIMELINE!$C$58-TIMELINE!AQ59+1)*2/(TIMELINE!$C$58*(TIMELINE!$C$58+1)),IF(INPUTS!$O$91="Back-loaded",TIMELINE!AQ59*2/(TIMELINE!$C$58*(TIMELINE!$C$58+1)),IF(INPUTS!$O$91="S-curve",SIN(PI()*(TIMELINE!AQ59-0.5)/TIMELINE!$C$58)*SIN(PI()/(2*TIMELINE!$C$58)),0)))))),0)</f>
        <v>0</v>
      </c>
    </row>
    <row r="59" customFormat="false" ht="15" hidden="false" customHeight="false" outlineLevel="0" collapsed="false">
      <c r="B59" s="3" t="s">
        <v>673</v>
      </c>
      <c r="D59" s="118" t="n">
        <f aca="false">SUM($D58:D58)</f>
        <v>0</v>
      </c>
      <c r="E59" s="118" t="n">
        <f aca="false">SUM($D58:E58)</f>
        <v>0</v>
      </c>
      <c r="F59" s="118" t="n">
        <f aca="false">SUM($D58:F58)</f>
        <v>0</v>
      </c>
      <c r="G59" s="118" t="n">
        <f aca="false">SUM($D58:G58)</f>
        <v>0</v>
      </c>
      <c r="H59" s="118" t="n">
        <f aca="false">SUM($D58:H58)</f>
        <v>0</v>
      </c>
      <c r="I59" s="118" t="n">
        <f aca="false">SUM($D58:I58)</f>
        <v>0.0170370868554659</v>
      </c>
      <c r="J59" s="118" t="n">
        <f aca="false">SUM($D58:J58)</f>
        <v>0.0669872981077807</v>
      </c>
      <c r="K59" s="118" t="n">
        <f aca="false">SUM($D58:K58)</f>
        <v>0.146446609406726</v>
      </c>
      <c r="L59" s="118" t="n">
        <f aca="false">SUM($D58:L58)</f>
        <v>0.25</v>
      </c>
      <c r="M59" s="118" t="n">
        <f aca="false">SUM($D58:M58)</f>
        <v>0.37059047744874</v>
      </c>
      <c r="N59" s="118" t="n">
        <f aca="false">SUM($D58:N58)</f>
        <v>0.5</v>
      </c>
      <c r="O59" s="118" t="n">
        <f aca="false">SUM($D58:O58)</f>
        <v>0.62940952255126</v>
      </c>
      <c r="P59" s="118" t="n">
        <f aca="false">SUM($D58:P58)</f>
        <v>0.75</v>
      </c>
      <c r="Q59" s="118" t="n">
        <f aca="false">SUM($D58:Q58)</f>
        <v>0.853553390593274</v>
      </c>
      <c r="R59" s="118" t="n">
        <f aca="false">SUM($D58:R58)</f>
        <v>0.933012701892219</v>
      </c>
      <c r="S59" s="118" t="n">
        <f aca="false">SUM($D58:S58)</f>
        <v>0.982962913144534</v>
      </c>
      <c r="T59" s="118" t="n">
        <f aca="false">SUM($D58:T58)</f>
        <v>1</v>
      </c>
      <c r="U59" s="118" t="n">
        <f aca="false">SUM($D58:U58)</f>
        <v>1</v>
      </c>
      <c r="V59" s="118" t="n">
        <f aca="false">SUM($D58:V58)</f>
        <v>1</v>
      </c>
      <c r="W59" s="118" t="n">
        <f aca="false">SUM($D58:W58)</f>
        <v>1</v>
      </c>
      <c r="X59" s="118" t="n">
        <f aca="false">SUM($D58:X58)</f>
        <v>1</v>
      </c>
      <c r="Y59" s="118" t="n">
        <f aca="false">SUM($D58:Y58)</f>
        <v>1</v>
      </c>
      <c r="Z59" s="118" t="n">
        <f aca="false">SUM($D58:Z58)</f>
        <v>1</v>
      </c>
      <c r="AA59" s="118" t="n">
        <f aca="false">SUM($D58:AA58)</f>
        <v>1</v>
      </c>
      <c r="AB59" s="118" t="n">
        <f aca="false">SUM($D58:AB58)</f>
        <v>1</v>
      </c>
      <c r="AC59" s="118" t="n">
        <f aca="false">SUM($D58:AC58)</f>
        <v>1</v>
      </c>
      <c r="AD59" s="118" t="n">
        <f aca="false">SUM($D58:AD58)</f>
        <v>1</v>
      </c>
      <c r="AE59" s="118" t="n">
        <f aca="false">SUM($D58:AE58)</f>
        <v>1</v>
      </c>
      <c r="AF59" s="118" t="n">
        <f aca="false">SUM($D58:AF58)</f>
        <v>1</v>
      </c>
      <c r="AG59" s="118" t="n">
        <f aca="false">SUM($D58:AG58)</f>
        <v>1</v>
      </c>
      <c r="AH59" s="118" t="n">
        <f aca="false">SUM($D58:AH58)</f>
        <v>1</v>
      </c>
      <c r="AI59" s="118" t="n">
        <f aca="false">SUM($D58:AI58)</f>
        <v>1</v>
      </c>
      <c r="AJ59" s="118" t="n">
        <f aca="false">SUM($D58:AJ58)</f>
        <v>1</v>
      </c>
      <c r="AK59" s="118" t="n">
        <f aca="false">SUM($D58:AK58)</f>
        <v>1</v>
      </c>
      <c r="AL59" s="118" t="n">
        <f aca="false">SUM($D58:AL58)</f>
        <v>1</v>
      </c>
      <c r="AM59" s="118" t="n">
        <f aca="false">SUM($D58:AM58)</f>
        <v>1</v>
      </c>
      <c r="AN59" s="118" t="n">
        <f aca="false">SUM($D58:AN58)</f>
        <v>1</v>
      </c>
      <c r="AO59" s="118" t="n">
        <f aca="false">SUM($D58:AO58)</f>
        <v>1</v>
      </c>
      <c r="AP59" s="118" t="n">
        <f aca="false">SUM($D58:AP58)</f>
        <v>1</v>
      </c>
      <c r="AQ59" s="118" t="n">
        <f aca="false">SUM($D58:AQ58)</f>
        <v>1</v>
      </c>
    </row>
    <row r="60" customFormat="false" ht="15" hidden="false" customHeight="false" outlineLevel="0" collapsed="false">
      <c r="B60" s="17" t="s">
        <v>674</v>
      </c>
      <c r="C60" s="105" t="str">
        <f aca="false">IF(NOT(INPUTS!$E$91="Yes"),"Off",IF(AND(ABS(C56-1)&lt;0.000000001,ABS(C58-1)&lt;0.000000001,ABS(AQ59-1)&lt;0.000000001),"OK","ERROR"))</f>
        <v>OK</v>
      </c>
    </row>
    <row r="61" customFormat="false" ht="15" hidden="false" customHeight="false" outlineLevel="0" collapsed="false">
      <c r="B61" s="110" t="str">
        <f aca="false">IF(INPUTS!$E$92="Yes",INPUTS!$B$92,"Product row 5 (off)")</f>
        <v>Product row 5 (off)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</row>
    <row r="62" customFormat="false" ht="15" hidden="false" customHeight="false" outlineLevel="0" collapsed="false">
      <c r="B62" s="3" t="s">
        <v>670</v>
      </c>
      <c r="C62" s="117" t="n">
        <f aca="false">SUM(D62:AQ62)</f>
        <v>0</v>
      </c>
      <c r="D62" s="118" t="n">
        <f aca="false">IF(INPUTS!$E$92="Yes",IF(OR(TIMELINE!D64=0,TIMELINE!$C$63=0),0,IF(INPUTS!$K$92="Upfront",--(TIMELINE!D64=1),IF(INPUTS!$K$92="Even",1/TIMELINE!$C$63,IF(INPUTS!$K$92="Front-loaded",(TIMELINE!$C$63-TIMELINE!D64+1)*2/(TIMELINE!$C$63*(TIMELINE!$C$63+1)),IF(INPUTS!$K$92="Back-loaded",TIMELINE!D64*2/(TIMELINE!$C$63*(TIMELINE!$C$63+1)),IF(INPUTS!$K$92="S-curve",SIN(PI()*(TIMELINE!D64-0.5)/TIMELINE!$C$63)*SIN(PI()/(2*TIMELINE!$C$63)),0)))))),0)</f>
        <v>0</v>
      </c>
      <c r="E62" s="118" t="n">
        <f aca="false">IF(INPUTS!$E$92="Yes",IF(OR(TIMELINE!E64=0,TIMELINE!$C$63=0),0,IF(INPUTS!$K$92="Upfront",--(TIMELINE!E64=1),IF(INPUTS!$K$92="Even",1/TIMELINE!$C$63,IF(INPUTS!$K$92="Front-loaded",(TIMELINE!$C$63-TIMELINE!E64+1)*2/(TIMELINE!$C$63*(TIMELINE!$C$63+1)),IF(INPUTS!$K$92="Back-loaded",TIMELINE!E64*2/(TIMELINE!$C$63*(TIMELINE!$C$63+1)),IF(INPUTS!$K$92="S-curve",SIN(PI()*(TIMELINE!E64-0.5)/TIMELINE!$C$63)*SIN(PI()/(2*TIMELINE!$C$63)),0)))))),0)</f>
        <v>0</v>
      </c>
      <c r="F62" s="118" t="n">
        <f aca="false">IF(INPUTS!$E$92="Yes",IF(OR(TIMELINE!F64=0,TIMELINE!$C$63=0),0,IF(INPUTS!$K$92="Upfront",--(TIMELINE!F64=1),IF(INPUTS!$K$92="Even",1/TIMELINE!$C$63,IF(INPUTS!$K$92="Front-loaded",(TIMELINE!$C$63-TIMELINE!F64+1)*2/(TIMELINE!$C$63*(TIMELINE!$C$63+1)),IF(INPUTS!$K$92="Back-loaded",TIMELINE!F64*2/(TIMELINE!$C$63*(TIMELINE!$C$63+1)),IF(INPUTS!$K$92="S-curve",SIN(PI()*(TIMELINE!F64-0.5)/TIMELINE!$C$63)*SIN(PI()/(2*TIMELINE!$C$63)),0)))))),0)</f>
        <v>0</v>
      </c>
      <c r="G62" s="118" t="n">
        <f aca="false">IF(INPUTS!$E$92="Yes",IF(OR(TIMELINE!G64=0,TIMELINE!$C$63=0),0,IF(INPUTS!$K$92="Upfront",--(TIMELINE!G64=1),IF(INPUTS!$K$92="Even",1/TIMELINE!$C$63,IF(INPUTS!$K$92="Front-loaded",(TIMELINE!$C$63-TIMELINE!G64+1)*2/(TIMELINE!$C$63*(TIMELINE!$C$63+1)),IF(INPUTS!$K$92="Back-loaded",TIMELINE!G64*2/(TIMELINE!$C$63*(TIMELINE!$C$63+1)),IF(INPUTS!$K$92="S-curve",SIN(PI()*(TIMELINE!G64-0.5)/TIMELINE!$C$63)*SIN(PI()/(2*TIMELINE!$C$63)),0)))))),0)</f>
        <v>0</v>
      </c>
      <c r="H62" s="118" t="n">
        <f aca="false">IF(INPUTS!$E$92="Yes",IF(OR(TIMELINE!H64=0,TIMELINE!$C$63=0),0,IF(INPUTS!$K$92="Upfront",--(TIMELINE!H64=1),IF(INPUTS!$K$92="Even",1/TIMELINE!$C$63,IF(INPUTS!$K$92="Front-loaded",(TIMELINE!$C$63-TIMELINE!H64+1)*2/(TIMELINE!$C$63*(TIMELINE!$C$63+1)),IF(INPUTS!$K$92="Back-loaded",TIMELINE!H64*2/(TIMELINE!$C$63*(TIMELINE!$C$63+1)),IF(INPUTS!$K$92="S-curve",SIN(PI()*(TIMELINE!H64-0.5)/TIMELINE!$C$63)*SIN(PI()/(2*TIMELINE!$C$63)),0)))))),0)</f>
        <v>0</v>
      </c>
      <c r="I62" s="118" t="n">
        <f aca="false">IF(INPUTS!$E$92="Yes",IF(OR(TIMELINE!I64=0,TIMELINE!$C$63=0),0,IF(INPUTS!$K$92="Upfront",--(TIMELINE!I64=1),IF(INPUTS!$K$92="Even",1/TIMELINE!$C$63,IF(INPUTS!$K$92="Front-loaded",(TIMELINE!$C$63-TIMELINE!I64+1)*2/(TIMELINE!$C$63*(TIMELINE!$C$63+1)),IF(INPUTS!$K$92="Back-loaded",TIMELINE!I64*2/(TIMELINE!$C$63*(TIMELINE!$C$63+1)),IF(INPUTS!$K$92="S-curve",SIN(PI()*(TIMELINE!I64-0.5)/TIMELINE!$C$63)*SIN(PI()/(2*TIMELINE!$C$63)),0)))))),0)</f>
        <v>0</v>
      </c>
      <c r="J62" s="118" t="n">
        <f aca="false">IF(INPUTS!$E$92="Yes",IF(OR(TIMELINE!J64=0,TIMELINE!$C$63=0),0,IF(INPUTS!$K$92="Upfront",--(TIMELINE!J64=1),IF(INPUTS!$K$92="Even",1/TIMELINE!$C$63,IF(INPUTS!$K$92="Front-loaded",(TIMELINE!$C$63-TIMELINE!J64+1)*2/(TIMELINE!$C$63*(TIMELINE!$C$63+1)),IF(INPUTS!$K$92="Back-loaded",TIMELINE!J64*2/(TIMELINE!$C$63*(TIMELINE!$C$63+1)),IF(INPUTS!$K$92="S-curve",SIN(PI()*(TIMELINE!J64-0.5)/TIMELINE!$C$63)*SIN(PI()/(2*TIMELINE!$C$63)),0)))))),0)</f>
        <v>0</v>
      </c>
      <c r="K62" s="118" t="n">
        <f aca="false">IF(INPUTS!$E$92="Yes",IF(OR(TIMELINE!K64=0,TIMELINE!$C$63=0),0,IF(INPUTS!$K$92="Upfront",--(TIMELINE!K64=1),IF(INPUTS!$K$92="Even",1/TIMELINE!$C$63,IF(INPUTS!$K$92="Front-loaded",(TIMELINE!$C$63-TIMELINE!K64+1)*2/(TIMELINE!$C$63*(TIMELINE!$C$63+1)),IF(INPUTS!$K$92="Back-loaded",TIMELINE!K64*2/(TIMELINE!$C$63*(TIMELINE!$C$63+1)),IF(INPUTS!$K$92="S-curve",SIN(PI()*(TIMELINE!K64-0.5)/TIMELINE!$C$63)*SIN(PI()/(2*TIMELINE!$C$63)),0)))))),0)</f>
        <v>0</v>
      </c>
      <c r="L62" s="118" t="n">
        <f aca="false">IF(INPUTS!$E$92="Yes",IF(OR(TIMELINE!L64=0,TIMELINE!$C$63=0),0,IF(INPUTS!$K$92="Upfront",--(TIMELINE!L64=1),IF(INPUTS!$K$92="Even",1/TIMELINE!$C$63,IF(INPUTS!$K$92="Front-loaded",(TIMELINE!$C$63-TIMELINE!L64+1)*2/(TIMELINE!$C$63*(TIMELINE!$C$63+1)),IF(INPUTS!$K$92="Back-loaded",TIMELINE!L64*2/(TIMELINE!$C$63*(TIMELINE!$C$63+1)),IF(INPUTS!$K$92="S-curve",SIN(PI()*(TIMELINE!L64-0.5)/TIMELINE!$C$63)*SIN(PI()/(2*TIMELINE!$C$63)),0)))))),0)</f>
        <v>0</v>
      </c>
      <c r="M62" s="118" t="n">
        <f aca="false">IF(INPUTS!$E$92="Yes",IF(OR(TIMELINE!M64=0,TIMELINE!$C$63=0),0,IF(INPUTS!$K$92="Upfront",--(TIMELINE!M64=1),IF(INPUTS!$K$92="Even",1/TIMELINE!$C$63,IF(INPUTS!$K$92="Front-loaded",(TIMELINE!$C$63-TIMELINE!M64+1)*2/(TIMELINE!$C$63*(TIMELINE!$C$63+1)),IF(INPUTS!$K$92="Back-loaded",TIMELINE!M64*2/(TIMELINE!$C$63*(TIMELINE!$C$63+1)),IF(INPUTS!$K$92="S-curve",SIN(PI()*(TIMELINE!M64-0.5)/TIMELINE!$C$63)*SIN(PI()/(2*TIMELINE!$C$63)),0)))))),0)</f>
        <v>0</v>
      </c>
      <c r="N62" s="118" t="n">
        <f aca="false">IF(INPUTS!$E$92="Yes",IF(OR(TIMELINE!N64=0,TIMELINE!$C$63=0),0,IF(INPUTS!$K$92="Upfront",--(TIMELINE!N64=1),IF(INPUTS!$K$92="Even",1/TIMELINE!$C$63,IF(INPUTS!$K$92="Front-loaded",(TIMELINE!$C$63-TIMELINE!N64+1)*2/(TIMELINE!$C$63*(TIMELINE!$C$63+1)),IF(INPUTS!$K$92="Back-loaded",TIMELINE!N64*2/(TIMELINE!$C$63*(TIMELINE!$C$63+1)),IF(INPUTS!$K$92="S-curve",SIN(PI()*(TIMELINE!N64-0.5)/TIMELINE!$C$63)*SIN(PI()/(2*TIMELINE!$C$63)),0)))))),0)</f>
        <v>0</v>
      </c>
      <c r="O62" s="118" t="n">
        <f aca="false">IF(INPUTS!$E$92="Yes",IF(OR(TIMELINE!O64=0,TIMELINE!$C$63=0),0,IF(INPUTS!$K$92="Upfront",--(TIMELINE!O64=1),IF(INPUTS!$K$92="Even",1/TIMELINE!$C$63,IF(INPUTS!$K$92="Front-loaded",(TIMELINE!$C$63-TIMELINE!O64+1)*2/(TIMELINE!$C$63*(TIMELINE!$C$63+1)),IF(INPUTS!$K$92="Back-loaded",TIMELINE!O64*2/(TIMELINE!$C$63*(TIMELINE!$C$63+1)),IF(INPUTS!$K$92="S-curve",SIN(PI()*(TIMELINE!O64-0.5)/TIMELINE!$C$63)*SIN(PI()/(2*TIMELINE!$C$63)),0)))))),0)</f>
        <v>0</v>
      </c>
      <c r="P62" s="118" t="n">
        <f aca="false">IF(INPUTS!$E$92="Yes",IF(OR(TIMELINE!P64=0,TIMELINE!$C$63=0),0,IF(INPUTS!$K$92="Upfront",--(TIMELINE!P64=1),IF(INPUTS!$K$92="Even",1/TIMELINE!$C$63,IF(INPUTS!$K$92="Front-loaded",(TIMELINE!$C$63-TIMELINE!P64+1)*2/(TIMELINE!$C$63*(TIMELINE!$C$63+1)),IF(INPUTS!$K$92="Back-loaded",TIMELINE!P64*2/(TIMELINE!$C$63*(TIMELINE!$C$63+1)),IF(INPUTS!$K$92="S-curve",SIN(PI()*(TIMELINE!P64-0.5)/TIMELINE!$C$63)*SIN(PI()/(2*TIMELINE!$C$63)),0)))))),0)</f>
        <v>0</v>
      </c>
      <c r="Q62" s="118" t="n">
        <f aca="false">IF(INPUTS!$E$92="Yes",IF(OR(TIMELINE!Q64=0,TIMELINE!$C$63=0),0,IF(INPUTS!$K$92="Upfront",--(TIMELINE!Q64=1),IF(INPUTS!$K$92="Even",1/TIMELINE!$C$63,IF(INPUTS!$K$92="Front-loaded",(TIMELINE!$C$63-TIMELINE!Q64+1)*2/(TIMELINE!$C$63*(TIMELINE!$C$63+1)),IF(INPUTS!$K$92="Back-loaded",TIMELINE!Q64*2/(TIMELINE!$C$63*(TIMELINE!$C$63+1)),IF(INPUTS!$K$92="S-curve",SIN(PI()*(TIMELINE!Q64-0.5)/TIMELINE!$C$63)*SIN(PI()/(2*TIMELINE!$C$63)),0)))))),0)</f>
        <v>0</v>
      </c>
      <c r="R62" s="118" t="n">
        <f aca="false">IF(INPUTS!$E$92="Yes",IF(OR(TIMELINE!R64=0,TIMELINE!$C$63=0),0,IF(INPUTS!$K$92="Upfront",--(TIMELINE!R64=1),IF(INPUTS!$K$92="Even",1/TIMELINE!$C$63,IF(INPUTS!$K$92="Front-loaded",(TIMELINE!$C$63-TIMELINE!R64+1)*2/(TIMELINE!$C$63*(TIMELINE!$C$63+1)),IF(INPUTS!$K$92="Back-loaded",TIMELINE!R64*2/(TIMELINE!$C$63*(TIMELINE!$C$63+1)),IF(INPUTS!$K$92="S-curve",SIN(PI()*(TIMELINE!R64-0.5)/TIMELINE!$C$63)*SIN(PI()/(2*TIMELINE!$C$63)),0)))))),0)</f>
        <v>0</v>
      </c>
      <c r="S62" s="118" t="n">
        <f aca="false">IF(INPUTS!$E$92="Yes",IF(OR(TIMELINE!S64=0,TIMELINE!$C$63=0),0,IF(INPUTS!$K$92="Upfront",--(TIMELINE!S64=1),IF(INPUTS!$K$92="Even",1/TIMELINE!$C$63,IF(INPUTS!$K$92="Front-loaded",(TIMELINE!$C$63-TIMELINE!S64+1)*2/(TIMELINE!$C$63*(TIMELINE!$C$63+1)),IF(INPUTS!$K$92="Back-loaded",TIMELINE!S64*2/(TIMELINE!$C$63*(TIMELINE!$C$63+1)),IF(INPUTS!$K$92="S-curve",SIN(PI()*(TIMELINE!S64-0.5)/TIMELINE!$C$63)*SIN(PI()/(2*TIMELINE!$C$63)),0)))))),0)</f>
        <v>0</v>
      </c>
      <c r="T62" s="118" t="n">
        <f aca="false">IF(INPUTS!$E$92="Yes",IF(OR(TIMELINE!T64=0,TIMELINE!$C$63=0),0,IF(INPUTS!$K$92="Upfront",--(TIMELINE!T64=1),IF(INPUTS!$K$92="Even",1/TIMELINE!$C$63,IF(INPUTS!$K$92="Front-loaded",(TIMELINE!$C$63-TIMELINE!T64+1)*2/(TIMELINE!$C$63*(TIMELINE!$C$63+1)),IF(INPUTS!$K$92="Back-loaded",TIMELINE!T64*2/(TIMELINE!$C$63*(TIMELINE!$C$63+1)),IF(INPUTS!$K$92="S-curve",SIN(PI()*(TIMELINE!T64-0.5)/TIMELINE!$C$63)*SIN(PI()/(2*TIMELINE!$C$63)),0)))))),0)</f>
        <v>0</v>
      </c>
      <c r="U62" s="118" t="n">
        <f aca="false">IF(INPUTS!$E$92="Yes",IF(OR(TIMELINE!U64=0,TIMELINE!$C$63=0),0,IF(INPUTS!$K$92="Upfront",--(TIMELINE!U64=1),IF(INPUTS!$K$92="Even",1/TIMELINE!$C$63,IF(INPUTS!$K$92="Front-loaded",(TIMELINE!$C$63-TIMELINE!U64+1)*2/(TIMELINE!$C$63*(TIMELINE!$C$63+1)),IF(INPUTS!$K$92="Back-loaded",TIMELINE!U64*2/(TIMELINE!$C$63*(TIMELINE!$C$63+1)),IF(INPUTS!$K$92="S-curve",SIN(PI()*(TIMELINE!U64-0.5)/TIMELINE!$C$63)*SIN(PI()/(2*TIMELINE!$C$63)),0)))))),0)</f>
        <v>0</v>
      </c>
      <c r="V62" s="118" t="n">
        <f aca="false">IF(INPUTS!$E$92="Yes",IF(OR(TIMELINE!V64=0,TIMELINE!$C$63=0),0,IF(INPUTS!$K$92="Upfront",--(TIMELINE!V64=1),IF(INPUTS!$K$92="Even",1/TIMELINE!$C$63,IF(INPUTS!$K$92="Front-loaded",(TIMELINE!$C$63-TIMELINE!V64+1)*2/(TIMELINE!$C$63*(TIMELINE!$C$63+1)),IF(INPUTS!$K$92="Back-loaded",TIMELINE!V64*2/(TIMELINE!$C$63*(TIMELINE!$C$63+1)),IF(INPUTS!$K$92="S-curve",SIN(PI()*(TIMELINE!V64-0.5)/TIMELINE!$C$63)*SIN(PI()/(2*TIMELINE!$C$63)),0)))))),0)</f>
        <v>0</v>
      </c>
      <c r="W62" s="118" t="n">
        <f aca="false">IF(INPUTS!$E$92="Yes",IF(OR(TIMELINE!W64=0,TIMELINE!$C$63=0),0,IF(INPUTS!$K$92="Upfront",--(TIMELINE!W64=1),IF(INPUTS!$K$92="Even",1/TIMELINE!$C$63,IF(INPUTS!$K$92="Front-loaded",(TIMELINE!$C$63-TIMELINE!W64+1)*2/(TIMELINE!$C$63*(TIMELINE!$C$63+1)),IF(INPUTS!$K$92="Back-loaded",TIMELINE!W64*2/(TIMELINE!$C$63*(TIMELINE!$C$63+1)),IF(INPUTS!$K$92="S-curve",SIN(PI()*(TIMELINE!W64-0.5)/TIMELINE!$C$63)*SIN(PI()/(2*TIMELINE!$C$63)),0)))))),0)</f>
        <v>0</v>
      </c>
      <c r="X62" s="118" t="n">
        <f aca="false">IF(INPUTS!$E$92="Yes",IF(OR(TIMELINE!X64=0,TIMELINE!$C$63=0),0,IF(INPUTS!$K$92="Upfront",--(TIMELINE!X64=1),IF(INPUTS!$K$92="Even",1/TIMELINE!$C$63,IF(INPUTS!$K$92="Front-loaded",(TIMELINE!$C$63-TIMELINE!X64+1)*2/(TIMELINE!$C$63*(TIMELINE!$C$63+1)),IF(INPUTS!$K$92="Back-loaded",TIMELINE!X64*2/(TIMELINE!$C$63*(TIMELINE!$C$63+1)),IF(INPUTS!$K$92="S-curve",SIN(PI()*(TIMELINE!X64-0.5)/TIMELINE!$C$63)*SIN(PI()/(2*TIMELINE!$C$63)),0)))))),0)</f>
        <v>0</v>
      </c>
      <c r="Y62" s="118" t="n">
        <f aca="false">IF(INPUTS!$E$92="Yes",IF(OR(TIMELINE!Y64=0,TIMELINE!$C$63=0),0,IF(INPUTS!$K$92="Upfront",--(TIMELINE!Y64=1),IF(INPUTS!$K$92="Even",1/TIMELINE!$C$63,IF(INPUTS!$K$92="Front-loaded",(TIMELINE!$C$63-TIMELINE!Y64+1)*2/(TIMELINE!$C$63*(TIMELINE!$C$63+1)),IF(INPUTS!$K$92="Back-loaded",TIMELINE!Y64*2/(TIMELINE!$C$63*(TIMELINE!$C$63+1)),IF(INPUTS!$K$92="S-curve",SIN(PI()*(TIMELINE!Y64-0.5)/TIMELINE!$C$63)*SIN(PI()/(2*TIMELINE!$C$63)),0)))))),0)</f>
        <v>0</v>
      </c>
      <c r="Z62" s="118" t="n">
        <f aca="false">IF(INPUTS!$E$92="Yes",IF(OR(TIMELINE!Z64=0,TIMELINE!$C$63=0),0,IF(INPUTS!$K$92="Upfront",--(TIMELINE!Z64=1),IF(INPUTS!$K$92="Even",1/TIMELINE!$C$63,IF(INPUTS!$K$92="Front-loaded",(TIMELINE!$C$63-TIMELINE!Z64+1)*2/(TIMELINE!$C$63*(TIMELINE!$C$63+1)),IF(INPUTS!$K$92="Back-loaded",TIMELINE!Z64*2/(TIMELINE!$C$63*(TIMELINE!$C$63+1)),IF(INPUTS!$K$92="S-curve",SIN(PI()*(TIMELINE!Z64-0.5)/TIMELINE!$C$63)*SIN(PI()/(2*TIMELINE!$C$63)),0)))))),0)</f>
        <v>0</v>
      </c>
      <c r="AA62" s="118" t="n">
        <f aca="false">IF(INPUTS!$E$92="Yes",IF(OR(TIMELINE!AA64=0,TIMELINE!$C$63=0),0,IF(INPUTS!$K$92="Upfront",--(TIMELINE!AA64=1),IF(INPUTS!$K$92="Even",1/TIMELINE!$C$63,IF(INPUTS!$K$92="Front-loaded",(TIMELINE!$C$63-TIMELINE!AA64+1)*2/(TIMELINE!$C$63*(TIMELINE!$C$63+1)),IF(INPUTS!$K$92="Back-loaded",TIMELINE!AA64*2/(TIMELINE!$C$63*(TIMELINE!$C$63+1)),IF(INPUTS!$K$92="S-curve",SIN(PI()*(TIMELINE!AA64-0.5)/TIMELINE!$C$63)*SIN(PI()/(2*TIMELINE!$C$63)),0)))))),0)</f>
        <v>0</v>
      </c>
      <c r="AB62" s="118" t="n">
        <f aca="false">IF(INPUTS!$E$92="Yes",IF(OR(TIMELINE!AB64=0,TIMELINE!$C$63=0),0,IF(INPUTS!$K$92="Upfront",--(TIMELINE!AB64=1),IF(INPUTS!$K$92="Even",1/TIMELINE!$C$63,IF(INPUTS!$K$92="Front-loaded",(TIMELINE!$C$63-TIMELINE!AB64+1)*2/(TIMELINE!$C$63*(TIMELINE!$C$63+1)),IF(INPUTS!$K$92="Back-loaded",TIMELINE!AB64*2/(TIMELINE!$C$63*(TIMELINE!$C$63+1)),IF(INPUTS!$K$92="S-curve",SIN(PI()*(TIMELINE!AB64-0.5)/TIMELINE!$C$63)*SIN(PI()/(2*TIMELINE!$C$63)),0)))))),0)</f>
        <v>0</v>
      </c>
      <c r="AC62" s="118" t="n">
        <f aca="false">IF(INPUTS!$E$92="Yes",IF(OR(TIMELINE!AC64=0,TIMELINE!$C$63=0),0,IF(INPUTS!$K$92="Upfront",--(TIMELINE!AC64=1),IF(INPUTS!$K$92="Even",1/TIMELINE!$C$63,IF(INPUTS!$K$92="Front-loaded",(TIMELINE!$C$63-TIMELINE!AC64+1)*2/(TIMELINE!$C$63*(TIMELINE!$C$63+1)),IF(INPUTS!$K$92="Back-loaded",TIMELINE!AC64*2/(TIMELINE!$C$63*(TIMELINE!$C$63+1)),IF(INPUTS!$K$92="S-curve",SIN(PI()*(TIMELINE!AC64-0.5)/TIMELINE!$C$63)*SIN(PI()/(2*TIMELINE!$C$63)),0)))))),0)</f>
        <v>0</v>
      </c>
      <c r="AD62" s="118" t="n">
        <f aca="false">IF(INPUTS!$E$92="Yes",IF(OR(TIMELINE!AD64=0,TIMELINE!$C$63=0),0,IF(INPUTS!$K$92="Upfront",--(TIMELINE!AD64=1),IF(INPUTS!$K$92="Even",1/TIMELINE!$C$63,IF(INPUTS!$K$92="Front-loaded",(TIMELINE!$C$63-TIMELINE!AD64+1)*2/(TIMELINE!$C$63*(TIMELINE!$C$63+1)),IF(INPUTS!$K$92="Back-loaded",TIMELINE!AD64*2/(TIMELINE!$C$63*(TIMELINE!$C$63+1)),IF(INPUTS!$K$92="S-curve",SIN(PI()*(TIMELINE!AD64-0.5)/TIMELINE!$C$63)*SIN(PI()/(2*TIMELINE!$C$63)),0)))))),0)</f>
        <v>0</v>
      </c>
      <c r="AE62" s="118" t="n">
        <f aca="false">IF(INPUTS!$E$92="Yes",IF(OR(TIMELINE!AE64=0,TIMELINE!$C$63=0),0,IF(INPUTS!$K$92="Upfront",--(TIMELINE!AE64=1),IF(INPUTS!$K$92="Even",1/TIMELINE!$C$63,IF(INPUTS!$K$92="Front-loaded",(TIMELINE!$C$63-TIMELINE!AE64+1)*2/(TIMELINE!$C$63*(TIMELINE!$C$63+1)),IF(INPUTS!$K$92="Back-loaded",TIMELINE!AE64*2/(TIMELINE!$C$63*(TIMELINE!$C$63+1)),IF(INPUTS!$K$92="S-curve",SIN(PI()*(TIMELINE!AE64-0.5)/TIMELINE!$C$63)*SIN(PI()/(2*TIMELINE!$C$63)),0)))))),0)</f>
        <v>0</v>
      </c>
      <c r="AF62" s="118" t="n">
        <f aca="false">IF(INPUTS!$E$92="Yes",IF(OR(TIMELINE!AF64=0,TIMELINE!$C$63=0),0,IF(INPUTS!$K$92="Upfront",--(TIMELINE!AF64=1),IF(INPUTS!$K$92="Even",1/TIMELINE!$C$63,IF(INPUTS!$K$92="Front-loaded",(TIMELINE!$C$63-TIMELINE!AF64+1)*2/(TIMELINE!$C$63*(TIMELINE!$C$63+1)),IF(INPUTS!$K$92="Back-loaded",TIMELINE!AF64*2/(TIMELINE!$C$63*(TIMELINE!$C$63+1)),IF(INPUTS!$K$92="S-curve",SIN(PI()*(TIMELINE!AF64-0.5)/TIMELINE!$C$63)*SIN(PI()/(2*TIMELINE!$C$63)),0)))))),0)</f>
        <v>0</v>
      </c>
      <c r="AG62" s="118" t="n">
        <f aca="false">IF(INPUTS!$E$92="Yes",IF(OR(TIMELINE!AG64=0,TIMELINE!$C$63=0),0,IF(INPUTS!$K$92="Upfront",--(TIMELINE!AG64=1),IF(INPUTS!$K$92="Even",1/TIMELINE!$C$63,IF(INPUTS!$K$92="Front-loaded",(TIMELINE!$C$63-TIMELINE!AG64+1)*2/(TIMELINE!$C$63*(TIMELINE!$C$63+1)),IF(INPUTS!$K$92="Back-loaded",TIMELINE!AG64*2/(TIMELINE!$C$63*(TIMELINE!$C$63+1)),IF(INPUTS!$K$92="S-curve",SIN(PI()*(TIMELINE!AG64-0.5)/TIMELINE!$C$63)*SIN(PI()/(2*TIMELINE!$C$63)),0)))))),0)</f>
        <v>0</v>
      </c>
      <c r="AH62" s="118" t="n">
        <f aca="false">IF(INPUTS!$E$92="Yes",IF(OR(TIMELINE!AH64=0,TIMELINE!$C$63=0),0,IF(INPUTS!$K$92="Upfront",--(TIMELINE!AH64=1),IF(INPUTS!$K$92="Even",1/TIMELINE!$C$63,IF(INPUTS!$K$92="Front-loaded",(TIMELINE!$C$63-TIMELINE!AH64+1)*2/(TIMELINE!$C$63*(TIMELINE!$C$63+1)),IF(INPUTS!$K$92="Back-loaded",TIMELINE!AH64*2/(TIMELINE!$C$63*(TIMELINE!$C$63+1)),IF(INPUTS!$K$92="S-curve",SIN(PI()*(TIMELINE!AH64-0.5)/TIMELINE!$C$63)*SIN(PI()/(2*TIMELINE!$C$63)),0)))))),0)</f>
        <v>0</v>
      </c>
      <c r="AI62" s="118" t="n">
        <f aca="false">IF(INPUTS!$E$92="Yes",IF(OR(TIMELINE!AI64=0,TIMELINE!$C$63=0),0,IF(INPUTS!$K$92="Upfront",--(TIMELINE!AI64=1),IF(INPUTS!$K$92="Even",1/TIMELINE!$C$63,IF(INPUTS!$K$92="Front-loaded",(TIMELINE!$C$63-TIMELINE!AI64+1)*2/(TIMELINE!$C$63*(TIMELINE!$C$63+1)),IF(INPUTS!$K$92="Back-loaded",TIMELINE!AI64*2/(TIMELINE!$C$63*(TIMELINE!$C$63+1)),IF(INPUTS!$K$92="S-curve",SIN(PI()*(TIMELINE!AI64-0.5)/TIMELINE!$C$63)*SIN(PI()/(2*TIMELINE!$C$63)),0)))))),0)</f>
        <v>0</v>
      </c>
      <c r="AJ62" s="118" t="n">
        <f aca="false">IF(INPUTS!$E$92="Yes",IF(OR(TIMELINE!AJ64=0,TIMELINE!$C$63=0),0,IF(INPUTS!$K$92="Upfront",--(TIMELINE!AJ64=1),IF(INPUTS!$K$92="Even",1/TIMELINE!$C$63,IF(INPUTS!$K$92="Front-loaded",(TIMELINE!$C$63-TIMELINE!AJ64+1)*2/(TIMELINE!$C$63*(TIMELINE!$C$63+1)),IF(INPUTS!$K$92="Back-loaded",TIMELINE!AJ64*2/(TIMELINE!$C$63*(TIMELINE!$C$63+1)),IF(INPUTS!$K$92="S-curve",SIN(PI()*(TIMELINE!AJ64-0.5)/TIMELINE!$C$63)*SIN(PI()/(2*TIMELINE!$C$63)),0)))))),0)</f>
        <v>0</v>
      </c>
      <c r="AK62" s="118" t="n">
        <f aca="false">IF(INPUTS!$E$92="Yes",IF(OR(TIMELINE!AK64=0,TIMELINE!$C$63=0),0,IF(INPUTS!$K$92="Upfront",--(TIMELINE!AK64=1),IF(INPUTS!$K$92="Even",1/TIMELINE!$C$63,IF(INPUTS!$K$92="Front-loaded",(TIMELINE!$C$63-TIMELINE!AK64+1)*2/(TIMELINE!$C$63*(TIMELINE!$C$63+1)),IF(INPUTS!$K$92="Back-loaded",TIMELINE!AK64*2/(TIMELINE!$C$63*(TIMELINE!$C$63+1)),IF(INPUTS!$K$92="S-curve",SIN(PI()*(TIMELINE!AK64-0.5)/TIMELINE!$C$63)*SIN(PI()/(2*TIMELINE!$C$63)),0)))))),0)</f>
        <v>0</v>
      </c>
      <c r="AL62" s="118" t="n">
        <f aca="false">IF(INPUTS!$E$92="Yes",IF(OR(TIMELINE!AL64=0,TIMELINE!$C$63=0),0,IF(INPUTS!$K$92="Upfront",--(TIMELINE!AL64=1),IF(INPUTS!$K$92="Even",1/TIMELINE!$C$63,IF(INPUTS!$K$92="Front-loaded",(TIMELINE!$C$63-TIMELINE!AL64+1)*2/(TIMELINE!$C$63*(TIMELINE!$C$63+1)),IF(INPUTS!$K$92="Back-loaded",TIMELINE!AL64*2/(TIMELINE!$C$63*(TIMELINE!$C$63+1)),IF(INPUTS!$K$92="S-curve",SIN(PI()*(TIMELINE!AL64-0.5)/TIMELINE!$C$63)*SIN(PI()/(2*TIMELINE!$C$63)),0)))))),0)</f>
        <v>0</v>
      </c>
      <c r="AM62" s="118" t="n">
        <f aca="false">IF(INPUTS!$E$92="Yes",IF(OR(TIMELINE!AM64=0,TIMELINE!$C$63=0),0,IF(INPUTS!$K$92="Upfront",--(TIMELINE!AM64=1),IF(INPUTS!$K$92="Even",1/TIMELINE!$C$63,IF(INPUTS!$K$92="Front-loaded",(TIMELINE!$C$63-TIMELINE!AM64+1)*2/(TIMELINE!$C$63*(TIMELINE!$C$63+1)),IF(INPUTS!$K$92="Back-loaded",TIMELINE!AM64*2/(TIMELINE!$C$63*(TIMELINE!$C$63+1)),IF(INPUTS!$K$92="S-curve",SIN(PI()*(TIMELINE!AM64-0.5)/TIMELINE!$C$63)*SIN(PI()/(2*TIMELINE!$C$63)),0)))))),0)</f>
        <v>0</v>
      </c>
      <c r="AN62" s="118" t="n">
        <f aca="false">IF(INPUTS!$E$92="Yes",IF(OR(TIMELINE!AN64=0,TIMELINE!$C$63=0),0,IF(INPUTS!$K$92="Upfront",--(TIMELINE!AN64=1),IF(INPUTS!$K$92="Even",1/TIMELINE!$C$63,IF(INPUTS!$K$92="Front-loaded",(TIMELINE!$C$63-TIMELINE!AN64+1)*2/(TIMELINE!$C$63*(TIMELINE!$C$63+1)),IF(INPUTS!$K$92="Back-loaded",TIMELINE!AN64*2/(TIMELINE!$C$63*(TIMELINE!$C$63+1)),IF(INPUTS!$K$92="S-curve",SIN(PI()*(TIMELINE!AN64-0.5)/TIMELINE!$C$63)*SIN(PI()/(2*TIMELINE!$C$63)),0)))))),0)</f>
        <v>0</v>
      </c>
      <c r="AO62" s="118" t="n">
        <f aca="false">IF(INPUTS!$E$92="Yes",IF(OR(TIMELINE!AO64=0,TIMELINE!$C$63=0),0,IF(INPUTS!$K$92="Upfront",--(TIMELINE!AO64=1),IF(INPUTS!$K$92="Even",1/TIMELINE!$C$63,IF(INPUTS!$K$92="Front-loaded",(TIMELINE!$C$63-TIMELINE!AO64+1)*2/(TIMELINE!$C$63*(TIMELINE!$C$63+1)),IF(INPUTS!$K$92="Back-loaded",TIMELINE!AO64*2/(TIMELINE!$C$63*(TIMELINE!$C$63+1)),IF(INPUTS!$K$92="S-curve",SIN(PI()*(TIMELINE!AO64-0.5)/TIMELINE!$C$63)*SIN(PI()/(2*TIMELINE!$C$63)),0)))))),0)</f>
        <v>0</v>
      </c>
      <c r="AP62" s="118" t="n">
        <f aca="false">IF(INPUTS!$E$92="Yes",IF(OR(TIMELINE!AP64=0,TIMELINE!$C$63=0),0,IF(INPUTS!$K$92="Upfront",--(TIMELINE!AP64=1),IF(INPUTS!$K$92="Even",1/TIMELINE!$C$63,IF(INPUTS!$K$92="Front-loaded",(TIMELINE!$C$63-TIMELINE!AP64+1)*2/(TIMELINE!$C$63*(TIMELINE!$C$63+1)),IF(INPUTS!$K$92="Back-loaded",TIMELINE!AP64*2/(TIMELINE!$C$63*(TIMELINE!$C$63+1)),IF(INPUTS!$K$92="S-curve",SIN(PI()*(TIMELINE!AP64-0.5)/TIMELINE!$C$63)*SIN(PI()/(2*TIMELINE!$C$63)),0)))))),0)</f>
        <v>0</v>
      </c>
      <c r="AQ62" s="118" t="n">
        <f aca="false">IF(INPUTS!$E$92="Yes",IF(OR(TIMELINE!AQ64=0,TIMELINE!$C$63=0),0,IF(INPUTS!$K$92="Upfront",--(TIMELINE!AQ64=1),IF(INPUTS!$K$92="Even",1/TIMELINE!$C$63,IF(INPUTS!$K$92="Front-loaded",(TIMELINE!$C$63-TIMELINE!AQ64+1)*2/(TIMELINE!$C$63*(TIMELINE!$C$63+1)),IF(INPUTS!$K$92="Back-loaded",TIMELINE!AQ64*2/(TIMELINE!$C$63*(TIMELINE!$C$63+1)),IF(INPUTS!$K$92="S-curve",SIN(PI()*(TIMELINE!AQ64-0.5)/TIMELINE!$C$63)*SIN(PI()/(2*TIMELINE!$C$63)),0)))))),0)</f>
        <v>0</v>
      </c>
    </row>
    <row r="63" customFormat="false" ht="15" hidden="false" customHeight="false" outlineLevel="0" collapsed="false">
      <c r="B63" s="3" t="s">
        <v>671</v>
      </c>
      <c r="D63" s="118" t="n">
        <f aca="false">SUM($D62:D62)</f>
        <v>0</v>
      </c>
      <c r="E63" s="118" t="n">
        <f aca="false">SUM($D62:E62)</f>
        <v>0</v>
      </c>
      <c r="F63" s="118" t="n">
        <f aca="false">SUM($D62:F62)</f>
        <v>0</v>
      </c>
      <c r="G63" s="118" t="n">
        <f aca="false">SUM($D62:G62)</f>
        <v>0</v>
      </c>
      <c r="H63" s="118" t="n">
        <f aca="false">SUM($D62:H62)</f>
        <v>0</v>
      </c>
      <c r="I63" s="118" t="n">
        <f aca="false">SUM($D62:I62)</f>
        <v>0</v>
      </c>
      <c r="J63" s="118" t="n">
        <f aca="false">SUM($D62:J62)</f>
        <v>0</v>
      </c>
      <c r="K63" s="118" t="n">
        <f aca="false">SUM($D62:K62)</f>
        <v>0</v>
      </c>
      <c r="L63" s="118" t="n">
        <f aca="false">SUM($D62:L62)</f>
        <v>0</v>
      </c>
      <c r="M63" s="118" t="n">
        <f aca="false">SUM($D62:M62)</f>
        <v>0</v>
      </c>
      <c r="N63" s="118" t="n">
        <f aca="false">SUM($D62:N62)</f>
        <v>0</v>
      </c>
      <c r="O63" s="118" t="n">
        <f aca="false">SUM($D62:O62)</f>
        <v>0</v>
      </c>
      <c r="P63" s="118" t="n">
        <f aca="false">SUM($D62:P62)</f>
        <v>0</v>
      </c>
      <c r="Q63" s="118" t="n">
        <f aca="false">SUM($D62:Q62)</f>
        <v>0</v>
      </c>
      <c r="R63" s="118" t="n">
        <f aca="false">SUM($D62:R62)</f>
        <v>0</v>
      </c>
      <c r="S63" s="118" t="n">
        <f aca="false">SUM($D62:S62)</f>
        <v>0</v>
      </c>
      <c r="T63" s="118" t="n">
        <f aca="false">SUM($D62:T62)</f>
        <v>0</v>
      </c>
      <c r="U63" s="118" t="n">
        <f aca="false">SUM($D62:U62)</f>
        <v>0</v>
      </c>
      <c r="V63" s="118" t="n">
        <f aca="false">SUM($D62:V62)</f>
        <v>0</v>
      </c>
      <c r="W63" s="118" t="n">
        <f aca="false">SUM($D62:W62)</f>
        <v>0</v>
      </c>
      <c r="X63" s="118" t="n">
        <f aca="false">SUM($D62:X62)</f>
        <v>0</v>
      </c>
      <c r="Y63" s="118" t="n">
        <f aca="false">SUM($D62:Y62)</f>
        <v>0</v>
      </c>
      <c r="Z63" s="118" t="n">
        <f aca="false">SUM($D62:Z62)</f>
        <v>0</v>
      </c>
      <c r="AA63" s="118" t="n">
        <f aca="false">SUM($D62:AA62)</f>
        <v>0</v>
      </c>
      <c r="AB63" s="118" t="n">
        <f aca="false">SUM($D62:AB62)</f>
        <v>0</v>
      </c>
      <c r="AC63" s="118" t="n">
        <f aca="false">SUM($D62:AC62)</f>
        <v>0</v>
      </c>
      <c r="AD63" s="118" t="n">
        <f aca="false">SUM($D62:AD62)</f>
        <v>0</v>
      </c>
      <c r="AE63" s="118" t="n">
        <f aca="false">SUM($D62:AE62)</f>
        <v>0</v>
      </c>
      <c r="AF63" s="118" t="n">
        <f aca="false">SUM($D62:AF62)</f>
        <v>0</v>
      </c>
      <c r="AG63" s="118" t="n">
        <f aca="false">SUM($D62:AG62)</f>
        <v>0</v>
      </c>
      <c r="AH63" s="118" t="n">
        <f aca="false">SUM($D62:AH62)</f>
        <v>0</v>
      </c>
      <c r="AI63" s="118" t="n">
        <f aca="false">SUM($D62:AI62)</f>
        <v>0</v>
      </c>
      <c r="AJ63" s="118" t="n">
        <f aca="false">SUM($D62:AJ62)</f>
        <v>0</v>
      </c>
      <c r="AK63" s="118" t="n">
        <f aca="false">SUM($D62:AK62)</f>
        <v>0</v>
      </c>
      <c r="AL63" s="118" t="n">
        <f aca="false">SUM($D62:AL62)</f>
        <v>0</v>
      </c>
      <c r="AM63" s="118" t="n">
        <f aca="false">SUM($D62:AM62)</f>
        <v>0</v>
      </c>
      <c r="AN63" s="118" t="n">
        <f aca="false">SUM($D62:AN62)</f>
        <v>0</v>
      </c>
      <c r="AO63" s="118" t="n">
        <f aca="false">SUM($D62:AO62)</f>
        <v>0</v>
      </c>
      <c r="AP63" s="118" t="n">
        <f aca="false">SUM($D62:AP62)</f>
        <v>0</v>
      </c>
      <c r="AQ63" s="118" t="n">
        <f aca="false">SUM($D62:AQ62)</f>
        <v>0</v>
      </c>
    </row>
    <row r="64" customFormat="false" ht="15" hidden="false" customHeight="false" outlineLevel="0" collapsed="false">
      <c r="B64" s="3" t="s">
        <v>672</v>
      </c>
      <c r="C64" s="117" t="n">
        <f aca="false">SUM(D64:AQ64)</f>
        <v>0</v>
      </c>
      <c r="D64" s="118" t="n">
        <f aca="false">IF(INPUTS!$E$92="Yes",IF(OR(TIMELINE!D66=0,TIMELINE!$C$65=0),0,IF(INPUTS!$O$92="Upfront",--(TIMELINE!D66=1),IF(INPUTS!$O$92="Even",1/TIMELINE!$C$65,IF(INPUTS!$O$92="Front-loaded",(TIMELINE!$C$65-TIMELINE!D66+1)*2/(TIMELINE!$C$65*(TIMELINE!$C$65+1)),IF(INPUTS!$O$92="Back-loaded",TIMELINE!D66*2/(TIMELINE!$C$65*(TIMELINE!$C$65+1)),IF(INPUTS!$O$92="S-curve",SIN(PI()*(TIMELINE!D66-0.5)/TIMELINE!$C$65)*SIN(PI()/(2*TIMELINE!$C$65)),0)))))),0)</f>
        <v>0</v>
      </c>
      <c r="E64" s="118" t="n">
        <f aca="false">IF(INPUTS!$E$92="Yes",IF(OR(TIMELINE!E66=0,TIMELINE!$C$65=0),0,IF(INPUTS!$O$92="Upfront",--(TIMELINE!E66=1),IF(INPUTS!$O$92="Even",1/TIMELINE!$C$65,IF(INPUTS!$O$92="Front-loaded",(TIMELINE!$C$65-TIMELINE!E66+1)*2/(TIMELINE!$C$65*(TIMELINE!$C$65+1)),IF(INPUTS!$O$92="Back-loaded",TIMELINE!E66*2/(TIMELINE!$C$65*(TIMELINE!$C$65+1)),IF(INPUTS!$O$92="S-curve",SIN(PI()*(TIMELINE!E66-0.5)/TIMELINE!$C$65)*SIN(PI()/(2*TIMELINE!$C$65)),0)))))),0)</f>
        <v>0</v>
      </c>
      <c r="F64" s="118" t="n">
        <f aca="false">IF(INPUTS!$E$92="Yes",IF(OR(TIMELINE!F66=0,TIMELINE!$C$65=0),0,IF(INPUTS!$O$92="Upfront",--(TIMELINE!F66=1),IF(INPUTS!$O$92="Even",1/TIMELINE!$C$65,IF(INPUTS!$O$92="Front-loaded",(TIMELINE!$C$65-TIMELINE!F66+1)*2/(TIMELINE!$C$65*(TIMELINE!$C$65+1)),IF(INPUTS!$O$92="Back-loaded",TIMELINE!F66*2/(TIMELINE!$C$65*(TIMELINE!$C$65+1)),IF(INPUTS!$O$92="S-curve",SIN(PI()*(TIMELINE!F66-0.5)/TIMELINE!$C$65)*SIN(PI()/(2*TIMELINE!$C$65)),0)))))),0)</f>
        <v>0</v>
      </c>
      <c r="G64" s="118" t="n">
        <f aca="false">IF(INPUTS!$E$92="Yes",IF(OR(TIMELINE!G66=0,TIMELINE!$C$65=0),0,IF(INPUTS!$O$92="Upfront",--(TIMELINE!G66=1),IF(INPUTS!$O$92="Even",1/TIMELINE!$C$65,IF(INPUTS!$O$92="Front-loaded",(TIMELINE!$C$65-TIMELINE!G66+1)*2/(TIMELINE!$C$65*(TIMELINE!$C$65+1)),IF(INPUTS!$O$92="Back-loaded",TIMELINE!G66*2/(TIMELINE!$C$65*(TIMELINE!$C$65+1)),IF(INPUTS!$O$92="S-curve",SIN(PI()*(TIMELINE!G66-0.5)/TIMELINE!$C$65)*SIN(PI()/(2*TIMELINE!$C$65)),0)))))),0)</f>
        <v>0</v>
      </c>
      <c r="H64" s="118" t="n">
        <f aca="false">IF(INPUTS!$E$92="Yes",IF(OR(TIMELINE!H66=0,TIMELINE!$C$65=0),0,IF(INPUTS!$O$92="Upfront",--(TIMELINE!H66=1),IF(INPUTS!$O$92="Even",1/TIMELINE!$C$65,IF(INPUTS!$O$92="Front-loaded",(TIMELINE!$C$65-TIMELINE!H66+1)*2/(TIMELINE!$C$65*(TIMELINE!$C$65+1)),IF(INPUTS!$O$92="Back-loaded",TIMELINE!H66*2/(TIMELINE!$C$65*(TIMELINE!$C$65+1)),IF(INPUTS!$O$92="S-curve",SIN(PI()*(TIMELINE!H66-0.5)/TIMELINE!$C$65)*SIN(PI()/(2*TIMELINE!$C$65)),0)))))),0)</f>
        <v>0</v>
      </c>
      <c r="I64" s="118" t="n">
        <f aca="false">IF(INPUTS!$E$92="Yes",IF(OR(TIMELINE!I66=0,TIMELINE!$C$65=0),0,IF(INPUTS!$O$92="Upfront",--(TIMELINE!I66=1),IF(INPUTS!$O$92="Even",1/TIMELINE!$C$65,IF(INPUTS!$O$92="Front-loaded",(TIMELINE!$C$65-TIMELINE!I66+1)*2/(TIMELINE!$C$65*(TIMELINE!$C$65+1)),IF(INPUTS!$O$92="Back-loaded",TIMELINE!I66*2/(TIMELINE!$C$65*(TIMELINE!$C$65+1)),IF(INPUTS!$O$92="S-curve",SIN(PI()*(TIMELINE!I66-0.5)/TIMELINE!$C$65)*SIN(PI()/(2*TIMELINE!$C$65)),0)))))),0)</f>
        <v>0</v>
      </c>
      <c r="J64" s="118" t="n">
        <f aca="false">IF(INPUTS!$E$92="Yes",IF(OR(TIMELINE!J66=0,TIMELINE!$C$65=0),0,IF(INPUTS!$O$92="Upfront",--(TIMELINE!J66=1),IF(INPUTS!$O$92="Even",1/TIMELINE!$C$65,IF(INPUTS!$O$92="Front-loaded",(TIMELINE!$C$65-TIMELINE!J66+1)*2/(TIMELINE!$C$65*(TIMELINE!$C$65+1)),IF(INPUTS!$O$92="Back-loaded",TIMELINE!J66*2/(TIMELINE!$C$65*(TIMELINE!$C$65+1)),IF(INPUTS!$O$92="S-curve",SIN(PI()*(TIMELINE!J66-0.5)/TIMELINE!$C$65)*SIN(PI()/(2*TIMELINE!$C$65)),0)))))),0)</f>
        <v>0</v>
      </c>
      <c r="K64" s="118" t="n">
        <f aca="false">IF(INPUTS!$E$92="Yes",IF(OR(TIMELINE!K66=0,TIMELINE!$C$65=0),0,IF(INPUTS!$O$92="Upfront",--(TIMELINE!K66=1),IF(INPUTS!$O$92="Even",1/TIMELINE!$C$65,IF(INPUTS!$O$92="Front-loaded",(TIMELINE!$C$65-TIMELINE!K66+1)*2/(TIMELINE!$C$65*(TIMELINE!$C$65+1)),IF(INPUTS!$O$92="Back-loaded",TIMELINE!K66*2/(TIMELINE!$C$65*(TIMELINE!$C$65+1)),IF(INPUTS!$O$92="S-curve",SIN(PI()*(TIMELINE!K66-0.5)/TIMELINE!$C$65)*SIN(PI()/(2*TIMELINE!$C$65)),0)))))),0)</f>
        <v>0</v>
      </c>
      <c r="L64" s="118" t="n">
        <f aca="false">IF(INPUTS!$E$92="Yes",IF(OR(TIMELINE!L66=0,TIMELINE!$C$65=0),0,IF(INPUTS!$O$92="Upfront",--(TIMELINE!L66=1),IF(INPUTS!$O$92="Even",1/TIMELINE!$C$65,IF(INPUTS!$O$92="Front-loaded",(TIMELINE!$C$65-TIMELINE!L66+1)*2/(TIMELINE!$C$65*(TIMELINE!$C$65+1)),IF(INPUTS!$O$92="Back-loaded",TIMELINE!L66*2/(TIMELINE!$C$65*(TIMELINE!$C$65+1)),IF(INPUTS!$O$92="S-curve",SIN(PI()*(TIMELINE!L66-0.5)/TIMELINE!$C$65)*SIN(PI()/(2*TIMELINE!$C$65)),0)))))),0)</f>
        <v>0</v>
      </c>
      <c r="M64" s="118" t="n">
        <f aca="false">IF(INPUTS!$E$92="Yes",IF(OR(TIMELINE!M66=0,TIMELINE!$C$65=0),0,IF(INPUTS!$O$92="Upfront",--(TIMELINE!M66=1),IF(INPUTS!$O$92="Even",1/TIMELINE!$C$65,IF(INPUTS!$O$92="Front-loaded",(TIMELINE!$C$65-TIMELINE!M66+1)*2/(TIMELINE!$C$65*(TIMELINE!$C$65+1)),IF(INPUTS!$O$92="Back-loaded",TIMELINE!M66*2/(TIMELINE!$C$65*(TIMELINE!$C$65+1)),IF(INPUTS!$O$92="S-curve",SIN(PI()*(TIMELINE!M66-0.5)/TIMELINE!$C$65)*SIN(PI()/(2*TIMELINE!$C$65)),0)))))),0)</f>
        <v>0</v>
      </c>
      <c r="N64" s="118" t="n">
        <f aca="false">IF(INPUTS!$E$92="Yes",IF(OR(TIMELINE!N66=0,TIMELINE!$C$65=0),0,IF(INPUTS!$O$92="Upfront",--(TIMELINE!N66=1),IF(INPUTS!$O$92="Even",1/TIMELINE!$C$65,IF(INPUTS!$O$92="Front-loaded",(TIMELINE!$C$65-TIMELINE!N66+1)*2/(TIMELINE!$C$65*(TIMELINE!$C$65+1)),IF(INPUTS!$O$92="Back-loaded",TIMELINE!N66*2/(TIMELINE!$C$65*(TIMELINE!$C$65+1)),IF(INPUTS!$O$92="S-curve",SIN(PI()*(TIMELINE!N66-0.5)/TIMELINE!$C$65)*SIN(PI()/(2*TIMELINE!$C$65)),0)))))),0)</f>
        <v>0</v>
      </c>
      <c r="O64" s="118" t="n">
        <f aca="false">IF(INPUTS!$E$92="Yes",IF(OR(TIMELINE!O66=0,TIMELINE!$C$65=0),0,IF(INPUTS!$O$92="Upfront",--(TIMELINE!O66=1),IF(INPUTS!$O$92="Even",1/TIMELINE!$C$65,IF(INPUTS!$O$92="Front-loaded",(TIMELINE!$C$65-TIMELINE!O66+1)*2/(TIMELINE!$C$65*(TIMELINE!$C$65+1)),IF(INPUTS!$O$92="Back-loaded",TIMELINE!O66*2/(TIMELINE!$C$65*(TIMELINE!$C$65+1)),IF(INPUTS!$O$92="S-curve",SIN(PI()*(TIMELINE!O66-0.5)/TIMELINE!$C$65)*SIN(PI()/(2*TIMELINE!$C$65)),0)))))),0)</f>
        <v>0</v>
      </c>
      <c r="P64" s="118" t="n">
        <f aca="false">IF(INPUTS!$E$92="Yes",IF(OR(TIMELINE!P66=0,TIMELINE!$C$65=0),0,IF(INPUTS!$O$92="Upfront",--(TIMELINE!P66=1),IF(INPUTS!$O$92="Even",1/TIMELINE!$C$65,IF(INPUTS!$O$92="Front-loaded",(TIMELINE!$C$65-TIMELINE!P66+1)*2/(TIMELINE!$C$65*(TIMELINE!$C$65+1)),IF(INPUTS!$O$92="Back-loaded",TIMELINE!P66*2/(TIMELINE!$C$65*(TIMELINE!$C$65+1)),IF(INPUTS!$O$92="S-curve",SIN(PI()*(TIMELINE!P66-0.5)/TIMELINE!$C$65)*SIN(PI()/(2*TIMELINE!$C$65)),0)))))),0)</f>
        <v>0</v>
      </c>
      <c r="Q64" s="118" t="n">
        <f aca="false">IF(INPUTS!$E$92="Yes",IF(OR(TIMELINE!Q66=0,TIMELINE!$C$65=0),0,IF(INPUTS!$O$92="Upfront",--(TIMELINE!Q66=1),IF(INPUTS!$O$92="Even",1/TIMELINE!$C$65,IF(INPUTS!$O$92="Front-loaded",(TIMELINE!$C$65-TIMELINE!Q66+1)*2/(TIMELINE!$C$65*(TIMELINE!$C$65+1)),IF(INPUTS!$O$92="Back-loaded",TIMELINE!Q66*2/(TIMELINE!$C$65*(TIMELINE!$C$65+1)),IF(INPUTS!$O$92="S-curve",SIN(PI()*(TIMELINE!Q66-0.5)/TIMELINE!$C$65)*SIN(PI()/(2*TIMELINE!$C$65)),0)))))),0)</f>
        <v>0</v>
      </c>
      <c r="R64" s="118" t="n">
        <f aca="false">IF(INPUTS!$E$92="Yes",IF(OR(TIMELINE!R66=0,TIMELINE!$C$65=0),0,IF(INPUTS!$O$92="Upfront",--(TIMELINE!R66=1),IF(INPUTS!$O$92="Even",1/TIMELINE!$C$65,IF(INPUTS!$O$92="Front-loaded",(TIMELINE!$C$65-TIMELINE!R66+1)*2/(TIMELINE!$C$65*(TIMELINE!$C$65+1)),IF(INPUTS!$O$92="Back-loaded",TIMELINE!R66*2/(TIMELINE!$C$65*(TIMELINE!$C$65+1)),IF(INPUTS!$O$92="S-curve",SIN(PI()*(TIMELINE!R66-0.5)/TIMELINE!$C$65)*SIN(PI()/(2*TIMELINE!$C$65)),0)))))),0)</f>
        <v>0</v>
      </c>
      <c r="S64" s="118" t="n">
        <f aca="false">IF(INPUTS!$E$92="Yes",IF(OR(TIMELINE!S66=0,TIMELINE!$C$65=0),0,IF(INPUTS!$O$92="Upfront",--(TIMELINE!S66=1),IF(INPUTS!$O$92="Even",1/TIMELINE!$C$65,IF(INPUTS!$O$92="Front-loaded",(TIMELINE!$C$65-TIMELINE!S66+1)*2/(TIMELINE!$C$65*(TIMELINE!$C$65+1)),IF(INPUTS!$O$92="Back-loaded",TIMELINE!S66*2/(TIMELINE!$C$65*(TIMELINE!$C$65+1)),IF(INPUTS!$O$92="S-curve",SIN(PI()*(TIMELINE!S66-0.5)/TIMELINE!$C$65)*SIN(PI()/(2*TIMELINE!$C$65)),0)))))),0)</f>
        <v>0</v>
      </c>
      <c r="T64" s="118" t="n">
        <f aca="false">IF(INPUTS!$E$92="Yes",IF(OR(TIMELINE!T66=0,TIMELINE!$C$65=0),0,IF(INPUTS!$O$92="Upfront",--(TIMELINE!T66=1),IF(INPUTS!$O$92="Even",1/TIMELINE!$C$65,IF(INPUTS!$O$92="Front-loaded",(TIMELINE!$C$65-TIMELINE!T66+1)*2/(TIMELINE!$C$65*(TIMELINE!$C$65+1)),IF(INPUTS!$O$92="Back-loaded",TIMELINE!T66*2/(TIMELINE!$C$65*(TIMELINE!$C$65+1)),IF(INPUTS!$O$92="S-curve",SIN(PI()*(TIMELINE!T66-0.5)/TIMELINE!$C$65)*SIN(PI()/(2*TIMELINE!$C$65)),0)))))),0)</f>
        <v>0</v>
      </c>
      <c r="U64" s="118" t="n">
        <f aca="false">IF(INPUTS!$E$92="Yes",IF(OR(TIMELINE!U66=0,TIMELINE!$C$65=0),0,IF(INPUTS!$O$92="Upfront",--(TIMELINE!U66=1),IF(INPUTS!$O$92="Even",1/TIMELINE!$C$65,IF(INPUTS!$O$92="Front-loaded",(TIMELINE!$C$65-TIMELINE!U66+1)*2/(TIMELINE!$C$65*(TIMELINE!$C$65+1)),IF(INPUTS!$O$92="Back-loaded",TIMELINE!U66*2/(TIMELINE!$C$65*(TIMELINE!$C$65+1)),IF(INPUTS!$O$92="S-curve",SIN(PI()*(TIMELINE!U66-0.5)/TIMELINE!$C$65)*SIN(PI()/(2*TIMELINE!$C$65)),0)))))),0)</f>
        <v>0</v>
      </c>
      <c r="V64" s="118" t="n">
        <f aca="false">IF(INPUTS!$E$92="Yes",IF(OR(TIMELINE!V66=0,TIMELINE!$C$65=0),0,IF(INPUTS!$O$92="Upfront",--(TIMELINE!V66=1),IF(INPUTS!$O$92="Even",1/TIMELINE!$C$65,IF(INPUTS!$O$92="Front-loaded",(TIMELINE!$C$65-TIMELINE!V66+1)*2/(TIMELINE!$C$65*(TIMELINE!$C$65+1)),IF(INPUTS!$O$92="Back-loaded",TIMELINE!V66*2/(TIMELINE!$C$65*(TIMELINE!$C$65+1)),IF(INPUTS!$O$92="S-curve",SIN(PI()*(TIMELINE!V66-0.5)/TIMELINE!$C$65)*SIN(PI()/(2*TIMELINE!$C$65)),0)))))),0)</f>
        <v>0</v>
      </c>
      <c r="W64" s="118" t="n">
        <f aca="false">IF(INPUTS!$E$92="Yes",IF(OR(TIMELINE!W66=0,TIMELINE!$C$65=0),0,IF(INPUTS!$O$92="Upfront",--(TIMELINE!W66=1),IF(INPUTS!$O$92="Even",1/TIMELINE!$C$65,IF(INPUTS!$O$92="Front-loaded",(TIMELINE!$C$65-TIMELINE!W66+1)*2/(TIMELINE!$C$65*(TIMELINE!$C$65+1)),IF(INPUTS!$O$92="Back-loaded",TIMELINE!W66*2/(TIMELINE!$C$65*(TIMELINE!$C$65+1)),IF(INPUTS!$O$92="S-curve",SIN(PI()*(TIMELINE!W66-0.5)/TIMELINE!$C$65)*SIN(PI()/(2*TIMELINE!$C$65)),0)))))),0)</f>
        <v>0</v>
      </c>
      <c r="X64" s="118" t="n">
        <f aca="false">IF(INPUTS!$E$92="Yes",IF(OR(TIMELINE!X66=0,TIMELINE!$C$65=0),0,IF(INPUTS!$O$92="Upfront",--(TIMELINE!X66=1),IF(INPUTS!$O$92="Even",1/TIMELINE!$C$65,IF(INPUTS!$O$92="Front-loaded",(TIMELINE!$C$65-TIMELINE!X66+1)*2/(TIMELINE!$C$65*(TIMELINE!$C$65+1)),IF(INPUTS!$O$92="Back-loaded",TIMELINE!X66*2/(TIMELINE!$C$65*(TIMELINE!$C$65+1)),IF(INPUTS!$O$92="S-curve",SIN(PI()*(TIMELINE!X66-0.5)/TIMELINE!$C$65)*SIN(PI()/(2*TIMELINE!$C$65)),0)))))),0)</f>
        <v>0</v>
      </c>
      <c r="Y64" s="118" t="n">
        <f aca="false">IF(INPUTS!$E$92="Yes",IF(OR(TIMELINE!Y66=0,TIMELINE!$C$65=0),0,IF(INPUTS!$O$92="Upfront",--(TIMELINE!Y66=1),IF(INPUTS!$O$92="Even",1/TIMELINE!$C$65,IF(INPUTS!$O$92="Front-loaded",(TIMELINE!$C$65-TIMELINE!Y66+1)*2/(TIMELINE!$C$65*(TIMELINE!$C$65+1)),IF(INPUTS!$O$92="Back-loaded",TIMELINE!Y66*2/(TIMELINE!$C$65*(TIMELINE!$C$65+1)),IF(INPUTS!$O$92="S-curve",SIN(PI()*(TIMELINE!Y66-0.5)/TIMELINE!$C$65)*SIN(PI()/(2*TIMELINE!$C$65)),0)))))),0)</f>
        <v>0</v>
      </c>
      <c r="Z64" s="118" t="n">
        <f aca="false">IF(INPUTS!$E$92="Yes",IF(OR(TIMELINE!Z66=0,TIMELINE!$C$65=0),0,IF(INPUTS!$O$92="Upfront",--(TIMELINE!Z66=1),IF(INPUTS!$O$92="Even",1/TIMELINE!$C$65,IF(INPUTS!$O$92="Front-loaded",(TIMELINE!$C$65-TIMELINE!Z66+1)*2/(TIMELINE!$C$65*(TIMELINE!$C$65+1)),IF(INPUTS!$O$92="Back-loaded",TIMELINE!Z66*2/(TIMELINE!$C$65*(TIMELINE!$C$65+1)),IF(INPUTS!$O$92="S-curve",SIN(PI()*(TIMELINE!Z66-0.5)/TIMELINE!$C$65)*SIN(PI()/(2*TIMELINE!$C$65)),0)))))),0)</f>
        <v>0</v>
      </c>
      <c r="AA64" s="118" t="n">
        <f aca="false">IF(INPUTS!$E$92="Yes",IF(OR(TIMELINE!AA66=0,TIMELINE!$C$65=0),0,IF(INPUTS!$O$92="Upfront",--(TIMELINE!AA66=1),IF(INPUTS!$O$92="Even",1/TIMELINE!$C$65,IF(INPUTS!$O$92="Front-loaded",(TIMELINE!$C$65-TIMELINE!AA66+1)*2/(TIMELINE!$C$65*(TIMELINE!$C$65+1)),IF(INPUTS!$O$92="Back-loaded",TIMELINE!AA66*2/(TIMELINE!$C$65*(TIMELINE!$C$65+1)),IF(INPUTS!$O$92="S-curve",SIN(PI()*(TIMELINE!AA66-0.5)/TIMELINE!$C$65)*SIN(PI()/(2*TIMELINE!$C$65)),0)))))),0)</f>
        <v>0</v>
      </c>
      <c r="AB64" s="118" t="n">
        <f aca="false">IF(INPUTS!$E$92="Yes",IF(OR(TIMELINE!AB66=0,TIMELINE!$C$65=0),0,IF(INPUTS!$O$92="Upfront",--(TIMELINE!AB66=1),IF(INPUTS!$O$92="Even",1/TIMELINE!$C$65,IF(INPUTS!$O$92="Front-loaded",(TIMELINE!$C$65-TIMELINE!AB66+1)*2/(TIMELINE!$C$65*(TIMELINE!$C$65+1)),IF(INPUTS!$O$92="Back-loaded",TIMELINE!AB66*2/(TIMELINE!$C$65*(TIMELINE!$C$65+1)),IF(INPUTS!$O$92="S-curve",SIN(PI()*(TIMELINE!AB66-0.5)/TIMELINE!$C$65)*SIN(PI()/(2*TIMELINE!$C$65)),0)))))),0)</f>
        <v>0</v>
      </c>
      <c r="AC64" s="118" t="n">
        <f aca="false">IF(INPUTS!$E$92="Yes",IF(OR(TIMELINE!AC66=0,TIMELINE!$C$65=0),0,IF(INPUTS!$O$92="Upfront",--(TIMELINE!AC66=1),IF(INPUTS!$O$92="Even",1/TIMELINE!$C$65,IF(INPUTS!$O$92="Front-loaded",(TIMELINE!$C$65-TIMELINE!AC66+1)*2/(TIMELINE!$C$65*(TIMELINE!$C$65+1)),IF(INPUTS!$O$92="Back-loaded",TIMELINE!AC66*2/(TIMELINE!$C$65*(TIMELINE!$C$65+1)),IF(INPUTS!$O$92="S-curve",SIN(PI()*(TIMELINE!AC66-0.5)/TIMELINE!$C$65)*SIN(PI()/(2*TIMELINE!$C$65)),0)))))),0)</f>
        <v>0</v>
      </c>
      <c r="AD64" s="118" t="n">
        <f aca="false">IF(INPUTS!$E$92="Yes",IF(OR(TIMELINE!AD66=0,TIMELINE!$C$65=0),0,IF(INPUTS!$O$92="Upfront",--(TIMELINE!AD66=1),IF(INPUTS!$O$92="Even",1/TIMELINE!$C$65,IF(INPUTS!$O$92="Front-loaded",(TIMELINE!$C$65-TIMELINE!AD66+1)*2/(TIMELINE!$C$65*(TIMELINE!$C$65+1)),IF(INPUTS!$O$92="Back-loaded",TIMELINE!AD66*2/(TIMELINE!$C$65*(TIMELINE!$C$65+1)),IF(INPUTS!$O$92="S-curve",SIN(PI()*(TIMELINE!AD66-0.5)/TIMELINE!$C$65)*SIN(PI()/(2*TIMELINE!$C$65)),0)))))),0)</f>
        <v>0</v>
      </c>
      <c r="AE64" s="118" t="n">
        <f aca="false">IF(INPUTS!$E$92="Yes",IF(OR(TIMELINE!AE66=0,TIMELINE!$C$65=0),0,IF(INPUTS!$O$92="Upfront",--(TIMELINE!AE66=1),IF(INPUTS!$O$92="Even",1/TIMELINE!$C$65,IF(INPUTS!$O$92="Front-loaded",(TIMELINE!$C$65-TIMELINE!AE66+1)*2/(TIMELINE!$C$65*(TIMELINE!$C$65+1)),IF(INPUTS!$O$92="Back-loaded",TIMELINE!AE66*2/(TIMELINE!$C$65*(TIMELINE!$C$65+1)),IF(INPUTS!$O$92="S-curve",SIN(PI()*(TIMELINE!AE66-0.5)/TIMELINE!$C$65)*SIN(PI()/(2*TIMELINE!$C$65)),0)))))),0)</f>
        <v>0</v>
      </c>
      <c r="AF64" s="118" t="n">
        <f aca="false">IF(INPUTS!$E$92="Yes",IF(OR(TIMELINE!AF66=0,TIMELINE!$C$65=0),0,IF(INPUTS!$O$92="Upfront",--(TIMELINE!AF66=1),IF(INPUTS!$O$92="Even",1/TIMELINE!$C$65,IF(INPUTS!$O$92="Front-loaded",(TIMELINE!$C$65-TIMELINE!AF66+1)*2/(TIMELINE!$C$65*(TIMELINE!$C$65+1)),IF(INPUTS!$O$92="Back-loaded",TIMELINE!AF66*2/(TIMELINE!$C$65*(TIMELINE!$C$65+1)),IF(INPUTS!$O$92="S-curve",SIN(PI()*(TIMELINE!AF66-0.5)/TIMELINE!$C$65)*SIN(PI()/(2*TIMELINE!$C$65)),0)))))),0)</f>
        <v>0</v>
      </c>
      <c r="AG64" s="118" t="n">
        <f aca="false">IF(INPUTS!$E$92="Yes",IF(OR(TIMELINE!AG66=0,TIMELINE!$C$65=0),0,IF(INPUTS!$O$92="Upfront",--(TIMELINE!AG66=1),IF(INPUTS!$O$92="Even",1/TIMELINE!$C$65,IF(INPUTS!$O$92="Front-loaded",(TIMELINE!$C$65-TIMELINE!AG66+1)*2/(TIMELINE!$C$65*(TIMELINE!$C$65+1)),IF(INPUTS!$O$92="Back-loaded",TIMELINE!AG66*2/(TIMELINE!$C$65*(TIMELINE!$C$65+1)),IF(INPUTS!$O$92="S-curve",SIN(PI()*(TIMELINE!AG66-0.5)/TIMELINE!$C$65)*SIN(PI()/(2*TIMELINE!$C$65)),0)))))),0)</f>
        <v>0</v>
      </c>
      <c r="AH64" s="118" t="n">
        <f aca="false">IF(INPUTS!$E$92="Yes",IF(OR(TIMELINE!AH66=0,TIMELINE!$C$65=0),0,IF(INPUTS!$O$92="Upfront",--(TIMELINE!AH66=1),IF(INPUTS!$O$92="Even",1/TIMELINE!$C$65,IF(INPUTS!$O$92="Front-loaded",(TIMELINE!$C$65-TIMELINE!AH66+1)*2/(TIMELINE!$C$65*(TIMELINE!$C$65+1)),IF(INPUTS!$O$92="Back-loaded",TIMELINE!AH66*2/(TIMELINE!$C$65*(TIMELINE!$C$65+1)),IF(INPUTS!$O$92="S-curve",SIN(PI()*(TIMELINE!AH66-0.5)/TIMELINE!$C$65)*SIN(PI()/(2*TIMELINE!$C$65)),0)))))),0)</f>
        <v>0</v>
      </c>
      <c r="AI64" s="118" t="n">
        <f aca="false">IF(INPUTS!$E$92="Yes",IF(OR(TIMELINE!AI66=0,TIMELINE!$C$65=0),0,IF(INPUTS!$O$92="Upfront",--(TIMELINE!AI66=1),IF(INPUTS!$O$92="Even",1/TIMELINE!$C$65,IF(INPUTS!$O$92="Front-loaded",(TIMELINE!$C$65-TIMELINE!AI66+1)*2/(TIMELINE!$C$65*(TIMELINE!$C$65+1)),IF(INPUTS!$O$92="Back-loaded",TIMELINE!AI66*2/(TIMELINE!$C$65*(TIMELINE!$C$65+1)),IF(INPUTS!$O$92="S-curve",SIN(PI()*(TIMELINE!AI66-0.5)/TIMELINE!$C$65)*SIN(PI()/(2*TIMELINE!$C$65)),0)))))),0)</f>
        <v>0</v>
      </c>
      <c r="AJ64" s="118" t="n">
        <f aca="false">IF(INPUTS!$E$92="Yes",IF(OR(TIMELINE!AJ66=0,TIMELINE!$C$65=0),0,IF(INPUTS!$O$92="Upfront",--(TIMELINE!AJ66=1),IF(INPUTS!$O$92="Even",1/TIMELINE!$C$65,IF(INPUTS!$O$92="Front-loaded",(TIMELINE!$C$65-TIMELINE!AJ66+1)*2/(TIMELINE!$C$65*(TIMELINE!$C$65+1)),IF(INPUTS!$O$92="Back-loaded",TIMELINE!AJ66*2/(TIMELINE!$C$65*(TIMELINE!$C$65+1)),IF(INPUTS!$O$92="S-curve",SIN(PI()*(TIMELINE!AJ66-0.5)/TIMELINE!$C$65)*SIN(PI()/(2*TIMELINE!$C$65)),0)))))),0)</f>
        <v>0</v>
      </c>
      <c r="AK64" s="118" t="n">
        <f aca="false">IF(INPUTS!$E$92="Yes",IF(OR(TIMELINE!AK66=0,TIMELINE!$C$65=0),0,IF(INPUTS!$O$92="Upfront",--(TIMELINE!AK66=1),IF(INPUTS!$O$92="Even",1/TIMELINE!$C$65,IF(INPUTS!$O$92="Front-loaded",(TIMELINE!$C$65-TIMELINE!AK66+1)*2/(TIMELINE!$C$65*(TIMELINE!$C$65+1)),IF(INPUTS!$O$92="Back-loaded",TIMELINE!AK66*2/(TIMELINE!$C$65*(TIMELINE!$C$65+1)),IF(INPUTS!$O$92="S-curve",SIN(PI()*(TIMELINE!AK66-0.5)/TIMELINE!$C$65)*SIN(PI()/(2*TIMELINE!$C$65)),0)))))),0)</f>
        <v>0</v>
      </c>
      <c r="AL64" s="118" t="n">
        <f aca="false">IF(INPUTS!$E$92="Yes",IF(OR(TIMELINE!AL66=0,TIMELINE!$C$65=0),0,IF(INPUTS!$O$92="Upfront",--(TIMELINE!AL66=1),IF(INPUTS!$O$92="Even",1/TIMELINE!$C$65,IF(INPUTS!$O$92="Front-loaded",(TIMELINE!$C$65-TIMELINE!AL66+1)*2/(TIMELINE!$C$65*(TIMELINE!$C$65+1)),IF(INPUTS!$O$92="Back-loaded",TIMELINE!AL66*2/(TIMELINE!$C$65*(TIMELINE!$C$65+1)),IF(INPUTS!$O$92="S-curve",SIN(PI()*(TIMELINE!AL66-0.5)/TIMELINE!$C$65)*SIN(PI()/(2*TIMELINE!$C$65)),0)))))),0)</f>
        <v>0</v>
      </c>
      <c r="AM64" s="118" t="n">
        <f aca="false">IF(INPUTS!$E$92="Yes",IF(OR(TIMELINE!AM66=0,TIMELINE!$C$65=0),0,IF(INPUTS!$O$92="Upfront",--(TIMELINE!AM66=1),IF(INPUTS!$O$92="Even",1/TIMELINE!$C$65,IF(INPUTS!$O$92="Front-loaded",(TIMELINE!$C$65-TIMELINE!AM66+1)*2/(TIMELINE!$C$65*(TIMELINE!$C$65+1)),IF(INPUTS!$O$92="Back-loaded",TIMELINE!AM66*2/(TIMELINE!$C$65*(TIMELINE!$C$65+1)),IF(INPUTS!$O$92="S-curve",SIN(PI()*(TIMELINE!AM66-0.5)/TIMELINE!$C$65)*SIN(PI()/(2*TIMELINE!$C$65)),0)))))),0)</f>
        <v>0</v>
      </c>
      <c r="AN64" s="118" t="n">
        <f aca="false">IF(INPUTS!$E$92="Yes",IF(OR(TIMELINE!AN66=0,TIMELINE!$C$65=0),0,IF(INPUTS!$O$92="Upfront",--(TIMELINE!AN66=1),IF(INPUTS!$O$92="Even",1/TIMELINE!$C$65,IF(INPUTS!$O$92="Front-loaded",(TIMELINE!$C$65-TIMELINE!AN66+1)*2/(TIMELINE!$C$65*(TIMELINE!$C$65+1)),IF(INPUTS!$O$92="Back-loaded",TIMELINE!AN66*2/(TIMELINE!$C$65*(TIMELINE!$C$65+1)),IF(INPUTS!$O$92="S-curve",SIN(PI()*(TIMELINE!AN66-0.5)/TIMELINE!$C$65)*SIN(PI()/(2*TIMELINE!$C$65)),0)))))),0)</f>
        <v>0</v>
      </c>
      <c r="AO64" s="118" t="n">
        <f aca="false">IF(INPUTS!$E$92="Yes",IF(OR(TIMELINE!AO66=0,TIMELINE!$C$65=0),0,IF(INPUTS!$O$92="Upfront",--(TIMELINE!AO66=1),IF(INPUTS!$O$92="Even",1/TIMELINE!$C$65,IF(INPUTS!$O$92="Front-loaded",(TIMELINE!$C$65-TIMELINE!AO66+1)*2/(TIMELINE!$C$65*(TIMELINE!$C$65+1)),IF(INPUTS!$O$92="Back-loaded",TIMELINE!AO66*2/(TIMELINE!$C$65*(TIMELINE!$C$65+1)),IF(INPUTS!$O$92="S-curve",SIN(PI()*(TIMELINE!AO66-0.5)/TIMELINE!$C$65)*SIN(PI()/(2*TIMELINE!$C$65)),0)))))),0)</f>
        <v>0</v>
      </c>
      <c r="AP64" s="118" t="n">
        <f aca="false">IF(INPUTS!$E$92="Yes",IF(OR(TIMELINE!AP66=0,TIMELINE!$C$65=0),0,IF(INPUTS!$O$92="Upfront",--(TIMELINE!AP66=1),IF(INPUTS!$O$92="Even",1/TIMELINE!$C$65,IF(INPUTS!$O$92="Front-loaded",(TIMELINE!$C$65-TIMELINE!AP66+1)*2/(TIMELINE!$C$65*(TIMELINE!$C$65+1)),IF(INPUTS!$O$92="Back-loaded",TIMELINE!AP66*2/(TIMELINE!$C$65*(TIMELINE!$C$65+1)),IF(INPUTS!$O$92="S-curve",SIN(PI()*(TIMELINE!AP66-0.5)/TIMELINE!$C$65)*SIN(PI()/(2*TIMELINE!$C$65)),0)))))),0)</f>
        <v>0</v>
      </c>
      <c r="AQ64" s="118" t="n">
        <f aca="false">IF(INPUTS!$E$92="Yes",IF(OR(TIMELINE!AQ66=0,TIMELINE!$C$65=0),0,IF(INPUTS!$O$92="Upfront",--(TIMELINE!AQ66=1),IF(INPUTS!$O$92="Even",1/TIMELINE!$C$65,IF(INPUTS!$O$92="Front-loaded",(TIMELINE!$C$65-TIMELINE!AQ66+1)*2/(TIMELINE!$C$65*(TIMELINE!$C$65+1)),IF(INPUTS!$O$92="Back-loaded",TIMELINE!AQ66*2/(TIMELINE!$C$65*(TIMELINE!$C$65+1)),IF(INPUTS!$O$92="S-curve",SIN(PI()*(TIMELINE!AQ66-0.5)/TIMELINE!$C$65)*SIN(PI()/(2*TIMELINE!$C$65)),0)))))),0)</f>
        <v>0</v>
      </c>
    </row>
    <row r="65" customFormat="false" ht="15" hidden="false" customHeight="false" outlineLevel="0" collapsed="false">
      <c r="B65" s="3" t="s">
        <v>673</v>
      </c>
      <c r="D65" s="118" t="n">
        <f aca="false">SUM($D64:D64)</f>
        <v>0</v>
      </c>
      <c r="E65" s="118" t="n">
        <f aca="false">SUM($D64:E64)</f>
        <v>0</v>
      </c>
      <c r="F65" s="118" t="n">
        <f aca="false">SUM($D64:F64)</f>
        <v>0</v>
      </c>
      <c r="G65" s="118" t="n">
        <f aca="false">SUM($D64:G64)</f>
        <v>0</v>
      </c>
      <c r="H65" s="118" t="n">
        <f aca="false">SUM($D64:H64)</f>
        <v>0</v>
      </c>
      <c r="I65" s="118" t="n">
        <f aca="false">SUM($D64:I64)</f>
        <v>0</v>
      </c>
      <c r="J65" s="118" t="n">
        <f aca="false">SUM($D64:J64)</f>
        <v>0</v>
      </c>
      <c r="K65" s="118" t="n">
        <f aca="false">SUM($D64:K64)</f>
        <v>0</v>
      </c>
      <c r="L65" s="118" t="n">
        <f aca="false">SUM($D64:L64)</f>
        <v>0</v>
      </c>
      <c r="M65" s="118" t="n">
        <f aca="false">SUM($D64:M64)</f>
        <v>0</v>
      </c>
      <c r="N65" s="118" t="n">
        <f aca="false">SUM($D64:N64)</f>
        <v>0</v>
      </c>
      <c r="O65" s="118" t="n">
        <f aca="false">SUM($D64:O64)</f>
        <v>0</v>
      </c>
      <c r="P65" s="118" t="n">
        <f aca="false">SUM($D64:P64)</f>
        <v>0</v>
      </c>
      <c r="Q65" s="118" t="n">
        <f aca="false">SUM($D64:Q64)</f>
        <v>0</v>
      </c>
      <c r="R65" s="118" t="n">
        <f aca="false">SUM($D64:R64)</f>
        <v>0</v>
      </c>
      <c r="S65" s="118" t="n">
        <f aca="false">SUM($D64:S64)</f>
        <v>0</v>
      </c>
      <c r="T65" s="118" t="n">
        <f aca="false">SUM($D64:T64)</f>
        <v>0</v>
      </c>
      <c r="U65" s="118" t="n">
        <f aca="false">SUM($D64:U64)</f>
        <v>0</v>
      </c>
      <c r="V65" s="118" t="n">
        <f aca="false">SUM($D64:V64)</f>
        <v>0</v>
      </c>
      <c r="W65" s="118" t="n">
        <f aca="false">SUM($D64:W64)</f>
        <v>0</v>
      </c>
      <c r="X65" s="118" t="n">
        <f aca="false">SUM($D64:X64)</f>
        <v>0</v>
      </c>
      <c r="Y65" s="118" t="n">
        <f aca="false">SUM($D64:Y64)</f>
        <v>0</v>
      </c>
      <c r="Z65" s="118" t="n">
        <f aca="false">SUM($D64:Z64)</f>
        <v>0</v>
      </c>
      <c r="AA65" s="118" t="n">
        <f aca="false">SUM($D64:AA64)</f>
        <v>0</v>
      </c>
      <c r="AB65" s="118" t="n">
        <f aca="false">SUM($D64:AB64)</f>
        <v>0</v>
      </c>
      <c r="AC65" s="118" t="n">
        <f aca="false">SUM($D64:AC64)</f>
        <v>0</v>
      </c>
      <c r="AD65" s="118" t="n">
        <f aca="false">SUM($D64:AD64)</f>
        <v>0</v>
      </c>
      <c r="AE65" s="118" t="n">
        <f aca="false">SUM($D64:AE64)</f>
        <v>0</v>
      </c>
      <c r="AF65" s="118" t="n">
        <f aca="false">SUM($D64:AF64)</f>
        <v>0</v>
      </c>
      <c r="AG65" s="118" t="n">
        <f aca="false">SUM($D64:AG64)</f>
        <v>0</v>
      </c>
      <c r="AH65" s="118" t="n">
        <f aca="false">SUM($D64:AH64)</f>
        <v>0</v>
      </c>
      <c r="AI65" s="118" t="n">
        <f aca="false">SUM($D64:AI64)</f>
        <v>0</v>
      </c>
      <c r="AJ65" s="118" t="n">
        <f aca="false">SUM($D64:AJ64)</f>
        <v>0</v>
      </c>
      <c r="AK65" s="118" t="n">
        <f aca="false">SUM($D64:AK64)</f>
        <v>0</v>
      </c>
      <c r="AL65" s="118" t="n">
        <f aca="false">SUM($D64:AL64)</f>
        <v>0</v>
      </c>
      <c r="AM65" s="118" t="n">
        <f aca="false">SUM($D64:AM64)</f>
        <v>0</v>
      </c>
      <c r="AN65" s="118" t="n">
        <f aca="false">SUM($D64:AN64)</f>
        <v>0</v>
      </c>
      <c r="AO65" s="118" t="n">
        <f aca="false">SUM($D64:AO64)</f>
        <v>0</v>
      </c>
      <c r="AP65" s="118" t="n">
        <f aca="false">SUM($D64:AP64)</f>
        <v>0</v>
      </c>
      <c r="AQ65" s="118" t="n">
        <f aca="false">SUM($D64:AQ64)</f>
        <v>0</v>
      </c>
    </row>
    <row r="66" customFormat="false" ht="15" hidden="false" customHeight="false" outlineLevel="0" collapsed="false">
      <c r="B66" s="17" t="s">
        <v>674</v>
      </c>
      <c r="C66" s="105" t="str">
        <f aca="false">IF(NOT(INPUTS!$E$92="Yes"),"Off",IF(AND(ABS(C62-1)&lt;0.000000001,ABS(C64-1)&lt;0.000000001,ABS(AQ65-1)&lt;0.000000001),"OK","ERROR"))</f>
        <v>Off</v>
      </c>
    </row>
    <row r="67" customFormat="false" ht="15" hidden="false" customHeight="false" outlineLevel="0" collapsed="false">
      <c r="B67" s="110" t="str">
        <f aca="false">IF(INPUTS!$E$93="Yes",INPUTS!$B$93,"Product row 6 (off)")</f>
        <v>Product row 6 (off)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</row>
    <row r="68" customFormat="false" ht="15" hidden="false" customHeight="false" outlineLevel="0" collapsed="false">
      <c r="B68" s="3" t="s">
        <v>670</v>
      </c>
      <c r="C68" s="117" t="n">
        <f aca="false">SUM(D68:AQ68)</f>
        <v>0</v>
      </c>
      <c r="D68" s="118" t="n">
        <f aca="false">IF(INPUTS!$E$93="Yes",IF(OR(TIMELINE!D71=0,TIMELINE!$C$70=0),0,IF(INPUTS!$K$93="Upfront",--(TIMELINE!D71=1),IF(INPUTS!$K$93="Even",1/TIMELINE!$C$70,IF(INPUTS!$K$93="Front-loaded",(TIMELINE!$C$70-TIMELINE!D71+1)*2/(TIMELINE!$C$70*(TIMELINE!$C$70+1)),IF(INPUTS!$K$93="Back-loaded",TIMELINE!D71*2/(TIMELINE!$C$70*(TIMELINE!$C$70+1)),IF(INPUTS!$K$93="S-curve",SIN(PI()*(TIMELINE!D71-0.5)/TIMELINE!$C$70)*SIN(PI()/(2*TIMELINE!$C$70)),0)))))),0)</f>
        <v>0</v>
      </c>
      <c r="E68" s="118" t="n">
        <f aca="false">IF(INPUTS!$E$93="Yes",IF(OR(TIMELINE!E71=0,TIMELINE!$C$70=0),0,IF(INPUTS!$K$93="Upfront",--(TIMELINE!E71=1),IF(INPUTS!$K$93="Even",1/TIMELINE!$C$70,IF(INPUTS!$K$93="Front-loaded",(TIMELINE!$C$70-TIMELINE!E71+1)*2/(TIMELINE!$C$70*(TIMELINE!$C$70+1)),IF(INPUTS!$K$93="Back-loaded",TIMELINE!E71*2/(TIMELINE!$C$70*(TIMELINE!$C$70+1)),IF(INPUTS!$K$93="S-curve",SIN(PI()*(TIMELINE!E71-0.5)/TIMELINE!$C$70)*SIN(PI()/(2*TIMELINE!$C$70)),0)))))),0)</f>
        <v>0</v>
      </c>
      <c r="F68" s="118" t="n">
        <f aca="false">IF(INPUTS!$E$93="Yes",IF(OR(TIMELINE!F71=0,TIMELINE!$C$70=0),0,IF(INPUTS!$K$93="Upfront",--(TIMELINE!F71=1),IF(INPUTS!$K$93="Even",1/TIMELINE!$C$70,IF(INPUTS!$K$93="Front-loaded",(TIMELINE!$C$70-TIMELINE!F71+1)*2/(TIMELINE!$C$70*(TIMELINE!$C$70+1)),IF(INPUTS!$K$93="Back-loaded",TIMELINE!F71*2/(TIMELINE!$C$70*(TIMELINE!$C$70+1)),IF(INPUTS!$K$93="S-curve",SIN(PI()*(TIMELINE!F71-0.5)/TIMELINE!$C$70)*SIN(PI()/(2*TIMELINE!$C$70)),0)))))),0)</f>
        <v>0</v>
      </c>
      <c r="G68" s="118" t="n">
        <f aca="false">IF(INPUTS!$E$93="Yes",IF(OR(TIMELINE!G71=0,TIMELINE!$C$70=0),0,IF(INPUTS!$K$93="Upfront",--(TIMELINE!G71=1),IF(INPUTS!$K$93="Even",1/TIMELINE!$C$70,IF(INPUTS!$K$93="Front-loaded",(TIMELINE!$C$70-TIMELINE!G71+1)*2/(TIMELINE!$C$70*(TIMELINE!$C$70+1)),IF(INPUTS!$K$93="Back-loaded",TIMELINE!G71*2/(TIMELINE!$C$70*(TIMELINE!$C$70+1)),IF(INPUTS!$K$93="S-curve",SIN(PI()*(TIMELINE!G71-0.5)/TIMELINE!$C$70)*SIN(PI()/(2*TIMELINE!$C$70)),0)))))),0)</f>
        <v>0</v>
      </c>
      <c r="H68" s="118" t="n">
        <f aca="false">IF(INPUTS!$E$93="Yes",IF(OR(TIMELINE!H71=0,TIMELINE!$C$70=0),0,IF(INPUTS!$K$93="Upfront",--(TIMELINE!H71=1),IF(INPUTS!$K$93="Even",1/TIMELINE!$C$70,IF(INPUTS!$K$93="Front-loaded",(TIMELINE!$C$70-TIMELINE!H71+1)*2/(TIMELINE!$C$70*(TIMELINE!$C$70+1)),IF(INPUTS!$K$93="Back-loaded",TIMELINE!H71*2/(TIMELINE!$C$70*(TIMELINE!$C$70+1)),IF(INPUTS!$K$93="S-curve",SIN(PI()*(TIMELINE!H71-0.5)/TIMELINE!$C$70)*SIN(PI()/(2*TIMELINE!$C$70)),0)))))),0)</f>
        <v>0</v>
      </c>
      <c r="I68" s="118" t="n">
        <f aca="false">IF(INPUTS!$E$93="Yes",IF(OR(TIMELINE!I71=0,TIMELINE!$C$70=0),0,IF(INPUTS!$K$93="Upfront",--(TIMELINE!I71=1),IF(INPUTS!$K$93="Even",1/TIMELINE!$C$70,IF(INPUTS!$K$93="Front-loaded",(TIMELINE!$C$70-TIMELINE!I71+1)*2/(TIMELINE!$C$70*(TIMELINE!$C$70+1)),IF(INPUTS!$K$93="Back-loaded",TIMELINE!I71*2/(TIMELINE!$C$70*(TIMELINE!$C$70+1)),IF(INPUTS!$K$93="S-curve",SIN(PI()*(TIMELINE!I71-0.5)/TIMELINE!$C$70)*SIN(PI()/(2*TIMELINE!$C$70)),0)))))),0)</f>
        <v>0</v>
      </c>
      <c r="J68" s="118" t="n">
        <f aca="false">IF(INPUTS!$E$93="Yes",IF(OR(TIMELINE!J71=0,TIMELINE!$C$70=0),0,IF(INPUTS!$K$93="Upfront",--(TIMELINE!J71=1),IF(INPUTS!$K$93="Even",1/TIMELINE!$C$70,IF(INPUTS!$K$93="Front-loaded",(TIMELINE!$C$70-TIMELINE!J71+1)*2/(TIMELINE!$C$70*(TIMELINE!$C$70+1)),IF(INPUTS!$K$93="Back-loaded",TIMELINE!J71*2/(TIMELINE!$C$70*(TIMELINE!$C$70+1)),IF(INPUTS!$K$93="S-curve",SIN(PI()*(TIMELINE!J71-0.5)/TIMELINE!$C$70)*SIN(PI()/(2*TIMELINE!$C$70)),0)))))),0)</f>
        <v>0</v>
      </c>
      <c r="K68" s="118" t="n">
        <f aca="false">IF(INPUTS!$E$93="Yes",IF(OR(TIMELINE!K71=0,TIMELINE!$C$70=0),0,IF(INPUTS!$K$93="Upfront",--(TIMELINE!K71=1),IF(INPUTS!$K$93="Even",1/TIMELINE!$C$70,IF(INPUTS!$K$93="Front-loaded",(TIMELINE!$C$70-TIMELINE!K71+1)*2/(TIMELINE!$C$70*(TIMELINE!$C$70+1)),IF(INPUTS!$K$93="Back-loaded",TIMELINE!K71*2/(TIMELINE!$C$70*(TIMELINE!$C$70+1)),IF(INPUTS!$K$93="S-curve",SIN(PI()*(TIMELINE!K71-0.5)/TIMELINE!$C$70)*SIN(PI()/(2*TIMELINE!$C$70)),0)))))),0)</f>
        <v>0</v>
      </c>
      <c r="L68" s="118" t="n">
        <f aca="false">IF(INPUTS!$E$93="Yes",IF(OR(TIMELINE!L71=0,TIMELINE!$C$70=0),0,IF(INPUTS!$K$93="Upfront",--(TIMELINE!L71=1),IF(INPUTS!$K$93="Even",1/TIMELINE!$C$70,IF(INPUTS!$K$93="Front-loaded",(TIMELINE!$C$70-TIMELINE!L71+1)*2/(TIMELINE!$C$70*(TIMELINE!$C$70+1)),IF(INPUTS!$K$93="Back-loaded",TIMELINE!L71*2/(TIMELINE!$C$70*(TIMELINE!$C$70+1)),IF(INPUTS!$K$93="S-curve",SIN(PI()*(TIMELINE!L71-0.5)/TIMELINE!$C$70)*SIN(PI()/(2*TIMELINE!$C$70)),0)))))),0)</f>
        <v>0</v>
      </c>
      <c r="M68" s="118" t="n">
        <f aca="false">IF(INPUTS!$E$93="Yes",IF(OR(TIMELINE!M71=0,TIMELINE!$C$70=0),0,IF(INPUTS!$K$93="Upfront",--(TIMELINE!M71=1),IF(INPUTS!$K$93="Even",1/TIMELINE!$C$70,IF(INPUTS!$K$93="Front-loaded",(TIMELINE!$C$70-TIMELINE!M71+1)*2/(TIMELINE!$C$70*(TIMELINE!$C$70+1)),IF(INPUTS!$K$93="Back-loaded",TIMELINE!M71*2/(TIMELINE!$C$70*(TIMELINE!$C$70+1)),IF(INPUTS!$K$93="S-curve",SIN(PI()*(TIMELINE!M71-0.5)/TIMELINE!$C$70)*SIN(PI()/(2*TIMELINE!$C$70)),0)))))),0)</f>
        <v>0</v>
      </c>
      <c r="N68" s="118" t="n">
        <f aca="false">IF(INPUTS!$E$93="Yes",IF(OR(TIMELINE!N71=0,TIMELINE!$C$70=0),0,IF(INPUTS!$K$93="Upfront",--(TIMELINE!N71=1),IF(INPUTS!$K$93="Even",1/TIMELINE!$C$70,IF(INPUTS!$K$93="Front-loaded",(TIMELINE!$C$70-TIMELINE!N71+1)*2/(TIMELINE!$C$70*(TIMELINE!$C$70+1)),IF(INPUTS!$K$93="Back-loaded",TIMELINE!N71*2/(TIMELINE!$C$70*(TIMELINE!$C$70+1)),IF(INPUTS!$K$93="S-curve",SIN(PI()*(TIMELINE!N71-0.5)/TIMELINE!$C$70)*SIN(PI()/(2*TIMELINE!$C$70)),0)))))),0)</f>
        <v>0</v>
      </c>
      <c r="O68" s="118" t="n">
        <f aca="false">IF(INPUTS!$E$93="Yes",IF(OR(TIMELINE!O71=0,TIMELINE!$C$70=0),0,IF(INPUTS!$K$93="Upfront",--(TIMELINE!O71=1),IF(INPUTS!$K$93="Even",1/TIMELINE!$C$70,IF(INPUTS!$K$93="Front-loaded",(TIMELINE!$C$70-TIMELINE!O71+1)*2/(TIMELINE!$C$70*(TIMELINE!$C$70+1)),IF(INPUTS!$K$93="Back-loaded",TIMELINE!O71*2/(TIMELINE!$C$70*(TIMELINE!$C$70+1)),IF(INPUTS!$K$93="S-curve",SIN(PI()*(TIMELINE!O71-0.5)/TIMELINE!$C$70)*SIN(PI()/(2*TIMELINE!$C$70)),0)))))),0)</f>
        <v>0</v>
      </c>
      <c r="P68" s="118" t="n">
        <f aca="false">IF(INPUTS!$E$93="Yes",IF(OR(TIMELINE!P71=0,TIMELINE!$C$70=0),0,IF(INPUTS!$K$93="Upfront",--(TIMELINE!P71=1),IF(INPUTS!$K$93="Even",1/TIMELINE!$C$70,IF(INPUTS!$K$93="Front-loaded",(TIMELINE!$C$70-TIMELINE!P71+1)*2/(TIMELINE!$C$70*(TIMELINE!$C$70+1)),IF(INPUTS!$K$93="Back-loaded",TIMELINE!P71*2/(TIMELINE!$C$70*(TIMELINE!$C$70+1)),IF(INPUTS!$K$93="S-curve",SIN(PI()*(TIMELINE!P71-0.5)/TIMELINE!$C$70)*SIN(PI()/(2*TIMELINE!$C$70)),0)))))),0)</f>
        <v>0</v>
      </c>
      <c r="Q68" s="118" t="n">
        <f aca="false">IF(INPUTS!$E$93="Yes",IF(OR(TIMELINE!Q71=0,TIMELINE!$C$70=0),0,IF(INPUTS!$K$93="Upfront",--(TIMELINE!Q71=1),IF(INPUTS!$K$93="Even",1/TIMELINE!$C$70,IF(INPUTS!$K$93="Front-loaded",(TIMELINE!$C$70-TIMELINE!Q71+1)*2/(TIMELINE!$C$70*(TIMELINE!$C$70+1)),IF(INPUTS!$K$93="Back-loaded",TIMELINE!Q71*2/(TIMELINE!$C$70*(TIMELINE!$C$70+1)),IF(INPUTS!$K$93="S-curve",SIN(PI()*(TIMELINE!Q71-0.5)/TIMELINE!$C$70)*SIN(PI()/(2*TIMELINE!$C$70)),0)))))),0)</f>
        <v>0</v>
      </c>
      <c r="R68" s="118" t="n">
        <f aca="false">IF(INPUTS!$E$93="Yes",IF(OR(TIMELINE!R71=0,TIMELINE!$C$70=0),0,IF(INPUTS!$K$93="Upfront",--(TIMELINE!R71=1),IF(INPUTS!$K$93="Even",1/TIMELINE!$C$70,IF(INPUTS!$K$93="Front-loaded",(TIMELINE!$C$70-TIMELINE!R71+1)*2/(TIMELINE!$C$70*(TIMELINE!$C$70+1)),IF(INPUTS!$K$93="Back-loaded",TIMELINE!R71*2/(TIMELINE!$C$70*(TIMELINE!$C$70+1)),IF(INPUTS!$K$93="S-curve",SIN(PI()*(TIMELINE!R71-0.5)/TIMELINE!$C$70)*SIN(PI()/(2*TIMELINE!$C$70)),0)))))),0)</f>
        <v>0</v>
      </c>
      <c r="S68" s="118" t="n">
        <f aca="false">IF(INPUTS!$E$93="Yes",IF(OR(TIMELINE!S71=0,TIMELINE!$C$70=0),0,IF(INPUTS!$K$93="Upfront",--(TIMELINE!S71=1),IF(INPUTS!$K$93="Even",1/TIMELINE!$C$70,IF(INPUTS!$K$93="Front-loaded",(TIMELINE!$C$70-TIMELINE!S71+1)*2/(TIMELINE!$C$70*(TIMELINE!$C$70+1)),IF(INPUTS!$K$93="Back-loaded",TIMELINE!S71*2/(TIMELINE!$C$70*(TIMELINE!$C$70+1)),IF(INPUTS!$K$93="S-curve",SIN(PI()*(TIMELINE!S71-0.5)/TIMELINE!$C$70)*SIN(PI()/(2*TIMELINE!$C$70)),0)))))),0)</f>
        <v>0</v>
      </c>
      <c r="T68" s="118" t="n">
        <f aca="false">IF(INPUTS!$E$93="Yes",IF(OR(TIMELINE!T71=0,TIMELINE!$C$70=0),0,IF(INPUTS!$K$93="Upfront",--(TIMELINE!T71=1),IF(INPUTS!$K$93="Even",1/TIMELINE!$C$70,IF(INPUTS!$K$93="Front-loaded",(TIMELINE!$C$70-TIMELINE!T71+1)*2/(TIMELINE!$C$70*(TIMELINE!$C$70+1)),IF(INPUTS!$K$93="Back-loaded",TIMELINE!T71*2/(TIMELINE!$C$70*(TIMELINE!$C$70+1)),IF(INPUTS!$K$93="S-curve",SIN(PI()*(TIMELINE!T71-0.5)/TIMELINE!$C$70)*SIN(PI()/(2*TIMELINE!$C$70)),0)))))),0)</f>
        <v>0</v>
      </c>
      <c r="U68" s="118" t="n">
        <f aca="false">IF(INPUTS!$E$93="Yes",IF(OR(TIMELINE!U71=0,TIMELINE!$C$70=0),0,IF(INPUTS!$K$93="Upfront",--(TIMELINE!U71=1),IF(INPUTS!$K$93="Even",1/TIMELINE!$C$70,IF(INPUTS!$K$93="Front-loaded",(TIMELINE!$C$70-TIMELINE!U71+1)*2/(TIMELINE!$C$70*(TIMELINE!$C$70+1)),IF(INPUTS!$K$93="Back-loaded",TIMELINE!U71*2/(TIMELINE!$C$70*(TIMELINE!$C$70+1)),IF(INPUTS!$K$93="S-curve",SIN(PI()*(TIMELINE!U71-0.5)/TIMELINE!$C$70)*SIN(PI()/(2*TIMELINE!$C$70)),0)))))),0)</f>
        <v>0</v>
      </c>
      <c r="V68" s="118" t="n">
        <f aca="false">IF(INPUTS!$E$93="Yes",IF(OR(TIMELINE!V71=0,TIMELINE!$C$70=0),0,IF(INPUTS!$K$93="Upfront",--(TIMELINE!V71=1),IF(INPUTS!$K$93="Even",1/TIMELINE!$C$70,IF(INPUTS!$K$93="Front-loaded",(TIMELINE!$C$70-TIMELINE!V71+1)*2/(TIMELINE!$C$70*(TIMELINE!$C$70+1)),IF(INPUTS!$K$93="Back-loaded",TIMELINE!V71*2/(TIMELINE!$C$70*(TIMELINE!$C$70+1)),IF(INPUTS!$K$93="S-curve",SIN(PI()*(TIMELINE!V71-0.5)/TIMELINE!$C$70)*SIN(PI()/(2*TIMELINE!$C$70)),0)))))),0)</f>
        <v>0</v>
      </c>
      <c r="W68" s="118" t="n">
        <f aca="false">IF(INPUTS!$E$93="Yes",IF(OR(TIMELINE!W71=0,TIMELINE!$C$70=0),0,IF(INPUTS!$K$93="Upfront",--(TIMELINE!W71=1),IF(INPUTS!$K$93="Even",1/TIMELINE!$C$70,IF(INPUTS!$K$93="Front-loaded",(TIMELINE!$C$70-TIMELINE!W71+1)*2/(TIMELINE!$C$70*(TIMELINE!$C$70+1)),IF(INPUTS!$K$93="Back-loaded",TIMELINE!W71*2/(TIMELINE!$C$70*(TIMELINE!$C$70+1)),IF(INPUTS!$K$93="S-curve",SIN(PI()*(TIMELINE!W71-0.5)/TIMELINE!$C$70)*SIN(PI()/(2*TIMELINE!$C$70)),0)))))),0)</f>
        <v>0</v>
      </c>
      <c r="X68" s="118" t="n">
        <f aca="false">IF(INPUTS!$E$93="Yes",IF(OR(TIMELINE!X71=0,TIMELINE!$C$70=0),0,IF(INPUTS!$K$93="Upfront",--(TIMELINE!X71=1),IF(INPUTS!$K$93="Even",1/TIMELINE!$C$70,IF(INPUTS!$K$93="Front-loaded",(TIMELINE!$C$70-TIMELINE!X71+1)*2/(TIMELINE!$C$70*(TIMELINE!$C$70+1)),IF(INPUTS!$K$93="Back-loaded",TIMELINE!X71*2/(TIMELINE!$C$70*(TIMELINE!$C$70+1)),IF(INPUTS!$K$93="S-curve",SIN(PI()*(TIMELINE!X71-0.5)/TIMELINE!$C$70)*SIN(PI()/(2*TIMELINE!$C$70)),0)))))),0)</f>
        <v>0</v>
      </c>
      <c r="Y68" s="118" t="n">
        <f aca="false">IF(INPUTS!$E$93="Yes",IF(OR(TIMELINE!Y71=0,TIMELINE!$C$70=0),0,IF(INPUTS!$K$93="Upfront",--(TIMELINE!Y71=1),IF(INPUTS!$K$93="Even",1/TIMELINE!$C$70,IF(INPUTS!$K$93="Front-loaded",(TIMELINE!$C$70-TIMELINE!Y71+1)*2/(TIMELINE!$C$70*(TIMELINE!$C$70+1)),IF(INPUTS!$K$93="Back-loaded",TIMELINE!Y71*2/(TIMELINE!$C$70*(TIMELINE!$C$70+1)),IF(INPUTS!$K$93="S-curve",SIN(PI()*(TIMELINE!Y71-0.5)/TIMELINE!$C$70)*SIN(PI()/(2*TIMELINE!$C$70)),0)))))),0)</f>
        <v>0</v>
      </c>
      <c r="Z68" s="118" t="n">
        <f aca="false">IF(INPUTS!$E$93="Yes",IF(OR(TIMELINE!Z71=0,TIMELINE!$C$70=0),0,IF(INPUTS!$K$93="Upfront",--(TIMELINE!Z71=1),IF(INPUTS!$K$93="Even",1/TIMELINE!$C$70,IF(INPUTS!$K$93="Front-loaded",(TIMELINE!$C$70-TIMELINE!Z71+1)*2/(TIMELINE!$C$70*(TIMELINE!$C$70+1)),IF(INPUTS!$K$93="Back-loaded",TIMELINE!Z71*2/(TIMELINE!$C$70*(TIMELINE!$C$70+1)),IF(INPUTS!$K$93="S-curve",SIN(PI()*(TIMELINE!Z71-0.5)/TIMELINE!$C$70)*SIN(PI()/(2*TIMELINE!$C$70)),0)))))),0)</f>
        <v>0</v>
      </c>
      <c r="AA68" s="118" t="n">
        <f aca="false">IF(INPUTS!$E$93="Yes",IF(OR(TIMELINE!AA71=0,TIMELINE!$C$70=0),0,IF(INPUTS!$K$93="Upfront",--(TIMELINE!AA71=1),IF(INPUTS!$K$93="Even",1/TIMELINE!$C$70,IF(INPUTS!$K$93="Front-loaded",(TIMELINE!$C$70-TIMELINE!AA71+1)*2/(TIMELINE!$C$70*(TIMELINE!$C$70+1)),IF(INPUTS!$K$93="Back-loaded",TIMELINE!AA71*2/(TIMELINE!$C$70*(TIMELINE!$C$70+1)),IF(INPUTS!$K$93="S-curve",SIN(PI()*(TIMELINE!AA71-0.5)/TIMELINE!$C$70)*SIN(PI()/(2*TIMELINE!$C$70)),0)))))),0)</f>
        <v>0</v>
      </c>
      <c r="AB68" s="118" t="n">
        <f aca="false">IF(INPUTS!$E$93="Yes",IF(OR(TIMELINE!AB71=0,TIMELINE!$C$70=0),0,IF(INPUTS!$K$93="Upfront",--(TIMELINE!AB71=1),IF(INPUTS!$K$93="Even",1/TIMELINE!$C$70,IF(INPUTS!$K$93="Front-loaded",(TIMELINE!$C$70-TIMELINE!AB71+1)*2/(TIMELINE!$C$70*(TIMELINE!$C$70+1)),IF(INPUTS!$K$93="Back-loaded",TIMELINE!AB71*2/(TIMELINE!$C$70*(TIMELINE!$C$70+1)),IF(INPUTS!$K$93="S-curve",SIN(PI()*(TIMELINE!AB71-0.5)/TIMELINE!$C$70)*SIN(PI()/(2*TIMELINE!$C$70)),0)))))),0)</f>
        <v>0</v>
      </c>
      <c r="AC68" s="118" t="n">
        <f aca="false">IF(INPUTS!$E$93="Yes",IF(OR(TIMELINE!AC71=0,TIMELINE!$C$70=0),0,IF(INPUTS!$K$93="Upfront",--(TIMELINE!AC71=1),IF(INPUTS!$K$93="Even",1/TIMELINE!$C$70,IF(INPUTS!$K$93="Front-loaded",(TIMELINE!$C$70-TIMELINE!AC71+1)*2/(TIMELINE!$C$70*(TIMELINE!$C$70+1)),IF(INPUTS!$K$93="Back-loaded",TIMELINE!AC71*2/(TIMELINE!$C$70*(TIMELINE!$C$70+1)),IF(INPUTS!$K$93="S-curve",SIN(PI()*(TIMELINE!AC71-0.5)/TIMELINE!$C$70)*SIN(PI()/(2*TIMELINE!$C$70)),0)))))),0)</f>
        <v>0</v>
      </c>
      <c r="AD68" s="118" t="n">
        <f aca="false">IF(INPUTS!$E$93="Yes",IF(OR(TIMELINE!AD71=0,TIMELINE!$C$70=0),0,IF(INPUTS!$K$93="Upfront",--(TIMELINE!AD71=1),IF(INPUTS!$K$93="Even",1/TIMELINE!$C$70,IF(INPUTS!$K$93="Front-loaded",(TIMELINE!$C$70-TIMELINE!AD71+1)*2/(TIMELINE!$C$70*(TIMELINE!$C$70+1)),IF(INPUTS!$K$93="Back-loaded",TIMELINE!AD71*2/(TIMELINE!$C$70*(TIMELINE!$C$70+1)),IF(INPUTS!$K$93="S-curve",SIN(PI()*(TIMELINE!AD71-0.5)/TIMELINE!$C$70)*SIN(PI()/(2*TIMELINE!$C$70)),0)))))),0)</f>
        <v>0</v>
      </c>
      <c r="AE68" s="118" t="n">
        <f aca="false">IF(INPUTS!$E$93="Yes",IF(OR(TIMELINE!AE71=0,TIMELINE!$C$70=0),0,IF(INPUTS!$K$93="Upfront",--(TIMELINE!AE71=1),IF(INPUTS!$K$93="Even",1/TIMELINE!$C$70,IF(INPUTS!$K$93="Front-loaded",(TIMELINE!$C$70-TIMELINE!AE71+1)*2/(TIMELINE!$C$70*(TIMELINE!$C$70+1)),IF(INPUTS!$K$93="Back-loaded",TIMELINE!AE71*2/(TIMELINE!$C$70*(TIMELINE!$C$70+1)),IF(INPUTS!$K$93="S-curve",SIN(PI()*(TIMELINE!AE71-0.5)/TIMELINE!$C$70)*SIN(PI()/(2*TIMELINE!$C$70)),0)))))),0)</f>
        <v>0</v>
      </c>
      <c r="AF68" s="118" t="n">
        <f aca="false">IF(INPUTS!$E$93="Yes",IF(OR(TIMELINE!AF71=0,TIMELINE!$C$70=0),0,IF(INPUTS!$K$93="Upfront",--(TIMELINE!AF71=1),IF(INPUTS!$K$93="Even",1/TIMELINE!$C$70,IF(INPUTS!$K$93="Front-loaded",(TIMELINE!$C$70-TIMELINE!AF71+1)*2/(TIMELINE!$C$70*(TIMELINE!$C$70+1)),IF(INPUTS!$K$93="Back-loaded",TIMELINE!AF71*2/(TIMELINE!$C$70*(TIMELINE!$C$70+1)),IF(INPUTS!$K$93="S-curve",SIN(PI()*(TIMELINE!AF71-0.5)/TIMELINE!$C$70)*SIN(PI()/(2*TIMELINE!$C$70)),0)))))),0)</f>
        <v>0</v>
      </c>
      <c r="AG68" s="118" t="n">
        <f aca="false">IF(INPUTS!$E$93="Yes",IF(OR(TIMELINE!AG71=0,TIMELINE!$C$70=0),0,IF(INPUTS!$K$93="Upfront",--(TIMELINE!AG71=1),IF(INPUTS!$K$93="Even",1/TIMELINE!$C$70,IF(INPUTS!$K$93="Front-loaded",(TIMELINE!$C$70-TIMELINE!AG71+1)*2/(TIMELINE!$C$70*(TIMELINE!$C$70+1)),IF(INPUTS!$K$93="Back-loaded",TIMELINE!AG71*2/(TIMELINE!$C$70*(TIMELINE!$C$70+1)),IF(INPUTS!$K$93="S-curve",SIN(PI()*(TIMELINE!AG71-0.5)/TIMELINE!$C$70)*SIN(PI()/(2*TIMELINE!$C$70)),0)))))),0)</f>
        <v>0</v>
      </c>
      <c r="AH68" s="118" t="n">
        <f aca="false">IF(INPUTS!$E$93="Yes",IF(OR(TIMELINE!AH71=0,TIMELINE!$C$70=0),0,IF(INPUTS!$K$93="Upfront",--(TIMELINE!AH71=1),IF(INPUTS!$K$93="Even",1/TIMELINE!$C$70,IF(INPUTS!$K$93="Front-loaded",(TIMELINE!$C$70-TIMELINE!AH71+1)*2/(TIMELINE!$C$70*(TIMELINE!$C$70+1)),IF(INPUTS!$K$93="Back-loaded",TIMELINE!AH71*2/(TIMELINE!$C$70*(TIMELINE!$C$70+1)),IF(INPUTS!$K$93="S-curve",SIN(PI()*(TIMELINE!AH71-0.5)/TIMELINE!$C$70)*SIN(PI()/(2*TIMELINE!$C$70)),0)))))),0)</f>
        <v>0</v>
      </c>
      <c r="AI68" s="118" t="n">
        <f aca="false">IF(INPUTS!$E$93="Yes",IF(OR(TIMELINE!AI71=0,TIMELINE!$C$70=0),0,IF(INPUTS!$K$93="Upfront",--(TIMELINE!AI71=1),IF(INPUTS!$K$93="Even",1/TIMELINE!$C$70,IF(INPUTS!$K$93="Front-loaded",(TIMELINE!$C$70-TIMELINE!AI71+1)*2/(TIMELINE!$C$70*(TIMELINE!$C$70+1)),IF(INPUTS!$K$93="Back-loaded",TIMELINE!AI71*2/(TIMELINE!$C$70*(TIMELINE!$C$70+1)),IF(INPUTS!$K$93="S-curve",SIN(PI()*(TIMELINE!AI71-0.5)/TIMELINE!$C$70)*SIN(PI()/(2*TIMELINE!$C$70)),0)))))),0)</f>
        <v>0</v>
      </c>
      <c r="AJ68" s="118" t="n">
        <f aca="false">IF(INPUTS!$E$93="Yes",IF(OR(TIMELINE!AJ71=0,TIMELINE!$C$70=0),0,IF(INPUTS!$K$93="Upfront",--(TIMELINE!AJ71=1),IF(INPUTS!$K$93="Even",1/TIMELINE!$C$70,IF(INPUTS!$K$93="Front-loaded",(TIMELINE!$C$70-TIMELINE!AJ71+1)*2/(TIMELINE!$C$70*(TIMELINE!$C$70+1)),IF(INPUTS!$K$93="Back-loaded",TIMELINE!AJ71*2/(TIMELINE!$C$70*(TIMELINE!$C$70+1)),IF(INPUTS!$K$93="S-curve",SIN(PI()*(TIMELINE!AJ71-0.5)/TIMELINE!$C$70)*SIN(PI()/(2*TIMELINE!$C$70)),0)))))),0)</f>
        <v>0</v>
      </c>
      <c r="AK68" s="118" t="n">
        <f aca="false">IF(INPUTS!$E$93="Yes",IF(OR(TIMELINE!AK71=0,TIMELINE!$C$70=0),0,IF(INPUTS!$K$93="Upfront",--(TIMELINE!AK71=1),IF(INPUTS!$K$93="Even",1/TIMELINE!$C$70,IF(INPUTS!$K$93="Front-loaded",(TIMELINE!$C$70-TIMELINE!AK71+1)*2/(TIMELINE!$C$70*(TIMELINE!$C$70+1)),IF(INPUTS!$K$93="Back-loaded",TIMELINE!AK71*2/(TIMELINE!$C$70*(TIMELINE!$C$70+1)),IF(INPUTS!$K$93="S-curve",SIN(PI()*(TIMELINE!AK71-0.5)/TIMELINE!$C$70)*SIN(PI()/(2*TIMELINE!$C$70)),0)))))),0)</f>
        <v>0</v>
      </c>
      <c r="AL68" s="118" t="n">
        <f aca="false">IF(INPUTS!$E$93="Yes",IF(OR(TIMELINE!AL71=0,TIMELINE!$C$70=0),0,IF(INPUTS!$K$93="Upfront",--(TIMELINE!AL71=1),IF(INPUTS!$K$93="Even",1/TIMELINE!$C$70,IF(INPUTS!$K$93="Front-loaded",(TIMELINE!$C$70-TIMELINE!AL71+1)*2/(TIMELINE!$C$70*(TIMELINE!$C$70+1)),IF(INPUTS!$K$93="Back-loaded",TIMELINE!AL71*2/(TIMELINE!$C$70*(TIMELINE!$C$70+1)),IF(INPUTS!$K$93="S-curve",SIN(PI()*(TIMELINE!AL71-0.5)/TIMELINE!$C$70)*SIN(PI()/(2*TIMELINE!$C$70)),0)))))),0)</f>
        <v>0</v>
      </c>
      <c r="AM68" s="118" t="n">
        <f aca="false">IF(INPUTS!$E$93="Yes",IF(OR(TIMELINE!AM71=0,TIMELINE!$C$70=0),0,IF(INPUTS!$K$93="Upfront",--(TIMELINE!AM71=1),IF(INPUTS!$K$93="Even",1/TIMELINE!$C$70,IF(INPUTS!$K$93="Front-loaded",(TIMELINE!$C$70-TIMELINE!AM71+1)*2/(TIMELINE!$C$70*(TIMELINE!$C$70+1)),IF(INPUTS!$K$93="Back-loaded",TIMELINE!AM71*2/(TIMELINE!$C$70*(TIMELINE!$C$70+1)),IF(INPUTS!$K$93="S-curve",SIN(PI()*(TIMELINE!AM71-0.5)/TIMELINE!$C$70)*SIN(PI()/(2*TIMELINE!$C$70)),0)))))),0)</f>
        <v>0</v>
      </c>
      <c r="AN68" s="118" t="n">
        <f aca="false">IF(INPUTS!$E$93="Yes",IF(OR(TIMELINE!AN71=0,TIMELINE!$C$70=0),0,IF(INPUTS!$K$93="Upfront",--(TIMELINE!AN71=1),IF(INPUTS!$K$93="Even",1/TIMELINE!$C$70,IF(INPUTS!$K$93="Front-loaded",(TIMELINE!$C$70-TIMELINE!AN71+1)*2/(TIMELINE!$C$70*(TIMELINE!$C$70+1)),IF(INPUTS!$K$93="Back-loaded",TIMELINE!AN71*2/(TIMELINE!$C$70*(TIMELINE!$C$70+1)),IF(INPUTS!$K$93="S-curve",SIN(PI()*(TIMELINE!AN71-0.5)/TIMELINE!$C$70)*SIN(PI()/(2*TIMELINE!$C$70)),0)))))),0)</f>
        <v>0</v>
      </c>
      <c r="AO68" s="118" t="n">
        <f aca="false">IF(INPUTS!$E$93="Yes",IF(OR(TIMELINE!AO71=0,TIMELINE!$C$70=0),0,IF(INPUTS!$K$93="Upfront",--(TIMELINE!AO71=1),IF(INPUTS!$K$93="Even",1/TIMELINE!$C$70,IF(INPUTS!$K$93="Front-loaded",(TIMELINE!$C$70-TIMELINE!AO71+1)*2/(TIMELINE!$C$70*(TIMELINE!$C$70+1)),IF(INPUTS!$K$93="Back-loaded",TIMELINE!AO71*2/(TIMELINE!$C$70*(TIMELINE!$C$70+1)),IF(INPUTS!$K$93="S-curve",SIN(PI()*(TIMELINE!AO71-0.5)/TIMELINE!$C$70)*SIN(PI()/(2*TIMELINE!$C$70)),0)))))),0)</f>
        <v>0</v>
      </c>
      <c r="AP68" s="118" t="n">
        <f aca="false">IF(INPUTS!$E$93="Yes",IF(OR(TIMELINE!AP71=0,TIMELINE!$C$70=0),0,IF(INPUTS!$K$93="Upfront",--(TIMELINE!AP71=1),IF(INPUTS!$K$93="Even",1/TIMELINE!$C$70,IF(INPUTS!$K$93="Front-loaded",(TIMELINE!$C$70-TIMELINE!AP71+1)*2/(TIMELINE!$C$70*(TIMELINE!$C$70+1)),IF(INPUTS!$K$93="Back-loaded",TIMELINE!AP71*2/(TIMELINE!$C$70*(TIMELINE!$C$70+1)),IF(INPUTS!$K$93="S-curve",SIN(PI()*(TIMELINE!AP71-0.5)/TIMELINE!$C$70)*SIN(PI()/(2*TIMELINE!$C$70)),0)))))),0)</f>
        <v>0</v>
      </c>
      <c r="AQ68" s="118" t="n">
        <f aca="false">IF(INPUTS!$E$93="Yes",IF(OR(TIMELINE!AQ71=0,TIMELINE!$C$70=0),0,IF(INPUTS!$K$93="Upfront",--(TIMELINE!AQ71=1),IF(INPUTS!$K$93="Even",1/TIMELINE!$C$70,IF(INPUTS!$K$93="Front-loaded",(TIMELINE!$C$70-TIMELINE!AQ71+1)*2/(TIMELINE!$C$70*(TIMELINE!$C$70+1)),IF(INPUTS!$K$93="Back-loaded",TIMELINE!AQ71*2/(TIMELINE!$C$70*(TIMELINE!$C$70+1)),IF(INPUTS!$K$93="S-curve",SIN(PI()*(TIMELINE!AQ71-0.5)/TIMELINE!$C$70)*SIN(PI()/(2*TIMELINE!$C$70)),0)))))),0)</f>
        <v>0</v>
      </c>
    </row>
    <row r="69" customFormat="false" ht="15" hidden="false" customHeight="false" outlineLevel="0" collapsed="false">
      <c r="B69" s="3" t="s">
        <v>671</v>
      </c>
      <c r="D69" s="118" t="n">
        <f aca="false">SUM($D68:D68)</f>
        <v>0</v>
      </c>
      <c r="E69" s="118" t="n">
        <f aca="false">SUM($D68:E68)</f>
        <v>0</v>
      </c>
      <c r="F69" s="118" t="n">
        <f aca="false">SUM($D68:F68)</f>
        <v>0</v>
      </c>
      <c r="G69" s="118" t="n">
        <f aca="false">SUM($D68:G68)</f>
        <v>0</v>
      </c>
      <c r="H69" s="118" t="n">
        <f aca="false">SUM($D68:H68)</f>
        <v>0</v>
      </c>
      <c r="I69" s="118" t="n">
        <f aca="false">SUM($D68:I68)</f>
        <v>0</v>
      </c>
      <c r="J69" s="118" t="n">
        <f aca="false">SUM($D68:J68)</f>
        <v>0</v>
      </c>
      <c r="K69" s="118" t="n">
        <f aca="false">SUM($D68:K68)</f>
        <v>0</v>
      </c>
      <c r="L69" s="118" t="n">
        <f aca="false">SUM($D68:L68)</f>
        <v>0</v>
      </c>
      <c r="M69" s="118" t="n">
        <f aca="false">SUM($D68:M68)</f>
        <v>0</v>
      </c>
      <c r="N69" s="118" t="n">
        <f aca="false">SUM($D68:N68)</f>
        <v>0</v>
      </c>
      <c r="O69" s="118" t="n">
        <f aca="false">SUM($D68:O68)</f>
        <v>0</v>
      </c>
      <c r="P69" s="118" t="n">
        <f aca="false">SUM($D68:P68)</f>
        <v>0</v>
      </c>
      <c r="Q69" s="118" t="n">
        <f aca="false">SUM($D68:Q68)</f>
        <v>0</v>
      </c>
      <c r="R69" s="118" t="n">
        <f aca="false">SUM($D68:R68)</f>
        <v>0</v>
      </c>
      <c r="S69" s="118" t="n">
        <f aca="false">SUM($D68:S68)</f>
        <v>0</v>
      </c>
      <c r="T69" s="118" t="n">
        <f aca="false">SUM($D68:T68)</f>
        <v>0</v>
      </c>
      <c r="U69" s="118" t="n">
        <f aca="false">SUM($D68:U68)</f>
        <v>0</v>
      </c>
      <c r="V69" s="118" t="n">
        <f aca="false">SUM($D68:V68)</f>
        <v>0</v>
      </c>
      <c r="W69" s="118" t="n">
        <f aca="false">SUM($D68:W68)</f>
        <v>0</v>
      </c>
      <c r="X69" s="118" t="n">
        <f aca="false">SUM($D68:X68)</f>
        <v>0</v>
      </c>
      <c r="Y69" s="118" t="n">
        <f aca="false">SUM($D68:Y68)</f>
        <v>0</v>
      </c>
      <c r="Z69" s="118" t="n">
        <f aca="false">SUM($D68:Z68)</f>
        <v>0</v>
      </c>
      <c r="AA69" s="118" t="n">
        <f aca="false">SUM($D68:AA68)</f>
        <v>0</v>
      </c>
      <c r="AB69" s="118" t="n">
        <f aca="false">SUM($D68:AB68)</f>
        <v>0</v>
      </c>
      <c r="AC69" s="118" t="n">
        <f aca="false">SUM($D68:AC68)</f>
        <v>0</v>
      </c>
      <c r="AD69" s="118" t="n">
        <f aca="false">SUM($D68:AD68)</f>
        <v>0</v>
      </c>
      <c r="AE69" s="118" t="n">
        <f aca="false">SUM($D68:AE68)</f>
        <v>0</v>
      </c>
      <c r="AF69" s="118" t="n">
        <f aca="false">SUM($D68:AF68)</f>
        <v>0</v>
      </c>
      <c r="AG69" s="118" t="n">
        <f aca="false">SUM($D68:AG68)</f>
        <v>0</v>
      </c>
      <c r="AH69" s="118" t="n">
        <f aca="false">SUM($D68:AH68)</f>
        <v>0</v>
      </c>
      <c r="AI69" s="118" t="n">
        <f aca="false">SUM($D68:AI68)</f>
        <v>0</v>
      </c>
      <c r="AJ69" s="118" t="n">
        <f aca="false">SUM($D68:AJ68)</f>
        <v>0</v>
      </c>
      <c r="AK69" s="118" t="n">
        <f aca="false">SUM($D68:AK68)</f>
        <v>0</v>
      </c>
      <c r="AL69" s="118" t="n">
        <f aca="false">SUM($D68:AL68)</f>
        <v>0</v>
      </c>
      <c r="AM69" s="118" t="n">
        <f aca="false">SUM($D68:AM68)</f>
        <v>0</v>
      </c>
      <c r="AN69" s="118" t="n">
        <f aca="false">SUM($D68:AN68)</f>
        <v>0</v>
      </c>
      <c r="AO69" s="118" t="n">
        <f aca="false">SUM($D68:AO68)</f>
        <v>0</v>
      </c>
      <c r="AP69" s="118" t="n">
        <f aca="false">SUM($D68:AP68)</f>
        <v>0</v>
      </c>
      <c r="AQ69" s="118" t="n">
        <f aca="false">SUM($D68:AQ68)</f>
        <v>0</v>
      </c>
    </row>
    <row r="70" customFormat="false" ht="15" hidden="false" customHeight="false" outlineLevel="0" collapsed="false">
      <c r="B70" s="3" t="s">
        <v>672</v>
      </c>
      <c r="C70" s="117" t="n">
        <f aca="false">SUM(D70:AQ70)</f>
        <v>0</v>
      </c>
      <c r="D70" s="118" t="n">
        <f aca="false">IF(INPUTS!$E$93="Yes",IF(OR(TIMELINE!D73=0,TIMELINE!$C$72=0),0,IF(INPUTS!$O$93="Upfront",--(TIMELINE!D73=1),IF(INPUTS!$O$93="Even",1/TIMELINE!$C$72,IF(INPUTS!$O$93="Front-loaded",(TIMELINE!$C$72-TIMELINE!D73+1)*2/(TIMELINE!$C$72*(TIMELINE!$C$72+1)),IF(INPUTS!$O$93="Back-loaded",TIMELINE!D73*2/(TIMELINE!$C$72*(TIMELINE!$C$72+1)),IF(INPUTS!$O$93="S-curve",SIN(PI()*(TIMELINE!D73-0.5)/TIMELINE!$C$72)*SIN(PI()/(2*TIMELINE!$C$72)),0)))))),0)</f>
        <v>0</v>
      </c>
      <c r="E70" s="118" t="n">
        <f aca="false">IF(INPUTS!$E$93="Yes",IF(OR(TIMELINE!E73=0,TIMELINE!$C$72=0),0,IF(INPUTS!$O$93="Upfront",--(TIMELINE!E73=1),IF(INPUTS!$O$93="Even",1/TIMELINE!$C$72,IF(INPUTS!$O$93="Front-loaded",(TIMELINE!$C$72-TIMELINE!E73+1)*2/(TIMELINE!$C$72*(TIMELINE!$C$72+1)),IF(INPUTS!$O$93="Back-loaded",TIMELINE!E73*2/(TIMELINE!$C$72*(TIMELINE!$C$72+1)),IF(INPUTS!$O$93="S-curve",SIN(PI()*(TIMELINE!E73-0.5)/TIMELINE!$C$72)*SIN(PI()/(2*TIMELINE!$C$72)),0)))))),0)</f>
        <v>0</v>
      </c>
      <c r="F70" s="118" t="n">
        <f aca="false">IF(INPUTS!$E$93="Yes",IF(OR(TIMELINE!F73=0,TIMELINE!$C$72=0),0,IF(INPUTS!$O$93="Upfront",--(TIMELINE!F73=1),IF(INPUTS!$O$93="Even",1/TIMELINE!$C$72,IF(INPUTS!$O$93="Front-loaded",(TIMELINE!$C$72-TIMELINE!F73+1)*2/(TIMELINE!$C$72*(TIMELINE!$C$72+1)),IF(INPUTS!$O$93="Back-loaded",TIMELINE!F73*2/(TIMELINE!$C$72*(TIMELINE!$C$72+1)),IF(INPUTS!$O$93="S-curve",SIN(PI()*(TIMELINE!F73-0.5)/TIMELINE!$C$72)*SIN(PI()/(2*TIMELINE!$C$72)),0)))))),0)</f>
        <v>0</v>
      </c>
      <c r="G70" s="118" t="n">
        <f aca="false">IF(INPUTS!$E$93="Yes",IF(OR(TIMELINE!G73=0,TIMELINE!$C$72=0),0,IF(INPUTS!$O$93="Upfront",--(TIMELINE!G73=1),IF(INPUTS!$O$93="Even",1/TIMELINE!$C$72,IF(INPUTS!$O$93="Front-loaded",(TIMELINE!$C$72-TIMELINE!G73+1)*2/(TIMELINE!$C$72*(TIMELINE!$C$72+1)),IF(INPUTS!$O$93="Back-loaded",TIMELINE!G73*2/(TIMELINE!$C$72*(TIMELINE!$C$72+1)),IF(INPUTS!$O$93="S-curve",SIN(PI()*(TIMELINE!G73-0.5)/TIMELINE!$C$72)*SIN(PI()/(2*TIMELINE!$C$72)),0)))))),0)</f>
        <v>0</v>
      </c>
      <c r="H70" s="118" t="n">
        <f aca="false">IF(INPUTS!$E$93="Yes",IF(OR(TIMELINE!H73=0,TIMELINE!$C$72=0),0,IF(INPUTS!$O$93="Upfront",--(TIMELINE!H73=1),IF(INPUTS!$O$93="Even",1/TIMELINE!$C$72,IF(INPUTS!$O$93="Front-loaded",(TIMELINE!$C$72-TIMELINE!H73+1)*2/(TIMELINE!$C$72*(TIMELINE!$C$72+1)),IF(INPUTS!$O$93="Back-loaded",TIMELINE!H73*2/(TIMELINE!$C$72*(TIMELINE!$C$72+1)),IF(INPUTS!$O$93="S-curve",SIN(PI()*(TIMELINE!H73-0.5)/TIMELINE!$C$72)*SIN(PI()/(2*TIMELINE!$C$72)),0)))))),0)</f>
        <v>0</v>
      </c>
      <c r="I70" s="118" t="n">
        <f aca="false">IF(INPUTS!$E$93="Yes",IF(OR(TIMELINE!I73=0,TIMELINE!$C$72=0),0,IF(INPUTS!$O$93="Upfront",--(TIMELINE!I73=1),IF(INPUTS!$O$93="Even",1/TIMELINE!$C$72,IF(INPUTS!$O$93="Front-loaded",(TIMELINE!$C$72-TIMELINE!I73+1)*2/(TIMELINE!$C$72*(TIMELINE!$C$72+1)),IF(INPUTS!$O$93="Back-loaded",TIMELINE!I73*2/(TIMELINE!$C$72*(TIMELINE!$C$72+1)),IF(INPUTS!$O$93="S-curve",SIN(PI()*(TIMELINE!I73-0.5)/TIMELINE!$C$72)*SIN(PI()/(2*TIMELINE!$C$72)),0)))))),0)</f>
        <v>0</v>
      </c>
      <c r="J70" s="118" t="n">
        <f aca="false">IF(INPUTS!$E$93="Yes",IF(OR(TIMELINE!J73=0,TIMELINE!$C$72=0),0,IF(INPUTS!$O$93="Upfront",--(TIMELINE!J73=1),IF(INPUTS!$O$93="Even",1/TIMELINE!$C$72,IF(INPUTS!$O$93="Front-loaded",(TIMELINE!$C$72-TIMELINE!J73+1)*2/(TIMELINE!$C$72*(TIMELINE!$C$72+1)),IF(INPUTS!$O$93="Back-loaded",TIMELINE!J73*2/(TIMELINE!$C$72*(TIMELINE!$C$72+1)),IF(INPUTS!$O$93="S-curve",SIN(PI()*(TIMELINE!J73-0.5)/TIMELINE!$C$72)*SIN(PI()/(2*TIMELINE!$C$72)),0)))))),0)</f>
        <v>0</v>
      </c>
      <c r="K70" s="118" t="n">
        <f aca="false">IF(INPUTS!$E$93="Yes",IF(OR(TIMELINE!K73=0,TIMELINE!$C$72=0),0,IF(INPUTS!$O$93="Upfront",--(TIMELINE!K73=1),IF(INPUTS!$O$93="Even",1/TIMELINE!$C$72,IF(INPUTS!$O$93="Front-loaded",(TIMELINE!$C$72-TIMELINE!K73+1)*2/(TIMELINE!$C$72*(TIMELINE!$C$72+1)),IF(INPUTS!$O$93="Back-loaded",TIMELINE!K73*2/(TIMELINE!$C$72*(TIMELINE!$C$72+1)),IF(INPUTS!$O$93="S-curve",SIN(PI()*(TIMELINE!K73-0.5)/TIMELINE!$C$72)*SIN(PI()/(2*TIMELINE!$C$72)),0)))))),0)</f>
        <v>0</v>
      </c>
      <c r="L70" s="118" t="n">
        <f aca="false">IF(INPUTS!$E$93="Yes",IF(OR(TIMELINE!L73=0,TIMELINE!$C$72=0),0,IF(INPUTS!$O$93="Upfront",--(TIMELINE!L73=1),IF(INPUTS!$O$93="Even",1/TIMELINE!$C$72,IF(INPUTS!$O$93="Front-loaded",(TIMELINE!$C$72-TIMELINE!L73+1)*2/(TIMELINE!$C$72*(TIMELINE!$C$72+1)),IF(INPUTS!$O$93="Back-loaded",TIMELINE!L73*2/(TIMELINE!$C$72*(TIMELINE!$C$72+1)),IF(INPUTS!$O$93="S-curve",SIN(PI()*(TIMELINE!L73-0.5)/TIMELINE!$C$72)*SIN(PI()/(2*TIMELINE!$C$72)),0)))))),0)</f>
        <v>0</v>
      </c>
      <c r="M70" s="118" t="n">
        <f aca="false">IF(INPUTS!$E$93="Yes",IF(OR(TIMELINE!M73=0,TIMELINE!$C$72=0),0,IF(INPUTS!$O$93="Upfront",--(TIMELINE!M73=1),IF(INPUTS!$O$93="Even",1/TIMELINE!$C$72,IF(INPUTS!$O$93="Front-loaded",(TIMELINE!$C$72-TIMELINE!M73+1)*2/(TIMELINE!$C$72*(TIMELINE!$C$72+1)),IF(INPUTS!$O$93="Back-loaded",TIMELINE!M73*2/(TIMELINE!$C$72*(TIMELINE!$C$72+1)),IF(INPUTS!$O$93="S-curve",SIN(PI()*(TIMELINE!M73-0.5)/TIMELINE!$C$72)*SIN(PI()/(2*TIMELINE!$C$72)),0)))))),0)</f>
        <v>0</v>
      </c>
      <c r="N70" s="118" t="n">
        <f aca="false">IF(INPUTS!$E$93="Yes",IF(OR(TIMELINE!N73=0,TIMELINE!$C$72=0),0,IF(INPUTS!$O$93="Upfront",--(TIMELINE!N73=1),IF(INPUTS!$O$93="Even",1/TIMELINE!$C$72,IF(INPUTS!$O$93="Front-loaded",(TIMELINE!$C$72-TIMELINE!N73+1)*2/(TIMELINE!$C$72*(TIMELINE!$C$72+1)),IF(INPUTS!$O$93="Back-loaded",TIMELINE!N73*2/(TIMELINE!$C$72*(TIMELINE!$C$72+1)),IF(INPUTS!$O$93="S-curve",SIN(PI()*(TIMELINE!N73-0.5)/TIMELINE!$C$72)*SIN(PI()/(2*TIMELINE!$C$72)),0)))))),0)</f>
        <v>0</v>
      </c>
      <c r="O70" s="118" t="n">
        <f aca="false">IF(INPUTS!$E$93="Yes",IF(OR(TIMELINE!O73=0,TIMELINE!$C$72=0),0,IF(INPUTS!$O$93="Upfront",--(TIMELINE!O73=1),IF(INPUTS!$O$93="Even",1/TIMELINE!$C$72,IF(INPUTS!$O$93="Front-loaded",(TIMELINE!$C$72-TIMELINE!O73+1)*2/(TIMELINE!$C$72*(TIMELINE!$C$72+1)),IF(INPUTS!$O$93="Back-loaded",TIMELINE!O73*2/(TIMELINE!$C$72*(TIMELINE!$C$72+1)),IF(INPUTS!$O$93="S-curve",SIN(PI()*(TIMELINE!O73-0.5)/TIMELINE!$C$72)*SIN(PI()/(2*TIMELINE!$C$72)),0)))))),0)</f>
        <v>0</v>
      </c>
      <c r="P70" s="118" t="n">
        <f aca="false">IF(INPUTS!$E$93="Yes",IF(OR(TIMELINE!P73=0,TIMELINE!$C$72=0),0,IF(INPUTS!$O$93="Upfront",--(TIMELINE!P73=1),IF(INPUTS!$O$93="Even",1/TIMELINE!$C$72,IF(INPUTS!$O$93="Front-loaded",(TIMELINE!$C$72-TIMELINE!P73+1)*2/(TIMELINE!$C$72*(TIMELINE!$C$72+1)),IF(INPUTS!$O$93="Back-loaded",TIMELINE!P73*2/(TIMELINE!$C$72*(TIMELINE!$C$72+1)),IF(INPUTS!$O$93="S-curve",SIN(PI()*(TIMELINE!P73-0.5)/TIMELINE!$C$72)*SIN(PI()/(2*TIMELINE!$C$72)),0)))))),0)</f>
        <v>0</v>
      </c>
      <c r="Q70" s="118" t="n">
        <f aca="false">IF(INPUTS!$E$93="Yes",IF(OR(TIMELINE!Q73=0,TIMELINE!$C$72=0),0,IF(INPUTS!$O$93="Upfront",--(TIMELINE!Q73=1),IF(INPUTS!$O$93="Even",1/TIMELINE!$C$72,IF(INPUTS!$O$93="Front-loaded",(TIMELINE!$C$72-TIMELINE!Q73+1)*2/(TIMELINE!$C$72*(TIMELINE!$C$72+1)),IF(INPUTS!$O$93="Back-loaded",TIMELINE!Q73*2/(TIMELINE!$C$72*(TIMELINE!$C$72+1)),IF(INPUTS!$O$93="S-curve",SIN(PI()*(TIMELINE!Q73-0.5)/TIMELINE!$C$72)*SIN(PI()/(2*TIMELINE!$C$72)),0)))))),0)</f>
        <v>0</v>
      </c>
      <c r="R70" s="118" t="n">
        <f aca="false">IF(INPUTS!$E$93="Yes",IF(OR(TIMELINE!R73=0,TIMELINE!$C$72=0),0,IF(INPUTS!$O$93="Upfront",--(TIMELINE!R73=1),IF(INPUTS!$O$93="Even",1/TIMELINE!$C$72,IF(INPUTS!$O$93="Front-loaded",(TIMELINE!$C$72-TIMELINE!R73+1)*2/(TIMELINE!$C$72*(TIMELINE!$C$72+1)),IF(INPUTS!$O$93="Back-loaded",TIMELINE!R73*2/(TIMELINE!$C$72*(TIMELINE!$C$72+1)),IF(INPUTS!$O$93="S-curve",SIN(PI()*(TIMELINE!R73-0.5)/TIMELINE!$C$72)*SIN(PI()/(2*TIMELINE!$C$72)),0)))))),0)</f>
        <v>0</v>
      </c>
      <c r="S70" s="118" t="n">
        <f aca="false">IF(INPUTS!$E$93="Yes",IF(OR(TIMELINE!S73=0,TIMELINE!$C$72=0),0,IF(INPUTS!$O$93="Upfront",--(TIMELINE!S73=1),IF(INPUTS!$O$93="Even",1/TIMELINE!$C$72,IF(INPUTS!$O$93="Front-loaded",(TIMELINE!$C$72-TIMELINE!S73+1)*2/(TIMELINE!$C$72*(TIMELINE!$C$72+1)),IF(INPUTS!$O$93="Back-loaded",TIMELINE!S73*2/(TIMELINE!$C$72*(TIMELINE!$C$72+1)),IF(INPUTS!$O$93="S-curve",SIN(PI()*(TIMELINE!S73-0.5)/TIMELINE!$C$72)*SIN(PI()/(2*TIMELINE!$C$72)),0)))))),0)</f>
        <v>0</v>
      </c>
      <c r="T70" s="118" t="n">
        <f aca="false">IF(INPUTS!$E$93="Yes",IF(OR(TIMELINE!T73=0,TIMELINE!$C$72=0),0,IF(INPUTS!$O$93="Upfront",--(TIMELINE!T73=1),IF(INPUTS!$O$93="Even",1/TIMELINE!$C$72,IF(INPUTS!$O$93="Front-loaded",(TIMELINE!$C$72-TIMELINE!T73+1)*2/(TIMELINE!$C$72*(TIMELINE!$C$72+1)),IF(INPUTS!$O$93="Back-loaded",TIMELINE!T73*2/(TIMELINE!$C$72*(TIMELINE!$C$72+1)),IF(INPUTS!$O$93="S-curve",SIN(PI()*(TIMELINE!T73-0.5)/TIMELINE!$C$72)*SIN(PI()/(2*TIMELINE!$C$72)),0)))))),0)</f>
        <v>0</v>
      </c>
      <c r="U70" s="118" t="n">
        <f aca="false">IF(INPUTS!$E$93="Yes",IF(OR(TIMELINE!U73=0,TIMELINE!$C$72=0),0,IF(INPUTS!$O$93="Upfront",--(TIMELINE!U73=1),IF(INPUTS!$O$93="Even",1/TIMELINE!$C$72,IF(INPUTS!$O$93="Front-loaded",(TIMELINE!$C$72-TIMELINE!U73+1)*2/(TIMELINE!$C$72*(TIMELINE!$C$72+1)),IF(INPUTS!$O$93="Back-loaded",TIMELINE!U73*2/(TIMELINE!$C$72*(TIMELINE!$C$72+1)),IF(INPUTS!$O$93="S-curve",SIN(PI()*(TIMELINE!U73-0.5)/TIMELINE!$C$72)*SIN(PI()/(2*TIMELINE!$C$72)),0)))))),0)</f>
        <v>0</v>
      </c>
      <c r="V70" s="118" t="n">
        <f aca="false">IF(INPUTS!$E$93="Yes",IF(OR(TIMELINE!V73=0,TIMELINE!$C$72=0),0,IF(INPUTS!$O$93="Upfront",--(TIMELINE!V73=1),IF(INPUTS!$O$93="Even",1/TIMELINE!$C$72,IF(INPUTS!$O$93="Front-loaded",(TIMELINE!$C$72-TIMELINE!V73+1)*2/(TIMELINE!$C$72*(TIMELINE!$C$72+1)),IF(INPUTS!$O$93="Back-loaded",TIMELINE!V73*2/(TIMELINE!$C$72*(TIMELINE!$C$72+1)),IF(INPUTS!$O$93="S-curve",SIN(PI()*(TIMELINE!V73-0.5)/TIMELINE!$C$72)*SIN(PI()/(2*TIMELINE!$C$72)),0)))))),0)</f>
        <v>0</v>
      </c>
      <c r="W70" s="118" t="n">
        <f aca="false">IF(INPUTS!$E$93="Yes",IF(OR(TIMELINE!W73=0,TIMELINE!$C$72=0),0,IF(INPUTS!$O$93="Upfront",--(TIMELINE!W73=1),IF(INPUTS!$O$93="Even",1/TIMELINE!$C$72,IF(INPUTS!$O$93="Front-loaded",(TIMELINE!$C$72-TIMELINE!W73+1)*2/(TIMELINE!$C$72*(TIMELINE!$C$72+1)),IF(INPUTS!$O$93="Back-loaded",TIMELINE!W73*2/(TIMELINE!$C$72*(TIMELINE!$C$72+1)),IF(INPUTS!$O$93="S-curve",SIN(PI()*(TIMELINE!W73-0.5)/TIMELINE!$C$72)*SIN(PI()/(2*TIMELINE!$C$72)),0)))))),0)</f>
        <v>0</v>
      </c>
      <c r="X70" s="118" t="n">
        <f aca="false">IF(INPUTS!$E$93="Yes",IF(OR(TIMELINE!X73=0,TIMELINE!$C$72=0),0,IF(INPUTS!$O$93="Upfront",--(TIMELINE!X73=1),IF(INPUTS!$O$93="Even",1/TIMELINE!$C$72,IF(INPUTS!$O$93="Front-loaded",(TIMELINE!$C$72-TIMELINE!X73+1)*2/(TIMELINE!$C$72*(TIMELINE!$C$72+1)),IF(INPUTS!$O$93="Back-loaded",TIMELINE!X73*2/(TIMELINE!$C$72*(TIMELINE!$C$72+1)),IF(INPUTS!$O$93="S-curve",SIN(PI()*(TIMELINE!X73-0.5)/TIMELINE!$C$72)*SIN(PI()/(2*TIMELINE!$C$72)),0)))))),0)</f>
        <v>0</v>
      </c>
      <c r="Y70" s="118" t="n">
        <f aca="false">IF(INPUTS!$E$93="Yes",IF(OR(TIMELINE!Y73=0,TIMELINE!$C$72=0),0,IF(INPUTS!$O$93="Upfront",--(TIMELINE!Y73=1),IF(INPUTS!$O$93="Even",1/TIMELINE!$C$72,IF(INPUTS!$O$93="Front-loaded",(TIMELINE!$C$72-TIMELINE!Y73+1)*2/(TIMELINE!$C$72*(TIMELINE!$C$72+1)),IF(INPUTS!$O$93="Back-loaded",TIMELINE!Y73*2/(TIMELINE!$C$72*(TIMELINE!$C$72+1)),IF(INPUTS!$O$93="S-curve",SIN(PI()*(TIMELINE!Y73-0.5)/TIMELINE!$C$72)*SIN(PI()/(2*TIMELINE!$C$72)),0)))))),0)</f>
        <v>0</v>
      </c>
      <c r="Z70" s="118" t="n">
        <f aca="false">IF(INPUTS!$E$93="Yes",IF(OR(TIMELINE!Z73=0,TIMELINE!$C$72=0),0,IF(INPUTS!$O$93="Upfront",--(TIMELINE!Z73=1),IF(INPUTS!$O$93="Even",1/TIMELINE!$C$72,IF(INPUTS!$O$93="Front-loaded",(TIMELINE!$C$72-TIMELINE!Z73+1)*2/(TIMELINE!$C$72*(TIMELINE!$C$72+1)),IF(INPUTS!$O$93="Back-loaded",TIMELINE!Z73*2/(TIMELINE!$C$72*(TIMELINE!$C$72+1)),IF(INPUTS!$O$93="S-curve",SIN(PI()*(TIMELINE!Z73-0.5)/TIMELINE!$C$72)*SIN(PI()/(2*TIMELINE!$C$72)),0)))))),0)</f>
        <v>0</v>
      </c>
      <c r="AA70" s="118" t="n">
        <f aca="false">IF(INPUTS!$E$93="Yes",IF(OR(TIMELINE!AA73=0,TIMELINE!$C$72=0),0,IF(INPUTS!$O$93="Upfront",--(TIMELINE!AA73=1),IF(INPUTS!$O$93="Even",1/TIMELINE!$C$72,IF(INPUTS!$O$93="Front-loaded",(TIMELINE!$C$72-TIMELINE!AA73+1)*2/(TIMELINE!$C$72*(TIMELINE!$C$72+1)),IF(INPUTS!$O$93="Back-loaded",TIMELINE!AA73*2/(TIMELINE!$C$72*(TIMELINE!$C$72+1)),IF(INPUTS!$O$93="S-curve",SIN(PI()*(TIMELINE!AA73-0.5)/TIMELINE!$C$72)*SIN(PI()/(2*TIMELINE!$C$72)),0)))))),0)</f>
        <v>0</v>
      </c>
      <c r="AB70" s="118" t="n">
        <f aca="false">IF(INPUTS!$E$93="Yes",IF(OR(TIMELINE!AB73=0,TIMELINE!$C$72=0),0,IF(INPUTS!$O$93="Upfront",--(TIMELINE!AB73=1),IF(INPUTS!$O$93="Even",1/TIMELINE!$C$72,IF(INPUTS!$O$93="Front-loaded",(TIMELINE!$C$72-TIMELINE!AB73+1)*2/(TIMELINE!$C$72*(TIMELINE!$C$72+1)),IF(INPUTS!$O$93="Back-loaded",TIMELINE!AB73*2/(TIMELINE!$C$72*(TIMELINE!$C$72+1)),IF(INPUTS!$O$93="S-curve",SIN(PI()*(TIMELINE!AB73-0.5)/TIMELINE!$C$72)*SIN(PI()/(2*TIMELINE!$C$72)),0)))))),0)</f>
        <v>0</v>
      </c>
      <c r="AC70" s="118" t="n">
        <f aca="false">IF(INPUTS!$E$93="Yes",IF(OR(TIMELINE!AC73=0,TIMELINE!$C$72=0),0,IF(INPUTS!$O$93="Upfront",--(TIMELINE!AC73=1),IF(INPUTS!$O$93="Even",1/TIMELINE!$C$72,IF(INPUTS!$O$93="Front-loaded",(TIMELINE!$C$72-TIMELINE!AC73+1)*2/(TIMELINE!$C$72*(TIMELINE!$C$72+1)),IF(INPUTS!$O$93="Back-loaded",TIMELINE!AC73*2/(TIMELINE!$C$72*(TIMELINE!$C$72+1)),IF(INPUTS!$O$93="S-curve",SIN(PI()*(TIMELINE!AC73-0.5)/TIMELINE!$C$72)*SIN(PI()/(2*TIMELINE!$C$72)),0)))))),0)</f>
        <v>0</v>
      </c>
      <c r="AD70" s="118" t="n">
        <f aca="false">IF(INPUTS!$E$93="Yes",IF(OR(TIMELINE!AD73=0,TIMELINE!$C$72=0),0,IF(INPUTS!$O$93="Upfront",--(TIMELINE!AD73=1),IF(INPUTS!$O$93="Even",1/TIMELINE!$C$72,IF(INPUTS!$O$93="Front-loaded",(TIMELINE!$C$72-TIMELINE!AD73+1)*2/(TIMELINE!$C$72*(TIMELINE!$C$72+1)),IF(INPUTS!$O$93="Back-loaded",TIMELINE!AD73*2/(TIMELINE!$C$72*(TIMELINE!$C$72+1)),IF(INPUTS!$O$93="S-curve",SIN(PI()*(TIMELINE!AD73-0.5)/TIMELINE!$C$72)*SIN(PI()/(2*TIMELINE!$C$72)),0)))))),0)</f>
        <v>0</v>
      </c>
      <c r="AE70" s="118" t="n">
        <f aca="false">IF(INPUTS!$E$93="Yes",IF(OR(TIMELINE!AE73=0,TIMELINE!$C$72=0),0,IF(INPUTS!$O$93="Upfront",--(TIMELINE!AE73=1),IF(INPUTS!$O$93="Even",1/TIMELINE!$C$72,IF(INPUTS!$O$93="Front-loaded",(TIMELINE!$C$72-TIMELINE!AE73+1)*2/(TIMELINE!$C$72*(TIMELINE!$C$72+1)),IF(INPUTS!$O$93="Back-loaded",TIMELINE!AE73*2/(TIMELINE!$C$72*(TIMELINE!$C$72+1)),IF(INPUTS!$O$93="S-curve",SIN(PI()*(TIMELINE!AE73-0.5)/TIMELINE!$C$72)*SIN(PI()/(2*TIMELINE!$C$72)),0)))))),0)</f>
        <v>0</v>
      </c>
      <c r="AF70" s="118" t="n">
        <f aca="false">IF(INPUTS!$E$93="Yes",IF(OR(TIMELINE!AF73=0,TIMELINE!$C$72=0),0,IF(INPUTS!$O$93="Upfront",--(TIMELINE!AF73=1),IF(INPUTS!$O$93="Even",1/TIMELINE!$C$72,IF(INPUTS!$O$93="Front-loaded",(TIMELINE!$C$72-TIMELINE!AF73+1)*2/(TIMELINE!$C$72*(TIMELINE!$C$72+1)),IF(INPUTS!$O$93="Back-loaded",TIMELINE!AF73*2/(TIMELINE!$C$72*(TIMELINE!$C$72+1)),IF(INPUTS!$O$93="S-curve",SIN(PI()*(TIMELINE!AF73-0.5)/TIMELINE!$C$72)*SIN(PI()/(2*TIMELINE!$C$72)),0)))))),0)</f>
        <v>0</v>
      </c>
      <c r="AG70" s="118" t="n">
        <f aca="false">IF(INPUTS!$E$93="Yes",IF(OR(TIMELINE!AG73=0,TIMELINE!$C$72=0),0,IF(INPUTS!$O$93="Upfront",--(TIMELINE!AG73=1),IF(INPUTS!$O$93="Even",1/TIMELINE!$C$72,IF(INPUTS!$O$93="Front-loaded",(TIMELINE!$C$72-TIMELINE!AG73+1)*2/(TIMELINE!$C$72*(TIMELINE!$C$72+1)),IF(INPUTS!$O$93="Back-loaded",TIMELINE!AG73*2/(TIMELINE!$C$72*(TIMELINE!$C$72+1)),IF(INPUTS!$O$93="S-curve",SIN(PI()*(TIMELINE!AG73-0.5)/TIMELINE!$C$72)*SIN(PI()/(2*TIMELINE!$C$72)),0)))))),0)</f>
        <v>0</v>
      </c>
      <c r="AH70" s="118" t="n">
        <f aca="false">IF(INPUTS!$E$93="Yes",IF(OR(TIMELINE!AH73=0,TIMELINE!$C$72=0),0,IF(INPUTS!$O$93="Upfront",--(TIMELINE!AH73=1),IF(INPUTS!$O$93="Even",1/TIMELINE!$C$72,IF(INPUTS!$O$93="Front-loaded",(TIMELINE!$C$72-TIMELINE!AH73+1)*2/(TIMELINE!$C$72*(TIMELINE!$C$72+1)),IF(INPUTS!$O$93="Back-loaded",TIMELINE!AH73*2/(TIMELINE!$C$72*(TIMELINE!$C$72+1)),IF(INPUTS!$O$93="S-curve",SIN(PI()*(TIMELINE!AH73-0.5)/TIMELINE!$C$72)*SIN(PI()/(2*TIMELINE!$C$72)),0)))))),0)</f>
        <v>0</v>
      </c>
      <c r="AI70" s="118" t="n">
        <f aca="false">IF(INPUTS!$E$93="Yes",IF(OR(TIMELINE!AI73=0,TIMELINE!$C$72=0),0,IF(INPUTS!$O$93="Upfront",--(TIMELINE!AI73=1),IF(INPUTS!$O$93="Even",1/TIMELINE!$C$72,IF(INPUTS!$O$93="Front-loaded",(TIMELINE!$C$72-TIMELINE!AI73+1)*2/(TIMELINE!$C$72*(TIMELINE!$C$72+1)),IF(INPUTS!$O$93="Back-loaded",TIMELINE!AI73*2/(TIMELINE!$C$72*(TIMELINE!$C$72+1)),IF(INPUTS!$O$93="S-curve",SIN(PI()*(TIMELINE!AI73-0.5)/TIMELINE!$C$72)*SIN(PI()/(2*TIMELINE!$C$72)),0)))))),0)</f>
        <v>0</v>
      </c>
      <c r="AJ70" s="118" t="n">
        <f aca="false">IF(INPUTS!$E$93="Yes",IF(OR(TIMELINE!AJ73=0,TIMELINE!$C$72=0),0,IF(INPUTS!$O$93="Upfront",--(TIMELINE!AJ73=1),IF(INPUTS!$O$93="Even",1/TIMELINE!$C$72,IF(INPUTS!$O$93="Front-loaded",(TIMELINE!$C$72-TIMELINE!AJ73+1)*2/(TIMELINE!$C$72*(TIMELINE!$C$72+1)),IF(INPUTS!$O$93="Back-loaded",TIMELINE!AJ73*2/(TIMELINE!$C$72*(TIMELINE!$C$72+1)),IF(INPUTS!$O$93="S-curve",SIN(PI()*(TIMELINE!AJ73-0.5)/TIMELINE!$C$72)*SIN(PI()/(2*TIMELINE!$C$72)),0)))))),0)</f>
        <v>0</v>
      </c>
      <c r="AK70" s="118" t="n">
        <f aca="false">IF(INPUTS!$E$93="Yes",IF(OR(TIMELINE!AK73=0,TIMELINE!$C$72=0),0,IF(INPUTS!$O$93="Upfront",--(TIMELINE!AK73=1),IF(INPUTS!$O$93="Even",1/TIMELINE!$C$72,IF(INPUTS!$O$93="Front-loaded",(TIMELINE!$C$72-TIMELINE!AK73+1)*2/(TIMELINE!$C$72*(TIMELINE!$C$72+1)),IF(INPUTS!$O$93="Back-loaded",TIMELINE!AK73*2/(TIMELINE!$C$72*(TIMELINE!$C$72+1)),IF(INPUTS!$O$93="S-curve",SIN(PI()*(TIMELINE!AK73-0.5)/TIMELINE!$C$72)*SIN(PI()/(2*TIMELINE!$C$72)),0)))))),0)</f>
        <v>0</v>
      </c>
      <c r="AL70" s="118" t="n">
        <f aca="false">IF(INPUTS!$E$93="Yes",IF(OR(TIMELINE!AL73=0,TIMELINE!$C$72=0),0,IF(INPUTS!$O$93="Upfront",--(TIMELINE!AL73=1),IF(INPUTS!$O$93="Even",1/TIMELINE!$C$72,IF(INPUTS!$O$93="Front-loaded",(TIMELINE!$C$72-TIMELINE!AL73+1)*2/(TIMELINE!$C$72*(TIMELINE!$C$72+1)),IF(INPUTS!$O$93="Back-loaded",TIMELINE!AL73*2/(TIMELINE!$C$72*(TIMELINE!$C$72+1)),IF(INPUTS!$O$93="S-curve",SIN(PI()*(TIMELINE!AL73-0.5)/TIMELINE!$C$72)*SIN(PI()/(2*TIMELINE!$C$72)),0)))))),0)</f>
        <v>0</v>
      </c>
      <c r="AM70" s="118" t="n">
        <f aca="false">IF(INPUTS!$E$93="Yes",IF(OR(TIMELINE!AM73=0,TIMELINE!$C$72=0),0,IF(INPUTS!$O$93="Upfront",--(TIMELINE!AM73=1),IF(INPUTS!$O$93="Even",1/TIMELINE!$C$72,IF(INPUTS!$O$93="Front-loaded",(TIMELINE!$C$72-TIMELINE!AM73+1)*2/(TIMELINE!$C$72*(TIMELINE!$C$72+1)),IF(INPUTS!$O$93="Back-loaded",TIMELINE!AM73*2/(TIMELINE!$C$72*(TIMELINE!$C$72+1)),IF(INPUTS!$O$93="S-curve",SIN(PI()*(TIMELINE!AM73-0.5)/TIMELINE!$C$72)*SIN(PI()/(2*TIMELINE!$C$72)),0)))))),0)</f>
        <v>0</v>
      </c>
      <c r="AN70" s="118" t="n">
        <f aca="false">IF(INPUTS!$E$93="Yes",IF(OR(TIMELINE!AN73=0,TIMELINE!$C$72=0),0,IF(INPUTS!$O$93="Upfront",--(TIMELINE!AN73=1),IF(INPUTS!$O$93="Even",1/TIMELINE!$C$72,IF(INPUTS!$O$93="Front-loaded",(TIMELINE!$C$72-TIMELINE!AN73+1)*2/(TIMELINE!$C$72*(TIMELINE!$C$72+1)),IF(INPUTS!$O$93="Back-loaded",TIMELINE!AN73*2/(TIMELINE!$C$72*(TIMELINE!$C$72+1)),IF(INPUTS!$O$93="S-curve",SIN(PI()*(TIMELINE!AN73-0.5)/TIMELINE!$C$72)*SIN(PI()/(2*TIMELINE!$C$72)),0)))))),0)</f>
        <v>0</v>
      </c>
      <c r="AO70" s="118" t="n">
        <f aca="false">IF(INPUTS!$E$93="Yes",IF(OR(TIMELINE!AO73=0,TIMELINE!$C$72=0),0,IF(INPUTS!$O$93="Upfront",--(TIMELINE!AO73=1),IF(INPUTS!$O$93="Even",1/TIMELINE!$C$72,IF(INPUTS!$O$93="Front-loaded",(TIMELINE!$C$72-TIMELINE!AO73+1)*2/(TIMELINE!$C$72*(TIMELINE!$C$72+1)),IF(INPUTS!$O$93="Back-loaded",TIMELINE!AO73*2/(TIMELINE!$C$72*(TIMELINE!$C$72+1)),IF(INPUTS!$O$93="S-curve",SIN(PI()*(TIMELINE!AO73-0.5)/TIMELINE!$C$72)*SIN(PI()/(2*TIMELINE!$C$72)),0)))))),0)</f>
        <v>0</v>
      </c>
      <c r="AP70" s="118" t="n">
        <f aca="false">IF(INPUTS!$E$93="Yes",IF(OR(TIMELINE!AP73=0,TIMELINE!$C$72=0),0,IF(INPUTS!$O$93="Upfront",--(TIMELINE!AP73=1),IF(INPUTS!$O$93="Even",1/TIMELINE!$C$72,IF(INPUTS!$O$93="Front-loaded",(TIMELINE!$C$72-TIMELINE!AP73+1)*2/(TIMELINE!$C$72*(TIMELINE!$C$72+1)),IF(INPUTS!$O$93="Back-loaded",TIMELINE!AP73*2/(TIMELINE!$C$72*(TIMELINE!$C$72+1)),IF(INPUTS!$O$93="S-curve",SIN(PI()*(TIMELINE!AP73-0.5)/TIMELINE!$C$72)*SIN(PI()/(2*TIMELINE!$C$72)),0)))))),0)</f>
        <v>0</v>
      </c>
      <c r="AQ70" s="118" t="n">
        <f aca="false">IF(INPUTS!$E$93="Yes",IF(OR(TIMELINE!AQ73=0,TIMELINE!$C$72=0),0,IF(INPUTS!$O$93="Upfront",--(TIMELINE!AQ73=1),IF(INPUTS!$O$93="Even",1/TIMELINE!$C$72,IF(INPUTS!$O$93="Front-loaded",(TIMELINE!$C$72-TIMELINE!AQ73+1)*2/(TIMELINE!$C$72*(TIMELINE!$C$72+1)),IF(INPUTS!$O$93="Back-loaded",TIMELINE!AQ73*2/(TIMELINE!$C$72*(TIMELINE!$C$72+1)),IF(INPUTS!$O$93="S-curve",SIN(PI()*(TIMELINE!AQ73-0.5)/TIMELINE!$C$72)*SIN(PI()/(2*TIMELINE!$C$72)),0)))))),0)</f>
        <v>0</v>
      </c>
    </row>
    <row r="71" customFormat="false" ht="15" hidden="false" customHeight="false" outlineLevel="0" collapsed="false">
      <c r="B71" s="3" t="s">
        <v>673</v>
      </c>
      <c r="D71" s="118" t="n">
        <f aca="false">SUM($D70:D70)</f>
        <v>0</v>
      </c>
      <c r="E71" s="118" t="n">
        <f aca="false">SUM($D70:E70)</f>
        <v>0</v>
      </c>
      <c r="F71" s="118" t="n">
        <f aca="false">SUM($D70:F70)</f>
        <v>0</v>
      </c>
      <c r="G71" s="118" t="n">
        <f aca="false">SUM($D70:G70)</f>
        <v>0</v>
      </c>
      <c r="H71" s="118" t="n">
        <f aca="false">SUM($D70:H70)</f>
        <v>0</v>
      </c>
      <c r="I71" s="118" t="n">
        <f aca="false">SUM($D70:I70)</f>
        <v>0</v>
      </c>
      <c r="J71" s="118" t="n">
        <f aca="false">SUM($D70:J70)</f>
        <v>0</v>
      </c>
      <c r="K71" s="118" t="n">
        <f aca="false">SUM($D70:K70)</f>
        <v>0</v>
      </c>
      <c r="L71" s="118" t="n">
        <f aca="false">SUM($D70:L70)</f>
        <v>0</v>
      </c>
      <c r="M71" s="118" t="n">
        <f aca="false">SUM($D70:M70)</f>
        <v>0</v>
      </c>
      <c r="N71" s="118" t="n">
        <f aca="false">SUM($D70:N70)</f>
        <v>0</v>
      </c>
      <c r="O71" s="118" t="n">
        <f aca="false">SUM($D70:O70)</f>
        <v>0</v>
      </c>
      <c r="P71" s="118" t="n">
        <f aca="false">SUM($D70:P70)</f>
        <v>0</v>
      </c>
      <c r="Q71" s="118" t="n">
        <f aca="false">SUM($D70:Q70)</f>
        <v>0</v>
      </c>
      <c r="R71" s="118" t="n">
        <f aca="false">SUM($D70:R70)</f>
        <v>0</v>
      </c>
      <c r="S71" s="118" t="n">
        <f aca="false">SUM($D70:S70)</f>
        <v>0</v>
      </c>
      <c r="T71" s="118" t="n">
        <f aca="false">SUM($D70:T70)</f>
        <v>0</v>
      </c>
      <c r="U71" s="118" t="n">
        <f aca="false">SUM($D70:U70)</f>
        <v>0</v>
      </c>
      <c r="V71" s="118" t="n">
        <f aca="false">SUM($D70:V70)</f>
        <v>0</v>
      </c>
      <c r="W71" s="118" t="n">
        <f aca="false">SUM($D70:W70)</f>
        <v>0</v>
      </c>
      <c r="X71" s="118" t="n">
        <f aca="false">SUM($D70:X70)</f>
        <v>0</v>
      </c>
      <c r="Y71" s="118" t="n">
        <f aca="false">SUM($D70:Y70)</f>
        <v>0</v>
      </c>
      <c r="Z71" s="118" t="n">
        <f aca="false">SUM($D70:Z70)</f>
        <v>0</v>
      </c>
      <c r="AA71" s="118" t="n">
        <f aca="false">SUM($D70:AA70)</f>
        <v>0</v>
      </c>
      <c r="AB71" s="118" t="n">
        <f aca="false">SUM($D70:AB70)</f>
        <v>0</v>
      </c>
      <c r="AC71" s="118" t="n">
        <f aca="false">SUM($D70:AC70)</f>
        <v>0</v>
      </c>
      <c r="AD71" s="118" t="n">
        <f aca="false">SUM($D70:AD70)</f>
        <v>0</v>
      </c>
      <c r="AE71" s="118" t="n">
        <f aca="false">SUM($D70:AE70)</f>
        <v>0</v>
      </c>
      <c r="AF71" s="118" t="n">
        <f aca="false">SUM($D70:AF70)</f>
        <v>0</v>
      </c>
      <c r="AG71" s="118" t="n">
        <f aca="false">SUM($D70:AG70)</f>
        <v>0</v>
      </c>
      <c r="AH71" s="118" t="n">
        <f aca="false">SUM($D70:AH70)</f>
        <v>0</v>
      </c>
      <c r="AI71" s="118" t="n">
        <f aca="false">SUM($D70:AI70)</f>
        <v>0</v>
      </c>
      <c r="AJ71" s="118" t="n">
        <f aca="false">SUM($D70:AJ70)</f>
        <v>0</v>
      </c>
      <c r="AK71" s="118" t="n">
        <f aca="false">SUM($D70:AK70)</f>
        <v>0</v>
      </c>
      <c r="AL71" s="118" t="n">
        <f aca="false">SUM($D70:AL70)</f>
        <v>0</v>
      </c>
      <c r="AM71" s="118" t="n">
        <f aca="false">SUM($D70:AM70)</f>
        <v>0</v>
      </c>
      <c r="AN71" s="118" t="n">
        <f aca="false">SUM($D70:AN70)</f>
        <v>0</v>
      </c>
      <c r="AO71" s="118" t="n">
        <f aca="false">SUM($D70:AO70)</f>
        <v>0</v>
      </c>
      <c r="AP71" s="118" t="n">
        <f aca="false">SUM($D70:AP70)</f>
        <v>0</v>
      </c>
      <c r="AQ71" s="118" t="n">
        <f aca="false">SUM($D70:AQ70)</f>
        <v>0</v>
      </c>
    </row>
    <row r="72" customFormat="false" ht="15" hidden="false" customHeight="false" outlineLevel="0" collapsed="false">
      <c r="B72" s="17" t="s">
        <v>674</v>
      </c>
      <c r="C72" s="105" t="str">
        <f aca="false">IF(NOT(INPUTS!$E$93="Yes"),"Off",IF(AND(ABS(C68-1)&lt;0.000000001,ABS(C70-1)&lt;0.000000001,ABS(AQ71-1)&lt;0.000000001),"OK","ERROR"))</f>
        <v>Off</v>
      </c>
    </row>
    <row r="73" customFormat="false" ht="15" hidden="false" customHeight="false" outlineLevel="0" collapsed="false">
      <c r="B73" s="110" t="str">
        <f aca="false">IF(INPUTS!$E$94="Yes",INPUTS!$B$94,"Product row 7 (off)")</f>
        <v>Product row 7 (off)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</row>
    <row r="74" customFormat="false" ht="15" hidden="false" customHeight="false" outlineLevel="0" collapsed="false">
      <c r="B74" s="3" t="s">
        <v>670</v>
      </c>
      <c r="C74" s="117" t="n">
        <f aca="false">SUM(D74:AQ74)</f>
        <v>0</v>
      </c>
      <c r="D74" s="118" t="n">
        <f aca="false">IF(INPUTS!$E$94="Yes",IF(OR(TIMELINE!D78=0,TIMELINE!$C$77=0),0,IF(INPUTS!$K$94="Upfront",--(TIMELINE!D78=1),IF(INPUTS!$K$94="Even",1/TIMELINE!$C$77,IF(INPUTS!$K$94="Front-loaded",(TIMELINE!$C$77-TIMELINE!D78+1)*2/(TIMELINE!$C$77*(TIMELINE!$C$77+1)),IF(INPUTS!$K$94="Back-loaded",TIMELINE!D78*2/(TIMELINE!$C$77*(TIMELINE!$C$77+1)),IF(INPUTS!$K$94="S-curve",SIN(PI()*(TIMELINE!D78-0.5)/TIMELINE!$C$77)*SIN(PI()/(2*TIMELINE!$C$77)),0)))))),0)</f>
        <v>0</v>
      </c>
      <c r="E74" s="118" t="n">
        <f aca="false">IF(INPUTS!$E$94="Yes",IF(OR(TIMELINE!E78=0,TIMELINE!$C$77=0),0,IF(INPUTS!$K$94="Upfront",--(TIMELINE!E78=1),IF(INPUTS!$K$94="Even",1/TIMELINE!$C$77,IF(INPUTS!$K$94="Front-loaded",(TIMELINE!$C$77-TIMELINE!E78+1)*2/(TIMELINE!$C$77*(TIMELINE!$C$77+1)),IF(INPUTS!$K$94="Back-loaded",TIMELINE!E78*2/(TIMELINE!$C$77*(TIMELINE!$C$77+1)),IF(INPUTS!$K$94="S-curve",SIN(PI()*(TIMELINE!E78-0.5)/TIMELINE!$C$77)*SIN(PI()/(2*TIMELINE!$C$77)),0)))))),0)</f>
        <v>0</v>
      </c>
      <c r="F74" s="118" t="n">
        <f aca="false">IF(INPUTS!$E$94="Yes",IF(OR(TIMELINE!F78=0,TIMELINE!$C$77=0),0,IF(INPUTS!$K$94="Upfront",--(TIMELINE!F78=1),IF(INPUTS!$K$94="Even",1/TIMELINE!$C$77,IF(INPUTS!$K$94="Front-loaded",(TIMELINE!$C$77-TIMELINE!F78+1)*2/(TIMELINE!$C$77*(TIMELINE!$C$77+1)),IF(INPUTS!$K$94="Back-loaded",TIMELINE!F78*2/(TIMELINE!$C$77*(TIMELINE!$C$77+1)),IF(INPUTS!$K$94="S-curve",SIN(PI()*(TIMELINE!F78-0.5)/TIMELINE!$C$77)*SIN(PI()/(2*TIMELINE!$C$77)),0)))))),0)</f>
        <v>0</v>
      </c>
      <c r="G74" s="118" t="n">
        <f aca="false">IF(INPUTS!$E$94="Yes",IF(OR(TIMELINE!G78=0,TIMELINE!$C$77=0),0,IF(INPUTS!$K$94="Upfront",--(TIMELINE!G78=1),IF(INPUTS!$K$94="Even",1/TIMELINE!$C$77,IF(INPUTS!$K$94="Front-loaded",(TIMELINE!$C$77-TIMELINE!G78+1)*2/(TIMELINE!$C$77*(TIMELINE!$C$77+1)),IF(INPUTS!$K$94="Back-loaded",TIMELINE!G78*2/(TIMELINE!$C$77*(TIMELINE!$C$77+1)),IF(INPUTS!$K$94="S-curve",SIN(PI()*(TIMELINE!G78-0.5)/TIMELINE!$C$77)*SIN(PI()/(2*TIMELINE!$C$77)),0)))))),0)</f>
        <v>0</v>
      </c>
      <c r="H74" s="118" t="n">
        <f aca="false">IF(INPUTS!$E$94="Yes",IF(OR(TIMELINE!H78=0,TIMELINE!$C$77=0),0,IF(INPUTS!$K$94="Upfront",--(TIMELINE!H78=1),IF(INPUTS!$K$94="Even",1/TIMELINE!$C$77,IF(INPUTS!$K$94="Front-loaded",(TIMELINE!$C$77-TIMELINE!H78+1)*2/(TIMELINE!$C$77*(TIMELINE!$C$77+1)),IF(INPUTS!$K$94="Back-loaded",TIMELINE!H78*2/(TIMELINE!$C$77*(TIMELINE!$C$77+1)),IF(INPUTS!$K$94="S-curve",SIN(PI()*(TIMELINE!H78-0.5)/TIMELINE!$C$77)*SIN(PI()/(2*TIMELINE!$C$77)),0)))))),0)</f>
        <v>0</v>
      </c>
      <c r="I74" s="118" t="n">
        <f aca="false">IF(INPUTS!$E$94="Yes",IF(OR(TIMELINE!I78=0,TIMELINE!$C$77=0),0,IF(INPUTS!$K$94="Upfront",--(TIMELINE!I78=1),IF(INPUTS!$K$94="Even",1/TIMELINE!$C$77,IF(INPUTS!$K$94="Front-loaded",(TIMELINE!$C$77-TIMELINE!I78+1)*2/(TIMELINE!$C$77*(TIMELINE!$C$77+1)),IF(INPUTS!$K$94="Back-loaded",TIMELINE!I78*2/(TIMELINE!$C$77*(TIMELINE!$C$77+1)),IF(INPUTS!$K$94="S-curve",SIN(PI()*(TIMELINE!I78-0.5)/TIMELINE!$C$77)*SIN(PI()/(2*TIMELINE!$C$77)),0)))))),0)</f>
        <v>0</v>
      </c>
      <c r="J74" s="118" t="n">
        <f aca="false">IF(INPUTS!$E$94="Yes",IF(OR(TIMELINE!J78=0,TIMELINE!$C$77=0),0,IF(INPUTS!$K$94="Upfront",--(TIMELINE!J78=1),IF(INPUTS!$K$94="Even",1/TIMELINE!$C$77,IF(INPUTS!$K$94="Front-loaded",(TIMELINE!$C$77-TIMELINE!J78+1)*2/(TIMELINE!$C$77*(TIMELINE!$C$77+1)),IF(INPUTS!$K$94="Back-loaded",TIMELINE!J78*2/(TIMELINE!$C$77*(TIMELINE!$C$77+1)),IF(INPUTS!$K$94="S-curve",SIN(PI()*(TIMELINE!J78-0.5)/TIMELINE!$C$77)*SIN(PI()/(2*TIMELINE!$C$77)),0)))))),0)</f>
        <v>0</v>
      </c>
      <c r="K74" s="118" t="n">
        <f aca="false">IF(INPUTS!$E$94="Yes",IF(OR(TIMELINE!K78=0,TIMELINE!$C$77=0),0,IF(INPUTS!$K$94="Upfront",--(TIMELINE!K78=1),IF(INPUTS!$K$94="Even",1/TIMELINE!$C$77,IF(INPUTS!$K$94="Front-loaded",(TIMELINE!$C$77-TIMELINE!K78+1)*2/(TIMELINE!$C$77*(TIMELINE!$C$77+1)),IF(INPUTS!$K$94="Back-loaded",TIMELINE!K78*2/(TIMELINE!$C$77*(TIMELINE!$C$77+1)),IF(INPUTS!$K$94="S-curve",SIN(PI()*(TIMELINE!K78-0.5)/TIMELINE!$C$77)*SIN(PI()/(2*TIMELINE!$C$77)),0)))))),0)</f>
        <v>0</v>
      </c>
      <c r="L74" s="118" t="n">
        <f aca="false">IF(INPUTS!$E$94="Yes",IF(OR(TIMELINE!L78=0,TIMELINE!$C$77=0),0,IF(INPUTS!$K$94="Upfront",--(TIMELINE!L78=1),IF(INPUTS!$K$94="Even",1/TIMELINE!$C$77,IF(INPUTS!$K$94="Front-loaded",(TIMELINE!$C$77-TIMELINE!L78+1)*2/(TIMELINE!$C$77*(TIMELINE!$C$77+1)),IF(INPUTS!$K$94="Back-loaded",TIMELINE!L78*2/(TIMELINE!$C$77*(TIMELINE!$C$77+1)),IF(INPUTS!$K$94="S-curve",SIN(PI()*(TIMELINE!L78-0.5)/TIMELINE!$C$77)*SIN(PI()/(2*TIMELINE!$C$77)),0)))))),0)</f>
        <v>0</v>
      </c>
      <c r="M74" s="118" t="n">
        <f aca="false">IF(INPUTS!$E$94="Yes",IF(OR(TIMELINE!M78=0,TIMELINE!$C$77=0),0,IF(INPUTS!$K$94="Upfront",--(TIMELINE!M78=1),IF(INPUTS!$K$94="Even",1/TIMELINE!$C$77,IF(INPUTS!$K$94="Front-loaded",(TIMELINE!$C$77-TIMELINE!M78+1)*2/(TIMELINE!$C$77*(TIMELINE!$C$77+1)),IF(INPUTS!$K$94="Back-loaded",TIMELINE!M78*2/(TIMELINE!$C$77*(TIMELINE!$C$77+1)),IF(INPUTS!$K$94="S-curve",SIN(PI()*(TIMELINE!M78-0.5)/TIMELINE!$C$77)*SIN(PI()/(2*TIMELINE!$C$77)),0)))))),0)</f>
        <v>0</v>
      </c>
      <c r="N74" s="118" t="n">
        <f aca="false">IF(INPUTS!$E$94="Yes",IF(OR(TIMELINE!N78=0,TIMELINE!$C$77=0),0,IF(INPUTS!$K$94="Upfront",--(TIMELINE!N78=1),IF(INPUTS!$K$94="Even",1/TIMELINE!$C$77,IF(INPUTS!$K$94="Front-loaded",(TIMELINE!$C$77-TIMELINE!N78+1)*2/(TIMELINE!$C$77*(TIMELINE!$C$77+1)),IF(INPUTS!$K$94="Back-loaded",TIMELINE!N78*2/(TIMELINE!$C$77*(TIMELINE!$C$77+1)),IF(INPUTS!$K$94="S-curve",SIN(PI()*(TIMELINE!N78-0.5)/TIMELINE!$C$77)*SIN(PI()/(2*TIMELINE!$C$77)),0)))))),0)</f>
        <v>0</v>
      </c>
      <c r="O74" s="118" t="n">
        <f aca="false">IF(INPUTS!$E$94="Yes",IF(OR(TIMELINE!O78=0,TIMELINE!$C$77=0),0,IF(INPUTS!$K$94="Upfront",--(TIMELINE!O78=1),IF(INPUTS!$K$94="Even",1/TIMELINE!$C$77,IF(INPUTS!$K$94="Front-loaded",(TIMELINE!$C$77-TIMELINE!O78+1)*2/(TIMELINE!$C$77*(TIMELINE!$C$77+1)),IF(INPUTS!$K$94="Back-loaded",TIMELINE!O78*2/(TIMELINE!$C$77*(TIMELINE!$C$77+1)),IF(INPUTS!$K$94="S-curve",SIN(PI()*(TIMELINE!O78-0.5)/TIMELINE!$C$77)*SIN(PI()/(2*TIMELINE!$C$77)),0)))))),0)</f>
        <v>0</v>
      </c>
      <c r="P74" s="118" t="n">
        <f aca="false">IF(INPUTS!$E$94="Yes",IF(OR(TIMELINE!P78=0,TIMELINE!$C$77=0),0,IF(INPUTS!$K$94="Upfront",--(TIMELINE!P78=1),IF(INPUTS!$K$94="Even",1/TIMELINE!$C$77,IF(INPUTS!$K$94="Front-loaded",(TIMELINE!$C$77-TIMELINE!P78+1)*2/(TIMELINE!$C$77*(TIMELINE!$C$77+1)),IF(INPUTS!$K$94="Back-loaded",TIMELINE!P78*2/(TIMELINE!$C$77*(TIMELINE!$C$77+1)),IF(INPUTS!$K$94="S-curve",SIN(PI()*(TIMELINE!P78-0.5)/TIMELINE!$C$77)*SIN(PI()/(2*TIMELINE!$C$77)),0)))))),0)</f>
        <v>0</v>
      </c>
      <c r="Q74" s="118" t="n">
        <f aca="false">IF(INPUTS!$E$94="Yes",IF(OR(TIMELINE!Q78=0,TIMELINE!$C$77=0),0,IF(INPUTS!$K$94="Upfront",--(TIMELINE!Q78=1),IF(INPUTS!$K$94="Even",1/TIMELINE!$C$77,IF(INPUTS!$K$94="Front-loaded",(TIMELINE!$C$77-TIMELINE!Q78+1)*2/(TIMELINE!$C$77*(TIMELINE!$C$77+1)),IF(INPUTS!$K$94="Back-loaded",TIMELINE!Q78*2/(TIMELINE!$C$77*(TIMELINE!$C$77+1)),IF(INPUTS!$K$94="S-curve",SIN(PI()*(TIMELINE!Q78-0.5)/TIMELINE!$C$77)*SIN(PI()/(2*TIMELINE!$C$77)),0)))))),0)</f>
        <v>0</v>
      </c>
      <c r="R74" s="118" t="n">
        <f aca="false">IF(INPUTS!$E$94="Yes",IF(OR(TIMELINE!R78=0,TIMELINE!$C$77=0),0,IF(INPUTS!$K$94="Upfront",--(TIMELINE!R78=1),IF(INPUTS!$K$94="Even",1/TIMELINE!$C$77,IF(INPUTS!$K$94="Front-loaded",(TIMELINE!$C$77-TIMELINE!R78+1)*2/(TIMELINE!$C$77*(TIMELINE!$C$77+1)),IF(INPUTS!$K$94="Back-loaded",TIMELINE!R78*2/(TIMELINE!$C$77*(TIMELINE!$C$77+1)),IF(INPUTS!$K$94="S-curve",SIN(PI()*(TIMELINE!R78-0.5)/TIMELINE!$C$77)*SIN(PI()/(2*TIMELINE!$C$77)),0)))))),0)</f>
        <v>0</v>
      </c>
      <c r="S74" s="118" t="n">
        <f aca="false">IF(INPUTS!$E$94="Yes",IF(OR(TIMELINE!S78=0,TIMELINE!$C$77=0),0,IF(INPUTS!$K$94="Upfront",--(TIMELINE!S78=1),IF(INPUTS!$K$94="Even",1/TIMELINE!$C$77,IF(INPUTS!$K$94="Front-loaded",(TIMELINE!$C$77-TIMELINE!S78+1)*2/(TIMELINE!$C$77*(TIMELINE!$C$77+1)),IF(INPUTS!$K$94="Back-loaded",TIMELINE!S78*2/(TIMELINE!$C$77*(TIMELINE!$C$77+1)),IF(INPUTS!$K$94="S-curve",SIN(PI()*(TIMELINE!S78-0.5)/TIMELINE!$C$77)*SIN(PI()/(2*TIMELINE!$C$77)),0)))))),0)</f>
        <v>0</v>
      </c>
      <c r="T74" s="118" t="n">
        <f aca="false">IF(INPUTS!$E$94="Yes",IF(OR(TIMELINE!T78=0,TIMELINE!$C$77=0),0,IF(INPUTS!$K$94="Upfront",--(TIMELINE!T78=1),IF(INPUTS!$K$94="Even",1/TIMELINE!$C$77,IF(INPUTS!$K$94="Front-loaded",(TIMELINE!$C$77-TIMELINE!T78+1)*2/(TIMELINE!$C$77*(TIMELINE!$C$77+1)),IF(INPUTS!$K$94="Back-loaded",TIMELINE!T78*2/(TIMELINE!$C$77*(TIMELINE!$C$77+1)),IF(INPUTS!$K$94="S-curve",SIN(PI()*(TIMELINE!T78-0.5)/TIMELINE!$C$77)*SIN(PI()/(2*TIMELINE!$C$77)),0)))))),0)</f>
        <v>0</v>
      </c>
      <c r="U74" s="118" t="n">
        <f aca="false">IF(INPUTS!$E$94="Yes",IF(OR(TIMELINE!U78=0,TIMELINE!$C$77=0),0,IF(INPUTS!$K$94="Upfront",--(TIMELINE!U78=1),IF(INPUTS!$K$94="Even",1/TIMELINE!$C$77,IF(INPUTS!$K$94="Front-loaded",(TIMELINE!$C$77-TIMELINE!U78+1)*2/(TIMELINE!$C$77*(TIMELINE!$C$77+1)),IF(INPUTS!$K$94="Back-loaded",TIMELINE!U78*2/(TIMELINE!$C$77*(TIMELINE!$C$77+1)),IF(INPUTS!$K$94="S-curve",SIN(PI()*(TIMELINE!U78-0.5)/TIMELINE!$C$77)*SIN(PI()/(2*TIMELINE!$C$77)),0)))))),0)</f>
        <v>0</v>
      </c>
      <c r="V74" s="118" t="n">
        <f aca="false">IF(INPUTS!$E$94="Yes",IF(OR(TIMELINE!V78=0,TIMELINE!$C$77=0),0,IF(INPUTS!$K$94="Upfront",--(TIMELINE!V78=1),IF(INPUTS!$K$94="Even",1/TIMELINE!$C$77,IF(INPUTS!$K$94="Front-loaded",(TIMELINE!$C$77-TIMELINE!V78+1)*2/(TIMELINE!$C$77*(TIMELINE!$C$77+1)),IF(INPUTS!$K$94="Back-loaded",TIMELINE!V78*2/(TIMELINE!$C$77*(TIMELINE!$C$77+1)),IF(INPUTS!$K$94="S-curve",SIN(PI()*(TIMELINE!V78-0.5)/TIMELINE!$C$77)*SIN(PI()/(2*TIMELINE!$C$77)),0)))))),0)</f>
        <v>0</v>
      </c>
      <c r="W74" s="118" t="n">
        <f aca="false">IF(INPUTS!$E$94="Yes",IF(OR(TIMELINE!W78=0,TIMELINE!$C$77=0),0,IF(INPUTS!$K$94="Upfront",--(TIMELINE!W78=1),IF(INPUTS!$K$94="Even",1/TIMELINE!$C$77,IF(INPUTS!$K$94="Front-loaded",(TIMELINE!$C$77-TIMELINE!W78+1)*2/(TIMELINE!$C$77*(TIMELINE!$C$77+1)),IF(INPUTS!$K$94="Back-loaded",TIMELINE!W78*2/(TIMELINE!$C$77*(TIMELINE!$C$77+1)),IF(INPUTS!$K$94="S-curve",SIN(PI()*(TIMELINE!W78-0.5)/TIMELINE!$C$77)*SIN(PI()/(2*TIMELINE!$C$77)),0)))))),0)</f>
        <v>0</v>
      </c>
      <c r="X74" s="118" t="n">
        <f aca="false">IF(INPUTS!$E$94="Yes",IF(OR(TIMELINE!X78=0,TIMELINE!$C$77=0),0,IF(INPUTS!$K$94="Upfront",--(TIMELINE!X78=1),IF(INPUTS!$K$94="Even",1/TIMELINE!$C$77,IF(INPUTS!$K$94="Front-loaded",(TIMELINE!$C$77-TIMELINE!X78+1)*2/(TIMELINE!$C$77*(TIMELINE!$C$77+1)),IF(INPUTS!$K$94="Back-loaded",TIMELINE!X78*2/(TIMELINE!$C$77*(TIMELINE!$C$77+1)),IF(INPUTS!$K$94="S-curve",SIN(PI()*(TIMELINE!X78-0.5)/TIMELINE!$C$77)*SIN(PI()/(2*TIMELINE!$C$77)),0)))))),0)</f>
        <v>0</v>
      </c>
      <c r="Y74" s="118" t="n">
        <f aca="false">IF(INPUTS!$E$94="Yes",IF(OR(TIMELINE!Y78=0,TIMELINE!$C$77=0),0,IF(INPUTS!$K$94="Upfront",--(TIMELINE!Y78=1),IF(INPUTS!$K$94="Even",1/TIMELINE!$C$77,IF(INPUTS!$K$94="Front-loaded",(TIMELINE!$C$77-TIMELINE!Y78+1)*2/(TIMELINE!$C$77*(TIMELINE!$C$77+1)),IF(INPUTS!$K$94="Back-loaded",TIMELINE!Y78*2/(TIMELINE!$C$77*(TIMELINE!$C$77+1)),IF(INPUTS!$K$94="S-curve",SIN(PI()*(TIMELINE!Y78-0.5)/TIMELINE!$C$77)*SIN(PI()/(2*TIMELINE!$C$77)),0)))))),0)</f>
        <v>0</v>
      </c>
      <c r="Z74" s="118" t="n">
        <f aca="false">IF(INPUTS!$E$94="Yes",IF(OR(TIMELINE!Z78=0,TIMELINE!$C$77=0),0,IF(INPUTS!$K$94="Upfront",--(TIMELINE!Z78=1),IF(INPUTS!$K$94="Even",1/TIMELINE!$C$77,IF(INPUTS!$K$94="Front-loaded",(TIMELINE!$C$77-TIMELINE!Z78+1)*2/(TIMELINE!$C$77*(TIMELINE!$C$77+1)),IF(INPUTS!$K$94="Back-loaded",TIMELINE!Z78*2/(TIMELINE!$C$77*(TIMELINE!$C$77+1)),IF(INPUTS!$K$94="S-curve",SIN(PI()*(TIMELINE!Z78-0.5)/TIMELINE!$C$77)*SIN(PI()/(2*TIMELINE!$C$77)),0)))))),0)</f>
        <v>0</v>
      </c>
      <c r="AA74" s="118" t="n">
        <f aca="false">IF(INPUTS!$E$94="Yes",IF(OR(TIMELINE!AA78=0,TIMELINE!$C$77=0),0,IF(INPUTS!$K$94="Upfront",--(TIMELINE!AA78=1),IF(INPUTS!$K$94="Even",1/TIMELINE!$C$77,IF(INPUTS!$K$94="Front-loaded",(TIMELINE!$C$77-TIMELINE!AA78+1)*2/(TIMELINE!$C$77*(TIMELINE!$C$77+1)),IF(INPUTS!$K$94="Back-loaded",TIMELINE!AA78*2/(TIMELINE!$C$77*(TIMELINE!$C$77+1)),IF(INPUTS!$K$94="S-curve",SIN(PI()*(TIMELINE!AA78-0.5)/TIMELINE!$C$77)*SIN(PI()/(2*TIMELINE!$C$77)),0)))))),0)</f>
        <v>0</v>
      </c>
      <c r="AB74" s="118" t="n">
        <f aca="false">IF(INPUTS!$E$94="Yes",IF(OR(TIMELINE!AB78=0,TIMELINE!$C$77=0),0,IF(INPUTS!$K$94="Upfront",--(TIMELINE!AB78=1),IF(INPUTS!$K$94="Even",1/TIMELINE!$C$77,IF(INPUTS!$K$94="Front-loaded",(TIMELINE!$C$77-TIMELINE!AB78+1)*2/(TIMELINE!$C$77*(TIMELINE!$C$77+1)),IF(INPUTS!$K$94="Back-loaded",TIMELINE!AB78*2/(TIMELINE!$C$77*(TIMELINE!$C$77+1)),IF(INPUTS!$K$94="S-curve",SIN(PI()*(TIMELINE!AB78-0.5)/TIMELINE!$C$77)*SIN(PI()/(2*TIMELINE!$C$77)),0)))))),0)</f>
        <v>0</v>
      </c>
      <c r="AC74" s="118" t="n">
        <f aca="false">IF(INPUTS!$E$94="Yes",IF(OR(TIMELINE!AC78=0,TIMELINE!$C$77=0),0,IF(INPUTS!$K$94="Upfront",--(TIMELINE!AC78=1),IF(INPUTS!$K$94="Even",1/TIMELINE!$C$77,IF(INPUTS!$K$94="Front-loaded",(TIMELINE!$C$77-TIMELINE!AC78+1)*2/(TIMELINE!$C$77*(TIMELINE!$C$77+1)),IF(INPUTS!$K$94="Back-loaded",TIMELINE!AC78*2/(TIMELINE!$C$77*(TIMELINE!$C$77+1)),IF(INPUTS!$K$94="S-curve",SIN(PI()*(TIMELINE!AC78-0.5)/TIMELINE!$C$77)*SIN(PI()/(2*TIMELINE!$C$77)),0)))))),0)</f>
        <v>0</v>
      </c>
      <c r="AD74" s="118" t="n">
        <f aca="false">IF(INPUTS!$E$94="Yes",IF(OR(TIMELINE!AD78=0,TIMELINE!$C$77=0),0,IF(INPUTS!$K$94="Upfront",--(TIMELINE!AD78=1),IF(INPUTS!$K$94="Even",1/TIMELINE!$C$77,IF(INPUTS!$K$94="Front-loaded",(TIMELINE!$C$77-TIMELINE!AD78+1)*2/(TIMELINE!$C$77*(TIMELINE!$C$77+1)),IF(INPUTS!$K$94="Back-loaded",TIMELINE!AD78*2/(TIMELINE!$C$77*(TIMELINE!$C$77+1)),IF(INPUTS!$K$94="S-curve",SIN(PI()*(TIMELINE!AD78-0.5)/TIMELINE!$C$77)*SIN(PI()/(2*TIMELINE!$C$77)),0)))))),0)</f>
        <v>0</v>
      </c>
      <c r="AE74" s="118" t="n">
        <f aca="false">IF(INPUTS!$E$94="Yes",IF(OR(TIMELINE!AE78=0,TIMELINE!$C$77=0),0,IF(INPUTS!$K$94="Upfront",--(TIMELINE!AE78=1),IF(INPUTS!$K$94="Even",1/TIMELINE!$C$77,IF(INPUTS!$K$94="Front-loaded",(TIMELINE!$C$77-TIMELINE!AE78+1)*2/(TIMELINE!$C$77*(TIMELINE!$C$77+1)),IF(INPUTS!$K$94="Back-loaded",TIMELINE!AE78*2/(TIMELINE!$C$77*(TIMELINE!$C$77+1)),IF(INPUTS!$K$94="S-curve",SIN(PI()*(TIMELINE!AE78-0.5)/TIMELINE!$C$77)*SIN(PI()/(2*TIMELINE!$C$77)),0)))))),0)</f>
        <v>0</v>
      </c>
      <c r="AF74" s="118" t="n">
        <f aca="false">IF(INPUTS!$E$94="Yes",IF(OR(TIMELINE!AF78=0,TIMELINE!$C$77=0),0,IF(INPUTS!$K$94="Upfront",--(TIMELINE!AF78=1),IF(INPUTS!$K$94="Even",1/TIMELINE!$C$77,IF(INPUTS!$K$94="Front-loaded",(TIMELINE!$C$77-TIMELINE!AF78+1)*2/(TIMELINE!$C$77*(TIMELINE!$C$77+1)),IF(INPUTS!$K$94="Back-loaded",TIMELINE!AF78*2/(TIMELINE!$C$77*(TIMELINE!$C$77+1)),IF(INPUTS!$K$94="S-curve",SIN(PI()*(TIMELINE!AF78-0.5)/TIMELINE!$C$77)*SIN(PI()/(2*TIMELINE!$C$77)),0)))))),0)</f>
        <v>0</v>
      </c>
      <c r="AG74" s="118" t="n">
        <f aca="false">IF(INPUTS!$E$94="Yes",IF(OR(TIMELINE!AG78=0,TIMELINE!$C$77=0),0,IF(INPUTS!$K$94="Upfront",--(TIMELINE!AG78=1),IF(INPUTS!$K$94="Even",1/TIMELINE!$C$77,IF(INPUTS!$K$94="Front-loaded",(TIMELINE!$C$77-TIMELINE!AG78+1)*2/(TIMELINE!$C$77*(TIMELINE!$C$77+1)),IF(INPUTS!$K$94="Back-loaded",TIMELINE!AG78*2/(TIMELINE!$C$77*(TIMELINE!$C$77+1)),IF(INPUTS!$K$94="S-curve",SIN(PI()*(TIMELINE!AG78-0.5)/TIMELINE!$C$77)*SIN(PI()/(2*TIMELINE!$C$77)),0)))))),0)</f>
        <v>0</v>
      </c>
      <c r="AH74" s="118" t="n">
        <f aca="false">IF(INPUTS!$E$94="Yes",IF(OR(TIMELINE!AH78=0,TIMELINE!$C$77=0),0,IF(INPUTS!$K$94="Upfront",--(TIMELINE!AH78=1),IF(INPUTS!$K$94="Even",1/TIMELINE!$C$77,IF(INPUTS!$K$94="Front-loaded",(TIMELINE!$C$77-TIMELINE!AH78+1)*2/(TIMELINE!$C$77*(TIMELINE!$C$77+1)),IF(INPUTS!$K$94="Back-loaded",TIMELINE!AH78*2/(TIMELINE!$C$77*(TIMELINE!$C$77+1)),IF(INPUTS!$K$94="S-curve",SIN(PI()*(TIMELINE!AH78-0.5)/TIMELINE!$C$77)*SIN(PI()/(2*TIMELINE!$C$77)),0)))))),0)</f>
        <v>0</v>
      </c>
      <c r="AI74" s="118" t="n">
        <f aca="false">IF(INPUTS!$E$94="Yes",IF(OR(TIMELINE!AI78=0,TIMELINE!$C$77=0),0,IF(INPUTS!$K$94="Upfront",--(TIMELINE!AI78=1),IF(INPUTS!$K$94="Even",1/TIMELINE!$C$77,IF(INPUTS!$K$94="Front-loaded",(TIMELINE!$C$77-TIMELINE!AI78+1)*2/(TIMELINE!$C$77*(TIMELINE!$C$77+1)),IF(INPUTS!$K$94="Back-loaded",TIMELINE!AI78*2/(TIMELINE!$C$77*(TIMELINE!$C$77+1)),IF(INPUTS!$K$94="S-curve",SIN(PI()*(TIMELINE!AI78-0.5)/TIMELINE!$C$77)*SIN(PI()/(2*TIMELINE!$C$77)),0)))))),0)</f>
        <v>0</v>
      </c>
      <c r="AJ74" s="118" t="n">
        <f aca="false">IF(INPUTS!$E$94="Yes",IF(OR(TIMELINE!AJ78=0,TIMELINE!$C$77=0),0,IF(INPUTS!$K$94="Upfront",--(TIMELINE!AJ78=1),IF(INPUTS!$K$94="Even",1/TIMELINE!$C$77,IF(INPUTS!$K$94="Front-loaded",(TIMELINE!$C$77-TIMELINE!AJ78+1)*2/(TIMELINE!$C$77*(TIMELINE!$C$77+1)),IF(INPUTS!$K$94="Back-loaded",TIMELINE!AJ78*2/(TIMELINE!$C$77*(TIMELINE!$C$77+1)),IF(INPUTS!$K$94="S-curve",SIN(PI()*(TIMELINE!AJ78-0.5)/TIMELINE!$C$77)*SIN(PI()/(2*TIMELINE!$C$77)),0)))))),0)</f>
        <v>0</v>
      </c>
      <c r="AK74" s="118" t="n">
        <f aca="false">IF(INPUTS!$E$94="Yes",IF(OR(TIMELINE!AK78=0,TIMELINE!$C$77=0),0,IF(INPUTS!$K$94="Upfront",--(TIMELINE!AK78=1),IF(INPUTS!$K$94="Even",1/TIMELINE!$C$77,IF(INPUTS!$K$94="Front-loaded",(TIMELINE!$C$77-TIMELINE!AK78+1)*2/(TIMELINE!$C$77*(TIMELINE!$C$77+1)),IF(INPUTS!$K$94="Back-loaded",TIMELINE!AK78*2/(TIMELINE!$C$77*(TIMELINE!$C$77+1)),IF(INPUTS!$K$94="S-curve",SIN(PI()*(TIMELINE!AK78-0.5)/TIMELINE!$C$77)*SIN(PI()/(2*TIMELINE!$C$77)),0)))))),0)</f>
        <v>0</v>
      </c>
      <c r="AL74" s="118" t="n">
        <f aca="false">IF(INPUTS!$E$94="Yes",IF(OR(TIMELINE!AL78=0,TIMELINE!$C$77=0),0,IF(INPUTS!$K$94="Upfront",--(TIMELINE!AL78=1),IF(INPUTS!$K$94="Even",1/TIMELINE!$C$77,IF(INPUTS!$K$94="Front-loaded",(TIMELINE!$C$77-TIMELINE!AL78+1)*2/(TIMELINE!$C$77*(TIMELINE!$C$77+1)),IF(INPUTS!$K$94="Back-loaded",TIMELINE!AL78*2/(TIMELINE!$C$77*(TIMELINE!$C$77+1)),IF(INPUTS!$K$94="S-curve",SIN(PI()*(TIMELINE!AL78-0.5)/TIMELINE!$C$77)*SIN(PI()/(2*TIMELINE!$C$77)),0)))))),0)</f>
        <v>0</v>
      </c>
      <c r="AM74" s="118" t="n">
        <f aca="false">IF(INPUTS!$E$94="Yes",IF(OR(TIMELINE!AM78=0,TIMELINE!$C$77=0),0,IF(INPUTS!$K$94="Upfront",--(TIMELINE!AM78=1),IF(INPUTS!$K$94="Even",1/TIMELINE!$C$77,IF(INPUTS!$K$94="Front-loaded",(TIMELINE!$C$77-TIMELINE!AM78+1)*2/(TIMELINE!$C$77*(TIMELINE!$C$77+1)),IF(INPUTS!$K$94="Back-loaded",TIMELINE!AM78*2/(TIMELINE!$C$77*(TIMELINE!$C$77+1)),IF(INPUTS!$K$94="S-curve",SIN(PI()*(TIMELINE!AM78-0.5)/TIMELINE!$C$77)*SIN(PI()/(2*TIMELINE!$C$77)),0)))))),0)</f>
        <v>0</v>
      </c>
      <c r="AN74" s="118" t="n">
        <f aca="false">IF(INPUTS!$E$94="Yes",IF(OR(TIMELINE!AN78=0,TIMELINE!$C$77=0),0,IF(INPUTS!$K$94="Upfront",--(TIMELINE!AN78=1),IF(INPUTS!$K$94="Even",1/TIMELINE!$C$77,IF(INPUTS!$K$94="Front-loaded",(TIMELINE!$C$77-TIMELINE!AN78+1)*2/(TIMELINE!$C$77*(TIMELINE!$C$77+1)),IF(INPUTS!$K$94="Back-loaded",TIMELINE!AN78*2/(TIMELINE!$C$77*(TIMELINE!$C$77+1)),IF(INPUTS!$K$94="S-curve",SIN(PI()*(TIMELINE!AN78-0.5)/TIMELINE!$C$77)*SIN(PI()/(2*TIMELINE!$C$77)),0)))))),0)</f>
        <v>0</v>
      </c>
      <c r="AO74" s="118" t="n">
        <f aca="false">IF(INPUTS!$E$94="Yes",IF(OR(TIMELINE!AO78=0,TIMELINE!$C$77=0),0,IF(INPUTS!$K$94="Upfront",--(TIMELINE!AO78=1),IF(INPUTS!$K$94="Even",1/TIMELINE!$C$77,IF(INPUTS!$K$94="Front-loaded",(TIMELINE!$C$77-TIMELINE!AO78+1)*2/(TIMELINE!$C$77*(TIMELINE!$C$77+1)),IF(INPUTS!$K$94="Back-loaded",TIMELINE!AO78*2/(TIMELINE!$C$77*(TIMELINE!$C$77+1)),IF(INPUTS!$K$94="S-curve",SIN(PI()*(TIMELINE!AO78-0.5)/TIMELINE!$C$77)*SIN(PI()/(2*TIMELINE!$C$77)),0)))))),0)</f>
        <v>0</v>
      </c>
      <c r="AP74" s="118" t="n">
        <f aca="false">IF(INPUTS!$E$94="Yes",IF(OR(TIMELINE!AP78=0,TIMELINE!$C$77=0),0,IF(INPUTS!$K$94="Upfront",--(TIMELINE!AP78=1),IF(INPUTS!$K$94="Even",1/TIMELINE!$C$77,IF(INPUTS!$K$94="Front-loaded",(TIMELINE!$C$77-TIMELINE!AP78+1)*2/(TIMELINE!$C$77*(TIMELINE!$C$77+1)),IF(INPUTS!$K$94="Back-loaded",TIMELINE!AP78*2/(TIMELINE!$C$77*(TIMELINE!$C$77+1)),IF(INPUTS!$K$94="S-curve",SIN(PI()*(TIMELINE!AP78-0.5)/TIMELINE!$C$77)*SIN(PI()/(2*TIMELINE!$C$77)),0)))))),0)</f>
        <v>0</v>
      </c>
      <c r="AQ74" s="118" t="n">
        <f aca="false">IF(INPUTS!$E$94="Yes",IF(OR(TIMELINE!AQ78=0,TIMELINE!$C$77=0),0,IF(INPUTS!$K$94="Upfront",--(TIMELINE!AQ78=1),IF(INPUTS!$K$94="Even",1/TIMELINE!$C$77,IF(INPUTS!$K$94="Front-loaded",(TIMELINE!$C$77-TIMELINE!AQ78+1)*2/(TIMELINE!$C$77*(TIMELINE!$C$77+1)),IF(INPUTS!$K$94="Back-loaded",TIMELINE!AQ78*2/(TIMELINE!$C$77*(TIMELINE!$C$77+1)),IF(INPUTS!$K$94="S-curve",SIN(PI()*(TIMELINE!AQ78-0.5)/TIMELINE!$C$77)*SIN(PI()/(2*TIMELINE!$C$77)),0)))))),0)</f>
        <v>0</v>
      </c>
    </row>
    <row r="75" customFormat="false" ht="15" hidden="false" customHeight="false" outlineLevel="0" collapsed="false">
      <c r="B75" s="3" t="s">
        <v>671</v>
      </c>
      <c r="D75" s="118" t="n">
        <f aca="false">SUM($D74:D74)</f>
        <v>0</v>
      </c>
      <c r="E75" s="118" t="n">
        <f aca="false">SUM($D74:E74)</f>
        <v>0</v>
      </c>
      <c r="F75" s="118" t="n">
        <f aca="false">SUM($D74:F74)</f>
        <v>0</v>
      </c>
      <c r="G75" s="118" t="n">
        <f aca="false">SUM($D74:G74)</f>
        <v>0</v>
      </c>
      <c r="H75" s="118" t="n">
        <f aca="false">SUM($D74:H74)</f>
        <v>0</v>
      </c>
      <c r="I75" s="118" t="n">
        <f aca="false">SUM($D74:I74)</f>
        <v>0</v>
      </c>
      <c r="J75" s="118" t="n">
        <f aca="false">SUM($D74:J74)</f>
        <v>0</v>
      </c>
      <c r="K75" s="118" t="n">
        <f aca="false">SUM($D74:K74)</f>
        <v>0</v>
      </c>
      <c r="L75" s="118" t="n">
        <f aca="false">SUM($D74:L74)</f>
        <v>0</v>
      </c>
      <c r="M75" s="118" t="n">
        <f aca="false">SUM($D74:M74)</f>
        <v>0</v>
      </c>
      <c r="N75" s="118" t="n">
        <f aca="false">SUM($D74:N74)</f>
        <v>0</v>
      </c>
      <c r="O75" s="118" t="n">
        <f aca="false">SUM($D74:O74)</f>
        <v>0</v>
      </c>
      <c r="P75" s="118" t="n">
        <f aca="false">SUM($D74:P74)</f>
        <v>0</v>
      </c>
      <c r="Q75" s="118" t="n">
        <f aca="false">SUM($D74:Q74)</f>
        <v>0</v>
      </c>
      <c r="R75" s="118" t="n">
        <f aca="false">SUM($D74:R74)</f>
        <v>0</v>
      </c>
      <c r="S75" s="118" t="n">
        <f aca="false">SUM($D74:S74)</f>
        <v>0</v>
      </c>
      <c r="T75" s="118" t="n">
        <f aca="false">SUM($D74:T74)</f>
        <v>0</v>
      </c>
      <c r="U75" s="118" t="n">
        <f aca="false">SUM($D74:U74)</f>
        <v>0</v>
      </c>
      <c r="V75" s="118" t="n">
        <f aca="false">SUM($D74:V74)</f>
        <v>0</v>
      </c>
      <c r="W75" s="118" t="n">
        <f aca="false">SUM($D74:W74)</f>
        <v>0</v>
      </c>
      <c r="X75" s="118" t="n">
        <f aca="false">SUM($D74:X74)</f>
        <v>0</v>
      </c>
      <c r="Y75" s="118" t="n">
        <f aca="false">SUM($D74:Y74)</f>
        <v>0</v>
      </c>
      <c r="Z75" s="118" t="n">
        <f aca="false">SUM($D74:Z74)</f>
        <v>0</v>
      </c>
      <c r="AA75" s="118" t="n">
        <f aca="false">SUM($D74:AA74)</f>
        <v>0</v>
      </c>
      <c r="AB75" s="118" t="n">
        <f aca="false">SUM($D74:AB74)</f>
        <v>0</v>
      </c>
      <c r="AC75" s="118" t="n">
        <f aca="false">SUM($D74:AC74)</f>
        <v>0</v>
      </c>
      <c r="AD75" s="118" t="n">
        <f aca="false">SUM($D74:AD74)</f>
        <v>0</v>
      </c>
      <c r="AE75" s="118" t="n">
        <f aca="false">SUM($D74:AE74)</f>
        <v>0</v>
      </c>
      <c r="AF75" s="118" t="n">
        <f aca="false">SUM($D74:AF74)</f>
        <v>0</v>
      </c>
      <c r="AG75" s="118" t="n">
        <f aca="false">SUM($D74:AG74)</f>
        <v>0</v>
      </c>
      <c r="AH75" s="118" t="n">
        <f aca="false">SUM($D74:AH74)</f>
        <v>0</v>
      </c>
      <c r="AI75" s="118" t="n">
        <f aca="false">SUM($D74:AI74)</f>
        <v>0</v>
      </c>
      <c r="AJ75" s="118" t="n">
        <f aca="false">SUM($D74:AJ74)</f>
        <v>0</v>
      </c>
      <c r="AK75" s="118" t="n">
        <f aca="false">SUM($D74:AK74)</f>
        <v>0</v>
      </c>
      <c r="AL75" s="118" t="n">
        <f aca="false">SUM($D74:AL74)</f>
        <v>0</v>
      </c>
      <c r="AM75" s="118" t="n">
        <f aca="false">SUM($D74:AM74)</f>
        <v>0</v>
      </c>
      <c r="AN75" s="118" t="n">
        <f aca="false">SUM($D74:AN74)</f>
        <v>0</v>
      </c>
      <c r="AO75" s="118" t="n">
        <f aca="false">SUM($D74:AO74)</f>
        <v>0</v>
      </c>
      <c r="AP75" s="118" t="n">
        <f aca="false">SUM($D74:AP74)</f>
        <v>0</v>
      </c>
      <c r="AQ75" s="118" t="n">
        <f aca="false">SUM($D74:AQ74)</f>
        <v>0</v>
      </c>
    </row>
    <row r="76" customFormat="false" ht="15" hidden="false" customHeight="false" outlineLevel="0" collapsed="false">
      <c r="B76" s="3" t="s">
        <v>672</v>
      </c>
      <c r="C76" s="117" t="n">
        <f aca="false">SUM(D76:AQ76)</f>
        <v>0</v>
      </c>
      <c r="D76" s="118" t="n">
        <f aca="false">IF(INPUTS!$E$94="Yes",IF(OR(TIMELINE!D80=0,TIMELINE!$C$79=0),0,IF(INPUTS!$O$94="Upfront",--(TIMELINE!D80=1),IF(INPUTS!$O$94="Even",1/TIMELINE!$C$79,IF(INPUTS!$O$94="Front-loaded",(TIMELINE!$C$79-TIMELINE!D80+1)*2/(TIMELINE!$C$79*(TIMELINE!$C$79+1)),IF(INPUTS!$O$94="Back-loaded",TIMELINE!D80*2/(TIMELINE!$C$79*(TIMELINE!$C$79+1)),IF(INPUTS!$O$94="S-curve",SIN(PI()*(TIMELINE!D80-0.5)/TIMELINE!$C$79)*SIN(PI()/(2*TIMELINE!$C$79)),0)))))),0)</f>
        <v>0</v>
      </c>
      <c r="E76" s="118" t="n">
        <f aca="false">IF(INPUTS!$E$94="Yes",IF(OR(TIMELINE!E80=0,TIMELINE!$C$79=0),0,IF(INPUTS!$O$94="Upfront",--(TIMELINE!E80=1),IF(INPUTS!$O$94="Even",1/TIMELINE!$C$79,IF(INPUTS!$O$94="Front-loaded",(TIMELINE!$C$79-TIMELINE!E80+1)*2/(TIMELINE!$C$79*(TIMELINE!$C$79+1)),IF(INPUTS!$O$94="Back-loaded",TIMELINE!E80*2/(TIMELINE!$C$79*(TIMELINE!$C$79+1)),IF(INPUTS!$O$94="S-curve",SIN(PI()*(TIMELINE!E80-0.5)/TIMELINE!$C$79)*SIN(PI()/(2*TIMELINE!$C$79)),0)))))),0)</f>
        <v>0</v>
      </c>
      <c r="F76" s="118" t="n">
        <f aca="false">IF(INPUTS!$E$94="Yes",IF(OR(TIMELINE!F80=0,TIMELINE!$C$79=0),0,IF(INPUTS!$O$94="Upfront",--(TIMELINE!F80=1),IF(INPUTS!$O$94="Even",1/TIMELINE!$C$79,IF(INPUTS!$O$94="Front-loaded",(TIMELINE!$C$79-TIMELINE!F80+1)*2/(TIMELINE!$C$79*(TIMELINE!$C$79+1)),IF(INPUTS!$O$94="Back-loaded",TIMELINE!F80*2/(TIMELINE!$C$79*(TIMELINE!$C$79+1)),IF(INPUTS!$O$94="S-curve",SIN(PI()*(TIMELINE!F80-0.5)/TIMELINE!$C$79)*SIN(PI()/(2*TIMELINE!$C$79)),0)))))),0)</f>
        <v>0</v>
      </c>
      <c r="G76" s="118" t="n">
        <f aca="false">IF(INPUTS!$E$94="Yes",IF(OR(TIMELINE!G80=0,TIMELINE!$C$79=0),0,IF(INPUTS!$O$94="Upfront",--(TIMELINE!G80=1),IF(INPUTS!$O$94="Even",1/TIMELINE!$C$79,IF(INPUTS!$O$94="Front-loaded",(TIMELINE!$C$79-TIMELINE!G80+1)*2/(TIMELINE!$C$79*(TIMELINE!$C$79+1)),IF(INPUTS!$O$94="Back-loaded",TIMELINE!G80*2/(TIMELINE!$C$79*(TIMELINE!$C$79+1)),IF(INPUTS!$O$94="S-curve",SIN(PI()*(TIMELINE!G80-0.5)/TIMELINE!$C$79)*SIN(PI()/(2*TIMELINE!$C$79)),0)))))),0)</f>
        <v>0</v>
      </c>
      <c r="H76" s="118" t="n">
        <f aca="false">IF(INPUTS!$E$94="Yes",IF(OR(TIMELINE!H80=0,TIMELINE!$C$79=0),0,IF(INPUTS!$O$94="Upfront",--(TIMELINE!H80=1),IF(INPUTS!$O$94="Even",1/TIMELINE!$C$79,IF(INPUTS!$O$94="Front-loaded",(TIMELINE!$C$79-TIMELINE!H80+1)*2/(TIMELINE!$C$79*(TIMELINE!$C$79+1)),IF(INPUTS!$O$94="Back-loaded",TIMELINE!H80*2/(TIMELINE!$C$79*(TIMELINE!$C$79+1)),IF(INPUTS!$O$94="S-curve",SIN(PI()*(TIMELINE!H80-0.5)/TIMELINE!$C$79)*SIN(PI()/(2*TIMELINE!$C$79)),0)))))),0)</f>
        <v>0</v>
      </c>
      <c r="I76" s="118" t="n">
        <f aca="false">IF(INPUTS!$E$94="Yes",IF(OR(TIMELINE!I80=0,TIMELINE!$C$79=0),0,IF(INPUTS!$O$94="Upfront",--(TIMELINE!I80=1),IF(INPUTS!$O$94="Even",1/TIMELINE!$C$79,IF(INPUTS!$O$94="Front-loaded",(TIMELINE!$C$79-TIMELINE!I80+1)*2/(TIMELINE!$C$79*(TIMELINE!$C$79+1)),IF(INPUTS!$O$94="Back-loaded",TIMELINE!I80*2/(TIMELINE!$C$79*(TIMELINE!$C$79+1)),IF(INPUTS!$O$94="S-curve",SIN(PI()*(TIMELINE!I80-0.5)/TIMELINE!$C$79)*SIN(PI()/(2*TIMELINE!$C$79)),0)))))),0)</f>
        <v>0</v>
      </c>
      <c r="J76" s="118" t="n">
        <f aca="false">IF(INPUTS!$E$94="Yes",IF(OR(TIMELINE!J80=0,TIMELINE!$C$79=0),0,IF(INPUTS!$O$94="Upfront",--(TIMELINE!J80=1),IF(INPUTS!$O$94="Even",1/TIMELINE!$C$79,IF(INPUTS!$O$94="Front-loaded",(TIMELINE!$C$79-TIMELINE!J80+1)*2/(TIMELINE!$C$79*(TIMELINE!$C$79+1)),IF(INPUTS!$O$94="Back-loaded",TIMELINE!J80*2/(TIMELINE!$C$79*(TIMELINE!$C$79+1)),IF(INPUTS!$O$94="S-curve",SIN(PI()*(TIMELINE!J80-0.5)/TIMELINE!$C$79)*SIN(PI()/(2*TIMELINE!$C$79)),0)))))),0)</f>
        <v>0</v>
      </c>
      <c r="K76" s="118" t="n">
        <f aca="false">IF(INPUTS!$E$94="Yes",IF(OR(TIMELINE!K80=0,TIMELINE!$C$79=0),0,IF(INPUTS!$O$94="Upfront",--(TIMELINE!K80=1),IF(INPUTS!$O$94="Even",1/TIMELINE!$C$79,IF(INPUTS!$O$94="Front-loaded",(TIMELINE!$C$79-TIMELINE!K80+1)*2/(TIMELINE!$C$79*(TIMELINE!$C$79+1)),IF(INPUTS!$O$94="Back-loaded",TIMELINE!K80*2/(TIMELINE!$C$79*(TIMELINE!$C$79+1)),IF(INPUTS!$O$94="S-curve",SIN(PI()*(TIMELINE!K80-0.5)/TIMELINE!$C$79)*SIN(PI()/(2*TIMELINE!$C$79)),0)))))),0)</f>
        <v>0</v>
      </c>
      <c r="L76" s="118" t="n">
        <f aca="false">IF(INPUTS!$E$94="Yes",IF(OR(TIMELINE!L80=0,TIMELINE!$C$79=0),0,IF(INPUTS!$O$94="Upfront",--(TIMELINE!L80=1),IF(INPUTS!$O$94="Even",1/TIMELINE!$C$79,IF(INPUTS!$O$94="Front-loaded",(TIMELINE!$C$79-TIMELINE!L80+1)*2/(TIMELINE!$C$79*(TIMELINE!$C$79+1)),IF(INPUTS!$O$94="Back-loaded",TIMELINE!L80*2/(TIMELINE!$C$79*(TIMELINE!$C$79+1)),IF(INPUTS!$O$94="S-curve",SIN(PI()*(TIMELINE!L80-0.5)/TIMELINE!$C$79)*SIN(PI()/(2*TIMELINE!$C$79)),0)))))),0)</f>
        <v>0</v>
      </c>
      <c r="M76" s="118" t="n">
        <f aca="false">IF(INPUTS!$E$94="Yes",IF(OR(TIMELINE!M80=0,TIMELINE!$C$79=0),0,IF(INPUTS!$O$94="Upfront",--(TIMELINE!M80=1),IF(INPUTS!$O$94="Even",1/TIMELINE!$C$79,IF(INPUTS!$O$94="Front-loaded",(TIMELINE!$C$79-TIMELINE!M80+1)*2/(TIMELINE!$C$79*(TIMELINE!$C$79+1)),IF(INPUTS!$O$94="Back-loaded",TIMELINE!M80*2/(TIMELINE!$C$79*(TIMELINE!$C$79+1)),IF(INPUTS!$O$94="S-curve",SIN(PI()*(TIMELINE!M80-0.5)/TIMELINE!$C$79)*SIN(PI()/(2*TIMELINE!$C$79)),0)))))),0)</f>
        <v>0</v>
      </c>
      <c r="N76" s="118" t="n">
        <f aca="false">IF(INPUTS!$E$94="Yes",IF(OR(TIMELINE!N80=0,TIMELINE!$C$79=0),0,IF(INPUTS!$O$94="Upfront",--(TIMELINE!N80=1),IF(INPUTS!$O$94="Even",1/TIMELINE!$C$79,IF(INPUTS!$O$94="Front-loaded",(TIMELINE!$C$79-TIMELINE!N80+1)*2/(TIMELINE!$C$79*(TIMELINE!$C$79+1)),IF(INPUTS!$O$94="Back-loaded",TIMELINE!N80*2/(TIMELINE!$C$79*(TIMELINE!$C$79+1)),IF(INPUTS!$O$94="S-curve",SIN(PI()*(TIMELINE!N80-0.5)/TIMELINE!$C$79)*SIN(PI()/(2*TIMELINE!$C$79)),0)))))),0)</f>
        <v>0</v>
      </c>
      <c r="O76" s="118" t="n">
        <f aca="false">IF(INPUTS!$E$94="Yes",IF(OR(TIMELINE!O80=0,TIMELINE!$C$79=0),0,IF(INPUTS!$O$94="Upfront",--(TIMELINE!O80=1),IF(INPUTS!$O$94="Even",1/TIMELINE!$C$79,IF(INPUTS!$O$94="Front-loaded",(TIMELINE!$C$79-TIMELINE!O80+1)*2/(TIMELINE!$C$79*(TIMELINE!$C$79+1)),IF(INPUTS!$O$94="Back-loaded",TIMELINE!O80*2/(TIMELINE!$C$79*(TIMELINE!$C$79+1)),IF(INPUTS!$O$94="S-curve",SIN(PI()*(TIMELINE!O80-0.5)/TIMELINE!$C$79)*SIN(PI()/(2*TIMELINE!$C$79)),0)))))),0)</f>
        <v>0</v>
      </c>
      <c r="P76" s="118" t="n">
        <f aca="false">IF(INPUTS!$E$94="Yes",IF(OR(TIMELINE!P80=0,TIMELINE!$C$79=0),0,IF(INPUTS!$O$94="Upfront",--(TIMELINE!P80=1),IF(INPUTS!$O$94="Even",1/TIMELINE!$C$79,IF(INPUTS!$O$94="Front-loaded",(TIMELINE!$C$79-TIMELINE!P80+1)*2/(TIMELINE!$C$79*(TIMELINE!$C$79+1)),IF(INPUTS!$O$94="Back-loaded",TIMELINE!P80*2/(TIMELINE!$C$79*(TIMELINE!$C$79+1)),IF(INPUTS!$O$94="S-curve",SIN(PI()*(TIMELINE!P80-0.5)/TIMELINE!$C$79)*SIN(PI()/(2*TIMELINE!$C$79)),0)))))),0)</f>
        <v>0</v>
      </c>
      <c r="Q76" s="118" t="n">
        <f aca="false">IF(INPUTS!$E$94="Yes",IF(OR(TIMELINE!Q80=0,TIMELINE!$C$79=0),0,IF(INPUTS!$O$94="Upfront",--(TIMELINE!Q80=1),IF(INPUTS!$O$94="Even",1/TIMELINE!$C$79,IF(INPUTS!$O$94="Front-loaded",(TIMELINE!$C$79-TIMELINE!Q80+1)*2/(TIMELINE!$C$79*(TIMELINE!$C$79+1)),IF(INPUTS!$O$94="Back-loaded",TIMELINE!Q80*2/(TIMELINE!$C$79*(TIMELINE!$C$79+1)),IF(INPUTS!$O$94="S-curve",SIN(PI()*(TIMELINE!Q80-0.5)/TIMELINE!$C$79)*SIN(PI()/(2*TIMELINE!$C$79)),0)))))),0)</f>
        <v>0</v>
      </c>
      <c r="R76" s="118" t="n">
        <f aca="false">IF(INPUTS!$E$94="Yes",IF(OR(TIMELINE!R80=0,TIMELINE!$C$79=0),0,IF(INPUTS!$O$94="Upfront",--(TIMELINE!R80=1),IF(INPUTS!$O$94="Even",1/TIMELINE!$C$79,IF(INPUTS!$O$94="Front-loaded",(TIMELINE!$C$79-TIMELINE!R80+1)*2/(TIMELINE!$C$79*(TIMELINE!$C$79+1)),IF(INPUTS!$O$94="Back-loaded",TIMELINE!R80*2/(TIMELINE!$C$79*(TIMELINE!$C$79+1)),IF(INPUTS!$O$94="S-curve",SIN(PI()*(TIMELINE!R80-0.5)/TIMELINE!$C$79)*SIN(PI()/(2*TIMELINE!$C$79)),0)))))),0)</f>
        <v>0</v>
      </c>
      <c r="S76" s="118" t="n">
        <f aca="false">IF(INPUTS!$E$94="Yes",IF(OR(TIMELINE!S80=0,TIMELINE!$C$79=0),0,IF(INPUTS!$O$94="Upfront",--(TIMELINE!S80=1),IF(INPUTS!$O$94="Even",1/TIMELINE!$C$79,IF(INPUTS!$O$94="Front-loaded",(TIMELINE!$C$79-TIMELINE!S80+1)*2/(TIMELINE!$C$79*(TIMELINE!$C$79+1)),IF(INPUTS!$O$94="Back-loaded",TIMELINE!S80*2/(TIMELINE!$C$79*(TIMELINE!$C$79+1)),IF(INPUTS!$O$94="S-curve",SIN(PI()*(TIMELINE!S80-0.5)/TIMELINE!$C$79)*SIN(PI()/(2*TIMELINE!$C$79)),0)))))),0)</f>
        <v>0</v>
      </c>
      <c r="T76" s="118" t="n">
        <f aca="false">IF(INPUTS!$E$94="Yes",IF(OR(TIMELINE!T80=0,TIMELINE!$C$79=0),0,IF(INPUTS!$O$94="Upfront",--(TIMELINE!T80=1),IF(INPUTS!$O$94="Even",1/TIMELINE!$C$79,IF(INPUTS!$O$94="Front-loaded",(TIMELINE!$C$79-TIMELINE!T80+1)*2/(TIMELINE!$C$79*(TIMELINE!$C$79+1)),IF(INPUTS!$O$94="Back-loaded",TIMELINE!T80*2/(TIMELINE!$C$79*(TIMELINE!$C$79+1)),IF(INPUTS!$O$94="S-curve",SIN(PI()*(TIMELINE!T80-0.5)/TIMELINE!$C$79)*SIN(PI()/(2*TIMELINE!$C$79)),0)))))),0)</f>
        <v>0</v>
      </c>
      <c r="U76" s="118" t="n">
        <f aca="false">IF(INPUTS!$E$94="Yes",IF(OR(TIMELINE!U80=0,TIMELINE!$C$79=0),0,IF(INPUTS!$O$94="Upfront",--(TIMELINE!U80=1),IF(INPUTS!$O$94="Even",1/TIMELINE!$C$79,IF(INPUTS!$O$94="Front-loaded",(TIMELINE!$C$79-TIMELINE!U80+1)*2/(TIMELINE!$C$79*(TIMELINE!$C$79+1)),IF(INPUTS!$O$94="Back-loaded",TIMELINE!U80*2/(TIMELINE!$C$79*(TIMELINE!$C$79+1)),IF(INPUTS!$O$94="S-curve",SIN(PI()*(TIMELINE!U80-0.5)/TIMELINE!$C$79)*SIN(PI()/(2*TIMELINE!$C$79)),0)))))),0)</f>
        <v>0</v>
      </c>
      <c r="V76" s="118" t="n">
        <f aca="false">IF(INPUTS!$E$94="Yes",IF(OR(TIMELINE!V80=0,TIMELINE!$C$79=0),0,IF(INPUTS!$O$94="Upfront",--(TIMELINE!V80=1),IF(INPUTS!$O$94="Even",1/TIMELINE!$C$79,IF(INPUTS!$O$94="Front-loaded",(TIMELINE!$C$79-TIMELINE!V80+1)*2/(TIMELINE!$C$79*(TIMELINE!$C$79+1)),IF(INPUTS!$O$94="Back-loaded",TIMELINE!V80*2/(TIMELINE!$C$79*(TIMELINE!$C$79+1)),IF(INPUTS!$O$94="S-curve",SIN(PI()*(TIMELINE!V80-0.5)/TIMELINE!$C$79)*SIN(PI()/(2*TIMELINE!$C$79)),0)))))),0)</f>
        <v>0</v>
      </c>
      <c r="W76" s="118" t="n">
        <f aca="false">IF(INPUTS!$E$94="Yes",IF(OR(TIMELINE!W80=0,TIMELINE!$C$79=0),0,IF(INPUTS!$O$94="Upfront",--(TIMELINE!W80=1),IF(INPUTS!$O$94="Even",1/TIMELINE!$C$79,IF(INPUTS!$O$94="Front-loaded",(TIMELINE!$C$79-TIMELINE!W80+1)*2/(TIMELINE!$C$79*(TIMELINE!$C$79+1)),IF(INPUTS!$O$94="Back-loaded",TIMELINE!W80*2/(TIMELINE!$C$79*(TIMELINE!$C$79+1)),IF(INPUTS!$O$94="S-curve",SIN(PI()*(TIMELINE!W80-0.5)/TIMELINE!$C$79)*SIN(PI()/(2*TIMELINE!$C$79)),0)))))),0)</f>
        <v>0</v>
      </c>
      <c r="X76" s="118" t="n">
        <f aca="false">IF(INPUTS!$E$94="Yes",IF(OR(TIMELINE!X80=0,TIMELINE!$C$79=0),0,IF(INPUTS!$O$94="Upfront",--(TIMELINE!X80=1),IF(INPUTS!$O$94="Even",1/TIMELINE!$C$79,IF(INPUTS!$O$94="Front-loaded",(TIMELINE!$C$79-TIMELINE!X80+1)*2/(TIMELINE!$C$79*(TIMELINE!$C$79+1)),IF(INPUTS!$O$94="Back-loaded",TIMELINE!X80*2/(TIMELINE!$C$79*(TIMELINE!$C$79+1)),IF(INPUTS!$O$94="S-curve",SIN(PI()*(TIMELINE!X80-0.5)/TIMELINE!$C$79)*SIN(PI()/(2*TIMELINE!$C$79)),0)))))),0)</f>
        <v>0</v>
      </c>
      <c r="Y76" s="118" t="n">
        <f aca="false">IF(INPUTS!$E$94="Yes",IF(OR(TIMELINE!Y80=0,TIMELINE!$C$79=0),0,IF(INPUTS!$O$94="Upfront",--(TIMELINE!Y80=1),IF(INPUTS!$O$94="Even",1/TIMELINE!$C$79,IF(INPUTS!$O$94="Front-loaded",(TIMELINE!$C$79-TIMELINE!Y80+1)*2/(TIMELINE!$C$79*(TIMELINE!$C$79+1)),IF(INPUTS!$O$94="Back-loaded",TIMELINE!Y80*2/(TIMELINE!$C$79*(TIMELINE!$C$79+1)),IF(INPUTS!$O$94="S-curve",SIN(PI()*(TIMELINE!Y80-0.5)/TIMELINE!$C$79)*SIN(PI()/(2*TIMELINE!$C$79)),0)))))),0)</f>
        <v>0</v>
      </c>
      <c r="Z76" s="118" t="n">
        <f aca="false">IF(INPUTS!$E$94="Yes",IF(OR(TIMELINE!Z80=0,TIMELINE!$C$79=0),0,IF(INPUTS!$O$94="Upfront",--(TIMELINE!Z80=1),IF(INPUTS!$O$94="Even",1/TIMELINE!$C$79,IF(INPUTS!$O$94="Front-loaded",(TIMELINE!$C$79-TIMELINE!Z80+1)*2/(TIMELINE!$C$79*(TIMELINE!$C$79+1)),IF(INPUTS!$O$94="Back-loaded",TIMELINE!Z80*2/(TIMELINE!$C$79*(TIMELINE!$C$79+1)),IF(INPUTS!$O$94="S-curve",SIN(PI()*(TIMELINE!Z80-0.5)/TIMELINE!$C$79)*SIN(PI()/(2*TIMELINE!$C$79)),0)))))),0)</f>
        <v>0</v>
      </c>
      <c r="AA76" s="118" t="n">
        <f aca="false">IF(INPUTS!$E$94="Yes",IF(OR(TIMELINE!AA80=0,TIMELINE!$C$79=0),0,IF(INPUTS!$O$94="Upfront",--(TIMELINE!AA80=1),IF(INPUTS!$O$94="Even",1/TIMELINE!$C$79,IF(INPUTS!$O$94="Front-loaded",(TIMELINE!$C$79-TIMELINE!AA80+1)*2/(TIMELINE!$C$79*(TIMELINE!$C$79+1)),IF(INPUTS!$O$94="Back-loaded",TIMELINE!AA80*2/(TIMELINE!$C$79*(TIMELINE!$C$79+1)),IF(INPUTS!$O$94="S-curve",SIN(PI()*(TIMELINE!AA80-0.5)/TIMELINE!$C$79)*SIN(PI()/(2*TIMELINE!$C$79)),0)))))),0)</f>
        <v>0</v>
      </c>
      <c r="AB76" s="118" t="n">
        <f aca="false">IF(INPUTS!$E$94="Yes",IF(OR(TIMELINE!AB80=0,TIMELINE!$C$79=0),0,IF(INPUTS!$O$94="Upfront",--(TIMELINE!AB80=1),IF(INPUTS!$O$94="Even",1/TIMELINE!$C$79,IF(INPUTS!$O$94="Front-loaded",(TIMELINE!$C$79-TIMELINE!AB80+1)*2/(TIMELINE!$C$79*(TIMELINE!$C$79+1)),IF(INPUTS!$O$94="Back-loaded",TIMELINE!AB80*2/(TIMELINE!$C$79*(TIMELINE!$C$79+1)),IF(INPUTS!$O$94="S-curve",SIN(PI()*(TIMELINE!AB80-0.5)/TIMELINE!$C$79)*SIN(PI()/(2*TIMELINE!$C$79)),0)))))),0)</f>
        <v>0</v>
      </c>
      <c r="AC76" s="118" t="n">
        <f aca="false">IF(INPUTS!$E$94="Yes",IF(OR(TIMELINE!AC80=0,TIMELINE!$C$79=0),0,IF(INPUTS!$O$94="Upfront",--(TIMELINE!AC80=1),IF(INPUTS!$O$94="Even",1/TIMELINE!$C$79,IF(INPUTS!$O$94="Front-loaded",(TIMELINE!$C$79-TIMELINE!AC80+1)*2/(TIMELINE!$C$79*(TIMELINE!$C$79+1)),IF(INPUTS!$O$94="Back-loaded",TIMELINE!AC80*2/(TIMELINE!$C$79*(TIMELINE!$C$79+1)),IF(INPUTS!$O$94="S-curve",SIN(PI()*(TIMELINE!AC80-0.5)/TIMELINE!$C$79)*SIN(PI()/(2*TIMELINE!$C$79)),0)))))),0)</f>
        <v>0</v>
      </c>
      <c r="AD76" s="118" t="n">
        <f aca="false">IF(INPUTS!$E$94="Yes",IF(OR(TIMELINE!AD80=0,TIMELINE!$C$79=0),0,IF(INPUTS!$O$94="Upfront",--(TIMELINE!AD80=1),IF(INPUTS!$O$94="Even",1/TIMELINE!$C$79,IF(INPUTS!$O$94="Front-loaded",(TIMELINE!$C$79-TIMELINE!AD80+1)*2/(TIMELINE!$C$79*(TIMELINE!$C$79+1)),IF(INPUTS!$O$94="Back-loaded",TIMELINE!AD80*2/(TIMELINE!$C$79*(TIMELINE!$C$79+1)),IF(INPUTS!$O$94="S-curve",SIN(PI()*(TIMELINE!AD80-0.5)/TIMELINE!$C$79)*SIN(PI()/(2*TIMELINE!$C$79)),0)))))),0)</f>
        <v>0</v>
      </c>
      <c r="AE76" s="118" t="n">
        <f aca="false">IF(INPUTS!$E$94="Yes",IF(OR(TIMELINE!AE80=0,TIMELINE!$C$79=0),0,IF(INPUTS!$O$94="Upfront",--(TIMELINE!AE80=1),IF(INPUTS!$O$94="Even",1/TIMELINE!$C$79,IF(INPUTS!$O$94="Front-loaded",(TIMELINE!$C$79-TIMELINE!AE80+1)*2/(TIMELINE!$C$79*(TIMELINE!$C$79+1)),IF(INPUTS!$O$94="Back-loaded",TIMELINE!AE80*2/(TIMELINE!$C$79*(TIMELINE!$C$79+1)),IF(INPUTS!$O$94="S-curve",SIN(PI()*(TIMELINE!AE80-0.5)/TIMELINE!$C$79)*SIN(PI()/(2*TIMELINE!$C$79)),0)))))),0)</f>
        <v>0</v>
      </c>
      <c r="AF76" s="118" t="n">
        <f aca="false">IF(INPUTS!$E$94="Yes",IF(OR(TIMELINE!AF80=0,TIMELINE!$C$79=0),0,IF(INPUTS!$O$94="Upfront",--(TIMELINE!AF80=1),IF(INPUTS!$O$94="Even",1/TIMELINE!$C$79,IF(INPUTS!$O$94="Front-loaded",(TIMELINE!$C$79-TIMELINE!AF80+1)*2/(TIMELINE!$C$79*(TIMELINE!$C$79+1)),IF(INPUTS!$O$94="Back-loaded",TIMELINE!AF80*2/(TIMELINE!$C$79*(TIMELINE!$C$79+1)),IF(INPUTS!$O$94="S-curve",SIN(PI()*(TIMELINE!AF80-0.5)/TIMELINE!$C$79)*SIN(PI()/(2*TIMELINE!$C$79)),0)))))),0)</f>
        <v>0</v>
      </c>
      <c r="AG76" s="118" t="n">
        <f aca="false">IF(INPUTS!$E$94="Yes",IF(OR(TIMELINE!AG80=0,TIMELINE!$C$79=0),0,IF(INPUTS!$O$94="Upfront",--(TIMELINE!AG80=1),IF(INPUTS!$O$94="Even",1/TIMELINE!$C$79,IF(INPUTS!$O$94="Front-loaded",(TIMELINE!$C$79-TIMELINE!AG80+1)*2/(TIMELINE!$C$79*(TIMELINE!$C$79+1)),IF(INPUTS!$O$94="Back-loaded",TIMELINE!AG80*2/(TIMELINE!$C$79*(TIMELINE!$C$79+1)),IF(INPUTS!$O$94="S-curve",SIN(PI()*(TIMELINE!AG80-0.5)/TIMELINE!$C$79)*SIN(PI()/(2*TIMELINE!$C$79)),0)))))),0)</f>
        <v>0</v>
      </c>
      <c r="AH76" s="118" t="n">
        <f aca="false">IF(INPUTS!$E$94="Yes",IF(OR(TIMELINE!AH80=0,TIMELINE!$C$79=0),0,IF(INPUTS!$O$94="Upfront",--(TIMELINE!AH80=1),IF(INPUTS!$O$94="Even",1/TIMELINE!$C$79,IF(INPUTS!$O$94="Front-loaded",(TIMELINE!$C$79-TIMELINE!AH80+1)*2/(TIMELINE!$C$79*(TIMELINE!$C$79+1)),IF(INPUTS!$O$94="Back-loaded",TIMELINE!AH80*2/(TIMELINE!$C$79*(TIMELINE!$C$79+1)),IF(INPUTS!$O$94="S-curve",SIN(PI()*(TIMELINE!AH80-0.5)/TIMELINE!$C$79)*SIN(PI()/(2*TIMELINE!$C$79)),0)))))),0)</f>
        <v>0</v>
      </c>
      <c r="AI76" s="118" t="n">
        <f aca="false">IF(INPUTS!$E$94="Yes",IF(OR(TIMELINE!AI80=0,TIMELINE!$C$79=0),0,IF(INPUTS!$O$94="Upfront",--(TIMELINE!AI80=1),IF(INPUTS!$O$94="Even",1/TIMELINE!$C$79,IF(INPUTS!$O$94="Front-loaded",(TIMELINE!$C$79-TIMELINE!AI80+1)*2/(TIMELINE!$C$79*(TIMELINE!$C$79+1)),IF(INPUTS!$O$94="Back-loaded",TIMELINE!AI80*2/(TIMELINE!$C$79*(TIMELINE!$C$79+1)),IF(INPUTS!$O$94="S-curve",SIN(PI()*(TIMELINE!AI80-0.5)/TIMELINE!$C$79)*SIN(PI()/(2*TIMELINE!$C$79)),0)))))),0)</f>
        <v>0</v>
      </c>
      <c r="AJ76" s="118" t="n">
        <f aca="false">IF(INPUTS!$E$94="Yes",IF(OR(TIMELINE!AJ80=0,TIMELINE!$C$79=0),0,IF(INPUTS!$O$94="Upfront",--(TIMELINE!AJ80=1),IF(INPUTS!$O$94="Even",1/TIMELINE!$C$79,IF(INPUTS!$O$94="Front-loaded",(TIMELINE!$C$79-TIMELINE!AJ80+1)*2/(TIMELINE!$C$79*(TIMELINE!$C$79+1)),IF(INPUTS!$O$94="Back-loaded",TIMELINE!AJ80*2/(TIMELINE!$C$79*(TIMELINE!$C$79+1)),IF(INPUTS!$O$94="S-curve",SIN(PI()*(TIMELINE!AJ80-0.5)/TIMELINE!$C$79)*SIN(PI()/(2*TIMELINE!$C$79)),0)))))),0)</f>
        <v>0</v>
      </c>
      <c r="AK76" s="118" t="n">
        <f aca="false">IF(INPUTS!$E$94="Yes",IF(OR(TIMELINE!AK80=0,TIMELINE!$C$79=0),0,IF(INPUTS!$O$94="Upfront",--(TIMELINE!AK80=1),IF(INPUTS!$O$94="Even",1/TIMELINE!$C$79,IF(INPUTS!$O$94="Front-loaded",(TIMELINE!$C$79-TIMELINE!AK80+1)*2/(TIMELINE!$C$79*(TIMELINE!$C$79+1)),IF(INPUTS!$O$94="Back-loaded",TIMELINE!AK80*2/(TIMELINE!$C$79*(TIMELINE!$C$79+1)),IF(INPUTS!$O$94="S-curve",SIN(PI()*(TIMELINE!AK80-0.5)/TIMELINE!$C$79)*SIN(PI()/(2*TIMELINE!$C$79)),0)))))),0)</f>
        <v>0</v>
      </c>
      <c r="AL76" s="118" t="n">
        <f aca="false">IF(INPUTS!$E$94="Yes",IF(OR(TIMELINE!AL80=0,TIMELINE!$C$79=0),0,IF(INPUTS!$O$94="Upfront",--(TIMELINE!AL80=1),IF(INPUTS!$O$94="Even",1/TIMELINE!$C$79,IF(INPUTS!$O$94="Front-loaded",(TIMELINE!$C$79-TIMELINE!AL80+1)*2/(TIMELINE!$C$79*(TIMELINE!$C$79+1)),IF(INPUTS!$O$94="Back-loaded",TIMELINE!AL80*2/(TIMELINE!$C$79*(TIMELINE!$C$79+1)),IF(INPUTS!$O$94="S-curve",SIN(PI()*(TIMELINE!AL80-0.5)/TIMELINE!$C$79)*SIN(PI()/(2*TIMELINE!$C$79)),0)))))),0)</f>
        <v>0</v>
      </c>
      <c r="AM76" s="118" t="n">
        <f aca="false">IF(INPUTS!$E$94="Yes",IF(OR(TIMELINE!AM80=0,TIMELINE!$C$79=0),0,IF(INPUTS!$O$94="Upfront",--(TIMELINE!AM80=1),IF(INPUTS!$O$94="Even",1/TIMELINE!$C$79,IF(INPUTS!$O$94="Front-loaded",(TIMELINE!$C$79-TIMELINE!AM80+1)*2/(TIMELINE!$C$79*(TIMELINE!$C$79+1)),IF(INPUTS!$O$94="Back-loaded",TIMELINE!AM80*2/(TIMELINE!$C$79*(TIMELINE!$C$79+1)),IF(INPUTS!$O$94="S-curve",SIN(PI()*(TIMELINE!AM80-0.5)/TIMELINE!$C$79)*SIN(PI()/(2*TIMELINE!$C$79)),0)))))),0)</f>
        <v>0</v>
      </c>
      <c r="AN76" s="118" t="n">
        <f aca="false">IF(INPUTS!$E$94="Yes",IF(OR(TIMELINE!AN80=0,TIMELINE!$C$79=0),0,IF(INPUTS!$O$94="Upfront",--(TIMELINE!AN80=1),IF(INPUTS!$O$94="Even",1/TIMELINE!$C$79,IF(INPUTS!$O$94="Front-loaded",(TIMELINE!$C$79-TIMELINE!AN80+1)*2/(TIMELINE!$C$79*(TIMELINE!$C$79+1)),IF(INPUTS!$O$94="Back-loaded",TIMELINE!AN80*2/(TIMELINE!$C$79*(TIMELINE!$C$79+1)),IF(INPUTS!$O$94="S-curve",SIN(PI()*(TIMELINE!AN80-0.5)/TIMELINE!$C$79)*SIN(PI()/(2*TIMELINE!$C$79)),0)))))),0)</f>
        <v>0</v>
      </c>
      <c r="AO76" s="118" t="n">
        <f aca="false">IF(INPUTS!$E$94="Yes",IF(OR(TIMELINE!AO80=0,TIMELINE!$C$79=0),0,IF(INPUTS!$O$94="Upfront",--(TIMELINE!AO80=1),IF(INPUTS!$O$94="Even",1/TIMELINE!$C$79,IF(INPUTS!$O$94="Front-loaded",(TIMELINE!$C$79-TIMELINE!AO80+1)*2/(TIMELINE!$C$79*(TIMELINE!$C$79+1)),IF(INPUTS!$O$94="Back-loaded",TIMELINE!AO80*2/(TIMELINE!$C$79*(TIMELINE!$C$79+1)),IF(INPUTS!$O$94="S-curve",SIN(PI()*(TIMELINE!AO80-0.5)/TIMELINE!$C$79)*SIN(PI()/(2*TIMELINE!$C$79)),0)))))),0)</f>
        <v>0</v>
      </c>
      <c r="AP76" s="118" t="n">
        <f aca="false">IF(INPUTS!$E$94="Yes",IF(OR(TIMELINE!AP80=0,TIMELINE!$C$79=0),0,IF(INPUTS!$O$94="Upfront",--(TIMELINE!AP80=1),IF(INPUTS!$O$94="Even",1/TIMELINE!$C$79,IF(INPUTS!$O$94="Front-loaded",(TIMELINE!$C$79-TIMELINE!AP80+1)*2/(TIMELINE!$C$79*(TIMELINE!$C$79+1)),IF(INPUTS!$O$94="Back-loaded",TIMELINE!AP80*2/(TIMELINE!$C$79*(TIMELINE!$C$79+1)),IF(INPUTS!$O$94="S-curve",SIN(PI()*(TIMELINE!AP80-0.5)/TIMELINE!$C$79)*SIN(PI()/(2*TIMELINE!$C$79)),0)))))),0)</f>
        <v>0</v>
      </c>
      <c r="AQ76" s="118" t="n">
        <f aca="false">IF(INPUTS!$E$94="Yes",IF(OR(TIMELINE!AQ80=0,TIMELINE!$C$79=0),0,IF(INPUTS!$O$94="Upfront",--(TIMELINE!AQ80=1),IF(INPUTS!$O$94="Even",1/TIMELINE!$C$79,IF(INPUTS!$O$94="Front-loaded",(TIMELINE!$C$79-TIMELINE!AQ80+1)*2/(TIMELINE!$C$79*(TIMELINE!$C$79+1)),IF(INPUTS!$O$94="Back-loaded",TIMELINE!AQ80*2/(TIMELINE!$C$79*(TIMELINE!$C$79+1)),IF(INPUTS!$O$94="S-curve",SIN(PI()*(TIMELINE!AQ80-0.5)/TIMELINE!$C$79)*SIN(PI()/(2*TIMELINE!$C$79)),0)))))),0)</f>
        <v>0</v>
      </c>
    </row>
    <row r="77" customFormat="false" ht="15" hidden="false" customHeight="false" outlineLevel="0" collapsed="false">
      <c r="B77" s="3" t="s">
        <v>673</v>
      </c>
      <c r="D77" s="118" t="n">
        <f aca="false">SUM($D76:D76)</f>
        <v>0</v>
      </c>
      <c r="E77" s="118" t="n">
        <f aca="false">SUM($D76:E76)</f>
        <v>0</v>
      </c>
      <c r="F77" s="118" t="n">
        <f aca="false">SUM($D76:F76)</f>
        <v>0</v>
      </c>
      <c r="G77" s="118" t="n">
        <f aca="false">SUM($D76:G76)</f>
        <v>0</v>
      </c>
      <c r="H77" s="118" t="n">
        <f aca="false">SUM($D76:H76)</f>
        <v>0</v>
      </c>
      <c r="I77" s="118" t="n">
        <f aca="false">SUM($D76:I76)</f>
        <v>0</v>
      </c>
      <c r="J77" s="118" t="n">
        <f aca="false">SUM($D76:J76)</f>
        <v>0</v>
      </c>
      <c r="K77" s="118" t="n">
        <f aca="false">SUM($D76:K76)</f>
        <v>0</v>
      </c>
      <c r="L77" s="118" t="n">
        <f aca="false">SUM($D76:L76)</f>
        <v>0</v>
      </c>
      <c r="M77" s="118" t="n">
        <f aca="false">SUM($D76:M76)</f>
        <v>0</v>
      </c>
      <c r="N77" s="118" t="n">
        <f aca="false">SUM($D76:N76)</f>
        <v>0</v>
      </c>
      <c r="O77" s="118" t="n">
        <f aca="false">SUM($D76:O76)</f>
        <v>0</v>
      </c>
      <c r="P77" s="118" t="n">
        <f aca="false">SUM($D76:P76)</f>
        <v>0</v>
      </c>
      <c r="Q77" s="118" t="n">
        <f aca="false">SUM($D76:Q76)</f>
        <v>0</v>
      </c>
      <c r="R77" s="118" t="n">
        <f aca="false">SUM($D76:R76)</f>
        <v>0</v>
      </c>
      <c r="S77" s="118" t="n">
        <f aca="false">SUM($D76:S76)</f>
        <v>0</v>
      </c>
      <c r="T77" s="118" t="n">
        <f aca="false">SUM($D76:T76)</f>
        <v>0</v>
      </c>
      <c r="U77" s="118" t="n">
        <f aca="false">SUM($D76:U76)</f>
        <v>0</v>
      </c>
      <c r="V77" s="118" t="n">
        <f aca="false">SUM($D76:V76)</f>
        <v>0</v>
      </c>
      <c r="W77" s="118" t="n">
        <f aca="false">SUM($D76:W76)</f>
        <v>0</v>
      </c>
      <c r="X77" s="118" t="n">
        <f aca="false">SUM($D76:X76)</f>
        <v>0</v>
      </c>
      <c r="Y77" s="118" t="n">
        <f aca="false">SUM($D76:Y76)</f>
        <v>0</v>
      </c>
      <c r="Z77" s="118" t="n">
        <f aca="false">SUM($D76:Z76)</f>
        <v>0</v>
      </c>
      <c r="AA77" s="118" t="n">
        <f aca="false">SUM($D76:AA76)</f>
        <v>0</v>
      </c>
      <c r="AB77" s="118" t="n">
        <f aca="false">SUM($D76:AB76)</f>
        <v>0</v>
      </c>
      <c r="AC77" s="118" t="n">
        <f aca="false">SUM($D76:AC76)</f>
        <v>0</v>
      </c>
      <c r="AD77" s="118" t="n">
        <f aca="false">SUM($D76:AD76)</f>
        <v>0</v>
      </c>
      <c r="AE77" s="118" t="n">
        <f aca="false">SUM($D76:AE76)</f>
        <v>0</v>
      </c>
      <c r="AF77" s="118" t="n">
        <f aca="false">SUM($D76:AF76)</f>
        <v>0</v>
      </c>
      <c r="AG77" s="118" t="n">
        <f aca="false">SUM($D76:AG76)</f>
        <v>0</v>
      </c>
      <c r="AH77" s="118" t="n">
        <f aca="false">SUM($D76:AH76)</f>
        <v>0</v>
      </c>
      <c r="AI77" s="118" t="n">
        <f aca="false">SUM($D76:AI76)</f>
        <v>0</v>
      </c>
      <c r="AJ77" s="118" t="n">
        <f aca="false">SUM($D76:AJ76)</f>
        <v>0</v>
      </c>
      <c r="AK77" s="118" t="n">
        <f aca="false">SUM($D76:AK76)</f>
        <v>0</v>
      </c>
      <c r="AL77" s="118" t="n">
        <f aca="false">SUM($D76:AL76)</f>
        <v>0</v>
      </c>
      <c r="AM77" s="118" t="n">
        <f aca="false">SUM($D76:AM76)</f>
        <v>0</v>
      </c>
      <c r="AN77" s="118" t="n">
        <f aca="false">SUM($D76:AN76)</f>
        <v>0</v>
      </c>
      <c r="AO77" s="118" t="n">
        <f aca="false">SUM($D76:AO76)</f>
        <v>0</v>
      </c>
      <c r="AP77" s="118" t="n">
        <f aca="false">SUM($D76:AP76)</f>
        <v>0</v>
      </c>
      <c r="AQ77" s="118" t="n">
        <f aca="false">SUM($D76:AQ76)</f>
        <v>0</v>
      </c>
    </row>
    <row r="78" customFormat="false" ht="15" hidden="false" customHeight="false" outlineLevel="0" collapsed="false">
      <c r="B78" s="17" t="s">
        <v>674</v>
      </c>
      <c r="C78" s="105" t="str">
        <f aca="false">IF(NOT(INPUTS!$E$94="Yes"),"Off",IF(AND(ABS(C74-1)&lt;0.000000001,ABS(C76-1)&lt;0.000000001,ABS(AQ77-1)&lt;0.000000001),"OK","ERROR"))</f>
        <v>Off</v>
      </c>
    </row>
    <row r="79" customFormat="false" ht="15" hidden="false" customHeight="false" outlineLevel="0" collapsed="false">
      <c r="B79" s="110" t="str">
        <f aca="false">IF(INPUTS!$E$95="Yes",INPUTS!$B$95,"Product row 8 (off)")</f>
        <v>Product row 8 (off)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</row>
    <row r="80" customFormat="false" ht="15" hidden="false" customHeight="false" outlineLevel="0" collapsed="false">
      <c r="B80" s="3" t="s">
        <v>670</v>
      </c>
      <c r="C80" s="117" t="n">
        <f aca="false">SUM(D80:AQ80)</f>
        <v>0</v>
      </c>
      <c r="D80" s="118" t="n">
        <f aca="false">IF(INPUTS!$E$95="Yes",IF(OR(TIMELINE!D85=0,TIMELINE!$C$84=0),0,IF(INPUTS!$K$95="Upfront",--(TIMELINE!D85=1),IF(INPUTS!$K$95="Even",1/TIMELINE!$C$84,IF(INPUTS!$K$95="Front-loaded",(TIMELINE!$C$84-TIMELINE!D85+1)*2/(TIMELINE!$C$84*(TIMELINE!$C$84+1)),IF(INPUTS!$K$95="Back-loaded",TIMELINE!D85*2/(TIMELINE!$C$84*(TIMELINE!$C$84+1)),IF(INPUTS!$K$95="S-curve",SIN(PI()*(TIMELINE!D85-0.5)/TIMELINE!$C$84)*SIN(PI()/(2*TIMELINE!$C$84)),0)))))),0)</f>
        <v>0</v>
      </c>
      <c r="E80" s="118" t="n">
        <f aca="false">IF(INPUTS!$E$95="Yes",IF(OR(TIMELINE!E85=0,TIMELINE!$C$84=0),0,IF(INPUTS!$K$95="Upfront",--(TIMELINE!E85=1),IF(INPUTS!$K$95="Even",1/TIMELINE!$C$84,IF(INPUTS!$K$95="Front-loaded",(TIMELINE!$C$84-TIMELINE!E85+1)*2/(TIMELINE!$C$84*(TIMELINE!$C$84+1)),IF(INPUTS!$K$95="Back-loaded",TIMELINE!E85*2/(TIMELINE!$C$84*(TIMELINE!$C$84+1)),IF(INPUTS!$K$95="S-curve",SIN(PI()*(TIMELINE!E85-0.5)/TIMELINE!$C$84)*SIN(PI()/(2*TIMELINE!$C$84)),0)))))),0)</f>
        <v>0</v>
      </c>
      <c r="F80" s="118" t="n">
        <f aca="false">IF(INPUTS!$E$95="Yes",IF(OR(TIMELINE!F85=0,TIMELINE!$C$84=0),0,IF(INPUTS!$K$95="Upfront",--(TIMELINE!F85=1),IF(INPUTS!$K$95="Even",1/TIMELINE!$C$84,IF(INPUTS!$K$95="Front-loaded",(TIMELINE!$C$84-TIMELINE!F85+1)*2/(TIMELINE!$C$84*(TIMELINE!$C$84+1)),IF(INPUTS!$K$95="Back-loaded",TIMELINE!F85*2/(TIMELINE!$C$84*(TIMELINE!$C$84+1)),IF(INPUTS!$K$95="S-curve",SIN(PI()*(TIMELINE!F85-0.5)/TIMELINE!$C$84)*SIN(PI()/(2*TIMELINE!$C$84)),0)))))),0)</f>
        <v>0</v>
      </c>
      <c r="G80" s="118" t="n">
        <f aca="false">IF(INPUTS!$E$95="Yes",IF(OR(TIMELINE!G85=0,TIMELINE!$C$84=0),0,IF(INPUTS!$K$95="Upfront",--(TIMELINE!G85=1),IF(INPUTS!$K$95="Even",1/TIMELINE!$C$84,IF(INPUTS!$K$95="Front-loaded",(TIMELINE!$C$84-TIMELINE!G85+1)*2/(TIMELINE!$C$84*(TIMELINE!$C$84+1)),IF(INPUTS!$K$95="Back-loaded",TIMELINE!G85*2/(TIMELINE!$C$84*(TIMELINE!$C$84+1)),IF(INPUTS!$K$95="S-curve",SIN(PI()*(TIMELINE!G85-0.5)/TIMELINE!$C$84)*SIN(PI()/(2*TIMELINE!$C$84)),0)))))),0)</f>
        <v>0</v>
      </c>
      <c r="H80" s="118" t="n">
        <f aca="false">IF(INPUTS!$E$95="Yes",IF(OR(TIMELINE!H85=0,TIMELINE!$C$84=0),0,IF(INPUTS!$K$95="Upfront",--(TIMELINE!H85=1),IF(INPUTS!$K$95="Even",1/TIMELINE!$C$84,IF(INPUTS!$K$95="Front-loaded",(TIMELINE!$C$84-TIMELINE!H85+1)*2/(TIMELINE!$C$84*(TIMELINE!$C$84+1)),IF(INPUTS!$K$95="Back-loaded",TIMELINE!H85*2/(TIMELINE!$C$84*(TIMELINE!$C$84+1)),IF(INPUTS!$K$95="S-curve",SIN(PI()*(TIMELINE!H85-0.5)/TIMELINE!$C$84)*SIN(PI()/(2*TIMELINE!$C$84)),0)))))),0)</f>
        <v>0</v>
      </c>
      <c r="I80" s="118" t="n">
        <f aca="false">IF(INPUTS!$E$95="Yes",IF(OR(TIMELINE!I85=0,TIMELINE!$C$84=0),0,IF(INPUTS!$K$95="Upfront",--(TIMELINE!I85=1),IF(INPUTS!$K$95="Even",1/TIMELINE!$C$84,IF(INPUTS!$K$95="Front-loaded",(TIMELINE!$C$84-TIMELINE!I85+1)*2/(TIMELINE!$C$84*(TIMELINE!$C$84+1)),IF(INPUTS!$K$95="Back-loaded",TIMELINE!I85*2/(TIMELINE!$C$84*(TIMELINE!$C$84+1)),IF(INPUTS!$K$95="S-curve",SIN(PI()*(TIMELINE!I85-0.5)/TIMELINE!$C$84)*SIN(PI()/(2*TIMELINE!$C$84)),0)))))),0)</f>
        <v>0</v>
      </c>
      <c r="J80" s="118" t="n">
        <f aca="false">IF(INPUTS!$E$95="Yes",IF(OR(TIMELINE!J85=0,TIMELINE!$C$84=0),0,IF(INPUTS!$K$95="Upfront",--(TIMELINE!J85=1),IF(INPUTS!$K$95="Even",1/TIMELINE!$C$84,IF(INPUTS!$K$95="Front-loaded",(TIMELINE!$C$84-TIMELINE!J85+1)*2/(TIMELINE!$C$84*(TIMELINE!$C$84+1)),IF(INPUTS!$K$95="Back-loaded",TIMELINE!J85*2/(TIMELINE!$C$84*(TIMELINE!$C$84+1)),IF(INPUTS!$K$95="S-curve",SIN(PI()*(TIMELINE!J85-0.5)/TIMELINE!$C$84)*SIN(PI()/(2*TIMELINE!$C$84)),0)))))),0)</f>
        <v>0</v>
      </c>
      <c r="K80" s="118" t="n">
        <f aca="false">IF(INPUTS!$E$95="Yes",IF(OR(TIMELINE!K85=0,TIMELINE!$C$84=0),0,IF(INPUTS!$K$95="Upfront",--(TIMELINE!K85=1),IF(INPUTS!$K$95="Even",1/TIMELINE!$C$84,IF(INPUTS!$K$95="Front-loaded",(TIMELINE!$C$84-TIMELINE!K85+1)*2/(TIMELINE!$C$84*(TIMELINE!$C$84+1)),IF(INPUTS!$K$95="Back-loaded",TIMELINE!K85*2/(TIMELINE!$C$84*(TIMELINE!$C$84+1)),IF(INPUTS!$K$95="S-curve",SIN(PI()*(TIMELINE!K85-0.5)/TIMELINE!$C$84)*SIN(PI()/(2*TIMELINE!$C$84)),0)))))),0)</f>
        <v>0</v>
      </c>
      <c r="L80" s="118" t="n">
        <f aca="false">IF(INPUTS!$E$95="Yes",IF(OR(TIMELINE!L85=0,TIMELINE!$C$84=0),0,IF(INPUTS!$K$95="Upfront",--(TIMELINE!L85=1),IF(INPUTS!$K$95="Even",1/TIMELINE!$C$84,IF(INPUTS!$K$95="Front-loaded",(TIMELINE!$C$84-TIMELINE!L85+1)*2/(TIMELINE!$C$84*(TIMELINE!$C$84+1)),IF(INPUTS!$K$95="Back-loaded",TIMELINE!L85*2/(TIMELINE!$C$84*(TIMELINE!$C$84+1)),IF(INPUTS!$K$95="S-curve",SIN(PI()*(TIMELINE!L85-0.5)/TIMELINE!$C$84)*SIN(PI()/(2*TIMELINE!$C$84)),0)))))),0)</f>
        <v>0</v>
      </c>
      <c r="M80" s="118" t="n">
        <f aca="false">IF(INPUTS!$E$95="Yes",IF(OR(TIMELINE!M85=0,TIMELINE!$C$84=0),0,IF(INPUTS!$K$95="Upfront",--(TIMELINE!M85=1),IF(INPUTS!$K$95="Even",1/TIMELINE!$C$84,IF(INPUTS!$K$95="Front-loaded",(TIMELINE!$C$84-TIMELINE!M85+1)*2/(TIMELINE!$C$84*(TIMELINE!$C$84+1)),IF(INPUTS!$K$95="Back-loaded",TIMELINE!M85*2/(TIMELINE!$C$84*(TIMELINE!$C$84+1)),IF(INPUTS!$K$95="S-curve",SIN(PI()*(TIMELINE!M85-0.5)/TIMELINE!$C$84)*SIN(PI()/(2*TIMELINE!$C$84)),0)))))),0)</f>
        <v>0</v>
      </c>
      <c r="N80" s="118" t="n">
        <f aca="false">IF(INPUTS!$E$95="Yes",IF(OR(TIMELINE!N85=0,TIMELINE!$C$84=0),0,IF(INPUTS!$K$95="Upfront",--(TIMELINE!N85=1),IF(INPUTS!$K$95="Even",1/TIMELINE!$C$84,IF(INPUTS!$K$95="Front-loaded",(TIMELINE!$C$84-TIMELINE!N85+1)*2/(TIMELINE!$C$84*(TIMELINE!$C$84+1)),IF(INPUTS!$K$95="Back-loaded",TIMELINE!N85*2/(TIMELINE!$C$84*(TIMELINE!$C$84+1)),IF(INPUTS!$K$95="S-curve",SIN(PI()*(TIMELINE!N85-0.5)/TIMELINE!$C$84)*SIN(PI()/(2*TIMELINE!$C$84)),0)))))),0)</f>
        <v>0</v>
      </c>
      <c r="O80" s="118" t="n">
        <f aca="false">IF(INPUTS!$E$95="Yes",IF(OR(TIMELINE!O85=0,TIMELINE!$C$84=0),0,IF(INPUTS!$K$95="Upfront",--(TIMELINE!O85=1),IF(INPUTS!$K$95="Even",1/TIMELINE!$C$84,IF(INPUTS!$K$95="Front-loaded",(TIMELINE!$C$84-TIMELINE!O85+1)*2/(TIMELINE!$C$84*(TIMELINE!$C$84+1)),IF(INPUTS!$K$95="Back-loaded",TIMELINE!O85*2/(TIMELINE!$C$84*(TIMELINE!$C$84+1)),IF(INPUTS!$K$95="S-curve",SIN(PI()*(TIMELINE!O85-0.5)/TIMELINE!$C$84)*SIN(PI()/(2*TIMELINE!$C$84)),0)))))),0)</f>
        <v>0</v>
      </c>
      <c r="P80" s="118" t="n">
        <f aca="false">IF(INPUTS!$E$95="Yes",IF(OR(TIMELINE!P85=0,TIMELINE!$C$84=0),0,IF(INPUTS!$K$95="Upfront",--(TIMELINE!P85=1),IF(INPUTS!$K$95="Even",1/TIMELINE!$C$84,IF(INPUTS!$K$95="Front-loaded",(TIMELINE!$C$84-TIMELINE!P85+1)*2/(TIMELINE!$C$84*(TIMELINE!$C$84+1)),IF(INPUTS!$K$95="Back-loaded",TIMELINE!P85*2/(TIMELINE!$C$84*(TIMELINE!$C$84+1)),IF(INPUTS!$K$95="S-curve",SIN(PI()*(TIMELINE!P85-0.5)/TIMELINE!$C$84)*SIN(PI()/(2*TIMELINE!$C$84)),0)))))),0)</f>
        <v>0</v>
      </c>
      <c r="Q80" s="118" t="n">
        <f aca="false">IF(INPUTS!$E$95="Yes",IF(OR(TIMELINE!Q85=0,TIMELINE!$C$84=0),0,IF(INPUTS!$K$95="Upfront",--(TIMELINE!Q85=1),IF(INPUTS!$K$95="Even",1/TIMELINE!$C$84,IF(INPUTS!$K$95="Front-loaded",(TIMELINE!$C$84-TIMELINE!Q85+1)*2/(TIMELINE!$C$84*(TIMELINE!$C$84+1)),IF(INPUTS!$K$95="Back-loaded",TIMELINE!Q85*2/(TIMELINE!$C$84*(TIMELINE!$C$84+1)),IF(INPUTS!$K$95="S-curve",SIN(PI()*(TIMELINE!Q85-0.5)/TIMELINE!$C$84)*SIN(PI()/(2*TIMELINE!$C$84)),0)))))),0)</f>
        <v>0</v>
      </c>
      <c r="R80" s="118" t="n">
        <f aca="false">IF(INPUTS!$E$95="Yes",IF(OR(TIMELINE!R85=0,TIMELINE!$C$84=0),0,IF(INPUTS!$K$95="Upfront",--(TIMELINE!R85=1),IF(INPUTS!$K$95="Even",1/TIMELINE!$C$84,IF(INPUTS!$K$95="Front-loaded",(TIMELINE!$C$84-TIMELINE!R85+1)*2/(TIMELINE!$C$84*(TIMELINE!$C$84+1)),IF(INPUTS!$K$95="Back-loaded",TIMELINE!R85*2/(TIMELINE!$C$84*(TIMELINE!$C$84+1)),IF(INPUTS!$K$95="S-curve",SIN(PI()*(TIMELINE!R85-0.5)/TIMELINE!$C$84)*SIN(PI()/(2*TIMELINE!$C$84)),0)))))),0)</f>
        <v>0</v>
      </c>
      <c r="S80" s="118" t="n">
        <f aca="false">IF(INPUTS!$E$95="Yes",IF(OR(TIMELINE!S85=0,TIMELINE!$C$84=0),0,IF(INPUTS!$K$95="Upfront",--(TIMELINE!S85=1),IF(INPUTS!$K$95="Even",1/TIMELINE!$C$84,IF(INPUTS!$K$95="Front-loaded",(TIMELINE!$C$84-TIMELINE!S85+1)*2/(TIMELINE!$C$84*(TIMELINE!$C$84+1)),IF(INPUTS!$K$95="Back-loaded",TIMELINE!S85*2/(TIMELINE!$C$84*(TIMELINE!$C$84+1)),IF(INPUTS!$K$95="S-curve",SIN(PI()*(TIMELINE!S85-0.5)/TIMELINE!$C$84)*SIN(PI()/(2*TIMELINE!$C$84)),0)))))),0)</f>
        <v>0</v>
      </c>
      <c r="T80" s="118" t="n">
        <f aca="false">IF(INPUTS!$E$95="Yes",IF(OR(TIMELINE!T85=0,TIMELINE!$C$84=0),0,IF(INPUTS!$K$95="Upfront",--(TIMELINE!T85=1),IF(INPUTS!$K$95="Even",1/TIMELINE!$C$84,IF(INPUTS!$K$95="Front-loaded",(TIMELINE!$C$84-TIMELINE!T85+1)*2/(TIMELINE!$C$84*(TIMELINE!$C$84+1)),IF(INPUTS!$K$95="Back-loaded",TIMELINE!T85*2/(TIMELINE!$C$84*(TIMELINE!$C$84+1)),IF(INPUTS!$K$95="S-curve",SIN(PI()*(TIMELINE!T85-0.5)/TIMELINE!$C$84)*SIN(PI()/(2*TIMELINE!$C$84)),0)))))),0)</f>
        <v>0</v>
      </c>
      <c r="U80" s="118" t="n">
        <f aca="false">IF(INPUTS!$E$95="Yes",IF(OR(TIMELINE!U85=0,TIMELINE!$C$84=0),0,IF(INPUTS!$K$95="Upfront",--(TIMELINE!U85=1),IF(INPUTS!$K$95="Even",1/TIMELINE!$C$84,IF(INPUTS!$K$95="Front-loaded",(TIMELINE!$C$84-TIMELINE!U85+1)*2/(TIMELINE!$C$84*(TIMELINE!$C$84+1)),IF(INPUTS!$K$95="Back-loaded",TIMELINE!U85*2/(TIMELINE!$C$84*(TIMELINE!$C$84+1)),IF(INPUTS!$K$95="S-curve",SIN(PI()*(TIMELINE!U85-0.5)/TIMELINE!$C$84)*SIN(PI()/(2*TIMELINE!$C$84)),0)))))),0)</f>
        <v>0</v>
      </c>
      <c r="V80" s="118" t="n">
        <f aca="false">IF(INPUTS!$E$95="Yes",IF(OR(TIMELINE!V85=0,TIMELINE!$C$84=0),0,IF(INPUTS!$K$95="Upfront",--(TIMELINE!V85=1),IF(INPUTS!$K$95="Even",1/TIMELINE!$C$84,IF(INPUTS!$K$95="Front-loaded",(TIMELINE!$C$84-TIMELINE!V85+1)*2/(TIMELINE!$C$84*(TIMELINE!$C$84+1)),IF(INPUTS!$K$95="Back-loaded",TIMELINE!V85*2/(TIMELINE!$C$84*(TIMELINE!$C$84+1)),IF(INPUTS!$K$95="S-curve",SIN(PI()*(TIMELINE!V85-0.5)/TIMELINE!$C$84)*SIN(PI()/(2*TIMELINE!$C$84)),0)))))),0)</f>
        <v>0</v>
      </c>
      <c r="W80" s="118" t="n">
        <f aca="false">IF(INPUTS!$E$95="Yes",IF(OR(TIMELINE!W85=0,TIMELINE!$C$84=0),0,IF(INPUTS!$K$95="Upfront",--(TIMELINE!W85=1),IF(INPUTS!$K$95="Even",1/TIMELINE!$C$84,IF(INPUTS!$K$95="Front-loaded",(TIMELINE!$C$84-TIMELINE!W85+1)*2/(TIMELINE!$C$84*(TIMELINE!$C$84+1)),IF(INPUTS!$K$95="Back-loaded",TIMELINE!W85*2/(TIMELINE!$C$84*(TIMELINE!$C$84+1)),IF(INPUTS!$K$95="S-curve",SIN(PI()*(TIMELINE!W85-0.5)/TIMELINE!$C$84)*SIN(PI()/(2*TIMELINE!$C$84)),0)))))),0)</f>
        <v>0</v>
      </c>
      <c r="X80" s="118" t="n">
        <f aca="false">IF(INPUTS!$E$95="Yes",IF(OR(TIMELINE!X85=0,TIMELINE!$C$84=0),0,IF(INPUTS!$K$95="Upfront",--(TIMELINE!X85=1),IF(INPUTS!$K$95="Even",1/TIMELINE!$C$84,IF(INPUTS!$K$95="Front-loaded",(TIMELINE!$C$84-TIMELINE!X85+1)*2/(TIMELINE!$C$84*(TIMELINE!$C$84+1)),IF(INPUTS!$K$95="Back-loaded",TIMELINE!X85*2/(TIMELINE!$C$84*(TIMELINE!$C$84+1)),IF(INPUTS!$K$95="S-curve",SIN(PI()*(TIMELINE!X85-0.5)/TIMELINE!$C$84)*SIN(PI()/(2*TIMELINE!$C$84)),0)))))),0)</f>
        <v>0</v>
      </c>
      <c r="Y80" s="118" t="n">
        <f aca="false">IF(INPUTS!$E$95="Yes",IF(OR(TIMELINE!Y85=0,TIMELINE!$C$84=0),0,IF(INPUTS!$K$95="Upfront",--(TIMELINE!Y85=1),IF(INPUTS!$K$95="Even",1/TIMELINE!$C$84,IF(INPUTS!$K$95="Front-loaded",(TIMELINE!$C$84-TIMELINE!Y85+1)*2/(TIMELINE!$C$84*(TIMELINE!$C$84+1)),IF(INPUTS!$K$95="Back-loaded",TIMELINE!Y85*2/(TIMELINE!$C$84*(TIMELINE!$C$84+1)),IF(INPUTS!$K$95="S-curve",SIN(PI()*(TIMELINE!Y85-0.5)/TIMELINE!$C$84)*SIN(PI()/(2*TIMELINE!$C$84)),0)))))),0)</f>
        <v>0</v>
      </c>
      <c r="Z80" s="118" t="n">
        <f aca="false">IF(INPUTS!$E$95="Yes",IF(OR(TIMELINE!Z85=0,TIMELINE!$C$84=0),0,IF(INPUTS!$K$95="Upfront",--(TIMELINE!Z85=1),IF(INPUTS!$K$95="Even",1/TIMELINE!$C$84,IF(INPUTS!$K$95="Front-loaded",(TIMELINE!$C$84-TIMELINE!Z85+1)*2/(TIMELINE!$C$84*(TIMELINE!$C$84+1)),IF(INPUTS!$K$95="Back-loaded",TIMELINE!Z85*2/(TIMELINE!$C$84*(TIMELINE!$C$84+1)),IF(INPUTS!$K$95="S-curve",SIN(PI()*(TIMELINE!Z85-0.5)/TIMELINE!$C$84)*SIN(PI()/(2*TIMELINE!$C$84)),0)))))),0)</f>
        <v>0</v>
      </c>
      <c r="AA80" s="118" t="n">
        <f aca="false">IF(INPUTS!$E$95="Yes",IF(OR(TIMELINE!AA85=0,TIMELINE!$C$84=0),0,IF(INPUTS!$K$95="Upfront",--(TIMELINE!AA85=1),IF(INPUTS!$K$95="Even",1/TIMELINE!$C$84,IF(INPUTS!$K$95="Front-loaded",(TIMELINE!$C$84-TIMELINE!AA85+1)*2/(TIMELINE!$C$84*(TIMELINE!$C$84+1)),IF(INPUTS!$K$95="Back-loaded",TIMELINE!AA85*2/(TIMELINE!$C$84*(TIMELINE!$C$84+1)),IF(INPUTS!$K$95="S-curve",SIN(PI()*(TIMELINE!AA85-0.5)/TIMELINE!$C$84)*SIN(PI()/(2*TIMELINE!$C$84)),0)))))),0)</f>
        <v>0</v>
      </c>
      <c r="AB80" s="118" t="n">
        <f aca="false">IF(INPUTS!$E$95="Yes",IF(OR(TIMELINE!AB85=0,TIMELINE!$C$84=0),0,IF(INPUTS!$K$95="Upfront",--(TIMELINE!AB85=1),IF(INPUTS!$K$95="Even",1/TIMELINE!$C$84,IF(INPUTS!$K$95="Front-loaded",(TIMELINE!$C$84-TIMELINE!AB85+1)*2/(TIMELINE!$C$84*(TIMELINE!$C$84+1)),IF(INPUTS!$K$95="Back-loaded",TIMELINE!AB85*2/(TIMELINE!$C$84*(TIMELINE!$C$84+1)),IF(INPUTS!$K$95="S-curve",SIN(PI()*(TIMELINE!AB85-0.5)/TIMELINE!$C$84)*SIN(PI()/(2*TIMELINE!$C$84)),0)))))),0)</f>
        <v>0</v>
      </c>
      <c r="AC80" s="118" t="n">
        <f aca="false">IF(INPUTS!$E$95="Yes",IF(OR(TIMELINE!AC85=0,TIMELINE!$C$84=0),0,IF(INPUTS!$K$95="Upfront",--(TIMELINE!AC85=1),IF(INPUTS!$K$95="Even",1/TIMELINE!$C$84,IF(INPUTS!$K$95="Front-loaded",(TIMELINE!$C$84-TIMELINE!AC85+1)*2/(TIMELINE!$C$84*(TIMELINE!$C$84+1)),IF(INPUTS!$K$95="Back-loaded",TIMELINE!AC85*2/(TIMELINE!$C$84*(TIMELINE!$C$84+1)),IF(INPUTS!$K$95="S-curve",SIN(PI()*(TIMELINE!AC85-0.5)/TIMELINE!$C$84)*SIN(PI()/(2*TIMELINE!$C$84)),0)))))),0)</f>
        <v>0</v>
      </c>
      <c r="AD80" s="118" t="n">
        <f aca="false">IF(INPUTS!$E$95="Yes",IF(OR(TIMELINE!AD85=0,TIMELINE!$C$84=0),0,IF(INPUTS!$K$95="Upfront",--(TIMELINE!AD85=1),IF(INPUTS!$K$95="Even",1/TIMELINE!$C$84,IF(INPUTS!$K$95="Front-loaded",(TIMELINE!$C$84-TIMELINE!AD85+1)*2/(TIMELINE!$C$84*(TIMELINE!$C$84+1)),IF(INPUTS!$K$95="Back-loaded",TIMELINE!AD85*2/(TIMELINE!$C$84*(TIMELINE!$C$84+1)),IF(INPUTS!$K$95="S-curve",SIN(PI()*(TIMELINE!AD85-0.5)/TIMELINE!$C$84)*SIN(PI()/(2*TIMELINE!$C$84)),0)))))),0)</f>
        <v>0</v>
      </c>
      <c r="AE80" s="118" t="n">
        <f aca="false">IF(INPUTS!$E$95="Yes",IF(OR(TIMELINE!AE85=0,TIMELINE!$C$84=0),0,IF(INPUTS!$K$95="Upfront",--(TIMELINE!AE85=1),IF(INPUTS!$K$95="Even",1/TIMELINE!$C$84,IF(INPUTS!$K$95="Front-loaded",(TIMELINE!$C$84-TIMELINE!AE85+1)*2/(TIMELINE!$C$84*(TIMELINE!$C$84+1)),IF(INPUTS!$K$95="Back-loaded",TIMELINE!AE85*2/(TIMELINE!$C$84*(TIMELINE!$C$84+1)),IF(INPUTS!$K$95="S-curve",SIN(PI()*(TIMELINE!AE85-0.5)/TIMELINE!$C$84)*SIN(PI()/(2*TIMELINE!$C$84)),0)))))),0)</f>
        <v>0</v>
      </c>
      <c r="AF80" s="118" t="n">
        <f aca="false">IF(INPUTS!$E$95="Yes",IF(OR(TIMELINE!AF85=0,TIMELINE!$C$84=0),0,IF(INPUTS!$K$95="Upfront",--(TIMELINE!AF85=1),IF(INPUTS!$K$95="Even",1/TIMELINE!$C$84,IF(INPUTS!$K$95="Front-loaded",(TIMELINE!$C$84-TIMELINE!AF85+1)*2/(TIMELINE!$C$84*(TIMELINE!$C$84+1)),IF(INPUTS!$K$95="Back-loaded",TIMELINE!AF85*2/(TIMELINE!$C$84*(TIMELINE!$C$84+1)),IF(INPUTS!$K$95="S-curve",SIN(PI()*(TIMELINE!AF85-0.5)/TIMELINE!$C$84)*SIN(PI()/(2*TIMELINE!$C$84)),0)))))),0)</f>
        <v>0</v>
      </c>
      <c r="AG80" s="118" t="n">
        <f aca="false">IF(INPUTS!$E$95="Yes",IF(OR(TIMELINE!AG85=0,TIMELINE!$C$84=0),0,IF(INPUTS!$K$95="Upfront",--(TIMELINE!AG85=1),IF(INPUTS!$K$95="Even",1/TIMELINE!$C$84,IF(INPUTS!$K$95="Front-loaded",(TIMELINE!$C$84-TIMELINE!AG85+1)*2/(TIMELINE!$C$84*(TIMELINE!$C$84+1)),IF(INPUTS!$K$95="Back-loaded",TIMELINE!AG85*2/(TIMELINE!$C$84*(TIMELINE!$C$84+1)),IF(INPUTS!$K$95="S-curve",SIN(PI()*(TIMELINE!AG85-0.5)/TIMELINE!$C$84)*SIN(PI()/(2*TIMELINE!$C$84)),0)))))),0)</f>
        <v>0</v>
      </c>
      <c r="AH80" s="118" t="n">
        <f aca="false">IF(INPUTS!$E$95="Yes",IF(OR(TIMELINE!AH85=0,TIMELINE!$C$84=0),0,IF(INPUTS!$K$95="Upfront",--(TIMELINE!AH85=1),IF(INPUTS!$K$95="Even",1/TIMELINE!$C$84,IF(INPUTS!$K$95="Front-loaded",(TIMELINE!$C$84-TIMELINE!AH85+1)*2/(TIMELINE!$C$84*(TIMELINE!$C$84+1)),IF(INPUTS!$K$95="Back-loaded",TIMELINE!AH85*2/(TIMELINE!$C$84*(TIMELINE!$C$84+1)),IF(INPUTS!$K$95="S-curve",SIN(PI()*(TIMELINE!AH85-0.5)/TIMELINE!$C$84)*SIN(PI()/(2*TIMELINE!$C$84)),0)))))),0)</f>
        <v>0</v>
      </c>
      <c r="AI80" s="118" t="n">
        <f aca="false">IF(INPUTS!$E$95="Yes",IF(OR(TIMELINE!AI85=0,TIMELINE!$C$84=0),0,IF(INPUTS!$K$95="Upfront",--(TIMELINE!AI85=1),IF(INPUTS!$K$95="Even",1/TIMELINE!$C$84,IF(INPUTS!$K$95="Front-loaded",(TIMELINE!$C$84-TIMELINE!AI85+1)*2/(TIMELINE!$C$84*(TIMELINE!$C$84+1)),IF(INPUTS!$K$95="Back-loaded",TIMELINE!AI85*2/(TIMELINE!$C$84*(TIMELINE!$C$84+1)),IF(INPUTS!$K$95="S-curve",SIN(PI()*(TIMELINE!AI85-0.5)/TIMELINE!$C$84)*SIN(PI()/(2*TIMELINE!$C$84)),0)))))),0)</f>
        <v>0</v>
      </c>
      <c r="AJ80" s="118" t="n">
        <f aca="false">IF(INPUTS!$E$95="Yes",IF(OR(TIMELINE!AJ85=0,TIMELINE!$C$84=0),0,IF(INPUTS!$K$95="Upfront",--(TIMELINE!AJ85=1),IF(INPUTS!$K$95="Even",1/TIMELINE!$C$84,IF(INPUTS!$K$95="Front-loaded",(TIMELINE!$C$84-TIMELINE!AJ85+1)*2/(TIMELINE!$C$84*(TIMELINE!$C$84+1)),IF(INPUTS!$K$95="Back-loaded",TIMELINE!AJ85*2/(TIMELINE!$C$84*(TIMELINE!$C$84+1)),IF(INPUTS!$K$95="S-curve",SIN(PI()*(TIMELINE!AJ85-0.5)/TIMELINE!$C$84)*SIN(PI()/(2*TIMELINE!$C$84)),0)))))),0)</f>
        <v>0</v>
      </c>
      <c r="AK80" s="118" t="n">
        <f aca="false">IF(INPUTS!$E$95="Yes",IF(OR(TIMELINE!AK85=0,TIMELINE!$C$84=0),0,IF(INPUTS!$K$95="Upfront",--(TIMELINE!AK85=1),IF(INPUTS!$K$95="Even",1/TIMELINE!$C$84,IF(INPUTS!$K$95="Front-loaded",(TIMELINE!$C$84-TIMELINE!AK85+1)*2/(TIMELINE!$C$84*(TIMELINE!$C$84+1)),IF(INPUTS!$K$95="Back-loaded",TIMELINE!AK85*2/(TIMELINE!$C$84*(TIMELINE!$C$84+1)),IF(INPUTS!$K$95="S-curve",SIN(PI()*(TIMELINE!AK85-0.5)/TIMELINE!$C$84)*SIN(PI()/(2*TIMELINE!$C$84)),0)))))),0)</f>
        <v>0</v>
      </c>
      <c r="AL80" s="118" t="n">
        <f aca="false">IF(INPUTS!$E$95="Yes",IF(OR(TIMELINE!AL85=0,TIMELINE!$C$84=0),0,IF(INPUTS!$K$95="Upfront",--(TIMELINE!AL85=1),IF(INPUTS!$K$95="Even",1/TIMELINE!$C$84,IF(INPUTS!$K$95="Front-loaded",(TIMELINE!$C$84-TIMELINE!AL85+1)*2/(TIMELINE!$C$84*(TIMELINE!$C$84+1)),IF(INPUTS!$K$95="Back-loaded",TIMELINE!AL85*2/(TIMELINE!$C$84*(TIMELINE!$C$84+1)),IF(INPUTS!$K$95="S-curve",SIN(PI()*(TIMELINE!AL85-0.5)/TIMELINE!$C$84)*SIN(PI()/(2*TIMELINE!$C$84)),0)))))),0)</f>
        <v>0</v>
      </c>
      <c r="AM80" s="118" t="n">
        <f aca="false">IF(INPUTS!$E$95="Yes",IF(OR(TIMELINE!AM85=0,TIMELINE!$C$84=0),0,IF(INPUTS!$K$95="Upfront",--(TIMELINE!AM85=1),IF(INPUTS!$K$95="Even",1/TIMELINE!$C$84,IF(INPUTS!$K$95="Front-loaded",(TIMELINE!$C$84-TIMELINE!AM85+1)*2/(TIMELINE!$C$84*(TIMELINE!$C$84+1)),IF(INPUTS!$K$95="Back-loaded",TIMELINE!AM85*2/(TIMELINE!$C$84*(TIMELINE!$C$84+1)),IF(INPUTS!$K$95="S-curve",SIN(PI()*(TIMELINE!AM85-0.5)/TIMELINE!$C$84)*SIN(PI()/(2*TIMELINE!$C$84)),0)))))),0)</f>
        <v>0</v>
      </c>
      <c r="AN80" s="118" t="n">
        <f aca="false">IF(INPUTS!$E$95="Yes",IF(OR(TIMELINE!AN85=0,TIMELINE!$C$84=0),0,IF(INPUTS!$K$95="Upfront",--(TIMELINE!AN85=1),IF(INPUTS!$K$95="Even",1/TIMELINE!$C$84,IF(INPUTS!$K$95="Front-loaded",(TIMELINE!$C$84-TIMELINE!AN85+1)*2/(TIMELINE!$C$84*(TIMELINE!$C$84+1)),IF(INPUTS!$K$95="Back-loaded",TIMELINE!AN85*2/(TIMELINE!$C$84*(TIMELINE!$C$84+1)),IF(INPUTS!$K$95="S-curve",SIN(PI()*(TIMELINE!AN85-0.5)/TIMELINE!$C$84)*SIN(PI()/(2*TIMELINE!$C$84)),0)))))),0)</f>
        <v>0</v>
      </c>
      <c r="AO80" s="118" t="n">
        <f aca="false">IF(INPUTS!$E$95="Yes",IF(OR(TIMELINE!AO85=0,TIMELINE!$C$84=0),0,IF(INPUTS!$K$95="Upfront",--(TIMELINE!AO85=1),IF(INPUTS!$K$95="Even",1/TIMELINE!$C$84,IF(INPUTS!$K$95="Front-loaded",(TIMELINE!$C$84-TIMELINE!AO85+1)*2/(TIMELINE!$C$84*(TIMELINE!$C$84+1)),IF(INPUTS!$K$95="Back-loaded",TIMELINE!AO85*2/(TIMELINE!$C$84*(TIMELINE!$C$84+1)),IF(INPUTS!$K$95="S-curve",SIN(PI()*(TIMELINE!AO85-0.5)/TIMELINE!$C$84)*SIN(PI()/(2*TIMELINE!$C$84)),0)))))),0)</f>
        <v>0</v>
      </c>
      <c r="AP80" s="118" t="n">
        <f aca="false">IF(INPUTS!$E$95="Yes",IF(OR(TIMELINE!AP85=0,TIMELINE!$C$84=0),0,IF(INPUTS!$K$95="Upfront",--(TIMELINE!AP85=1),IF(INPUTS!$K$95="Even",1/TIMELINE!$C$84,IF(INPUTS!$K$95="Front-loaded",(TIMELINE!$C$84-TIMELINE!AP85+1)*2/(TIMELINE!$C$84*(TIMELINE!$C$84+1)),IF(INPUTS!$K$95="Back-loaded",TIMELINE!AP85*2/(TIMELINE!$C$84*(TIMELINE!$C$84+1)),IF(INPUTS!$K$95="S-curve",SIN(PI()*(TIMELINE!AP85-0.5)/TIMELINE!$C$84)*SIN(PI()/(2*TIMELINE!$C$84)),0)))))),0)</f>
        <v>0</v>
      </c>
      <c r="AQ80" s="118" t="n">
        <f aca="false">IF(INPUTS!$E$95="Yes",IF(OR(TIMELINE!AQ85=0,TIMELINE!$C$84=0),0,IF(INPUTS!$K$95="Upfront",--(TIMELINE!AQ85=1),IF(INPUTS!$K$95="Even",1/TIMELINE!$C$84,IF(INPUTS!$K$95="Front-loaded",(TIMELINE!$C$84-TIMELINE!AQ85+1)*2/(TIMELINE!$C$84*(TIMELINE!$C$84+1)),IF(INPUTS!$K$95="Back-loaded",TIMELINE!AQ85*2/(TIMELINE!$C$84*(TIMELINE!$C$84+1)),IF(INPUTS!$K$95="S-curve",SIN(PI()*(TIMELINE!AQ85-0.5)/TIMELINE!$C$84)*SIN(PI()/(2*TIMELINE!$C$84)),0)))))),0)</f>
        <v>0</v>
      </c>
    </row>
    <row r="81" customFormat="false" ht="15" hidden="false" customHeight="false" outlineLevel="0" collapsed="false">
      <c r="B81" s="3" t="s">
        <v>671</v>
      </c>
      <c r="D81" s="118" t="n">
        <f aca="false">SUM($D80:D80)</f>
        <v>0</v>
      </c>
      <c r="E81" s="118" t="n">
        <f aca="false">SUM($D80:E80)</f>
        <v>0</v>
      </c>
      <c r="F81" s="118" t="n">
        <f aca="false">SUM($D80:F80)</f>
        <v>0</v>
      </c>
      <c r="G81" s="118" t="n">
        <f aca="false">SUM($D80:G80)</f>
        <v>0</v>
      </c>
      <c r="H81" s="118" t="n">
        <f aca="false">SUM($D80:H80)</f>
        <v>0</v>
      </c>
      <c r="I81" s="118" t="n">
        <f aca="false">SUM($D80:I80)</f>
        <v>0</v>
      </c>
      <c r="J81" s="118" t="n">
        <f aca="false">SUM($D80:J80)</f>
        <v>0</v>
      </c>
      <c r="K81" s="118" t="n">
        <f aca="false">SUM($D80:K80)</f>
        <v>0</v>
      </c>
      <c r="L81" s="118" t="n">
        <f aca="false">SUM($D80:L80)</f>
        <v>0</v>
      </c>
      <c r="M81" s="118" t="n">
        <f aca="false">SUM($D80:M80)</f>
        <v>0</v>
      </c>
      <c r="N81" s="118" t="n">
        <f aca="false">SUM($D80:N80)</f>
        <v>0</v>
      </c>
      <c r="O81" s="118" t="n">
        <f aca="false">SUM($D80:O80)</f>
        <v>0</v>
      </c>
      <c r="P81" s="118" t="n">
        <f aca="false">SUM($D80:P80)</f>
        <v>0</v>
      </c>
      <c r="Q81" s="118" t="n">
        <f aca="false">SUM($D80:Q80)</f>
        <v>0</v>
      </c>
      <c r="R81" s="118" t="n">
        <f aca="false">SUM($D80:R80)</f>
        <v>0</v>
      </c>
      <c r="S81" s="118" t="n">
        <f aca="false">SUM($D80:S80)</f>
        <v>0</v>
      </c>
      <c r="T81" s="118" t="n">
        <f aca="false">SUM($D80:T80)</f>
        <v>0</v>
      </c>
      <c r="U81" s="118" t="n">
        <f aca="false">SUM($D80:U80)</f>
        <v>0</v>
      </c>
      <c r="V81" s="118" t="n">
        <f aca="false">SUM($D80:V80)</f>
        <v>0</v>
      </c>
      <c r="W81" s="118" t="n">
        <f aca="false">SUM($D80:W80)</f>
        <v>0</v>
      </c>
      <c r="X81" s="118" t="n">
        <f aca="false">SUM($D80:X80)</f>
        <v>0</v>
      </c>
      <c r="Y81" s="118" t="n">
        <f aca="false">SUM($D80:Y80)</f>
        <v>0</v>
      </c>
      <c r="Z81" s="118" t="n">
        <f aca="false">SUM($D80:Z80)</f>
        <v>0</v>
      </c>
      <c r="AA81" s="118" t="n">
        <f aca="false">SUM($D80:AA80)</f>
        <v>0</v>
      </c>
      <c r="AB81" s="118" t="n">
        <f aca="false">SUM($D80:AB80)</f>
        <v>0</v>
      </c>
      <c r="AC81" s="118" t="n">
        <f aca="false">SUM($D80:AC80)</f>
        <v>0</v>
      </c>
      <c r="AD81" s="118" t="n">
        <f aca="false">SUM($D80:AD80)</f>
        <v>0</v>
      </c>
      <c r="AE81" s="118" t="n">
        <f aca="false">SUM($D80:AE80)</f>
        <v>0</v>
      </c>
      <c r="AF81" s="118" t="n">
        <f aca="false">SUM($D80:AF80)</f>
        <v>0</v>
      </c>
      <c r="AG81" s="118" t="n">
        <f aca="false">SUM($D80:AG80)</f>
        <v>0</v>
      </c>
      <c r="AH81" s="118" t="n">
        <f aca="false">SUM($D80:AH80)</f>
        <v>0</v>
      </c>
      <c r="AI81" s="118" t="n">
        <f aca="false">SUM($D80:AI80)</f>
        <v>0</v>
      </c>
      <c r="AJ81" s="118" t="n">
        <f aca="false">SUM($D80:AJ80)</f>
        <v>0</v>
      </c>
      <c r="AK81" s="118" t="n">
        <f aca="false">SUM($D80:AK80)</f>
        <v>0</v>
      </c>
      <c r="AL81" s="118" t="n">
        <f aca="false">SUM($D80:AL80)</f>
        <v>0</v>
      </c>
      <c r="AM81" s="118" t="n">
        <f aca="false">SUM($D80:AM80)</f>
        <v>0</v>
      </c>
      <c r="AN81" s="118" t="n">
        <f aca="false">SUM($D80:AN80)</f>
        <v>0</v>
      </c>
      <c r="AO81" s="118" t="n">
        <f aca="false">SUM($D80:AO80)</f>
        <v>0</v>
      </c>
      <c r="AP81" s="118" t="n">
        <f aca="false">SUM($D80:AP80)</f>
        <v>0</v>
      </c>
      <c r="AQ81" s="118" t="n">
        <f aca="false">SUM($D80:AQ80)</f>
        <v>0</v>
      </c>
    </row>
    <row r="82" customFormat="false" ht="15" hidden="false" customHeight="false" outlineLevel="0" collapsed="false">
      <c r="B82" s="3" t="s">
        <v>672</v>
      </c>
      <c r="C82" s="117" t="n">
        <f aca="false">SUM(D82:AQ82)</f>
        <v>0</v>
      </c>
      <c r="D82" s="118" t="n">
        <f aca="false">IF(INPUTS!$E$95="Yes",IF(OR(TIMELINE!D87=0,TIMELINE!$C$86=0),0,IF(INPUTS!$O$95="Upfront",--(TIMELINE!D87=1),IF(INPUTS!$O$95="Even",1/TIMELINE!$C$86,IF(INPUTS!$O$95="Front-loaded",(TIMELINE!$C$86-TIMELINE!D87+1)*2/(TIMELINE!$C$86*(TIMELINE!$C$86+1)),IF(INPUTS!$O$95="Back-loaded",TIMELINE!D87*2/(TIMELINE!$C$86*(TIMELINE!$C$86+1)),IF(INPUTS!$O$95="S-curve",SIN(PI()*(TIMELINE!D87-0.5)/TIMELINE!$C$86)*SIN(PI()/(2*TIMELINE!$C$86)),0)))))),0)</f>
        <v>0</v>
      </c>
      <c r="E82" s="118" t="n">
        <f aca="false">IF(INPUTS!$E$95="Yes",IF(OR(TIMELINE!E87=0,TIMELINE!$C$86=0),0,IF(INPUTS!$O$95="Upfront",--(TIMELINE!E87=1),IF(INPUTS!$O$95="Even",1/TIMELINE!$C$86,IF(INPUTS!$O$95="Front-loaded",(TIMELINE!$C$86-TIMELINE!E87+1)*2/(TIMELINE!$C$86*(TIMELINE!$C$86+1)),IF(INPUTS!$O$95="Back-loaded",TIMELINE!E87*2/(TIMELINE!$C$86*(TIMELINE!$C$86+1)),IF(INPUTS!$O$95="S-curve",SIN(PI()*(TIMELINE!E87-0.5)/TIMELINE!$C$86)*SIN(PI()/(2*TIMELINE!$C$86)),0)))))),0)</f>
        <v>0</v>
      </c>
      <c r="F82" s="118" t="n">
        <f aca="false">IF(INPUTS!$E$95="Yes",IF(OR(TIMELINE!F87=0,TIMELINE!$C$86=0),0,IF(INPUTS!$O$95="Upfront",--(TIMELINE!F87=1),IF(INPUTS!$O$95="Even",1/TIMELINE!$C$86,IF(INPUTS!$O$95="Front-loaded",(TIMELINE!$C$86-TIMELINE!F87+1)*2/(TIMELINE!$C$86*(TIMELINE!$C$86+1)),IF(INPUTS!$O$95="Back-loaded",TIMELINE!F87*2/(TIMELINE!$C$86*(TIMELINE!$C$86+1)),IF(INPUTS!$O$95="S-curve",SIN(PI()*(TIMELINE!F87-0.5)/TIMELINE!$C$86)*SIN(PI()/(2*TIMELINE!$C$86)),0)))))),0)</f>
        <v>0</v>
      </c>
      <c r="G82" s="118" t="n">
        <f aca="false">IF(INPUTS!$E$95="Yes",IF(OR(TIMELINE!G87=0,TIMELINE!$C$86=0),0,IF(INPUTS!$O$95="Upfront",--(TIMELINE!G87=1),IF(INPUTS!$O$95="Even",1/TIMELINE!$C$86,IF(INPUTS!$O$95="Front-loaded",(TIMELINE!$C$86-TIMELINE!G87+1)*2/(TIMELINE!$C$86*(TIMELINE!$C$86+1)),IF(INPUTS!$O$95="Back-loaded",TIMELINE!G87*2/(TIMELINE!$C$86*(TIMELINE!$C$86+1)),IF(INPUTS!$O$95="S-curve",SIN(PI()*(TIMELINE!G87-0.5)/TIMELINE!$C$86)*SIN(PI()/(2*TIMELINE!$C$86)),0)))))),0)</f>
        <v>0</v>
      </c>
      <c r="H82" s="118" t="n">
        <f aca="false">IF(INPUTS!$E$95="Yes",IF(OR(TIMELINE!H87=0,TIMELINE!$C$86=0),0,IF(INPUTS!$O$95="Upfront",--(TIMELINE!H87=1),IF(INPUTS!$O$95="Even",1/TIMELINE!$C$86,IF(INPUTS!$O$95="Front-loaded",(TIMELINE!$C$86-TIMELINE!H87+1)*2/(TIMELINE!$C$86*(TIMELINE!$C$86+1)),IF(INPUTS!$O$95="Back-loaded",TIMELINE!H87*2/(TIMELINE!$C$86*(TIMELINE!$C$86+1)),IF(INPUTS!$O$95="S-curve",SIN(PI()*(TIMELINE!H87-0.5)/TIMELINE!$C$86)*SIN(PI()/(2*TIMELINE!$C$86)),0)))))),0)</f>
        <v>0</v>
      </c>
      <c r="I82" s="118" t="n">
        <f aca="false">IF(INPUTS!$E$95="Yes",IF(OR(TIMELINE!I87=0,TIMELINE!$C$86=0),0,IF(INPUTS!$O$95="Upfront",--(TIMELINE!I87=1),IF(INPUTS!$O$95="Even",1/TIMELINE!$C$86,IF(INPUTS!$O$95="Front-loaded",(TIMELINE!$C$86-TIMELINE!I87+1)*2/(TIMELINE!$C$86*(TIMELINE!$C$86+1)),IF(INPUTS!$O$95="Back-loaded",TIMELINE!I87*2/(TIMELINE!$C$86*(TIMELINE!$C$86+1)),IF(INPUTS!$O$95="S-curve",SIN(PI()*(TIMELINE!I87-0.5)/TIMELINE!$C$86)*SIN(PI()/(2*TIMELINE!$C$86)),0)))))),0)</f>
        <v>0</v>
      </c>
      <c r="J82" s="118" t="n">
        <f aca="false">IF(INPUTS!$E$95="Yes",IF(OR(TIMELINE!J87=0,TIMELINE!$C$86=0),0,IF(INPUTS!$O$95="Upfront",--(TIMELINE!J87=1),IF(INPUTS!$O$95="Even",1/TIMELINE!$C$86,IF(INPUTS!$O$95="Front-loaded",(TIMELINE!$C$86-TIMELINE!J87+1)*2/(TIMELINE!$C$86*(TIMELINE!$C$86+1)),IF(INPUTS!$O$95="Back-loaded",TIMELINE!J87*2/(TIMELINE!$C$86*(TIMELINE!$C$86+1)),IF(INPUTS!$O$95="S-curve",SIN(PI()*(TIMELINE!J87-0.5)/TIMELINE!$C$86)*SIN(PI()/(2*TIMELINE!$C$86)),0)))))),0)</f>
        <v>0</v>
      </c>
      <c r="K82" s="118" t="n">
        <f aca="false">IF(INPUTS!$E$95="Yes",IF(OR(TIMELINE!K87=0,TIMELINE!$C$86=0),0,IF(INPUTS!$O$95="Upfront",--(TIMELINE!K87=1),IF(INPUTS!$O$95="Even",1/TIMELINE!$C$86,IF(INPUTS!$O$95="Front-loaded",(TIMELINE!$C$86-TIMELINE!K87+1)*2/(TIMELINE!$C$86*(TIMELINE!$C$86+1)),IF(INPUTS!$O$95="Back-loaded",TIMELINE!K87*2/(TIMELINE!$C$86*(TIMELINE!$C$86+1)),IF(INPUTS!$O$95="S-curve",SIN(PI()*(TIMELINE!K87-0.5)/TIMELINE!$C$86)*SIN(PI()/(2*TIMELINE!$C$86)),0)))))),0)</f>
        <v>0</v>
      </c>
      <c r="L82" s="118" t="n">
        <f aca="false">IF(INPUTS!$E$95="Yes",IF(OR(TIMELINE!L87=0,TIMELINE!$C$86=0),0,IF(INPUTS!$O$95="Upfront",--(TIMELINE!L87=1),IF(INPUTS!$O$95="Even",1/TIMELINE!$C$86,IF(INPUTS!$O$95="Front-loaded",(TIMELINE!$C$86-TIMELINE!L87+1)*2/(TIMELINE!$C$86*(TIMELINE!$C$86+1)),IF(INPUTS!$O$95="Back-loaded",TIMELINE!L87*2/(TIMELINE!$C$86*(TIMELINE!$C$86+1)),IF(INPUTS!$O$95="S-curve",SIN(PI()*(TIMELINE!L87-0.5)/TIMELINE!$C$86)*SIN(PI()/(2*TIMELINE!$C$86)),0)))))),0)</f>
        <v>0</v>
      </c>
      <c r="M82" s="118" t="n">
        <f aca="false">IF(INPUTS!$E$95="Yes",IF(OR(TIMELINE!M87=0,TIMELINE!$C$86=0),0,IF(INPUTS!$O$95="Upfront",--(TIMELINE!M87=1),IF(INPUTS!$O$95="Even",1/TIMELINE!$C$86,IF(INPUTS!$O$95="Front-loaded",(TIMELINE!$C$86-TIMELINE!M87+1)*2/(TIMELINE!$C$86*(TIMELINE!$C$86+1)),IF(INPUTS!$O$95="Back-loaded",TIMELINE!M87*2/(TIMELINE!$C$86*(TIMELINE!$C$86+1)),IF(INPUTS!$O$95="S-curve",SIN(PI()*(TIMELINE!M87-0.5)/TIMELINE!$C$86)*SIN(PI()/(2*TIMELINE!$C$86)),0)))))),0)</f>
        <v>0</v>
      </c>
      <c r="N82" s="118" t="n">
        <f aca="false">IF(INPUTS!$E$95="Yes",IF(OR(TIMELINE!N87=0,TIMELINE!$C$86=0),0,IF(INPUTS!$O$95="Upfront",--(TIMELINE!N87=1),IF(INPUTS!$O$95="Even",1/TIMELINE!$C$86,IF(INPUTS!$O$95="Front-loaded",(TIMELINE!$C$86-TIMELINE!N87+1)*2/(TIMELINE!$C$86*(TIMELINE!$C$86+1)),IF(INPUTS!$O$95="Back-loaded",TIMELINE!N87*2/(TIMELINE!$C$86*(TIMELINE!$C$86+1)),IF(INPUTS!$O$95="S-curve",SIN(PI()*(TIMELINE!N87-0.5)/TIMELINE!$C$86)*SIN(PI()/(2*TIMELINE!$C$86)),0)))))),0)</f>
        <v>0</v>
      </c>
      <c r="O82" s="118" t="n">
        <f aca="false">IF(INPUTS!$E$95="Yes",IF(OR(TIMELINE!O87=0,TIMELINE!$C$86=0),0,IF(INPUTS!$O$95="Upfront",--(TIMELINE!O87=1),IF(INPUTS!$O$95="Even",1/TIMELINE!$C$86,IF(INPUTS!$O$95="Front-loaded",(TIMELINE!$C$86-TIMELINE!O87+1)*2/(TIMELINE!$C$86*(TIMELINE!$C$86+1)),IF(INPUTS!$O$95="Back-loaded",TIMELINE!O87*2/(TIMELINE!$C$86*(TIMELINE!$C$86+1)),IF(INPUTS!$O$95="S-curve",SIN(PI()*(TIMELINE!O87-0.5)/TIMELINE!$C$86)*SIN(PI()/(2*TIMELINE!$C$86)),0)))))),0)</f>
        <v>0</v>
      </c>
      <c r="P82" s="118" t="n">
        <f aca="false">IF(INPUTS!$E$95="Yes",IF(OR(TIMELINE!P87=0,TIMELINE!$C$86=0),0,IF(INPUTS!$O$95="Upfront",--(TIMELINE!P87=1),IF(INPUTS!$O$95="Even",1/TIMELINE!$C$86,IF(INPUTS!$O$95="Front-loaded",(TIMELINE!$C$86-TIMELINE!P87+1)*2/(TIMELINE!$C$86*(TIMELINE!$C$86+1)),IF(INPUTS!$O$95="Back-loaded",TIMELINE!P87*2/(TIMELINE!$C$86*(TIMELINE!$C$86+1)),IF(INPUTS!$O$95="S-curve",SIN(PI()*(TIMELINE!P87-0.5)/TIMELINE!$C$86)*SIN(PI()/(2*TIMELINE!$C$86)),0)))))),0)</f>
        <v>0</v>
      </c>
      <c r="Q82" s="118" t="n">
        <f aca="false">IF(INPUTS!$E$95="Yes",IF(OR(TIMELINE!Q87=0,TIMELINE!$C$86=0),0,IF(INPUTS!$O$95="Upfront",--(TIMELINE!Q87=1),IF(INPUTS!$O$95="Even",1/TIMELINE!$C$86,IF(INPUTS!$O$95="Front-loaded",(TIMELINE!$C$86-TIMELINE!Q87+1)*2/(TIMELINE!$C$86*(TIMELINE!$C$86+1)),IF(INPUTS!$O$95="Back-loaded",TIMELINE!Q87*2/(TIMELINE!$C$86*(TIMELINE!$C$86+1)),IF(INPUTS!$O$95="S-curve",SIN(PI()*(TIMELINE!Q87-0.5)/TIMELINE!$C$86)*SIN(PI()/(2*TIMELINE!$C$86)),0)))))),0)</f>
        <v>0</v>
      </c>
      <c r="R82" s="118" t="n">
        <f aca="false">IF(INPUTS!$E$95="Yes",IF(OR(TIMELINE!R87=0,TIMELINE!$C$86=0),0,IF(INPUTS!$O$95="Upfront",--(TIMELINE!R87=1),IF(INPUTS!$O$95="Even",1/TIMELINE!$C$86,IF(INPUTS!$O$95="Front-loaded",(TIMELINE!$C$86-TIMELINE!R87+1)*2/(TIMELINE!$C$86*(TIMELINE!$C$86+1)),IF(INPUTS!$O$95="Back-loaded",TIMELINE!R87*2/(TIMELINE!$C$86*(TIMELINE!$C$86+1)),IF(INPUTS!$O$95="S-curve",SIN(PI()*(TIMELINE!R87-0.5)/TIMELINE!$C$86)*SIN(PI()/(2*TIMELINE!$C$86)),0)))))),0)</f>
        <v>0</v>
      </c>
      <c r="S82" s="118" t="n">
        <f aca="false">IF(INPUTS!$E$95="Yes",IF(OR(TIMELINE!S87=0,TIMELINE!$C$86=0),0,IF(INPUTS!$O$95="Upfront",--(TIMELINE!S87=1),IF(INPUTS!$O$95="Even",1/TIMELINE!$C$86,IF(INPUTS!$O$95="Front-loaded",(TIMELINE!$C$86-TIMELINE!S87+1)*2/(TIMELINE!$C$86*(TIMELINE!$C$86+1)),IF(INPUTS!$O$95="Back-loaded",TIMELINE!S87*2/(TIMELINE!$C$86*(TIMELINE!$C$86+1)),IF(INPUTS!$O$95="S-curve",SIN(PI()*(TIMELINE!S87-0.5)/TIMELINE!$C$86)*SIN(PI()/(2*TIMELINE!$C$86)),0)))))),0)</f>
        <v>0</v>
      </c>
      <c r="T82" s="118" t="n">
        <f aca="false">IF(INPUTS!$E$95="Yes",IF(OR(TIMELINE!T87=0,TIMELINE!$C$86=0),0,IF(INPUTS!$O$95="Upfront",--(TIMELINE!T87=1),IF(INPUTS!$O$95="Even",1/TIMELINE!$C$86,IF(INPUTS!$O$95="Front-loaded",(TIMELINE!$C$86-TIMELINE!T87+1)*2/(TIMELINE!$C$86*(TIMELINE!$C$86+1)),IF(INPUTS!$O$95="Back-loaded",TIMELINE!T87*2/(TIMELINE!$C$86*(TIMELINE!$C$86+1)),IF(INPUTS!$O$95="S-curve",SIN(PI()*(TIMELINE!T87-0.5)/TIMELINE!$C$86)*SIN(PI()/(2*TIMELINE!$C$86)),0)))))),0)</f>
        <v>0</v>
      </c>
      <c r="U82" s="118" t="n">
        <f aca="false">IF(INPUTS!$E$95="Yes",IF(OR(TIMELINE!U87=0,TIMELINE!$C$86=0),0,IF(INPUTS!$O$95="Upfront",--(TIMELINE!U87=1),IF(INPUTS!$O$95="Even",1/TIMELINE!$C$86,IF(INPUTS!$O$95="Front-loaded",(TIMELINE!$C$86-TIMELINE!U87+1)*2/(TIMELINE!$C$86*(TIMELINE!$C$86+1)),IF(INPUTS!$O$95="Back-loaded",TIMELINE!U87*2/(TIMELINE!$C$86*(TIMELINE!$C$86+1)),IF(INPUTS!$O$95="S-curve",SIN(PI()*(TIMELINE!U87-0.5)/TIMELINE!$C$86)*SIN(PI()/(2*TIMELINE!$C$86)),0)))))),0)</f>
        <v>0</v>
      </c>
      <c r="V82" s="118" t="n">
        <f aca="false">IF(INPUTS!$E$95="Yes",IF(OR(TIMELINE!V87=0,TIMELINE!$C$86=0),0,IF(INPUTS!$O$95="Upfront",--(TIMELINE!V87=1),IF(INPUTS!$O$95="Even",1/TIMELINE!$C$86,IF(INPUTS!$O$95="Front-loaded",(TIMELINE!$C$86-TIMELINE!V87+1)*2/(TIMELINE!$C$86*(TIMELINE!$C$86+1)),IF(INPUTS!$O$95="Back-loaded",TIMELINE!V87*2/(TIMELINE!$C$86*(TIMELINE!$C$86+1)),IF(INPUTS!$O$95="S-curve",SIN(PI()*(TIMELINE!V87-0.5)/TIMELINE!$C$86)*SIN(PI()/(2*TIMELINE!$C$86)),0)))))),0)</f>
        <v>0</v>
      </c>
      <c r="W82" s="118" t="n">
        <f aca="false">IF(INPUTS!$E$95="Yes",IF(OR(TIMELINE!W87=0,TIMELINE!$C$86=0),0,IF(INPUTS!$O$95="Upfront",--(TIMELINE!W87=1),IF(INPUTS!$O$95="Even",1/TIMELINE!$C$86,IF(INPUTS!$O$95="Front-loaded",(TIMELINE!$C$86-TIMELINE!W87+1)*2/(TIMELINE!$C$86*(TIMELINE!$C$86+1)),IF(INPUTS!$O$95="Back-loaded",TIMELINE!W87*2/(TIMELINE!$C$86*(TIMELINE!$C$86+1)),IF(INPUTS!$O$95="S-curve",SIN(PI()*(TIMELINE!W87-0.5)/TIMELINE!$C$86)*SIN(PI()/(2*TIMELINE!$C$86)),0)))))),0)</f>
        <v>0</v>
      </c>
      <c r="X82" s="118" t="n">
        <f aca="false">IF(INPUTS!$E$95="Yes",IF(OR(TIMELINE!X87=0,TIMELINE!$C$86=0),0,IF(INPUTS!$O$95="Upfront",--(TIMELINE!X87=1),IF(INPUTS!$O$95="Even",1/TIMELINE!$C$86,IF(INPUTS!$O$95="Front-loaded",(TIMELINE!$C$86-TIMELINE!X87+1)*2/(TIMELINE!$C$86*(TIMELINE!$C$86+1)),IF(INPUTS!$O$95="Back-loaded",TIMELINE!X87*2/(TIMELINE!$C$86*(TIMELINE!$C$86+1)),IF(INPUTS!$O$95="S-curve",SIN(PI()*(TIMELINE!X87-0.5)/TIMELINE!$C$86)*SIN(PI()/(2*TIMELINE!$C$86)),0)))))),0)</f>
        <v>0</v>
      </c>
      <c r="Y82" s="118" t="n">
        <f aca="false">IF(INPUTS!$E$95="Yes",IF(OR(TIMELINE!Y87=0,TIMELINE!$C$86=0),0,IF(INPUTS!$O$95="Upfront",--(TIMELINE!Y87=1),IF(INPUTS!$O$95="Even",1/TIMELINE!$C$86,IF(INPUTS!$O$95="Front-loaded",(TIMELINE!$C$86-TIMELINE!Y87+1)*2/(TIMELINE!$C$86*(TIMELINE!$C$86+1)),IF(INPUTS!$O$95="Back-loaded",TIMELINE!Y87*2/(TIMELINE!$C$86*(TIMELINE!$C$86+1)),IF(INPUTS!$O$95="S-curve",SIN(PI()*(TIMELINE!Y87-0.5)/TIMELINE!$C$86)*SIN(PI()/(2*TIMELINE!$C$86)),0)))))),0)</f>
        <v>0</v>
      </c>
      <c r="Z82" s="118" t="n">
        <f aca="false">IF(INPUTS!$E$95="Yes",IF(OR(TIMELINE!Z87=0,TIMELINE!$C$86=0),0,IF(INPUTS!$O$95="Upfront",--(TIMELINE!Z87=1),IF(INPUTS!$O$95="Even",1/TIMELINE!$C$86,IF(INPUTS!$O$95="Front-loaded",(TIMELINE!$C$86-TIMELINE!Z87+1)*2/(TIMELINE!$C$86*(TIMELINE!$C$86+1)),IF(INPUTS!$O$95="Back-loaded",TIMELINE!Z87*2/(TIMELINE!$C$86*(TIMELINE!$C$86+1)),IF(INPUTS!$O$95="S-curve",SIN(PI()*(TIMELINE!Z87-0.5)/TIMELINE!$C$86)*SIN(PI()/(2*TIMELINE!$C$86)),0)))))),0)</f>
        <v>0</v>
      </c>
      <c r="AA82" s="118" t="n">
        <f aca="false">IF(INPUTS!$E$95="Yes",IF(OR(TIMELINE!AA87=0,TIMELINE!$C$86=0),0,IF(INPUTS!$O$95="Upfront",--(TIMELINE!AA87=1),IF(INPUTS!$O$95="Even",1/TIMELINE!$C$86,IF(INPUTS!$O$95="Front-loaded",(TIMELINE!$C$86-TIMELINE!AA87+1)*2/(TIMELINE!$C$86*(TIMELINE!$C$86+1)),IF(INPUTS!$O$95="Back-loaded",TIMELINE!AA87*2/(TIMELINE!$C$86*(TIMELINE!$C$86+1)),IF(INPUTS!$O$95="S-curve",SIN(PI()*(TIMELINE!AA87-0.5)/TIMELINE!$C$86)*SIN(PI()/(2*TIMELINE!$C$86)),0)))))),0)</f>
        <v>0</v>
      </c>
      <c r="AB82" s="118" t="n">
        <f aca="false">IF(INPUTS!$E$95="Yes",IF(OR(TIMELINE!AB87=0,TIMELINE!$C$86=0),0,IF(INPUTS!$O$95="Upfront",--(TIMELINE!AB87=1),IF(INPUTS!$O$95="Even",1/TIMELINE!$C$86,IF(INPUTS!$O$95="Front-loaded",(TIMELINE!$C$86-TIMELINE!AB87+1)*2/(TIMELINE!$C$86*(TIMELINE!$C$86+1)),IF(INPUTS!$O$95="Back-loaded",TIMELINE!AB87*2/(TIMELINE!$C$86*(TIMELINE!$C$86+1)),IF(INPUTS!$O$95="S-curve",SIN(PI()*(TIMELINE!AB87-0.5)/TIMELINE!$C$86)*SIN(PI()/(2*TIMELINE!$C$86)),0)))))),0)</f>
        <v>0</v>
      </c>
      <c r="AC82" s="118" t="n">
        <f aca="false">IF(INPUTS!$E$95="Yes",IF(OR(TIMELINE!AC87=0,TIMELINE!$C$86=0),0,IF(INPUTS!$O$95="Upfront",--(TIMELINE!AC87=1),IF(INPUTS!$O$95="Even",1/TIMELINE!$C$86,IF(INPUTS!$O$95="Front-loaded",(TIMELINE!$C$86-TIMELINE!AC87+1)*2/(TIMELINE!$C$86*(TIMELINE!$C$86+1)),IF(INPUTS!$O$95="Back-loaded",TIMELINE!AC87*2/(TIMELINE!$C$86*(TIMELINE!$C$86+1)),IF(INPUTS!$O$95="S-curve",SIN(PI()*(TIMELINE!AC87-0.5)/TIMELINE!$C$86)*SIN(PI()/(2*TIMELINE!$C$86)),0)))))),0)</f>
        <v>0</v>
      </c>
      <c r="AD82" s="118" t="n">
        <f aca="false">IF(INPUTS!$E$95="Yes",IF(OR(TIMELINE!AD87=0,TIMELINE!$C$86=0),0,IF(INPUTS!$O$95="Upfront",--(TIMELINE!AD87=1),IF(INPUTS!$O$95="Even",1/TIMELINE!$C$86,IF(INPUTS!$O$95="Front-loaded",(TIMELINE!$C$86-TIMELINE!AD87+1)*2/(TIMELINE!$C$86*(TIMELINE!$C$86+1)),IF(INPUTS!$O$95="Back-loaded",TIMELINE!AD87*2/(TIMELINE!$C$86*(TIMELINE!$C$86+1)),IF(INPUTS!$O$95="S-curve",SIN(PI()*(TIMELINE!AD87-0.5)/TIMELINE!$C$86)*SIN(PI()/(2*TIMELINE!$C$86)),0)))))),0)</f>
        <v>0</v>
      </c>
      <c r="AE82" s="118" t="n">
        <f aca="false">IF(INPUTS!$E$95="Yes",IF(OR(TIMELINE!AE87=0,TIMELINE!$C$86=0),0,IF(INPUTS!$O$95="Upfront",--(TIMELINE!AE87=1),IF(INPUTS!$O$95="Even",1/TIMELINE!$C$86,IF(INPUTS!$O$95="Front-loaded",(TIMELINE!$C$86-TIMELINE!AE87+1)*2/(TIMELINE!$C$86*(TIMELINE!$C$86+1)),IF(INPUTS!$O$95="Back-loaded",TIMELINE!AE87*2/(TIMELINE!$C$86*(TIMELINE!$C$86+1)),IF(INPUTS!$O$95="S-curve",SIN(PI()*(TIMELINE!AE87-0.5)/TIMELINE!$C$86)*SIN(PI()/(2*TIMELINE!$C$86)),0)))))),0)</f>
        <v>0</v>
      </c>
      <c r="AF82" s="118" t="n">
        <f aca="false">IF(INPUTS!$E$95="Yes",IF(OR(TIMELINE!AF87=0,TIMELINE!$C$86=0),0,IF(INPUTS!$O$95="Upfront",--(TIMELINE!AF87=1),IF(INPUTS!$O$95="Even",1/TIMELINE!$C$86,IF(INPUTS!$O$95="Front-loaded",(TIMELINE!$C$86-TIMELINE!AF87+1)*2/(TIMELINE!$C$86*(TIMELINE!$C$86+1)),IF(INPUTS!$O$95="Back-loaded",TIMELINE!AF87*2/(TIMELINE!$C$86*(TIMELINE!$C$86+1)),IF(INPUTS!$O$95="S-curve",SIN(PI()*(TIMELINE!AF87-0.5)/TIMELINE!$C$86)*SIN(PI()/(2*TIMELINE!$C$86)),0)))))),0)</f>
        <v>0</v>
      </c>
      <c r="AG82" s="118" t="n">
        <f aca="false">IF(INPUTS!$E$95="Yes",IF(OR(TIMELINE!AG87=0,TIMELINE!$C$86=0),0,IF(INPUTS!$O$95="Upfront",--(TIMELINE!AG87=1),IF(INPUTS!$O$95="Even",1/TIMELINE!$C$86,IF(INPUTS!$O$95="Front-loaded",(TIMELINE!$C$86-TIMELINE!AG87+1)*2/(TIMELINE!$C$86*(TIMELINE!$C$86+1)),IF(INPUTS!$O$95="Back-loaded",TIMELINE!AG87*2/(TIMELINE!$C$86*(TIMELINE!$C$86+1)),IF(INPUTS!$O$95="S-curve",SIN(PI()*(TIMELINE!AG87-0.5)/TIMELINE!$C$86)*SIN(PI()/(2*TIMELINE!$C$86)),0)))))),0)</f>
        <v>0</v>
      </c>
      <c r="AH82" s="118" t="n">
        <f aca="false">IF(INPUTS!$E$95="Yes",IF(OR(TIMELINE!AH87=0,TIMELINE!$C$86=0),0,IF(INPUTS!$O$95="Upfront",--(TIMELINE!AH87=1),IF(INPUTS!$O$95="Even",1/TIMELINE!$C$86,IF(INPUTS!$O$95="Front-loaded",(TIMELINE!$C$86-TIMELINE!AH87+1)*2/(TIMELINE!$C$86*(TIMELINE!$C$86+1)),IF(INPUTS!$O$95="Back-loaded",TIMELINE!AH87*2/(TIMELINE!$C$86*(TIMELINE!$C$86+1)),IF(INPUTS!$O$95="S-curve",SIN(PI()*(TIMELINE!AH87-0.5)/TIMELINE!$C$86)*SIN(PI()/(2*TIMELINE!$C$86)),0)))))),0)</f>
        <v>0</v>
      </c>
      <c r="AI82" s="118" t="n">
        <f aca="false">IF(INPUTS!$E$95="Yes",IF(OR(TIMELINE!AI87=0,TIMELINE!$C$86=0),0,IF(INPUTS!$O$95="Upfront",--(TIMELINE!AI87=1),IF(INPUTS!$O$95="Even",1/TIMELINE!$C$86,IF(INPUTS!$O$95="Front-loaded",(TIMELINE!$C$86-TIMELINE!AI87+1)*2/(TIMELINE!$C$86*(TIMELINE!$C$86+1)),IF(INPUTS!$O$95="Back-loaded",TIMELINE!AI87*2/(TIMELINE!$C$86*(TIMELINE!$C$86+1)),IF(INPUTS!$O$95="S-curve",SIN(PI()*(TIMELINE!AI87-0.5)/TIMELINE!$C$86)*SIN(PI()/(2*TIMELINE!$C$86)),0)))))),0)</f>
        <v>0</v>
      </c>
      <c r="AJ82" s="118" t="n">
        <f aca="false">IF(INPUTS!$E$95="Yes",IF(OR(TIMELINE!AJ87=0,TIMELINE!$C$86=0),0,IF(INPUTS!$O$95="Upfront",--(TIMELINE!AJ87=1),IF(INPUTS!$O$95="Even",1/TIMELINE!$C$86,IF(INPUTS!$O$95="Front-loaded",(TIMELINE!$C$86-TIMELINE!AJ87+1)*2/(TIMELINE!$C$86*(TIMELINE!$C$86+1)),IF(INPUTS!$O$95="Back-loaded",TIMELINE!AJ87*2/(TIMELINE!$C$86*(TIMELINE!$C$86+1)),IF(INPUTS!$O$95="S-curve",SIN(PI()*(TIMELINE!AJ87-0.5)/TIMELINE!$C$86)*SIN(PI()/(2*TIMELINE!$C$86)),0)))))),0)</f>
        <v>0</v>
      </c>
      <c r="AK82" s="118" t="n">
        <f aca="false">IF(INPUTS!$E$95="Yes",IF(OR(TIMELINE!AK87=0,TIMELINE!$C$86=0),0,IF(INPUTS!$O$95="Upfront",--(TIMELINE!AK87=1),IF(INPUTS!$O$95="Even",1/TIMELINE!$C$86,IF(INPUTS!$O$95="Front-loaded",(TIMELINE!$C$86-TIMELINE!AK87+1)*2/(TIMELINE!$C$86*(TIMELINE!$C$86+1)),IF(INPUTS!$O$95="Back-loaded",TIMELINE!AK87*2/(TIMELINE!$C$86*(TIMELINE!$C$86+1)),IF(INPUTS!$O$95="S-curve",SIN(PI()*(TIMELINE!AK87-0.5)/TIMELINE!$C$86)*SIN(PI()/(2*TIMELINE!$C$86)),0)))))),0)</f>
        <v>0</v>
      </c>
      <c r="AL82" s="118" t="n">
        <f aca="false">IF(INPUTS!$E$95="Yes",IF(OR(TIMELINE!AL87=0,TIMELINE!$C$86=0),0,IF(INPUTS!$O$95="Upfront",--(TIMELINE!AL87=1),IF(INPUTS!$O$95="Even",1/TIMELINE!$C$86,IF(INPUTS!$O$95="Front-loaded",(TIMELINE!$C$86-TIMELINE!AL87+1)*2/(TIMELINE!$C$86*(TIMELINE!$C$86+1)),IF(INPUTS!$O$95="Back-loaded",TIMELINE!AL87*2/(TIMELINE!$C$86*(TIMELINE!$C$86+1)),IF(INPUTS!$O$95="S-curve",SIN(PI()*(TIMELINE!AL87-0.5)/TIMELINE!$C$86)*SIN(PI()/(2*TIMELINE!$C$86)),0)))))),0)</f>
        <v>0</v>
      </c>
      <c r="AM82" s="118" t="n">
        <f aca="false">IF(INPUTS!$E$95="Yes",IF(OR(TIMELINE!AM87=0,TIMELINE!$C$86=0),0,IF(INPUTS!$O$95="Upfront",--(TIMELINE!AM87=1),IF(INPUTS!$O$95="Even",1/TIMELINE!$C$86,IF(INPUTS!$O$95="Front-loaded",(TIMELINE!$C$86-TIMELINE!AM87+1)*2/(TIMELINE!$C$86*(TIMELINE!$C$86+1)),IF(INPUTS!$O$95="Back-loaded",TIMELINE!AM87*2/(TIMELINE!$C$86*(TIMELINE!$C$86+1)),IF(INPUTS!$O$95="S-curve",SIN(PI()*(TIMELINE!AM87-0.5)/TIMELINE!$C$86)*SIN(PI()/(2*TIMELINE!$C$86)),0)))))),0)</f>
        <v>0</v>
      </c>
      <c r="AN82" s="118" t="n">
        <f aca="false">IF(INPUTS!$E$95="Yes",IF(OR(TIMELINE!AN87=0,TIMELINE!$C$86=0),0,IF(INPUTS!$O$95="Upfront",--(TIMELINE!AN87=1),IF(INPUTS!$O$95="Even",1/TIMELINE!$C$86,IF(INPUTS!$O$95="Front-loaded",(TIMELINE!$C$86-TIMELINE!AN87+1)*2/(TIMELINE!$C$86*(TIMELINE!$C$86+1)),IF(INPUTS!$O$95="Back-loaded",TIMELINE!AN87*2/(TIMELINE!$C$86*(TIMELINE!$C$86+1)),IF(INPUTS!$O$95="S-curve",SIN(PI()*(TIMELINE!AN87-0.5)/TIMELINE!$C$86)*SIN(PI()/(2*TIMELINE!$C$86)),0)))))),0)</f>
        <v>0</v>
      </c>
      <c r="AO82" s="118" t="n">
        <f aca="false">IF(INPUTS!$E$95="Yes",IF(OR(TIMELINE!AO87=0,TIMELINE!$C$86=0),0,IF(INPUTS!$O$95="Upfront",--(TIMELINE!AO87=1),IF(INPUTS!$O$95="Even",1/TIMELINE!$C$86,IF(INPUTS!$O$95="Front-loaded",(TIMELINE!$C$86-TIMELINE!AO87+1)*2/(TIMELINE!$C$86*(TIMELINE!$C$86+1)),IF(INPUTS!$O$95="Back-loaded",TIMELINE!AO87*2/(TIMELINE!$C$86*(TIMELINE!$C$86+1)),IF(INPUTS!$O$95="S-curve",SIN(PI()*(TIMELINE!AO87-0.5)/TIMELINE!$C$86)*SIN(PI()/(2*TIMELINE!$C$86)),0)))))),0)</f>
        <v>0</v>
      </c>
      <c r="AP82" s="118" t="n">
        <f aca="false">IF(INPUTS!$E$95="Yes",IF(OR(TIMELINE!AP87=0,TIMELINE!$C$86=0),0,IF(INPUTS!$O$95="Upfront",--(TIMELINE!AP87=1),IF(INPUTS!$O$95="Even",1/TIMELINE!$C$86,IF(INPUTS!$O$95="Front-loaded",(TIMELINE!$C$86-TIMELINE!AP87+1)*2/(TIMELINE!$C$86*(TIMELINE!$C$86+1)),IF(INPUTS!$O$95="Back-loaded",TIMELINE!AP87*2/(TIMELINE!$C$86*(TIMELINE!$C$86+1)),IF(INPUTS!$O$95="S-curve",SIN(PI()*(TIMELINE!AP87-0.5)/TIMELINE!$C$86)*SIN(PI()/(2*TIMELINE!$C$86)),0)))))),0)</f>
        <v>0</v>
      </c>
      <c r="AQ82" s="118" t="n">
        <f aca="false">IF(INPUTS!$E$95="Yes",IF(OR(TIMELINE!AQ87=0,TIMELINE!$C$86=0),0,IF(INPUTS!$O$95="Upfront",--(TIMELINE!AQ87=1),IF(INPUTS!$O$95="Even",1/TIMELINE!$C$86,IF(INPUTS!$O$95="Front-loaded",(TIMELINE!$C$86-TIMELINE!AQ87+1)*2/(TIMELINE!$C$86*(TIMELINE!$C$86+1)),IF(INPUTS!$O$95="Back-loaded",TIMELINE!AQ87*2/(TIMELINE!$C$86*(TIMELINE!$C$86+1)),IF(INPUTS!$O$95="S-curve",SIN(PI()*(TIMELINE!AQ87-0.5)/TIMELINE!$C$86)*SIN(PI()/(2*TIMELINE!$C$86)),0)))))),0)</f>
        <v>0</v>
      </c>
    </row>
    <row r="83" customFormat="false" ht="15" hidden="false" customHeight="false" outlineLevel="0" collapsed="false">
      <c r="B83" s="3" t="s">
        <v>673</v>
      </c>
      <c r="D83" s="118" t="n">
        <f aca="false">SUM($D82:D82)</f>
        <v>0</v>
      </c>
      <c r="E83" s="118" t="n">
        <f aca="false">SUM($D82:E82)</f>
        <v>0</v>
      </c>
      <c r="F83" s="118" t="n">
        <f aca="false">SUM($D82:F82)</f>
        <v>0</v>
      </c>
      <c r="G83" s="118" t="n">
        <f aca="false">SUM($D82:G82)</f>
        <v>0</v>
      </c>
      <c r="H83" s="118" t="n">
        <f aca="false">SUM($D82:H82)</f>
        <v>0</v>
      </c>
      <c r="I83" s="118" t="n">
        <f aca="false">SUM($D82:I82)</f>
        <v>0</v>
      </c>
      <c r="J83" s="118" t="n">
        <f aca="false">SUM($D82:J82)</f>
        <v>0</v>
      </c>
      <c r="K83" s="118" t="n">
        <f aca="false">SUM($D82:K82)</f>
        <v>0</v>
      </c>
      <c r="L83" s="118" t="n">
        <f aca="false">SUM($D82:L82)</f>
        <v>0</v>
      </c>
      <c r="M83" s="118" t="n">
        <f aca="false">SUM($D82:M82)</f>
        <v>0</v>
      </c>
      <c r="N83" s="118" t="n">
        <f aca="false">SUM($D82:N82)</f>
        <v>0</v>
      </c>
      <c r="O83" s="118" t="n">
        <f aca="false">SUM($D82:O82)</f>
        <v>0</v>
      </c>
      <c r="P83" s="118" t="n">
        <f aca="false">SUM($D82:P82)</f>
        <v>0</v>
      </c>
      <c r="Q83" s="118" t="n">
        <f aca="false">SUM($D82:Q82)</f>
        <v>0</v>
      </c>
      <c r="R83" s="118" t="n">
        <f aca="false">SUM($D82:R82)</f>
        <v>0</v>
      </c>
      <c r="S83" s="118" t="n">
        <f aca="false">SUM($D82:S82)</f>
        <v>0</v>
      </c>
      <c r="T83" s="118" t="n">
        <f aca="false">SUM($D82:T82)</f>
        <v>0</v>
      </c>
      <c r="U83" s="118" t="n">
        <f aca="false">SUM($D82:U82)</f>
        <v>0</v>
      </c>
      <c r="V83" s="118" t="n">
        <f aca="false">SUM($D82:V82)</f>
        <v>0</v>
      </c>
      <c r="W83" s="118" t="n">
        <f aca="false">SUM($D82:W82)</f>
        <v>0</v>
      </c>
      <c r="X83" s="118" t="n">
        <f aca="false">SUM($D82:X82)</f>
        <v>0</v>
      </c>
      <c r="Y83" s="118" t="n">
        <f aca="false">SUM($D82:Y82)</f>
        <v>0</v>
      </c>
      <c r="Z83" s="118" t="n">
        <f aca="false">SUM($D82:Z82)</f>
        <v>0</v>
      </c>
      <c r="AA83" s="118" t="n">
        <f aca="false">SUM($D82:AA82)</f>
        <v>0</v>
      </c>
      <c r="AB83" s="118" t="n">
        <f aca="false">SUM($D82:AB82)</f>
        <v>0</v>
      </c>
      <c r="AC83" s="118" t="n">
        <f aca="false">SUM($D82:AC82)</f>
        <v>0</v>
      </c>
      <c r="AD83" s="118" t="n">
        <f aca="false">SUM($D82:AD82)</f>
        <v>0</v>
      </c>
      <c r="AE83" s="118" t="n">
        <f aca="false">SUM($D82:AE82)</f>
        <v>0</v>
      </c>
      <c r="AF83" s="118" t="n">
        <f aca="false">SUM($D82:AF82)</f>
        <v>0</v>
      </c>
      <c r="AG83" s="118" t="n">
        <f aca="false">SUM($D82:AG82)</f>
        <v>0</v>
      </c>
      <c r="AH83" s="118" t="n">
        <f aca="false">SUM($D82:AH82)</f>
        <v>0</v>
      </c>
      <c r="AI83" s="118" t="n">
        <f aca="false">SUM($D82:AI82)</f>
        <v>0</v>
      </c>
      <c r="AJ83" s="118" t="n">
        <f aca="false">SUM($D82:AJ82)</f>
        <v>0</v>
      </c>
      <c r="AK83" s="118" t="n">
        <f aca="false">SUM($D82:AK82)</f>
        <v>0</v>
      </c>
      <c r="AL83" s="118" t="n">
        <f aca="false">SUM($D82:AL82)</f>
        <v>0</v>
      </c>
      <c r="AM83" s="118" t="n">
        <f aca="false">SUM($D82:AM82)</f>
        <v>0</v>
      </c>
      <c r="AN83" s="118" t="n">
        <f aca="false">SUM($D82:AN82)</f>
        <v>0</v>
      </c>
      <c r="AO83" s="118" t="n">
        <f aca="false">SUM($D82:AO82)</f>
        <v>0</v>
      </c>
      <c r="AP83" s="118" t="n">
        <f aca="false">SUM($D82:AP82)</f>
        <v>0</v>
      </c>
      <c r="AQ83" s="118" t="n">
        <f aca="false">SUM($D82:AQ82)</f>
        <v>0</v>
      </c>
    </row>
    <row r="84" customFormat="false" ht="15" hidden="false" customHeight="false" outlineLevel="0" collapsed="false">
      <c r="B84" s="17" t="s">
        <v>674</v>
      </c>
      <c r="C84" s="105" t="str">
        <f aca="false">IF(NOT(INPUTS!$E$95="Yes"),"Off",IF(AND(ABS(C80-1)&lt;0.000000001,ABS(C82-1)&lt;0.000000001,ABS(AQ83-1)&lt;0.000000001),"OK","ERROR"))</f>
        <v>Off</v>
      </c>
    </row>
    <row r="85" customFormat="false" ht="15" hidden="false" customHeight="false" outlineLevel="0" collapsed="false">
      <c r="B85" s="110" t="str">
        <f aca="false">IF(INPUTS!$E$96="Yes",INPUTS!$B$96,"Product row 9 (off)")</f>
        <v>Product row 9 (off)</v>
      </c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</row>
    <row r="86" customFormat="false" ht="15" hidden="false" customHeight="false" outlineLevel="0" collapsed="false">
      <c r="B86" s="3" t="s">
        <v>670</v>
      </c>
      <c r="C86" s="117" t="n">
        <f aca="false">SUM(D86:AQ86)</f>
        <v>0</v>
      </c>
      <c r="D86" s="118" t="n">
        <f aca="false">IF(INPUTS!$E$96="Yes",IF(OR(TIMELINE!D92=0,TIMELINE!$C$91=0),0,IF(INPUTS!$K$96="Upfront",--(TIMELINE!D92=1),IF(INPUTS!$K$96="Even",1/TIMELINE!$C$91,IF(INPUTS!$K$96="Front-loaded",(TIMELINE!$C$91-TIMELINE!D92+1)*2/(TIMELINE!$C$91*(TIMELINE!$C$91+1)),IF(INPUTS!$K$96="Back-loaded",TIMELINE!D92*2/(TIMELINE!$C$91*(TIMELINE!$C$91+1)),IF(INPUTS!$K$96="S-curve",SIN(PI()*(TIMELINE!D92-0.5)/TIMELINE!$C$91)*SIN(PI()/(2*TIMELINE!$C$91)),0)))))),0)</f>
        <v>0</v>
      </c>
      <c r="E86" s="118" t="n">
        <f aca="false">IF(INPUTS!$E$96="Yes",IF(OR(TIMELINE!E92=0,TIMELINE!$C$91=0),0,IF(INPUTS!$K$96="Upfront",--(TIMELINE!E92=1),IF(INPUTS!$K$96="Even",1/TIMELINE!$C$91,IF(INPUTS!$K$96="Front-loaded",(TIMELINE!$C$91-TIMELINE!E92+1)*2/(TIMELINE!$C$91*(TIMELINE!$C$91+1)),IF(INPUTS!$K$96="Back-loaded",TIMELINE!E92*2/(TIMELINE!$C$91*(TIMELINE!$C$91+1)),IF(INPUTS!$K$96="S-curve",SIN(PI()*(TIMELINE!E92-0.5)/TIMELINE!$C$91)*SIN(PI()/(2*TIMELINE!$C$91)),0)))))),0)</f>
        <v>0</v>
      </c>
      <c r="F86" s="118" t="n">
        <f aca="false">IF(INPUTS!$E$96="Yes",IF(OR(TIMELINE!F92=0,TIMELINE!$C$91=0),0,IF(INPUTS!$K$96="Upfront",--(TIMELINE!F92=1),IF(INPUTS!$K$96="Even",1/TIMELINE!$C$91,IF(INPUTS!$K$96="Front-loaded",(TIMELINE!$C$91-TIMELINE!F92+1)*2/(TIMELINE!$C$91*(TIMELINE!$C$91+1)),IF(INPUTS!$K$96="Back-loaded",TIMELINE!F92*2/(TIMELINE!$C$91*(TIMELINE!$C$91+1)),IF(INPUTS!$K$96="S-curve",SIN(PI()*(TIMELINE!F92-0.5)/TIMELINE!$C$91)*SIN(PI()/(2*TIMELINE!$C$91)),0)))))),0)</f>
        <v>0</v>
      </c>
      <c r="G86" s="118" t="n">
        <f aca="false">IF(INPUTS!$E$96="Yes",IF(OR(TIMELINE!G92=0,TIMELINE!$C$91=0),0,IF(INPUTS!$K$96="Upfront",--(TIMELINE!G92=1),IF(INPUTS!$K$96="Even",1/TIMELINE!$C$91,IF(INPUTS!$K$96="Front-loaded",(TIMELINE!$C$91-TIMELINE!G92+1)*2/(TIMELINE!$C$91*(TIMELINE!$C$91+1)),IF(INPUTS!$K$96="Back-loaded",TIMELINE!G92*2/(TIMELINE!$C$91*(TIMELINE!$C$91+1)),IF(INPUTS!$K$96="S-curve",SIN(PI()*(TIMELINE!G92-0.5)/TIMELINE!$C$91)*SIN(PI()/(2*TIMELINE!$C$91)),0)))))),0)</f>
        <v>0</v>
      </c>
      <c r="H86" s="118" t="n">
        <f aca="false">IF(INPUTS!$E$96="Yes",IF(OR(TIMELINE!H92=0,TIMELINE!$C$91=0),0,IF(INPUTS!$K$96="Upfront",--(TIMELINE!H92=1),IF(INPUTS!$K$96="Even",1/TIMELINE!$C$91,IF(INPUTS!$K$96="Front-loaded",(TIMELINE!$C$91-TIMELINE!H92+1)*2/(TIMELINE!$C$91*(TIMELINE!$C$91+1)),IF(INPUTS!$K$96="Back-loaded",TIMELINE!H92*2/(TIMELINE!$C$91*(TIMELINE!$C$91+1)),IF(INPUTS!$K$96="S-curve",SIN(PI()*(TIMELINE!H92-0.5)/TIMELINE!$C$91)*SIN(PI()/(2*TIMELINE!$C$91)),0)))))),0)</f>
        <v>0</v>
      </c>
      <c r="I86" s="118" t="n">
        <f aca="false">IF(INPUTS!$E$96="Yes",IF(OR(TIMELINE!I92=0,TIMELINE!$C$91=0),0,IF(INPUTS!$K$96="Upfront",--(TIMELINE!I92=1),IF(INPUTS!$K$96="Even",1/TIMELINE!$C$91,IF(INPUTS!$K$96="Front-loaded",(TIMELINE!$C$91-TIMELINE!I92+1)*2/(TIMELINE!$C$91*(TIMELINE!$C$91+1)),IF(INPUTS!$K$96="Back-loaded",TIMELINE!I92*2/(TIMELINE!$C$91*(TIMELINE!$C$91+1)),IF(INPUTS!$K$96="S-curve",SIN(PI()*(TIMELINE!I92-0.5)/TIMELINE!$C$91)*SIN(PI()/(2*TIMELINE!$C$91)),0)))))),0)</f>
        <v>0</v>
      </c>
      <c r="J86" s="118" t="n">
        <f aca="false">IF(INPUTS!$E$96="Yes",IF(OR(TIMELINE!J92=0,TIMELINE!$C$91=0),0,IF(INPUTS!$K$96="Upfront",--(TIMELINE!J92=1),IF(INPUTS!$K$96="Even",1/TIMELINE!$C$91,IF(INPUTS!$K$96="Front-loaded",(TIMELINE!$C$91-TIMELINE!J92+1)*2/(TIMELINE!$C$91*(TIMELINE!$C$91+1)),IF(INPUTS!$K$96="Back-loaded",TIMELINE!J92*2/(TIMELINE!$C$91*(TIMELINE!$C$91+1)),IF(INPUTS!$K$96="S-curve",SIN(PI()*(TIMELINE!J92-0.5)/TIMELINE!$C$91)*SIN(PI()/(2*TIMELINE!$C$91)),0)))))),0)</f>
        <v>0</v>
      </c>
      <c r="K86" s="118" t="n">
        <f aca="false">IF(INPUTS!$E$96="Yes",IF(OR(TIMELINE!K92=0,TIMELINE!$C$91=0),0,IF(INPUTS!$K$96="Upfront",--(TIMELINE!K92=1),IF(INPUTS!$K$96="Even",1/TIMELINE!$C$91,IF(INPUTS!$K$96="Front-loaded",(TIMELINE!$C$91-TIMELINE!K92+1)*2/(TIMELINE!$C$91*(TIMELINE!$C$91+1)),IF(INPUTS!$K$96="Back-loaded",TIMELINE!K92*2/(TIMELINE!$C$91*(TIMELINE!$C$91+1)),IF(INPUTS!$K$96="S-curve",SIN(PI()*(TIMELINE!K92-0.5)/TIMELINE!$C$91)*SIN(PI()/(2*TIMELINE!$C$91)),0)))))),0)</f>
        <v>0</v>
      </c>
      <c r="L86" s="118" t="n">
        <f aca="false">IF(INPUTS!$E$96="Yes",IF(OR(TIMELINE!L92=0,TIMELINE!$C$91=0),0,IF(INPUTS!$K$96="Upfront",--(TIMELINE!L92=1),IF(INPUTS!$K$96="Even",1/TIMELINE!$C$91,IF(INPUTS!$K$96="Front-loaded",(TIMELINE!$C$91-TIMELINE!L92+1)*2/(TIMELINE!$C$91*(TIMELINE!$C$91+1)),IF(INPUTS!$K$96="Back-loaded",TIMELINE!L92*2/(TIMELINE!$C$91*(TIMELINE!$C$91+1)),IF(INPUTS!$K$96="S-curve",SIN(PI()*(TIMELINE!L92-0.5)/TIMELINE!$C$91)*SIN(PI()/(2*TIMELINE!$C$91)),0)))))),0)</f>
        <v>0</v>
      </c>
      <c r="M86" s="118" t="n">
        <f aca="false">IF(INPUTS!$E$96="Yes",IF(OR(TIMELINE!M92=0,TIMELINE!$C$91=0),0,IF(INPUTS!$K$96="Upfront",--(TIMELINE!M92=1),IF(INPUTS!$K$96="Even",1/TIMELINE!$C$91,IF(INPUTS!$K$96="Front-loaded",(TIMELINE!$C$91-TIMELINE!M92+1)*2/(TIMELINE!$C$91*(TIMELINE!$C$91+1)),IF(INPUTS!$K$96="Back-loaded",TIMELINE!M92*2/(TIMELINE!$C$91*(TIMELINE!$C$91+1)),IF(INPUTS!$K$96="S-curve",SIN(PI()*(TIMELINE!M92-0.5)/TIMELINE!$C$91)*SIN(PI()/(2*TIMELINE!$C$91)),0)))))),0)</f>
        <v>0</v>
      </c>
      <c r="N86" s="118" t="n">
        <f aca="false">IF(INPUTS!$E$96="Yes",IF(OR(TIMELINE!N92=0,TIMELINE!$C$91=0),0,IF(INPUTS!$K$96="Upfront",--(TIMELINE!N92=1),IF(INPUTS!$K$96="Even",1/TIMELINE!$C$91,IF(INPUTS!$K$96="Front-loaded",(TIMELINE!$C$91-TIMELINE!N92+1)*2/(TIMELINE!$C$91*(TIMELINE!$C$91+1)),IF(INPUTS!$K$96="Back-loaded",TIMELINE!N92*2/(TIMELINE!$C$91*(TIMELINE!$C$91+1)),IF(INPUTS!$K$96="S-curve",SIN(PI()*(TIMELINE!N92-0.5)/TIMELINE!$C$91)*SIN(PI()/(2*TIMELINE!$C$91)),0)))))),0)</f>
        <v>0</v>
      </c>
      <c r="O86" s="118" t="n">
        <f aca="false">IF(INPUTS!$E$96="Yes",IF(OR(TIMELINE!O92=0,TIMELINE!$C$91=0),0,IF(INPUTS!$K$96="Upfront",--(TIMELINE!O92=1),IF(INPUTS!$K$96="Even",1/TIMELINE!$C$91,IF(INPUTS!$K$96="Front-loaded",(TIMELINE!$C$91-TIMELINE!O92+1)*2/(TIMELINE!$C$91*(TIMELINE!$C$91+1)),IF(INPUTS!$K$96="Back-loaded",TIMELINE!O92*2/(TIMELINE!$C$91*(TIMELINE!$C$91+1)),IF(INPUTS!$K$96="S-curve",SIN(PI()*(TIMELINE!O92-0.5)/TIMELINE!$C$91)*SIN(PI()/(2*TIMELINE!$C$91)),0)))))),0)</f>
        <v>0</v>
      </c>
      <c r="P86" s="118" t="n">
        <f aca="false">IF(INPUTS!$E$96="Yes",IF(OR(TIMELINE!P92=0,TIMELINE!$C$91=0),0,IF(INPUTS!$K$96="Upfront",--(TIMELINE!P92=1),IF(INPUTS!$K$96="Even",1/TIMELINE!$C$91,IF(INPUTS!$K$96="Front-loaded",(TIMELINE!$C$91-TIMELINE!P92+1)*2/(TIMELINE!$C$91*(TIMELINE!$C$91+1)),IF(INPUTS!$K$96="Back-loaded",TIMELINE!P92*2/(TIMELINE!$C$91*(TIMELINE!$C$91+1)),IF(INPUTS!$K$96="S-curve",SIN(PI()*(TIMELINE!P92-0.5)/TIMELINE!$C$91)*SIN(PI()/(2*TIMELINE!$C$91)),0)))))),0)</f>
        <v>0</v>
      </c>
      <c r="Q86" s="118" t="n">
        <f aca="false">IF(INPUTS!$E$96="Yes",IF(OR(TIMELINE!Q92=0,TIMELINE!$C$91=0),0,IF(INPUTS!$K$96="Upfront",--(TIMELINE!Q92=1),IF(INPUTS!$K$96="Even",1/TIMELINE!$C$91,IF(INPUTS!$K$96="Front-loaded",(TIMELINE!$C$91-TIMELINE!Q92+1)*2/(TIMELINE!$C$91*(TIMELINE!$C$91+1)),IF(INPUTS!$K$96="Back-loaded",TIMELINE!Q92*2/(TIMELINE!$C$91*(TIMELINE!$C$91+1)),IF(INPUTS!$K$96="S-curve",SIN(PI()*(TIMELINE!Q92-0.5)/TIMELINE!$C$91)*SIN(PI()/(2*TIMELINE!$C$91)),0)))))),0)</f>
        <v>0</v>
      </c>
      <c r="R86" s="118" t="n">
        <f aca="false">IF(INPUTS!$E$96="Yes",IF(OR(TIMELINE!R92=0,TIMELINE!$C$91=0),0,IF(INPUTS!$K$96="Upfront",--(TIMELINE!R92=1),IF(INPUTS!$K$96="Even",1/TIMELINE!$C$91,IF(INPUTS!$K$96="Front-loaded",(TIMELINE!$C$91-TIMELINE!R92+1)*2/(TIMELINE!$C$91*(TIMELINE!$C$91+1)),IF(INPUTS!$K$96="Back-loaded",TIMELINE!R92*2/(TIMELINE!$C$91*(TIMELINE!$C$91+1)),IF(INPUTS!$K$96="S-curve",SIN(PI()*(TIMELINE!R92-0.5)/TIMELINE!$C$91)*SIN(PI()/(2*TIMELINE!$C$91)),0)))))),0)</f>
        <v>0</v>
      </c>
      <c r="S86" s="118" t="n">
        <f aca="false">IF(INPUTS!$E$96="Yes",IF(OR(TIMELINE!S92=0,TIMELINE!$C$91=0),0,IF(INPUTS!$K$96="Upfront",--(TIMELINE!S92=1),IF(INPUTS!$K$96="Even",1/TIMELINE!$C$91,IF(INPUTS!$K$96="Front-loaded",(TIMELINE!$C$91-TIMELINE!S92+1)*2/(TIMELINE!$C$91*(TIMELINE!$C$91+1)),IF(INPUTS!$K$96="Back-loaded",TIMELINE!S92*2/(TIMELINE!$C$91*(TIMELINE!$C$91+1)),IF(INPUTS!$K$96="S-curve",SIN(PI()*(TIMELINE!S92-0.5)/TIMELINE!$C$91)*SIN(PI()/(2*TIMELINE!$C$91)),0)))))),0)</f>
        <v>0</v>
      </c>
      <c r="T86" s="118" t="n">
        <f aca="false">IF(INPUTS!$E$96="Yes",IF(OR(TIMELINE!T92=0,TIMELINE!$C$91=0),0,IF(INPUTS!$K$96="Upfront",--(TIMELINE!T92=1),IF(INPUTS!$K$96="Even",1/TIMELINE!$C$91,IF(INPUTS!$K$96="Front-loaded",(TIMELINE!$C$91-TIMELINE!T92+1)*2/(TIMELINE!$C$91*(TIMELINE!$C$91+1)),IF(INPUTS!$K$96="Back-loaded",TIMELINE!T92*2/(TIMELINE!$C$91*(TIMELINE!$C$91+1)),IF(INPUTS!$K$96="S-curve",SIN(PI()*(TIMELINE!T92-0.5)/TIMELINE!$C$91)*SIN(PI()/(2*TIMELINE!$C$91)),0)))))),0)</f>
        <v>0</v>
      </c>
      <c r="U86" s="118" t="n">
        <f aca="false">IF(INPUTS!$E$96="Yes",IF(OR(TIMELINE!U92=0,TIMELINE!$C$91=0),0,IF(INPUTS!$K$96="Upfront",--(TIMELINE!U92=1),IF(INPUTS!$K$96="Even",1/TIMELINE!$C$91,IF(INPUTS!$K$96="Front-loaded",(TIMELINE!$C$91-TIMELINE!U92+1)*2/(TIMELINE!$C$91*(TIMELINE!$C$91+1)),IF(INPUTS!$K$96="Back-loaded",TIMELINE!U92*2/(TIMELINE!$C$91*(TIMELINE!$C$91+1)),IF(INPUTS!$K$96="S-curve",SIN(PI()*(TIMELINE!U92-0.5)/TIMELINE!$C$91)*SIN(PI()/(2*TIMELINE!$C$91)),0)))))),0)</f>
        <v>0</v>
      </c>
      <c r="V86" s="118" t="n">
        <f aca="false">IF(INPUTS!$E$96="Yes",IF(OR(TIMELINE!V92=0,TIMELINE!$C$91=0),0,IF(INPUTS!$K$96="Upfront",--(TIMELINE!V92=1),IF(INPUTS!$K$96="Even",1/TIMELINE!$C$91,IF(INPUTS!$K$96="Front-loaded",(TIMELINE!$C$91-TIMELINE!V92+1)*2/(TIMELINE!$C$91*(TIMELINE!$C$91+1)),IF(INPUTS!$K$96="Back-loaded",TIMELINE!V92*2/(TIMELINE!$C$91*(TIMELINE!$C$91+1)),IF(INPUTS!$K$96="S-curve",SIN(PI()*(TIMELINE!V92-0.5)/TIMELINE!$C$91)*SIN(PI()/(2*TIMELINE!$C$91)),0)))))),0)</f>
        <v>0</v>
      </c>
      <c r="W86" s="118" t="n">
        <f aca="false">IF(INPUTS!$E$96="Yes",IF(OR(TIMELINE!W92=0,TIMELINE!$C$91=0),0,IF(INPUTS!$K$96="Upfront",--(TIMELINE!W92=1),IF(INPUTS!$K$96="Even",1/TIMELINE!$C$91,IF(INPUTS!$K$96="Front-loaded",(TIMELINE!$C$91-TIMELINE!W92+1)*2/(TIMELINE!$C$91*(TIMELINE!$C$91+1)),IF(INPUTS!$K$96="Back-loaded",TIMELINE!W92*2/(TIMELINE!$C$91*(TIMELINE!$C$91+1)),IF(INPUTS!$K$96="S-curve",SIN(PI()*(TIMELINE!W92-0.5)/TIMELINE!$C$91)*SIN(PI()/(2*TIMELINE!$C$91)),0)))))),0)</f>
        <v>0</v>
      </c>
      <c r="X86" s="118" t="n">
        <f aca="false">IF(INPUTS!$E$96="Yes",IF(OR(TIMELINE!X92=0,TIMELINE!$C$91=0),0,IF(INPUTS!$K$96="Upfront",--(TIMELINE!X92=1),IF(INPUTS!$K$96="Even",1/TIMELINE!$C$91,IF(INPUTS!$K$96="Front-loaded",(TIMELINE!$C$91-TIMELINE!X92+1)*2/(TIMELINE!$C$91*(TIMELINE!$C$91+1)),IF(INPUTS!$K$96="Back-loaded",TIMELINE!X92*2/(TIMELINE!$C$91*(TIMELINE!$C$91+1)),IF(INPUTS!$K$96="S-curve",SIN(PI()*(TIMELINE!X92-0.5)/TIMELINE!$C$91)*SIN(PI()/(2*TIMELINE!$C$91)),0)))))),0)</f>
        <v>0</v>
      </c>
      <c r="Y86" s="118" t="n">
        <f aca="false">IF(INPUTS!$E$96="Yes",IF(OR(TIMELINE!Y92=0,TIMELINE!$C$91=0),0,IF(INPUTS!$K$96="Upfront",--(TIMELINE!Y92=1),IF(INPUTS!$K$96="Even",1/TIMELINE!$C$91,IF(INPUTS!$K$96="Front-loaded",(TIMELINE!$C$91-TIMELINE!Y92+1)*2/(TIMELINE!$C$91*(TIMELINE!$C$91+1)),IF(INPUTS!$K$96="Back-loaded",TIMELINE!Y92*2/(TIMELINE!$C$91*(TIMELINE!$C$91+1)),IF(INPUTS!$K$96="S-curve",SIN(PI()*(TIMELINE!Y92-0.5)/TIMELINE!$C$91)*SIN(PI()/(2*TIMELINE!$C$91)),0)))))),0)</f>
        <v>0</v>
      </c>
      <c r="Z86" s="118" t="n">
        <f aca="false">IF(INPUTS!$E$96="Yes",IF(OR(TIMELINE!Z92=0,TIMELINE!$C$91=0),0,IF(INPUTS!$K$96="Upfront",--(TIMELINE!Z92=1),IF(INPUTS!$K$96="Even",1/TIMELINE!$C$91,IF(INPUTS!$K$96="Front-loaded",(TIMELINE!$C$91-TIMELINE!Z92+1)*2/(TIMELINE!$C$91*(TIMELINE!$C$91+1)),IF(INPUTS!$K$96="Back-loaded",TIMELINE!Z92*2/(TIMELINE!$C$91*(TIMELINE!$C$91+1)),IF(INPUTS!$K$96="S-curve",SIN(PI()*(TIMELINE!Z92-0.5)/TIMELINE!$C$91)*SIN(PI()/(2*TIMELINE!$C$91)),0)))))),0)</f>
        <v>0</v>
      </c>
      <c r="AA86" s="118" t="n">
        <f aca="false">IF(INPUTS!$E$96="Yes",IF(OR(TIMELINE!AA92=0,TIMELINE!$C$91=0),0,IF(INPUTS!$K$96="Upfront",--(TIMELINE!AA92=1),IF(INPUTS!$K$96="Even",1/TIMELINE!$C$91,IF(INPUTS!$K$96="Front-loaded",(TIMELINE!$C$91-TIMELINE!AA92+1)*2/(TIMELINE!$C$91*(TIMELINE!$C$91+1)),IF(INPUTS!$K$96="Back-loaded",TIMELINE!AA92*2/(TIMELINE!$C$91*(TIMELINE!$C$91+1)),IF(INPUTS!$K$96="S-curve",SIN(PI()*(TIMELINE!AA92-0.5)/TIMELINE!$C$91)*SIN(PI()/(2*TIMELINE!$C$91)),0)))))),0)</f>
        <v>0</v>
      </c>
      <c r="AB86" s="118" t="n">
        <f aca="false">IF(INPUTS!$E$96="Yes",IF(OR(TIMELINE!AB92=0,TIMELINE!$C$91=0),0,IF(INPUTS!$K$96="Upfront",--(TIMELINE!AB92=1),IF(INPUTS!$K$96="Even",1/TIMELINE!$C$91,IF(INPUTS!$K$96="Front-loaded",(TIMELINE!$C$91-TIMELINE!AB92+1)*2/(TIMELINE!$C$91*(TIMELINE!$C$91+1)),IF(INPUTS!$K$96="Back-loaded",TIMELINE!AB92*2/(TIMELINE!$C$91*(TIMELINE!$C$91+1)),IF(INPUTS!$K$96="S-curve",SIN(PI()*(TIMELINE!AB92-0.5)/TIMELINE!$C$91)*SIN(PI()/(2*TIMELINE!$C$91)),0)))))),0)</f>
        <v>0</v>
      </c>
      <c r="AC86" s="118" t="n">
        <f aca="false">IF(INPUTS!$E$96="Yes",IF(OR(TIMELINE!AC92=0,TIMELINE!$C$91=0),0,IF(INPUTS!$K$96="Upfront",--(TIMELINE!AC92=1),IF(INPUTS!$K$96="Even",1/TIMELINE!$C$91,IF(INPUTS!$K$96="Front-loaded",(TIMELINE!$C$91-TIMELINE!AC92+1)*2/(TIMELINE!$C$91*(TIMELINE!$C$91+1)),IF(INPUTS!$K$96="Back-loaded",TIMELINE!AC92*2/(TIMELINE!$C$91*(TIMELINE!$C$91+1)),IF(INPUTS!$K$96="S-curve",SIN(PI()*(TIMELINE!AC92-0.5)/TIMELINE!$C$91)*SIN(PI()/(2*TIMELINE!$C$91)),0)))))),0)</f>
        <v>0</v>
      </c>
      <c r="AD86" s="118" t="n">
        <f aca="false">IF(INPUTS!$E$96="Yes",IF(OR(TIMELINE!AD92=0,TIMELINE!$C$91=0),0,IF(INPUTS!$K$96="Upfront",--(TIMELINE!AD92=1),IF(INPUTS!$K$96="Even",1/TIMELINE!$C$91,IF(INPUTS!$K$96="Front-loaded",(TIMELINE!$C$91-TIMELINE!AD92+1)*2/(TIMELINE!$C$91*(TIMELINE!$C$91+1)),IF(INPUTS!$K$96="Back-loaded",TIMELINE!AD92*2/(TIMELINE!$C$91*(TIMELINE!$C$91+1)),IF(INPUTS!$K$96="S-curve",SIN(PI()*(TIMELINE!AD92-0.5)/TIMELINE!$C$91)*SIN(PI()/(2*TIMELINE!$C$91)),0)))))),0)</f>
        <v>0</v>
      </c>
      <c r="AE86" s="118" t="n">
        <f aca="false">IF(INPUTS!$E$96="Yes",IF(OR(TIMELINE!AE92=0,TIMELINE!$C$91=0),0,IF(INPUTS!$K$96="Upfront",--(TIMELINE!AE92=1),IF(INPUTS!$K$96="Even",1/TIMELINE!$C$91,IF(INPUTS!$K$96="Front-loaded",(TIMELINE!$C$91-TIMELINE!AE92+1)*2/(TIMELINE!$C$91*(TIMELINE!$C$91+1)),IF(INPUTS!$K$96="Back-loaded",TIMELINE!AE92*2/(TIMELINE!$C$91*(TIMELINE!$C$91+1)),IF(INPUTS!$K$96="S-curve",SIN(PI()*(TIMELINE!AE92-0.5)/TIMELINE!$C$91)*SIN(PI()/(2*TIMELINE!$C$91)),0)))))),0)</f>
        <v>0</v>
      </c>
      <c r="AF86" s="118" t="n">
        <f aca="false">IF(INPUTS!$E$96="Yes",IF(OR(TIMELINE!AF92=0,TIMELINE!$C$91=0),0,IF(INPUTS!$K$96="Upfront",--(TIMELINE!AF92=1),IF(INPUTS!$K$96="Even",1/TIMELINE!$C$91,IF(INPUTS!$K$96="Front-loaded",(TIMELINE!$C$91-TIMELINE!AF92+1)*2/(TIMELINE!$C$91*(TIMELINE!$C$91+1)),IF(INPUTS!$K$96="Back-loaded",TIMELINE!AF92*2/(TIMELINE!$C$91*(TIMELINE!$C$91+1)),IF(INPUTS!$K$96="S-curve",SIN(PI()*(TIMELINE!AF92-0.5)/TIMELINE!$C$91)*SIN(PI()/(2*TIMELINE!$C$91)),0)))))),0)</f>
        <v>0</v>
      </c>
      <c r="AG86" s="118" t="n">
        <f aca="false">IF(INPUTS!$E$96="Yes",IF(OR(TIMELINE!AG92=0,TIMELINE!$C$91=0),0,IF(INPUTS!$K$96="Upfront",--(TIMELINE!AG92=1),IF(INPUTS!$K$96="Even",1/TIMELINE!$C$91,IF(INPUTS!$K$96="Front-loaded",(TIMELINE!$C$91-TIMELINE!AG92+1)*2/(TIMELINE!$C$91*(TIMELINE!$C$91+1)),IF(INPUTS!$K$96="Back-loaded",TIMELINE!AG92*2/(TIMELINE!$C$91*(TIMELINE!$C$91+1)),IF(INPUTS!$K$96="S-curve",SIN(PI()*(TIMELINE!AG92-0.5)/TIMELINE!$C$91)*SIN(PI()/(2*TIMELINE!$C$91)),0)))))),0)</f>
        <v>0</v>
      </c>
      <c r="AH86" s="118" t="n">
        <f aca="false">IF(INPUTS!$E$96="Yes",IF(OR(TIMELINE!AH92=0,TIMELINE!$C$91=0),0,IF(INPUTS!$K$96="Upfront",--(TIMELINE!AH92=1),IF(INPUTS!$K$96="Even",1/TIMELINE!$C$91,IF(INPUTS!$K$96="Front-loaded",(TIMELINE!$C$91-TIMELINE!AH92+1)*2/(TIMELINE!$C$91*(TIMELINE!$C$91+1)),IF(INPUTS!$K$96="Back-loaded",TIMELINE!AH92*2/(TIMELINE!$C$91*(TIMELINE!$C$91+1)),IF(INPUTS!$K$96="S-curve",SIN(PI()*(TIMELINE!AH92-0.5)/TIMELINE!$C$91)*SIN(PI()/(2*TIMELINE!$C$91)),0)))))),0)</f>
        <v>0</v>
      </c>
      <c r="AI86" s="118" t="n">
        <f aca="false">IF(INPUTS!$E$96="Yes",IF(OR(TIMELINE!AI92=0,TIMELINE!$C$91=0),0,IF(INPUTS!$K$96="Upfront",--(TIMELINE!AI92=1),IF(INPUTS!$K$96="Even",1/TIMELINE!$C$91,IF(INPUTS!$K$96="Front-loaded",(TIMELINE!$C$91-TIMELINE!AI92+1)*2/(TIMELINE!$C$91*(TIMELINE!$C$91+1)),IF(INPUTS!$K$96="Back-loaded",TIMELINE!AI92*2/(TIMELINE!$C$91*(TIMELINE!$C$91+1)),IF(INPUTS!$K$96="S-curve",SIN(PI()*(TIMELINE!AI92-0.5)/TIMELINE!$C$91)*SIN(PI()/(2*TIMELINE!$C$91)),0)))))),0)</f>
        <v>0</v>
      </c>
      <c r="AJ86" s="118" t="n">
        <f aca="false">IF(INPUTS!$E$96="Yes",IF(OR(TIMELINE!AJ92=0,TIMELINE!$C$91=0),0,IF(INPUTS!$K$96="Upfront",--(TIMELINE!AJ92=1),IF(INPUTS!$K$96="Even",1/TIMELINE!$C$91,IF(INPUTS!$K$96="Front-loaded",(TIMELINE!$C$91-TIMELINE!AJ92+1)*2/(TIMELINE!$C$91*(TIMELINE!$C$91+1)),IF(INPUTS!$K$96="Back-loaded",TIMELINE!AJ92*2/(TIMELINE!$C$91*(TIMELINE!$C$91+1)),IF(INPUTS!$K$96="S-curve",SIN(PI()*(TIMELINE!AJ92-0.5)/TIMELINE!$C$91)*SIN(PI()/(2*TIMELINE!$C$91)),0)))))),0)</f>
        <v>0</v>
      </c>
      <c r="AK86" s="118" t="n">
        <f aca="false">IF(INPUTS!$E$96="Yes",IF(OR(TIMELINE!AK92=0,TIMELINE!$C$91=0),0,IF(INPUTS!$K$96="Upfront",--(TIMELINE!AK92=1),IF(INPUTS!$K$96="Even",1/TIMELINE!$C$91,IF(INPUTS!$K$96="Front-loaded",(TIMELINE!$C$91-TIMELINE!AK92+1)*2/(TIMELINE!$C$91*(TIMELINE!$C$91+1)),IF(INPUTS!$K$96="Back-loaded",TIMELINE!AK92*2/(TIMELINE!$C$91*(TIMELINE!$C$91+1)),IF(INPUTS!$K$96="S-curve",SIN(PI()*(TIMELINE!AK92-0.5)/TIMELINE!$C$91)*SIN(PI()/(2*TIMELINE!$C$91)),0)))))),0)</f>
        <v>0</v>
      </c>
      <c r="AL86" s="118" t="n">
        <f aca="false">IF(INPUTS!$E$96="Yes",IF(OR(TIMELINE!AL92=0,TIMELINE!$C$91=0),0,IF(INPUTS!$K$96="Upfront",--(TIMELINE!AL92=1),IF(INPUTS!$K$96="Even",1/TIMELINE!$C$91,IF(INPUTS!$K$96="Front-loaded",(TIMELINE!$C$91-TIMELINE!AL92+1)*2/(TIMELINE!$C$91*(TIMELINE!$C$91+1)),IF(INPUTS!$K$96="Back-loaded",TIMELINE!AL92*2/(TIMELINE!$C$91*(TIMELINE!$C$91+1)),IF(INPUTS!$K$96="S-curve",SIN(PI()*(TIMELINE!AL92-0.5)/TIMELINE!$C$91)*SIN(PI()/(2*TIMELINE!$C$91)),0)))))),0)</f>
        <v>0</v>
      </c>
      <c r="AM86" s="118" t="n">
        <f aca="false">IF(INPUTS!$E$96="Yes",IF(OR(TIMELINE!AM92=0,TIMELINE!$C$91=0),0,IF(INPUTS!$K$96="Upfront",--(TIMELINE!AM92=1),IF(INPUTS!$K$96="Even",1/TIMELINE!$C$91,IF(INPUTS!$K$96="Front-loaded",(TIMELINE!$C$91-TIMELINE!AM92+1)*2/(TIMELINE!$C$91*(TIMELINE!$C$91+1)),IF(INPUTS!$K$96="Back-loaded",TIMELINE!AM92*2/(TIMELINE!$C$91*(TIMELINE!$C$91+1)),IF(INPUTS!$K$96="S-curve",SIN(PI()*(TIMELINE!AM92-0.5)/TIMELINE!$C$91)*SIN(PI()/(2*TIMELINE!$C$91)),0)))))),0)</f>
        <v>0</v>
      </c>
      <c r="AN86" s="118" t="n">
        <f aca="false">IF(INPUTS!$E$96="Yes",IF(OR(TIMELINE!AN92=0,TIMELINE!$C$91=0),0,IF(INPUTS!$K$96="Upfront",--(TIMELINE!AN92=1),IF(INPUTS!$K$96="Even",1/TIMELINE!$C$91,IF(INPUTS!$K$96="Front-loaded",(TIMELINE!$C$91-TIMELINE!AN92+1)*2/(TIMELINE!$C$91*(TIMELINE!$C$91+1)),IF(INPUTS!$K$96="Back-loaded",TIMELINE!AN92*2/(TIMELINE!$C$91*(TIMELINE!$C$91+1)),IF(INPUTS!$K$96="S-curve",SIN(PI()*(TIMELINE!AN92-0.5)/TIMELINE!$C$91)*SIN(PI()/(2*TIMELINE!$C$91)),0)))))),0)</f>
        <v>0</v>
      </c>
      <c r="AO86" s="118" t="n">
        <f aca="false">IF(INPUTS!$E$96="Yes",IF(OR(TIMELINE!AO92=0,TIMELINE!$C$91=0),0,IF(INPUTS!$K$96="Upfront",--(TIMELINE!AO92=1),IF(INPUTS!$K$96="Even",1/TIMELINE!$C$91,IF(INPUTS!$K$96="Front-loaded",(TIMELINE!$C$91-TIMELINE!AO92+1)*2/(TIMELINE!$C$91*(TIMELINE!$C$91+1)),IF(INPUTS!$K$96="Back-loaded",TIMELINE!AO92*2/(TIMELINE!$C$91*(TIMELINE!$C$91+1)),IF(INPUTS!$K$96="S-curve",SIN(PI()*(TIMELINE!AO92-0.5)/TIMELINE!$C$91)*SIN(PI()/(2*TIMELINE!$C$91)),0)))))),0)</f>
        <v>0</v>
      </c>
      <c r="AP86" s="118" t="n">
        <f aca="false">IF(INPUTS!$E$96="Yes",IF(OR(TIMELINE!AP92=0,TIMELINE!$C$91=0),0,IF(INPUTS!$K$96="Upfront",--(TIMELINE!AP92=1),IF(INPUTS!$K$96="Even",1/TIMELINE!$C$91,IF(INPUTS!$K$96="Front-loaded",(TIMELINE!$C$91-TIMELINE!AP92+1)*2/(TIMELINE!$C$91*(TIMELINE!$C$91+1)),IF(INPUTS!$K$96="Back-loaded",TIMELINE!AP92*2/(TIMELINE!$C$91*(TIMELINE!$C$91+1)),IF(INPUTS!$K$96="S-curve",SIN(PI()*(TIMELINE!AP92-0.5)/TIMELINE!$C$91)*SIN(PI()/(2*TIMELINE!$C$91)),0)))))),0)</f>
        <v>0</v>
      </c>
      <c r="AQ86" s="118" t="n">
        <f aca="false">IF(INPUTS!$E$96="Yes",IF(OR(TIMELINE!AQ92=0,TIMELINE!$C$91=0),0,IF(INPUTS!$K$96="Upfront",--(TIMELINE!AQ92=1),IF(INPUTS!$K$96="Even",1/TIMELINE!$C$91,IF(INPUTS!$K$96="Front-loaded",(TIMELINE!$C$91-TIMELINE!AQ92+1)*2/(TIMELINE!$C$91*(TIMELINE!$C$91+1)),IF(INPUTS!$K$96="Back-loaded",TIMELINE!AQ92*2/(TIMELINE!$C$91*(TIMELINE!$C$91+1)),IF(INPUTS!$K$96="S-curve",SIN(PI()*(TIMELINE!AQ92-0.5)/TIMELINE!$C$91)*SIN(PI()/(2*TIMELINE!$C$91)),0)))))),0)</f>
        <v>0</v>
      </c>
    </row>
    <row r="87" customFormat="false" ht="15" hidden="false" customHeight="false" outlineLevel="0" collapsed="false">
      <c r="B87" s="3" t="s">
        <v>671</v>
      </c>
      <c r="D87" s="118" t="n">
        <f aca="false">SUM($D86:D86)</f>
        <v>0</v>
      </c>
      <c r="E87" s="118" t="n">
        <f aca="false">SUM($D86:E86)</f>
        <v>0</v>
      </c>
      <c r="F87" s="118" t="n">
        <f aca="false">SUM($D86:F86)</f>
        <v>0</v>
      </c>
      <c r="G87" s="118" t="n">
        <f aca="false">SUM($D86:G86)</f>
        <v>0</v>
      </c>
      <c r="H87" s="118" t="n">
        <f aca="false">SUM($D86:H86)</f>
        <v>0</v>
      </c>
      <c r="I87" s="118" t="n">
        <f aca="false">SUM($D86:I86)</f>
        <v>0</v>
      </c>
      <c r="J87" s="118" t="n">
        <f aca="false">SUM($D86:J86)</f>
        <v>0</v>
      </c>
      <c r="K87" s="118" t="n">
        <f aca="false">SUM($D86:K86)</f>
        <v>0</v>
      </c>
      <c r="L87" s="118" t="n">
        <f aca="false">SUM($D86:L86)</f>
        <v>0</v>
      </c>
      <c r="M87" s="118" t="n">
        <f aca="false">SUM($D86:M86)</f>
        <v>0</v>
      </c>
      <c r="N87" s="118" t="n">
        <f aca="false">SUM($D86:N86)</f>
        <v>0</v>
      </c>
      <c r="O87" s="118" t="n">
        <f aca="false">SUM($D86:O86)</f>
        <v>0</v>
      </c>
      <c r="P87" s="118" t="n">
        <f aca="false">SUM($D86:P86)</f>
        <v>0</v>
      </c>
      <c r="Q87" s="118" t="n">
        <f aca="false">SUM($D86:Q86)</f>
        <v>0</v>
      </c>
      <c r="R87" s="118" t="n">
        <f aca="false">SUM($D86:R86)</f>
        <v>0</v>
      </c>
      <c r="S87" s="118" t="n">
        <f aca="false">SUM($D86:S86)</f>
        <v>0</v>
      </c>
      <c r="T87" s="118" t="n">
        <f aca="false">SUM($D86:T86)</f>
        <v>0</v>
      </c>
      <c r="U87" s="118" t="n">
        <f aca="false">SUM($D86:U86)</f>
        <v>0</v>
      </c>
      <c r="V87" s="118" t="n">
        <f aca="false">SUM($D86:V86)</f>
        <v>0</v>
      </c>
      <c r="W87" s="118" t="n">
        <f aca="false">SUM($D86:W86)</f>
        <v>0</v>
      </c>
      <c r="X87" s="118" t="n">
        <f aca="false">SUM($D86:X86)</f>
        <v>0</v>
      </c>
      <c r="Y87" s="118" t="n">
        <f aca="false">SUM($D86:Y86)</f>
        <v>0</v>
      </c>
      <c r="Z87" s="118" t="n">
        <f aca="false">SUM($D86:Z86)</f>
        <v>0</v>
      </c>
      <c r="AA87" s="118" t="n">
        <f aca="false">SUM($D86:AA86)</f>
        <v>0</v>
      </c>
      <c r="AB87" s="118" t="n">
        <f aca="false">SUM($D86:AB86)</f>
        <v>0</v>
      </c>
      <c r="AC87" s="118" t="n">
        <f aca="false">SUM($D86:AC86)</f>
        <v>0</v>
      </c>
      <c r="AD87" s="118" t="n">
        <f aca="false">SUM($D86:AD86)</f>
        <v>0</v>
      </c>
      <c r="AE87" s="118" t="n">
        <f aca="false">SUM($D86:AE86)</f>
        <v>0</v>
      </c>
      <c r="AF87" s="118" t="n">
        <f aca="false">SUM($D86:AF86)</f>
        <v>0</v>
      </c>
      <c r="AG87" s="118" t="n">
        <f aca="false">SUM($D86:AG86)</f>
        <v>0</v>
      </c>
      <c r="AH87" s="118" t="n">
        <f aca="false">SUM($D86:AH86)</f>
        <v>0</v>
      </c>
      <c r="AI87" s="118" t="n">
        <f aca="false">SUM($D86:AI86)</f>
        <v>0</v>
      </c>
      <c r="AJ87" s="118" t="n">
        <f aca="false">SUM($D86:AJ86)</f>
        <v>0</v>
      </c>
      <c r="AK87" s="118" t="n">
        <f aca="false">SUM($D86:AK86)</f>
        <v>0</v>
      </c>
      <c r="AL87" s="118" t="n">
        <f aca="false">SUM($D86:AL86)</f>
        <v>0</v>
      </c>
      <c r="AM87" s="118" t="n">
        <f aca="false">SUM($D86:AM86)</f>
        <v>0</v>
      </c>
      <c r="AN87" s="118" t="n">
        <f aca="false">SUM($D86:AN86)</f>
        <v>0</v>
      </c>
      <c r="AO87" s="118" t="n">
        <f aca="false">SUM($D86:AO86)</f>
        <v>0</v>
      </c>
      <c r="AP87" s="118" t="n">
        <f aca="false">SUM($D86:AP86)</f>
        <v>0</v>
      </c>
      <c r="AQ87" s="118" t="n">
        <f aca="false">SUM($D86:AQ86)</f>
        <v>0</v>
      </c>
    </row>
    <row r="88" customFormat="false" ht="15" hidden="false" customHeight="false" outlineLevel="0" collapsed="false">
      <c r="B88" s="3" t="s">
        <v>672</v>
      </c>
      <c r="C88" s="117" t="n">
        <f aca="false">SUM(D88:AQ88)</f>
        <v>0</v>
      </c>
      <c r="D88" s="118" t="n">
        <f aca="false">IF(INPUTS!$E$96="Yes",IF(OR(TIMELINE!D94=0,TIMELINE!$C$93=0),0,IF(INPUTS!$O$96="Upfront",--(TIMELINE!D94=1),IF(INPUTS!$O$96="Even",1/TIMELINE!$C$93,IF(INPUTS!$O$96="Front-loaded",(TIMELINE!$C$93-TIMELINE!D94+1)*2/(TIMELINE!$C$93*(TIMELINE!$C$93+1)),IF(INPUTS!$O$96="Back-loaded",TIMELINE!D94*2/(TIMELINE!$C$93*(TIMELINE!$C$93+1)),IF(INPUTS!$O$96="S-curve",SIN(PI()*(TIMELINE!D94-0.5)/TIMELINE!$C$93)*SIN(PI()/(2*TIMELINE!$C$93)),0)))))),0)</f>
        <v>0</v>
      </c>
      <c r="E88" s="118" t="n">
        <f aca="false">IF(INPUTS!$E$96="Yes",IF(OR(TIMELINE!E94=0,TIMELINE!$C$93=0),0,IF(INPUTS!$O$96="Upfront",--(TIMELINE!E94=1),IF(INPUTS!$O$96="Even",1/TIMELINE!$C$93,IF(INPUTS!$O$96="Front-loaded",(TIMELINE!$C$93-TIMELINE!E94+1)*2/(TIMELINE!$C$93*(TIMELINE!$C$93+1)),IF(INPUTS!$O$96="Back-loaded",TIMELINE!E94*2/(TIMELINE!$C$93*(TIMELINE!$C$93+1)),IF(INPUTS!$O$96="S-curve",SIN(PI()*(TIMELINE!E94-0.5)/TIMELINE!$C$93)*SIN(PI()/(2*TIMELINE!$C$93)),0)))))),0)</f>
        <v>0</v>
      </c>
      <c r="F88" s="118" t="n">
        <f aca="false">IF(INPUTS!$E$96="Yes",IF(OR(TIMELINE!F94=0,TIMELINE!$C$93=0),0,IF(INPUTS!$O$96="Upfront",--(TIMELINE!F94=1),IF(INPUTS!$O$96="Even",1/TIMELINE!$C$93,IF(INPUTS!$O$96="Front-loaded",(TIMELINE!$C$93-TIMELINE!F94+1)*2/(TIMELINE!$C$93*(TIMELINE!$C$93+1)),IF(INPUTS!$O$96="Back-loaded",TIMELINE!F94*2/(TIMELINE!$C$93*(TIMELINE!$C$93+1)),IF(INPUTS!$O$96="S-curve",SIN(PI()*(TIMELINE!F94-0.5)/TIMELINE!$C$93)*SIN(PI()/(2*TIMELINE!$C$93)),0)))))),0)</f>
        <v>0</v>
      </c>
      <c r="G88" s="118" t="n">
        <f aca="false">IF(INPUTS!$E$96="Yes",IF(OR(TIMELINE!G94=0,TIMELINE!$C$93=0),0,IF(INPUTS!$O$96="Upfront",--(TIMELINE!G94=1),IF(INPUTS!$O$96="Even",1/TIMELINE!$C$93,IF(INPUTS!$O$96="Front-loaded",(TIMELINE!$C$93-TIMELINE!G94+1)*2/(TIMELINE!$C$93*(TIMELINE!$C$93+1)),IF(INPUTS!$O$96="Back-loaded",TIMELINE!G94*2/(TIMELINE!$C$93*(TIMELINE!$C$93+1)),IF(INPUTS!$O$96="S-curve",SIN(PI()*(TIMELINE!G94-0.5)/TIMELINE!$C$93)*SIN(PI()/(2*TIMELINE!$C$93)),0)))))),0)</f>
        <v>0</v>
      </c>
      <c r="H88" s="118" t="n">
        <f aca="false">IF(INPUTS!$E$96="Yes",IF(OR(TIMELINE!H94=0,TIMELINE!$C$93=0),0,IF(INPUTS!$O$96="Upfront",--(TIMELINE!H94=1),IF(INPUTS!$O$96="Even",1/TIMELINE!$C$93,IF(INPUTS!$O$96="Front-loaded",(TIMELINE!$C$93-TIMELINE!H94+1)*2/(TIMELINE!$C$93*(TIMELINE!$C$93+1)),IF(INPUTS!$O$96="Back-loaded",TIMELINE!H94*2/(TIMELINE!$C$93*(TIMELINE!$C$93+1)),IF(INPUTS!$O$96="S-curve",SIN(PI()*(TIMELINE!H94-0.5)/TIMELINE!$C$93)*SIN(PI()/(2*TIMELINE!$C$93)),0)))))),0)</f>
        <v>0</v>
      </c>
      <c r="I88" s="118" t="n">
        <f aca="false">IF(INPUTS!$E$96="Yes",IF(OR(TIMELINE!I94=0,TIMELINE!$C$93=0),0,IF(INPUTS!$O$96="Upfront",--(TIMELINE!I94=1),IF(INPUTS!$O$96="Even",1/TIMELINE!$C$93,IF(INPUTS!$O$96="Front-loaded",(TIMELINE!$C$93-TIMELINE!I94+1)*2/(TIMELINE!$C$93*(TIMELINE!$C$93+1)),IF(INPUTS!$O$96="Back-loaded",TIMELINE!I94*2/(TIMELINE!$C$93*(TIMELINE!$C$93+1)),IF(INPUTS!$O$96="S-curve",SIN(PI()*(TIMELINE!I94-0.5)/TIMELINE!$C$93)*SIN(PI()/(2*TIMELINE!$C$93)),0)))))),0)</f>
        <v>0</v>
      </c>
      <c r="J88" s="118" t="n">
        <f aca="false">IF(INPUTS!$E$96="Yes",IF(OR(TIMELINE!J94=0,TIMELINE!$C$93=0),0,IF(INPUTS!$O$96="Upfront",--(TIMELINE!J94=1),IF(INPUTS!$O$96="Even",1/TIMELINE!$C$93,IF(INPUTS!$O$96="Front-loaded",(TIMELINE!$C$93-TIMELINE!J94+1)*2/(TIMELINE!$C$93*(TIMELINE!$C$93+1)),IF(INPUTS!$O$96="Back-loaded",TIMELINE!J94*2/(TIMELINE!$C$93*(TIMELINE!$C$93+1)),IF(INPUTS!$O$96="S-curve",SIN(PI()*(TIMELINE!J94-0.5)/TIMELINE!$C$93)*SIN(PI()/(2*TIMELINE!$C$93)),0)))))),0)</f>
        <v>0</v>
      </c>
      <c r="K88" s="118" t="n">
        <f aca="false">IF(INPUTS!$E$96="Yes",IF(OR(TIMELINE!K94=0,TIMELINE!$C$93=0),0,IF(INPUTS!$O$96="Upfront",--(TIMELINE!K94=1),IF(INPUTS!$O$96="Even",1/TIMELINE!$C$93,IF(INPUTS!$O$96="Front-loaded",(TIMELINE!$C$93-TIMELINE!K94+1)*2/(TIMELINE!$C$93*(TIMELINE!$C$93+1)),IF(INPUTS!$O$96="Back-loaded",TIMELINE!K94*2/(TIMELINE!$C$93*(TIMELINE!$C$93+1)),IF(INPUTS!$O$96="S-curve",SIN(PI()*(TIMELINE!K94-0.5)/TIMELINE!$C$93)*SIN(PI()/(2*TIMELINE!$C$93)),0)))))),0)</f>
        <v>0</v>
      </c>
      <c r="L88" s="118" t="n">
        <f aca="false">IF(INPUTS!$E$96="Yes",IF(OR(TIMELINE!L94=0,TIMELINE!$C$93=0),0,IF(INPUTS!$O$96="Upfront",--(TIMELINE!L94=1),IF(INPUTS!$O$96="Even",1/TIMELINE!$C$93,IF(INPUTS!$O$96="Front-loaded",(TIMELINE!$C$93-TIMELINE!L94+1)*2/(TIMELINE!$C$93*(TIMELINE!$C$93+1)),IF(INPUTS!$O$96="Back-loaded",TIMELINE!L94*2/(TIMELINE!$C$93*(TIMELINE!$C$93+1)),IF(INPUTS!$O$96="S-curve",SIN(PI()*(TIMELINE!L94-0.5)/TIMELINE!$C$93)*SIN(PI()/(2*TIMELINE!$C$93)),0)))))),0)</f>
        <v>0</v>
      </c>
      <c r="M88" s="118" t="n">
        <f aca="false">IF(INPUTS!$E$96="Yes",IF(OR(TIMELINE!M94=0,TIMELINE!$C$93=0),0,IF(INPUTS!$O$96="Upfront",--(TIMELINE!M94=1),IF(INPUTS!$O$96="Even",1/TIMELINE!$C$93,IF(INPUTS!$O$96="Front-loaded",(TIMELINE!$C$93-TIMELINE!M94+1)*2/(TIMELINE!$C$93*(TIMELINE!$C$93+1)),IF(INPUTS!$O$96="Back-loaded",TIMELINE!M94*2/(TIMELINE!$C$93*(TIMELINE!$C$93+1)),IF(INPUTS!$O$96="S-curve",SIN(PI()*(TIMELINE!M94-0.5)/TIMELINE!$C$93)*SIN(PI()/(2*TIMELINE!$C$93)),0)))))),0)</f>
        <v>0</v>
      </c>
      <c r="N88" s="118" t="n">
        <f aca="false">IF(INPUTS!$E$96="Yes",IF(OR(TIMELINE!N94=0,TIMELINE!$C$93=0),0,IF(INPUTS!$O$96="Upfront",--(TIMELINE!N94=1),IF(INPUTS!$O$96="Even",1/TIMELINE!$C$93,IF(INPUTS!$O$96="Front-loaded",(TIMELINE!$C$93-TIMELINE!N94+1)*2/(TIMELINE!$C$93*(TIMELINE!$C$93+1)),IF(INPUTS!$O$96="Back-loaded",TIMELINE!N94*2/(TIMELINE!$C$93*(TIMELINE!$C$93+1)),IF(INPUTS!$O$96="S-curve",SIN(PI()*(TIMELINE!N94-0.5)/TIMELINE!$C$93)*SIN(PI()/(2*TIMELINE!$C$93)),0)))))),0)</f>
        <v>0</v>
      </c>
      <c r="O88" s="118" t="n">
        <f aca="false">IF(INPUTS!$E$96="Yes",IF(OR(TIMELINE!O94=0,TIMELINE!$C$93=0),0,IF(INPUTS!$O$96="Upfront",--(TIMELINE!O94=1),IF(INPUTS!$O$96="Even",1/TIMELINE!$C$93,IF(INPUTS!$O$96="Front-loaded",(TIMELINE!$C$93-TIMELINE!O94+1)*2/(TIMELINE!$C$93*(TIMELINE!$C$93+1)),IF(INPUTS!$O$96="Back-loaded",TIMELINE!O94*2/(TIMELINE!$C$93*(TIMELINE!$C$93+1)),IF(INPUTS!$O$96="S-curve",SIN(PI()*(TIMELINE!O94-0.5)/TIMELINE!$C$93)*SIN(PI()/(2*TIMELINE!$C$93)),0)))))),0)</f>
        <v>0</v>
      </c>
      <c r="P88" s="118" t="n">
        <f aca="false">IF(INPUTS!$E$96="Yes",IF(OR(TIMELINE!P94=0,TIMELINE!$C$93=0),0,IF(INPUTS!$O$96="Upfront",--(TIMELINE!P94=1),IF(INPUTS!$O$96="Even",1/TIMELINE!$C$93,IF(INPUTS!$O$96="Front-loaded",(TIMELINE!$C$93-TIMELINE!P94+1)*2/(TIMELINE!$C$93*(TIMELINE!$C$93+1)),IF(INPUTS!$O$96="Back-loaded",TIMELINE!P94*2/(TIMELINE!$C$93*(TIMELINE!$C$93+1)),IF(INPUTS!$O$96="S-curve",SIN(PI()*(TIMELINE!P94-0.5)/TIMELINE!$C$93)*SIN(PI()/(2*TIMELINE!$C$93)),0)))))),0)</f>
        <v>0</v>
      </c>
      <c r="Q88" s="118" t="n">
        <f aca="false">IF(INPUTS!$E$96="Yes",IF(OR(TIMELINE!Q94=0,TIMELINE!$C$93=0),0,IF(INPUTS!$O$96="Upfront",--(TIMELINE!Q94=1),IF(INPUTS!$O$96="Even",1/TIMELINE!$C$93,IF(INPUTS!$O$96="Front-loaded",(TIMELINE!$C$93-TIMELINE!Q94+1)*2/(TIMELINE!$C$93*(TIMELINE!$C$93+1)),IF(INPUTS!$O$96="Back-loaded",TIMELINE!Q94*2/(TIMELINE!$C$93*(TIMELINE!$C$93+1)),IF(INPUTS!$O$96="S-curve",SIN(PI()*(TIMELINE!Q94-0.5)/TIMELINE!$C$93)*SIN(PI()/(2*TIMELINE!$C$93)),0)))))),0)</f>
        <v>0</v>
      </c>
      <c r="R88" s="118" t="n">
        <f aca="false">IF(INPUTS!$E$96="Yes",IF(OR(TIMELINE!R94=0,TIMELINE!$C$93=0),0,IF(INPUTS!$O$96="Upfront",--(TIMELINE!R94=1),IF(INPUTS!$O$96="Even",1/TIMELINE!$C$93,IF(INPUTS!$O$96="Front-loaded",(TIMELINE!$C$93-TIMELINE!R94+1)*2/(TIMELINE!$C$93*(TIMELINE!$C$93+1)),IF(INPUTS!$O$96="Back-loaded",TIMELINE!R94*2/(TIMELINE!$C$93*(TIMELINE!$C$93+1)),IF(INPUTS!$O$96="S-curve",SIN(PI()*(TIMELINE!R94-0.5)/TIMELINE!$C$93)*SIN(PI()/(2*TIMELINE!$C$93)),0)))))),0)</f>
        <v>0</v>
      </c>
      <c r="S88" s="118" t="n">
        <f aca="false">IF(INPUTS!$E$96="Yes",IF(OR(TIMELINE!S94=0,TIMELINE!$C$93=0),0,IF(INPUTS!$O$96="Upfront",--(TIMELINE!S94=1),IF(INPUTS!$O$96="Even",1/TIMELINE!$C$93,IF(INPUTS!$O$96="Front-loaded",(TIMELINE!$C$93-TIMELINE!S94+1)*2/(TIMELINE!$C$93*(TIMELINE!$C$93+1)),IF(INPUTS!$O$96="Back-loaded",TIMELINE!S94*2/(TIMELINE!$C$93*(TIMELINE!$C$93+1)),IF(INPUTS!$O$96="S-curve",SIN(PI()*(TIMELINE!S94-0.5)/TIMELINE!$C$93)*SIN(PI()/(2*TIMELINE!$C$93)),0)))))),0)</f>
        <v>0</v>
      </c>
      <c r="T88" s="118" t="n">
        <f aca="false">IF(INPUTS!$E$96="Yes",IF(OR(TIMELINE!T94=0,TIMELINE!$C$93=0),0,IF(INPUTS!$O$96="Upfront",--(TIMELINE!T94=1),IF(INPUTS!$O$96="Even",1/TIMELINE!$C$93,IF(INPUTS!$O$96="Front-loaded",(TIMELINE!$C$93-TIMELINE!T94+1)*2/(TIMELINE!$C$93*(TIMELINE!$C$93+1)),IF(INPUTS!$O$96="Back-loaded",TIMELINE!T94*2/(TIMELINE!$C$93*(TIMELINE!$C$93+1)),IF(INPUTS!$O$96="S-curve",SIN(PI()*(TIMELINE!T94-0.5)/TIMELINE!$C$93)*SIN(PI()/(2*TIMELINE!$C$93)),0)))))),0)</f>
        <v>0</v>
      </c>
      <c r="U88" s="118" t="n">
        <f aca="false">IF(INPUTS!$E$96="Yes",IF(OR(TIMELINE!U94=0,TIMELINE!$C$93=0),0,IF(INPUTS!$O$96="Upfront",--(TIMELINE!U94=1),IF(INPUTS!$O$96="Even",1/TIMELINE!$C$93,IF(INPUTS!$O$96="Front-loaded",(TIMELINE!$C$93-TIMELINE!U94+1)*2/(TIMELINE!$C$93*(TIMELINE!$C$93+1)),IF(INPUTS!$O$96="Back-loaded",TIMELINE!U94*2/(TIMELINE!$C$93*(TIMELINE!$C$93+1)),IF(INPUTS!$O$96="S-curve",SIN(PI()*(TIMELINE!U94-0.5)/TIMELINE!$C$93)*SIN(PI()/(2*TIMELINE!$C$93)),0)))))),0)</f>
        <v>0</v>
      </c>
      <c r="V88" s="118" t="n">
        <f aca="false">IF(INPUTS!$E$96="Yes",IF(OR(TIMELINE!V94=0,TIMELINE!$C$93=0),0,IF(INPUTS!$O$96="Upfront",--(TIMELINE!V94=1),IF(INPUTS!$O$96="Even",1/TIMELINE!$C$93,IF(INPUTS!$O$96="Front-loaded",(TIMELINE!$C$93-TIMELINE!V94+1)*2/(TIMELINE!$C$93*(TIMELINE!$C$93+1)),IF(INPUTS!$O$96="Back-loaded",TIMELINE!V94*2/(TIMELINE!$C$93*(TIMELINE!$C$93+1)),IF(INPUTS!$O$96="S-curve",SIN(PI()*(TIMELINE!V94-0.5)/TIMELINE!$C$93)*SIN(PI()/(2*TIMELINE!$C$93)),0)))))),0)</f>
        <v>0</v>
      </c>
      <c r="W88" s="118" t="n">
        <f aca="false">IF(INPUTS!$E$96="Yes",IF(OR(TIMELINE!W94=0,TIMELINE!$C$93=0),0,IF(INPUTS!$O$96="Upfront",--(TIMELINE!W94=1),IF(INPUTS!$O$96="Even",1/TIMELINE!$C$93,IF(INPUTS!$O$96="Front-loaded",(TIMELINE!$C$93-TIMELINE!W94+1)*2/(TIMELINE!$C$93*(TIMELINE!$C$93+1)),IF(INPUTS!$O$96="Back-loaded",TIMELINE!W94*2/(TIMELINE!$C$93*(TIMELINE!$C$93+1)),IF(INPUTS!$O$96="S-curve",SIN(PI()*(TIMELINE!W94-0.5)/TIMELINE!$C$93)*SIN(PI()/(2*TIMELINE!$C$93)),0)))))),0)</f>
        <v>0</v>
      </c>
      <c r="X88" s="118" t="n">
        <f aca="false">IF(INPUTS!$E$96="Yes",IF(OR(TIMELINE!X94=0,TIMELINE!$C$93=0),0,IF(INPUTS!$O$96="Upfront",--(TIMELINE!X94=1),IF(INPUTS!$O$96="Even",1/TIMELINE!$C$93,IF(INPUTS!$O$96="Front-loaded",(TIMELINE!$C$93-TIMELINE!X94+1)*2/(TIMELINE!$C$93*(TIMELINE!$C$93+1)),IF(INPUTS!$O$96="Back-loaded",TIMELINE!X94*2/(TIMELINE!$C$93*(TIMELINE!$C$93+1)),IF(INPUTS!$O$96="S-curve",SIN(PI()*(TIMELINE!X94-0.5)/TIMELINE!$C$93)*SIN(PI()/(2*TIMELINE!$C$93)),0)))))),0)</f>
        <v>0</v>
      </c>
      <c r="Y88" s="118" t="n">
        <f aca="false">IF(INPUTS!$E$96="Yes",IF(OR(TIMELINE!Y94=0,TIMELINE!$C$93=0),0,IF(INPUTS!$O$96="Upfront",--(TIMELINE!Y94=1),IF(INPUTS!$O$96="Even",1/TIMELINE!$C$93,IF(INPUTS!$O$96="Front-loaded",(TIMELINE!$C$93-TIMELINE!Y94+1)*2/(TIMELINE!$C$93*(TIMELINE!$C$93+1)),IF(INPUTS!$O$96="Back-loaded",TIMELINE!Y94*2/(TIMELINE!$C$93*(TIMELINE!$C$93+1)),IF(INPUTS!$O$96="S-curve",SIN(PI()*(TIMELINE!Y94-0.5)/TIMELINE!$C$93)*SIN(PI()/(2*TIMELINE!$C$93)),0)))))),0)</f>
        <v>0</v>
      </c>
      <c r="Z88" s="118" t="n">
        <f aca="false">IF(INPUTS!$E$96="Yes",IF(OR(TIMELINE!Z94=0,TIMELINE!$C$93=0),0,IF(INPUTS!$O$96="Upfront",--(TIMELINE!Z94=1),IF(INPUTS!$O$96="Even",1/TIMELINE!$C$93,IF(INPUTS!$O$96="Front-loaded",(TIMELINE!$C$93-TIMELINE!Z94+1)*2/(TIMELINE!$C$93*(TIMELINE!$C$93+1)),IF(INPUTS!$O$96="Back-loaded",TIMELINE!Z94*2/(TIMELINE!$C$93*(TIMELINE!$C$93+1)),IF(INPUTS!$O$96="S-curve",SIN(PI()*(TIMELINE!Z94-0.5)/TIMELINE!$C$93)*SIN(PI()/(2*TIMELINE!$C$93)),0)))))),0)</f>
        <v>0</v>
      </c>
      <c r="AA88" s="118" t="n">
        <f aca="false">IF(INPUTS!$E$96="Yes",IF(OR(TIMELINE!AA94=0,TIMELINE!$C$93=0),0,IF(INPUTS!$O$96="Upfront",--(TIMELINE!AA94=1),IF(INPUTS!$O$96="Even",1/TIMELINE!$C$93,IF(INPUTS!$O$96="Front-loaded",(TIMELINE!$C$93-TIMELINE!AA94+1)*2/(TIMELINE!$C$93*(TIMELINE!$C$93+1)),IF(INPUTS!$O$96="Back-loaded",TIMELINE!AA94*2/(TIMELINE!$C$93*(TIMELINE!$C$93+1)),IF(INPUTS!$O$96="S-curve",SIN(PI()*(TIMELINE!AA94-0.5)/TIMELINE!$C$93)*SIN(PI()/(2*TIMELINE!$C$93)),0)))))),0)</f>
        <v>0</v>
      </c>
      <c r="AB88" s="118" t="n">
        <f aca="false">IF(INPUTS!$E$96="Yes",IF(OR(TIMELINE!AB94=0,TIMELINE!$C$93=0),0,IF(INPUTS!$O$96="Upfront",--(TIMELINE!AB94=1),IF(INPUTS!$O$96="Even",1/TIMELINE!$C$93,IF(INPUTS!$O$96="Front-loaded",(TIMELINE!$C$93-TIMELINE!AB94+1)*2/(TIMELINE!$C$93*(TIMELINE!$C$93+1)),IF(INPUTS!$O$96="Back-loaded",TIMELINE!AB94*2/(TIMELINE!$C$93*(TIMELINE!$C$93+1)),IF(INPUTS!$O$96="S-curve",SIN(PI()*(TIMELINE!AB94-0.5)/TIMELINE!$C$93)*SIN(PI()/(2*TIMELINE!$C$93)),0)))))),0)</f>
        <v>0</v>
      </c>
      <c r="AC88" s="118" t="n">
        <f aca="false">IF(INPUTS!$E$96="Yes",IF(OR(TIMELINE!AC94=0,TIMELINE!$C$93=0),0,IF(INPUTS!$O$96="Upfront",--(TIMELINE!AC94=1),IF(INPUTS!$O$96="Even",1/TIMELINE!$C$93,IF(INPUTS!$O$96="Front-loaded",(TIMELINE!$C$93-TIMELINE!AC94+1)*2/(TIMELINE!$C$93*(TIMELINE!$C$93+1)),IF(INPUTS!$O$96="Back-loaded",TIMELINE!AC94*2/(TIMELINE!$C$93*(TIMELINE!$C$93+1)),IF(INPUTS!$O$96="S-curve",SIN(PI()*(TIMELINE!AC94-0.5)/TIMELINE!$C$93)*SIN(PI()/(2*TIMELINE!$C$93)),0)))))),0)</f>
        <v>0</v>
      </c>
      <c r="AD88" s="118" t="n">
        <f aca="false">IF(INPUTS!$E$96="Yes",IF(OR(TIMELINE!AD94=0,TIMELINE!$C$93=0),0,IF(INPUTS!$O$96="Upfront",--(TIMELINE!AD94=1),IF(INPUTS!$O$96="Even",1/TIMELINE!$C$93,IF(INPUTS!$O$96="Front-loaded",(TIMELINE!$C$93-TIMELINE!AD94+1)*2/(TIMELINE!$C$93*(TIMELINE!$C$93+1)),IF(INPUTS!$O$96="Back-loaded",TIMELINE!AD94*2/(TIMELINE!$C$93*(TIMELINE!$C$93+1)),IF(INPUTS!$O$96="S-curve",SIN(PI()*(TIMELINE!AD94-0.5)/TIMELINE!$C$93)*SIN(PI()/(2*TIMELINE!$C$93)),0)))))),0)</f>
        <v>0</v>
      </c>
      <c r="AE88" s="118" t="n">
        <f aca="false">IF(INPUTS!$E$96="Yes",IF(OR(TIMELINE!AE94=0,TIMELINE!$C$93=0),0,IF(INPUTS!$O$96="Upfront",--(TIMELINE!AE94=1),IF(INPUTS!$O$96="Even",1/TIMELINE!$C$93,IF(INPUTS!$O$96="Front-loaded",(TIMELINE!$C$93-TIMELINE!AE94+1)*2/(TIMELINE!$C$93*(TIMELINE!$C$93+1)),IF(INPUTS!$O$96="Back-loaded",TIMELINE!AE94*2/(TIMELINE!$C$93*(TIMELINE!$C$93+1)),IF(INPUTS!$O$96="S-curve",SIN(PI()*(TIMELINE!AE94-0.5)/TIMELINE!$C$93)*SIN(PI()/(2*TIMELINE!$C$93)),0)))))),0)</f>
        <v>0</v>
      </c>
      <c r="AF88" s="118" t="n">
        <f aca="false">IF(INPUTS!$E$96="Yes",IF(OR(TIMELINE!AF94=0,TIMELINE!$C$93=0),0,IF(INPUTS!$O$96="Upfront",--(TIMELINE!AF94=1),IF(INPUTS!$O$96="Even",1/TIMELINE!$C$93,IF(INPUTS!$O$96="Front-loaded",(TIMELINE!$C$93-TIMELINE!AF94+1)*2/(TIMELINE!$C$93*(TIMELINE!$C$93+1)),IF(INPUTS!$O$96="Back-loaded",TIMELINE!AF94*2/(TIMELINE!$C$93*(TIMELINE!$C$93+1)),IF(INPUTS!$O$96="S-curve",SIN(PI()*(TIMELINE!AF94-0.5)/TIMELINE!$C$93)*SIN(PI()/(2*TIMELINE!$C$93)),0)))))),0)</f>
        <v>0</v>
      </c>
      <c r="AG88" s="118" t="n">
        <f aca="false">IF(INPUTS!$E$96="Yes",IF(OR(TIMELINE!AG94=0,TIMELINE!$C$93=0),0,IF(INPUTS!$O$96="Upfront",--(TIMELINE!AG94=1),IF(INPUTS!$O$96="Even",1/TIMELINE!$C$93,IF(INPUTS!$O$96="Front-loaded",(TIMELINE!$C$93-TIMELINE!AG94+1)*2/(TIMELINE!$C$93*(TIMELINE!$C$93+1)),IF(INPUTS!$O$96="Back-loaded",TIMELINE!AG94*2/(TIMELINE!$C$93*(TIMELINE!$C$93+1)),IF(INPUTS!$O$96="S-curve",SIN(PI()*(TIMELINE!AG94-0.5)/TIMELINE!$C$93)*SIN(PI()/(2*TIMELINE!$C$93)),0)))))),0)</f>
        <v>0</v>
      </c>
      <c r="AH88" s="118" t="n">
        <f aca="false">IF(INPUTS!$E$96="Yes",IF(OR(TIMELINE!AH94=0,TIMELINE!$C$93=0),0,IF(INPUTS!$O$96="Upfront",--(TIMELINE!AH94=1),IF(INPUTS!$O$96="Even",1/TIMELINE!$C$93,IF(INPUTS!$O$96="Front-loaded",(TIMELINE!$C$93-TIMELINE!AH94+1)*2/(TIMELINE!$C$93*(TIMELINE!$C$93+1)),IF(INPUTS!$O$96="Back-loaded",TIMELINE!AH94*2/(TIMELINE!$C$93*(TIMELINE!$C$93+1)),IF(INPUTS!$O$96="S-curve",SIN(PI()*(TIMELINE!AH94-0.5)/TIMELINE!$C$93)*SIN(PI()/(2*TIMELINE!$C$93)),0)))))),0)</f>
        <v>0</v>
      </c>
      <c r="AI88" s="118" t="n">
        <f aca="false">IF(INPUTS!$E$96="Yes",IF(OR(TIMELINE!AI94=0,TIMELINE!$C$93=0),0,IF(INPUTS!$O$96="Upfront",--(TIMELINE!AI94=1),IF(INPUTS!$O$96="Even",1/TIMELINE!$C$93,IF(INPUTS!$O$96="Front-loaded",(TIMELINE!$C$93-TIMELINE!AI94+1)*2/(TIMELINE!$C$93*(TIMELINE!$C$93+1)),IF(INPUTS!$O$96="Back-loaded",TIMELINE!AI94*2/(TIMELINE!$C$93*(TIMELINE!$C$93+1)),IF(INPUTS!$O$96="S-curve",SIN(PI()*(TIMELINE!AI94-0.5)/TIMELINE!$C$93)*SIN(PI()/(2*TIMELINE!$C$93)),0)))))),0)</f>
        <v>0</v>
      </c>
      <c r="AJ88" s="118" t="n">
        <f aca="false">IF(INPUTS!$E$96="Yes",IF(OR(TIMELINE!AJ94=0,TIMELINE!$C$93=0),0,IF(INPUTS!$O$96="Upfront",--(TIMELINE!AJ94=1),IF(INPUTS!$O$96="Even",1/TIMELINE!$C$93,IF(INPUTS!$O$96="Front-loaded",(TIMELINE!$C$93-TIMELINE!AJ94+1)*2/(TIMELINE!$C$93*(TIMELINE!$C$93+1)),IF(INPUTS!$O$96="Back-loaded",TIMELINE!AJ94*2/(TIMELINE!$C$93*(TIMELINE!$C$93+1)),IF(INPUTS!$O$96="S-curve",SIN(PI()*(TIMELINE!AJ94-0.5)/TIMELINE!$C$93)*SIN(PI()/(2*TIMELINE!$C$93)),0)))))),0)</f>
        <v>0</v>
      </c>
      <c r="AK88" s="118" t="n">
        <f aca="false">IF(INPUTS!$E$96="Yes",IF(OR(TIMELINE!AK94=0,TIMELINE!$C$93=0),0,IF(INPUTS!$O$96="Upfront",--(TIMELINE!AK94=1),IF(INPUTS!$O$96="Even",1/TIMELINE!$C$93,IF(INPUTS!$O$96="Front-loaded",(TIMELINE!$C$93-TIMELINE!AK94+1)*2/(TIMELINE!$C$93*(TIMELINE!$C$93+1)),IF(INPUTS!$O$96="Back-loaded",TIMELINE!AK94*2/(TIMELINE!$C$93*(TIMELINE!$C$93+1)),IF(INPUTS!$O$96="S-curve",SIN(PI()*(TIMELINE!AK94-0.5)/TIMELINE!$C$93)*SIN(PI()/(2*TIMELINE!$C$93)),0)))))),0)</f>
        <v>0</v>
      </c>
      <c r="AL88" s="118" t="n">
        <f aca="false">IF(INPUTS!$E$96="Yes",IF(OR(TIMELINE!AL94=0,TIMELINE!$C$93=0),0,IF(INPUTS!$O$96="Upfront",--(TIMELINE!AL94=1),IF(INPUTS!$O$96="Even",1/TIMELINE!$C$93,IF(INPUTS!$O$96="Front-loaded",(TIMELINE!$C$93-TIMELINE!AL94+1)*2/(TIMELINE!$C$93*(TIMELINE!$C$93+1)),IF(INPUTS!$O$96="Back-loaded",TIMELINE!AL94*2/(TIMELINE!$C$93*(TIMELINE!$C$93+1)),IF(INPUTS!$O$96="S-curve",SIN(PI()*(TIMELINE!AL94-0.5)/TIMELINE!$C$93)*SIN(PI()/(2*TIMELINE!$C$93)),0)))))),0)</f>
        <v>0</v>
      </c>
      <c r="AM88" s="118" t="n">
        <f aca="false">IF(INPUTS!$E$96="Yes",IF(OR(TIMELINE!AM94=0,TIMELINE!$C$93=0),0,IF(INPUTS!$O$96="Upfront",--(TIMELINE!AM94=1),IF(INPUTS!$O$96="Even",1/TIMELINE!$C$93,IF(INPUTS!$O$96="Front-loaded",(TIMELINE!$C$93-TIMELINE!AM94+1)*2/(TIMELINE!$C$93*(TIMELINE!$C$93+1)),IF(INPUTS!$O$96="Back-loaded",TIMELINE!AM94*2/(TIMELINE!$C$93*(TIMELINE!$C$93+1)),IF(INPUTS!$O$96="S-curve",SIN(PI()*(TIMELINE!AM94-0.5)/TIMELINE!$C$93)*SIN(PI()/(2*TIMELINE!$C$93)),0)))))),0)</f>
        <v>0</v>
      </c>
      <c r="AN88" s="118" t="n">
        <f aca="false">IF(INPUTS!$E$96="Yes",IF(OR(TIMELINE!AN94=0,TIMELINE!$C$93=0),0,IF(INPUTS!$O$96="Upfront",--(TIMELINE!AN94=1),IF(INPUTS!$O$96="Even",1/TIMELINE!$C$93,IF(INPUTS!$O$96="Front-loaded",(TIMELINE!$C$93-TIMELINE!AN94+1)*2/(TIMELINE!$C$93*(TIMELINE!$C$93+1)),IF(INPUTS!$O$96="Back-loaded",TIMELINE!AN94*2/(TIMELINE!$C$93*(TIMELINE!$C$93+1)),IF(INPUTS!$O$96="S-curve",SIN(PI()*(TIMELINE!AN94-0.5)/TIMELINE!$C$93)*SIN(PI()/(2*TIMELINE!$C$93)),0)))))),0)</f>
        <v>0</v>
      </c>
      <c r="AO88" s="118" t="n">
        <f aca="false">IF(INPUTS!$E$96="Yes",IF(OR(TIMELINE!AO94=0,TIMELINE!$C$93=0),0,IF(INPUTS!$O$96="Upfront",--(TIMELINE!AO94=1),IF(INPUTS!$O$96="Even",1/TIMELINE!$C$93,IF(INPUTS!$O$96="Front-loaded",(TIMELINE!$C$93-TIMELINE!AO94+1)*2/(TIMELINE!$C$93*(TIMELINE!$C$93+1)),IF(INPUTS!$O$96="Back-loaded",TIMELINE!AO94*2/(TIMELINE!$C$93*(TIMELINE!$C$93+1)),IF(INPUTS!$O$96="S-curve",SIN(PI()*(TIMELINE!AO94-0.5)/TIMELINE!$C$93)*SIN(PI()/(2*TIMELINE!$C$93)),0)))))),0)</f>
        <v>0</v>
      </c>
      <c r="AP88" s="118" t="n">
        <f aca="false">IF(INPUTS!$E$96="Yes",IF(OR(TIMELINE!AP94=0,TIMELINE!$C$93=0),0,IF(INPUTS!$O$96="Upfront",--(TIMELINE!AP94=1),IF(INPUTS!$O$96="Even",1/TIMELINE!$C$93,IF(INPUTS!$O$96="Front-loaded",(TIMELINE!$C$93-TIMELINE!AP94+1)*2/(TIMELINE!$C$93*(TIMELINE!$C$93+1)),IF(INPUTS!$O$96="Back-loaded",TIMELINE!AP94*2/(TIMELINE!$C$93*(TIMELINE!$C$93+1)),IF(INPUTS!$O$96="S-curve",SIN(PI()*(TIMELINE!AP94-0.5)/TIMELINE!$C$93)*SIN(PI()/(2*TIMELINE!$C$93)),0)))))),0)</f>
        <v>0</v>
      </c>
      <c r="AQ88" s="118" t="n">
        <f aca="false">IF(INPUTS!$E$96="Yes",IF(OR(TIMELINE!AQ94=0,TIMELINE!$C$93=0),0,IF(INPUTS!$O$96="Upfront",--(TIMELINE!AQ94=1),IF(INPUTS!$O$96="Even",1/TIMELINE!$C$93,IF(INPUTS!$O$96="Front-loaded",(TIMELINE!$C$93-TIMELINE!AQ94+1)*2/(TIMELINE!$C$93*(TIMELINE!$C$93+1)),IF(INPUTS!$O$96="Back-loaded",TIMELINE!AQ94*2/(TIMELINE!$C$93*(TIMELINE!$C$93+1)),IF(INPUTS!$O$96="S-curve",SIN(PI()*(TIMELINE!AQ94-0.5)/TIMELINE!$C$93)*SIN(PI()/(2*TIMELINE!$C$93)),0)))))),0)</f>
        <v>0</v>
      </c>
    </row>
    <row r="89" customFormat="false" ht="15" hidden="false" customHeight="false" outlineLevel="0" collapsed="false">
      <c r="B89" s="3" t="s">
        <v>673</v>
      </c>
      <c r="D89" s="118" t="n">
        <f aca="false">SUM($D88:D88)</f>
        <v>0</v>
      </c>
      <c r="E89" s="118" t="n">
        <f aca="false">SUM($D88:E88)</f>
        <v>0</v>
      </c>
      <c r="F89" s="118" t="n">
        <f aca="false">SUM($D88:F88)</f>
        <v>0</v>
      </c>
      <c r="G89" s="118" t="n">
        <f aca="false">SUM($D88:G88)</f>
        <v>0</v>
      </c>
      <c r="H89" s="118" t="n">
        <f aca="false">SUM($D88:H88)</f>
        <v>0</v>
      </c>
      <c r="I89" s="118" t="n">
        <f aca="false">SUM($D88:I88)</f>
        <v>0</v>
      </c>
      <c r="J89" s="118" t="n">
        <f aca="false">SUM($D88:J88)</f>
        <v>0</v>
      </c>
      <c r="K89" s="118" t="n">
        <f aca="false">SUM($D88:K88)</f>
        <v>0</v>
      </c>
      <c r="L89" s="118" t="n">
        <f aca="false">SUM($D88:L88)</f>
        <v>0</v>
      </c>
      <c r="M89" s="118" t="n">
        <f aca="false">SUM($D88:M88)</f>
        <v>0</v>
      </c>
      <c r="N89" s="118" t="n">
        <f aca="false">SUM($D88:N88)</f>
        <v>0</v>
      </c>
      <c r="O89" s="118" t="n">
        <f aca="false">SUM($D88:O88)</f>
        <v>0</v>
      </c>
      <c r="P89" s="118" t="n">
        <f aca="false">SUM($D88:P88)</f>
        <v>0</v>
      </c>
      <c r="Q89" s="118" t="n">
        <f aca="false">SUM($D88:Q88)</f>
        <v>0</v>
      </c>
      <c r="R89" s="118" t="n">
        <f aca="false">SUM($D88:R88)</f>
        <v>0</v>
      </c>
      <c r="S89" s="118" t="n">
        <f aca="false">SUM($D88:S88)</f>
        <v>0</v>
      </c>
      <c r="T89" s="118" t="n">
        <f aca="false">SUM($D88:T88)</f>
        <v>0</v>
      </c>
      <c r="U89" s="118" t="n">
        <f aca="false">SUM($D88:U88)</f>
        <v>0</v>
      </c>
      <c r="V89" s="118" t="n">
        <f aca="false">SUM($D88:V88)</f>
        <v>0</v>
      </c>
      <c r="W89" s="118" t="n">
        <f aca="false">SUM($D88:W88)</f>
        <v>0</v>
      </c>
      <c r="X89" s="118" t="n">
        <f aca="false">SUM($D88:X88)</f>
        <v>0</v>
      </c>
      <c r="Y89" s="118" t="n">
        <f aca="false">SUM($D88:Y88)</f>
        <v>0</v>
      </c>
      <c r="Z89" s="118" t="n">
        <f aca="false">SUM($D88:Z88)</f>
        <v>0</v>
      </c>
      <c r="AA89" s="118" t="n">
        <f aca="false">SUM($D88:AA88)</f>
        <v>0</v>
      </c>
      <c r="AB89" s="118" t="n">
        <f aca="false">SUM($D88:AB88)</f>
        <v>0</v>
      </c>
      <c r="AC89" s="118" t="n">
        <f aca="false">SUM($D88:AC88)</f>
        <v>0</v>
      </c>
      <c r="AD89" s="118" t="n">
        <f aca="false">SUM($D88:AD88)</f>
        <v>0</v>
      </c>
      <c r="AE89" s="118" t="n">
        <f aca="false">SUM($D88:AE88)</f>
        <v>0</v>
      </c>
      <c r="AF89" s="118" t="n">
        <f aca="false">SUM($D88:AF88)</f>
        <v>0</v>
      </c>
      <c r="AG89" s="118" t="n">
        <f aca="false">SUM($D88:AG88)</f>
        <v>0</v>
      </c>
      <c r="AH89" s="118" t="n">
        <f aca="false">SUM($D88:AH88)</f>
        <v>0</v>
      </c>
      <c r="AI89" s="118" t="n">
        <f aca="false">SUM($D88:AI88)</f>
        <v>0</v>
      </c>
      <c r="AJ89" s="118" t="n">
        <f aca="false">SUM($D88:AJ88)</f>
        <v>0</v>
      </c>
      <c r="AK89" s="118" t="n">
        <f aca="false">SUM($D88:AK88)</f>
        <v>0</v>
      </c>
      <c r="AL89" s="118" t="n">
        <f aca="false">SUM($D88:AL88)</f>
        <v>0</v>
      </c>
      <c r="AM89" s="118" t="n">
        <f aca="false">SUM($D88:AM88)</f>
        <v>0</v>
      </c>
      <c r="AN89" s="118" t="n">
        <f aca="false">SUM($D88:AN88)</f>
        <v>0</v>
      </c>
      <c r="AO89" s="118" t="n">
        <f aca="false">SUM($D88:AO88)</f>
        <v>0</v>
      </c>
      <c r="AP89" s="118" t="n">
        <f aca="false">SUM($D88:AP88)</f>
        <v>0</v>
      </c>
      <c r="AQ89" s="118" t="n">
        <f aca="false">SUM($D88:AQ88)</f>
        <v>0</v>
      </c>
    </row>
    <row r="90" customFormat="false" ht="15" hidden="false" customHeight="false" outlineLevel="0" collapsed="false">
      <c r="B90" s="17" t="s">
        <v>674</v>
      </c>
      <c r="C90" s="105" t="str">
        <f aca="false">IF(NOT(INPUTS!$E$96="Yes"),"Off",IF(AND(ABS(C86-1)&lt;0.000000001,ABS(C88-1)&lt;0.000000001,ABS(AQ89-1)&lt;0.000000001),"OK","ERROR"))</f>
        <v>Off</v>
      </c>
    </row>
    <row r="91" customFormat="false" ht="15" hidden="false" customHeight="false" outlineLevel="0" collapsed="false">
      <c r="B91" s="110" t="str">
        <f aca="false">IF(INPUTS!$E$97="Yes",INPUTS!$B$97,"Product row 10 (off)")</f>
        <v>Product row 10 (off)</v>
      </c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</row>
    <row r="92" customFormat="false" ht="15" hidden="false" customHeight="false" outlineLevel="0" collapsed="false">
      <c r="B92" s="3" t="s">
        <v>670</v>
      </c>
      <c r="C92" s="117" t="n">
        <f aca="false">SUM(D92:AQ92)</f>
        <v>0</v>
      </c>
      <c r="D92" s="118" t="n">
        <f aca="false">IF(INPUTS!$E$97="Yes",IF(OR(TIMELINE!D99=0,TIMELINE!$C$98=0),0,IF(INPUTS!$K$97="Upfront",--(TIMELINE!D99=1),IF(INPUTS!$K$97="Even",1/TIMELINE!$C$98,IF(INPUTS!$K$97="Front-loaded",(TIMELINE!$C$98-TIMELINE!D99+1)*2/(TIMELINE!$C$98*(TIMELINE!$C$98+1)),IF(INPUTS!$K$97="Back-loaded",TIMELINE!D99*2/(TIMELINE!$C$98*(TIMELINE!$C$98+1)),IF(INPUTS!$K$97="S-curve",SIN(PI()*(TIMELINE!D99-0.5)/TIMELINE!$C$98)*SIN(PI()/(2*TIMELINE!$C$98)),0)))))),0)</f>
        <v>0</v>
      </c>
      <c r="E92" s="118" t="n">
        <f aca="false">IF(INPUTS!$E$97="Yes",IF(OR(TIMELINE!E99=0,TIMELINE!$C$98=0),0,IF(INPUTS!$K$97="Upfront",--(TIMELINE!E99=1),IF(INPUTS!$K$97="Even",1/TIMELINE!$C$98,IF(INPUTS!$K$97="Front-loaded",(TIMELINE!$C$98-TIMELINE!E99+1)*2/(TIMELINE!$C$98*(TIMELINE!$C$98+1)),IF(INPUTS!$K$97="Back-loaded",TIMELINE!E99*2/(TIMELINE!$C$98*(TIMELINE!$C$98+1)),IF(INPUTS!$K$97="S-curve",SIN(PI()*(TIMELINE!E99-0.5)/TIMELINE!$C$98)*SIN(PI()/(2*TIMELINE!$C$98)),0)))))),0)</f>
        <v>0</v>
      </c>
      <c r="F92" s="118" t="n">
        <f aca="false">IF(INPUTS!$E$97="Yes",IF(OR(TIMELINE!F99=0,TIMELINE!$C$98=0),0,IF(INPUTS!$K$97="Upfront",--(TIMELINE!F99=1),IF(INPUTS!$K$97="Even",1/TIMELINE!$C$98,IF(INPUTS!$K$97="Front-loaded",(TIMELINE!$C$98-TIMELINE!F99+1)*2/(TIMELINE!$C$98*(TIMELINE!$C$98+1)),IF(INPUTS!$K$97="Back-loaded",TIMELINE!F99*2/(TIMELINE!$C$98*(TIMELINE!$C$98+1)),IF(INPUTS!$K$97="S-curve",SIN(PI()*(TIMELINE!F99-0.5)/TIMELINE!$C$98)*SIN(PI()/(2*TIMELINE!$C$98)),0)))))),0)</f>
        <v>0</v>
      </c>
      <c r="G92" s="118" t="n">
        <f aca="false">IF(INPUTS!$E$97="Yes",IF(OR(TIMELINE!G99=0,TIMELINE!$C$98=0),0,IF(INPUTS!$K$97="Upfront",--(TIMELINE!G99=1),IF(INPUTS!$K$97="Even",1/TIMELINE!$C$98,IF(INPUTS!$K$97="Front-loaded",(TIMELINE!$C$98-TIMELINE!G99+1)*2/(TIMELINE!$C$98*(TIMELINE!$C$98+1)),IF(INPUTS!$K$97="Back-loaded",TIMELINE!G99*2/(TIMELINE!$C$98*(TIMELINE!$C$98+1)),IF(INPUTS!$K$97="S-curve",SIN(PI()*(TIMELINE!G99-0.5)/TIMELINE!$C$98)*SIN(PI()/(2*TIMELINE!$C$98)),0)))))),0)</f>
        <v>0</v>
      </c>
      <c r="H92" s="118" t="n">
        <f aca="false">IF(INPUTS!$E$97="Yes",IF(OR(TIMELINE!H99=0,TIMELINE!$C$98=0),0,IF(INPUTS!$K$97="Upfront",--(TIMELINE!H99=1),IF(INPUTS!$K$97="Even",1/TIMELINE!$C$98,IF(INPUTS!$K$97="Front-loaded",(TIMELINE!$C$98-TIMELINE!H99+1)*2/(TIMELINE!$C$98*(TIMELINE!$C$98+1)),IF(INPUTS!$K$97="Back-loaded",TIMELINE!H99*2/(TIMELINE!$C$98*(TIMELINE!$C$98+1)),IF(INPUTS!$K$97="S-curve",SIN(PI()*(TIMELINE!H99-0.5)/TIMELINE!$C$98)*SIN(PI()/(2*TIMELINE!$C$98)),0)))))),0)</f>
        <v>0</v>
      </c>
      <c r="I92" s="118" t="n">
        <f aca="false">IF(INPUTS!$E$97="Yes",IF(OR(TIMELINE!I99=0,TIMELINE!$C$98=0),0,IF(INPUTS!$K$97="Upfront",--(TIMELINE!I99=1),IF(INPUTS!$K$97="Even",1/TIMELINE!$C$98,IF(INPUTS!$K$97="Front-loaded",(TIMELINE!$C$98-TIMELINE!I99+1)*2/(TIMELINE!$C$98*(TIMELINE!$C$98+1)),IF(INPUTS!$K$97="Back-loaded",TIMELINE!I99*2/(TIMELINE!$C$98*(TIMELINE!$C$98+1)),IF(INPUTS!$K$97="S-curve",SIN(PI()*(TIMELINE!I99-0.5)/TIMELINE!$C$98)*SIN(PI()/(2*TIMELINE!$C$98)),0)))))),0)</f>
        <v>0</v>
      </c>
      <c r="J92" s="118" t="n">
        <f aca="false">IF(INPUTS!$E$97="Yes",IF(OR(TIMELINE!J99=0,TIMELINE!$C$98=0),0,IF(INPUTS!$K$97="Upfront",--(TIMELINE!J99=1),IF(INPUTS!$K$97="Even",1/TIMELINE!$C$98,IF(INPUTS!$K$97="Front-loaded",(TIMELINE!$C$98-TIMELINE!J99+1)*2/(TIMELINE!$C$98*(TIMELINE!$C$98+1)),IF(INPUTS!$K$97="Back-loaded",TIMELINE!J99*2/(TIMELINE!$C$98*(TIMELINE!$C$98+1)),IF(INPUTS!$K$97="S-curve",SIN(PI()*(TIMELINE!J99-0.5)/TIMELINE!$C$98)*SIN(PI()/(2*TIMELINE!$C$98)),0)))))),0)</f>
        <v>0</v>
      </c>
      <c r="K92" s="118" t="n">
        <f aca="false">IF(INPUTS!$E$97="Yes",IF(OR(TIMELINE!K99=0,TIMELINE!$C$98=0),0,IF(INPUTS!$K$97="Upfront",--(TIMELINE!K99=1),IF(INPUTS!$K$97="Even",1/TIMELINE!$C$98,IF(INPUTS!$K$97="Front-loaded",(TIMELINE!$C$98-TIMELINE!K99+1)*2/(TIMELINE!$C$98*(TIMELINE!$C$98+1)),IF(INPUTS!$K$97="Back-loaded",TIMELINE!K99*2/(TIMELINE!$C$98*(TIMELINE!$C$98+1)),IF(INPUTS!$K$97="S-curve",SIN(PI()*(TIMELINE!K99-0.5)/TIMELINE!$C$98)*SIN(PI()/(2*TIMELINE!$C$98)),0)))))),0)</f>
        <v>0</v>
      </c>
      <c r="L92" s="118" t="n">
        <f aca="false">IF(INPUTS!$E$97="Yes",IF(OR(TIMELINE!L99=0,TIMELINE!$C$98=0),0,IF(INPUTS!$K$97="Upfront",--(TIMELINE!L99=1),IF(INPUTS!$K$97="Even",1/TIMELINE!$C$98,IF(INPUTS!$K$97="Front-loaded",(TIMELINE!$C$98-TIMELINE!L99+1)*2/(TIMELINE!$C$98*(TIMELINE!$C$98+1)),IF(INPUTS!$K$97="Back-loaded",TIMELINE!L99*2/(TIMELINE!$C$98*(TIMELINE!$C$98+1)),IF(INPUTS!$K$97="S-curve",SIN(PI()*(TIMELINE!L99-0.5)/TIMELINE!$C$98)*SIN(PI()/(2*TIMELINE!$C$98)),0)))))),0)</f>
        <v>0</v>
      </c>
      <c r="M92" s="118" t="n">
        <f aca="false">IF(INPUTS!$E$97="Yes",IF(OR(TIMELINE!M99=0,TIMELINE!$C$98=0),0,IF(INPUTS!$K$97="Upfront",--(TIMELINE!M99=1),IF(INPUTS!$K$97="Even",1/TIMELINE!$C$98,IF(INPUTS!$K$97="Front-loaded",(TIMELINE!$C$98-TIMELINE!M99+1)*2/(TIMELINE!$C$98*(TIMELINE!$C$98+1)),IF(INPUTS!$K$97="Back-loaded",TIMELINE!M99*2/(TIMELINE!$C$98*(TIMELINE!$C$98+1)),IF(INPUTS!$K$97="S-curve",SIN(PI()*(TIMELINE!M99-0.5)/TIMELINE!$C$98)*SIN(PI()/(2*TIMELINE!$C$98)),0)))))),0)</f>
        <v>0</v>
      </c>
      <c r="N92" s="118" t="n">
        <f aca="false">IF(INPUTS!$E$97="Yes",IF(OR(TIMELINE!N99=0,TIMELINE!$C$98=0),0,IF(INPUTS!$K$97="Upfront",--(TIMELINE!N99=1),IF(INPUTS!$K$97="Even",1/TIMELINE!$C$98,IF(INPUTS!$K$97="Front-loaded",(TIMELINE!$C$98-TIMELINE!N99+1)*2/(TIMELINE!$C$98*(TIMELINE!$C$98+1)),IF(INPUTS!$K$97="Back-loaded",TIMELINE!N99*2/(TIMELINE!$C$98*(TIMELINE!$C$98+1)),IF(INPUTS!$K$97="S-curve",SIN(PI()*(TIMELINE!N99-0.5)/TIMELINE!$C$98)*SIN(PI()/(2*TIMELINE!$C$98)),0)))))),0)</f>
        <v>0</v>
      </c>
      <c r="O92" s="118" t="n">
        <f aca="false">IF(INPUTS!$E$97="Yes",IF(OR(TIMELINE!O99=0,TIMELINE!$C$98=0),0,IF(INPUTS!$K$97="Upfront",--(TIMELINE!O99=1),IF(INPUTS!$K$97="Even",1/TIMELINE!$C$98,IF(INPUTS!$K$97="Front-loaded",(TIMELINE!$C$98-TIMELINE!O99+1)*2/(TIMELINE!$C$98*(TIMELINE!$C$98+1)),IF(INPUTS!$K$97="Back-loaded",TIMELINE!O99*2/(TIMELINE!$C$98*(TIMELINE!$C$98+1)),IF(INPUTS!$K$97="S-curve",SIN(PI()*(TIMELINE!O99-0.5)/TIMELINE!$C$98)*SIN(PI()/(2*TIMELINE!$C$98)),0)))))),0)</f>
        <v>0</v>
      </c>
      <c r="P92" s="118" t="n">
        <f aca="false">IF(INPUTS!$E$97="Yes",IF(OR(TIMELINE!P99=0,TIMELINE!$C$98=0),0,IF(INPUTS!$K$97="Upfront",--(TIMELINE!P99=1),IF(INPUTS!$K$97="Even",1/TIMELINE!$C$98,IF(INPUTS!$K$97="Front-loaded",(TIMELINE!$C$98-TIMELINE!P99+1)*2/(TIMELINE!$C$98*(TIMELINE!$C$98+1)),IF(INPUTS!$K$97="Back-loaded",TIMELINE!P99*2/(TIMELINE!$C$98*(TIMELINE!$C$98+1)),IF(INPUTS!$K$97="S-curve",SIN(PI()*(TIMELINE!P99-0.5)/TIMELINE!$C$98)*SIN(PI()/(2*TIMELINE!$C$98)),0)))))),0)</f>
        <v>0</v>
      </c>
      <c r="Q92" s="118" t="n">
        <f aca="false">IF(INPUTS!$E$97="Yes",IF(OR(TIMELINE!Q99=0,TIMELINE!$C$98=0),0,IF(INPUTS!$K$97="Upfront",--(TIMELINE!Q99=1),IF(INPUTS!$K$97="Even",1/TIMELINE!$C$98,IF(INPUTS!$K$97="Front-loaded",(TIMELINE!$C$98-TIMELINE!Q99+1)*2/(TIMELINE!$C$98*(TIMELINE!$C$98+1)),IF(INPUTS!$K$97="Back-loaded",TIMELINE!Q99*2/(TIMELINE!$C$98*(TIMELINE!$C$98+1)),IF(INPUTS!$K$97="S-curve",SIN(PI()*(TIMELINE!Q99-0.5)/TIMELINE!$C$98)*SIN(PI()/(2*TIMELINE!$C$98)),0)))))),0)</f>
        <v>0</v>
      </c>
      <c r="R92" s="118" t="n">
        <f aca="false">IF(INPUTS!$E$97="Yes",IF(OR(TIMELINE!R99=0,TIMELINE!$C$98=0),0,IF(INPUTS!$K$97="Upfront",--(TIMELINE!R99=1),IF(INPUTS!$K$97="Even",1/TIMELINE!$C$98,IF(INPUTS!$K$97="Front-loaded",(TIMELINE!$C$98-TIMELINE!R99+1)*2/(TIMELINE!$C$98*(TIMELINE!$C$98+1)),IF(INPUTS!$K$97="Back-loaded",TIMELINE!R99*2/(TIMELINE!$C$98*(TIMELINE!$C$98+1)),IF(INPUTS!$K$97="S-curve",SIN(PI()*(TIMELINE!R99-0.5)/TIMELINE!$C$98)*SIN(PI()/(2*TIMELINE!$C$98)),0)))))),0)</f>
        <v>0</v>
      </c>
      <c r="S92" s="118" t="n">
        <f aca="false">IF(INPUTS!$E$97="Yes",IF(OR(TIMELINE!S99=0,TIMELINE!$C$98=0),0,IF(INPUTS!$K$97="Upfront",--(TIMELINE!S99=1),IF(INPUTS!$K$97="Even",1/TIMELINE!$C$98,IF(INPUTS!$K$97="Front-loaded",(TIMELINE!$C$98-TIMELINE!S99+1)*2/(TIMELINE!$C$98*(TIMELINE!$C$98+1)),IF(INPUTS!$K$97="Back-loaded",TIMELINE!S99*2/(TIMELINE!$C$98*(TIMELINE!$C$98+1)),IF(INPUTS!$K$97="S-curve",SIN(PI()*(TIMELINE!S99-0.5)/TIMELINE!$C$98)*SIN(PI()/(2*TIMELINE!$C$98)),0)))))),0)</f>
        <v>0</v>
      </c>
      <c r="T92" s="118" t="n">
        <f aca="false">IF(INPUTS!$E$97="Yes",IF(OR(TIMELINE!T99=0,TIMELINE!$C$98=0),0,IF(INPUTS!$K$97="Upfront",--(TIMELINE!T99=1),IF(INPUTS!$K$97="Even",1/TIMELINE!$C$98,IF(INPUTS!$K$97="Front-loaded",(TIMELINE!$C$98-TIMELINE!T99+1)*2/(TIMELINE!$C$98*(TIMELINE!$C$98+1)),IF(INPUTS!$K$97="Back-loaded",TIMELINE!T99*2/(TIMELINE!$C$98*(TIMELINE!$C$98+1)),IF(INPUTS!$K$97="S-curve",SIN(PI()*(TIMELINE!T99-0.5)/TIMELINE!$C$98)*SIN(PI()/(2*TIMELINE!$C$98)),0)))))),0)</f>
        <v>0</v>
      </c>
      <c r="U92" s="118" t="n">
        <f aca="false">IF(INPUTS!$E$97="Yes",IF(OR(TIMELINE!U99=0,TIMELINE!$C$98=0),0,IF(INPUTS!$K$97="Upfront",--(TIMELINE!U99=1),IF(INPUTS!$K$97="Even",1/TIMELINE!$C$98,IF(INPUTS!$K$97="Front-loaded",(TIMELINE!$C$98-TIMELINE!U99+1)*2/(TIMELINE!$C$98*(TIMELINE!$C$98+1)),IF(INPUTS!$K$97="Back-loaded",TIMELINE!U99*2/(TIMELINE!$C$98*(TIMELINE!$C$98+1)),IF(INPUTS!$K$97="S-curve",SIN(PI()*(TIMELINE!U99-0.5)/TIMELINE!$C$98)*SIN(PI()/(2*TIMELINE!$C$98)),0)))))),0)</f>
        <v>0</v>
      </c>
      <c r="V92" s="118" t="n">
        <f aca="false">IF(INPUTS!$E$97="Yes",IF(OR(TIMELINE!V99=0,TIMELINE!$C$98=0),0,IF(INPUTS!$K$97="Upfront",--(TIMELINE!V99=1),IF(INPUTS!$K$97="Even",1/TIMELINE!$C$98,IF(INPUTS!$K$97="Front-loaded",(TIMELINE!$C$98-TIMELINE!V99+1)*2/(TIMELINE!$C$98*(TIMELINE!$C$98+1)),IF(INPUTS!$K$97="Back-loaded",TIMELINE!V99*2/(TIMELINE!$C$98*(TIMELINE!$C$98+1)),IF(INPUTS!$K$97="S-curve",SIN(PI()*(TIMELINE!V99-0.5)/TIMELINE!$C$98)*SIN(PI()/(2*TIMELINE!$C$98)),0)))))),0)</f>
        <v>0</v>
      </c>
      <c r="W92" s="118" t="n">
        <f aca="false">IF(INPUTS!$E$97="Yes",IF(OR(TIMELINE!W99=0,TIMELINE!$C$98=0),0,IF(INPUTS!$K$97="Upfront",--(TIMELINE!W99=1),IF(INPUTS!$K$97="Even",1/TIMELINE!$C$98,IF(INPUTS!$K$97="Front-loaded",(TIMELINE!$C$98-TIMELINE!W99+1)*2/(TIMELINE!$C$98*(TIMELINE!$C$98+1)),IF(INPUTS!$K$97="Back-loaded",TIMELINE!W99*2/(TIMELINE!$C$98*(TIMELINE!$C$98+1)),IF(INPUTS!$K$97="S-curve",SIN(PI()*(TIMELINE!W99-0.5)/TIMELINE!$C$98)*SIN(PI()/(2*TIMELINE!$C$98)),0)))))),0)</f>
        <v>0</v>
      </c>
      <c r="X92" s="118" t="n">
        <f aca="false">IF(INPUTS!$E$97="Yes",IF(OR(TIMELINE!X99=0,TIMELINE!$C$98=0),0,IF(INPUTS!$K$97="Upfront",--(TIMELINE!X99=1),IF(INPUTS!$K$97="Even",1/TIMELINE!$C$98,IF(INPUTS!$K$97="Front-loaded",(TIMELINE!$C$98-TIMELINE!X99+1)*2/(TIMELINE!$C$98*(TIMELINE!$C$98+1)),IF(INPUTS!$K$97="Back-loaded",TIMELINE!X99*2/(TIMELINE!$C$98*(TIMELINE!$C$98+1)),IF(INPUTS!$K$97="S-curve",SIN(PI()*(TIMELINE!X99-0.5)/TIMELINE!$C$98)*SIN(PI()/(2*TIMELINE!$C$98)),0)))))),0)</f>
        <v>0</v>
      </c>
      <c r="Y92" s="118" t="n">
        <f aca="false">IF(INPUTS!$E$97="Yes",IF(OR(TIMELINE!Y99=0,TIMELINE!$C$98=0),0,IF(INPUTS!$K$97="Upfront",--(TIMELINE!Y99=1),IF(INPUTS!$K$97="Even",1/TIMELINE!$C$98,IF(INPUTS!$K$97="Front-loaded",(TIMELINE!$C$98-TIMELINE!Y99+1)*2/(TIMELINE!$C$98*(TIMELINE!$C$98+1)),IF(INPUTS!$K$97="Back-loaded",TIMELINE!Y99*2/(TIMELINE!$C$98*(TIMELINE!$C$98+1)),IF(INPUTS!$K$97="S-curve",SIN(PI()*(TIMELINE!Y99-0.5)/TIMELINE!$C$98)*SIN(PI()/(2*TIMELINE!$C$98)),0)))))),0)</f>
        <v>0</v>
      </c>
      <c r="Z92" s="118" t="n">
        <f aca="false">IF(INPUTS!$E$97="Yes",IF(OR(TIMELINE!Z99=0,TIMELINE!$C$98=0),0,IF(INPUTS!$K$97="Upfront",--(TIMELINE!Z99=1),IF(INPUTS!$K$97="Even",1/TIMELINE!$C$98,IF(INPUTS!$K$97="Front-loaded",(TIMELINE!$C$98-TIMELINE!Z99+1)*2/(TIMELINE!$C$98*(TIMELINE!$C$98+1)),IF(INPUTS!$K$97="Back-loaded",TIMELINE!Z99*2/(TIMELINE!$C$98*(TIMELINE!$C$98+1)),IF(INPUTS!$K$97="S-curve",SIN(PI()*(TIMELINE!Z99-0.5)/TIMELINE!$C$98)*SIN(PI()/(2*TIMELINE!$C$98)),0)))))),0)</f>
        <v>0</v>
      </c>
      <c r="AA92" s="118" t="n">
        <f aca="false">IF(INPUTS!$E$97="Yes",IF(OR(TIMELINE!AA99=0,TIMELINE!$C$98=0),0,IF(INPUTS!$K$97="Upfront",--(TIMELINE!AA99=1),IF(INPUTS!$K$97="Even",1/TIMELINE!$C$98,IF(INPUTS!$K$97="Front-loaded",(TIMELINE!$C$98-TIMELINE!AA99+1)*2/(TIMELINE!$C$98*(TIMELINE!$C$98+1)),IF(INPUTS!$K$97="Back-loaded",TIMELINE!AA99*2/(TIMELINE!$C$98*(TIMELINE!$C$98+1)),IF(INPUTS!$K$97="S-curve",SIN(PI()*(TIMELINE!AA99-0.5)/TIMELINE!$C$98)*SIN(PI()/(2*TIMELINE!$C$98)),0)))))),0)</f>
        <v>0</v>
      </c>
      <c r="AB92" s="118" t="n">
        <f aca="false">IF(INPUTS!$E$97="Yes",IF(OR(TIMELINE!AB99=0,TIMELINE!$C$98=0),0,IF(INPUTS!$K$97="Upfront",--(TIMELINE!AB99=1),IF(INPUTS!$K$97="Even",1/TIMELINE!$C$98,IF(INPUTS!$K$97="Front-loaded",(TIMELINE!$C$98-TIMELINE!AB99+1)*2/(TIMELINE!$C$98*(TIMELINE!$C$98+1)),IF(INPUTS!$K$97="Back-loaded",TIMELINE!AB99*2/(TIMELINE!$C$98*(TIMELINE!$C$98+1)),IF(INPUTS!$K$97="S-curve",SIN(PI()*(TIMELINE!AB99-0.5)/TIMELINE!$C$98)*SIN(PI()/(2*TIMELINE!$C$98)),0)))))),0)</f>
        <v>0</v>
      </c>
      <c r="AC92" s="118" t="n">
        <f aca="false">IF(INPUTS!$E$97="Yes",IF(OR(TIMELINE!AC99=0,TIMELINE!$C$98=0),0,IF(INPUTS!$K$97="Upfront",--(TIMELINE!AC99=1),IF(INPUTS!$K$97="Even",1/TIMELINE!$C$98,IF(INPUTS!$K$97="Front-loaded",(TIMELINE!$C$98-TIMELINE!AC99+1)*2/(TIMELINE!$C$98*(TIMELINE!$C$98+1)),IF(INPUTS!$K$97="Back-loaded",TIMELINE!AC99*2/(TIMELINE!$C$98*(TIMELINE!$C$98+1)),IF(INPUTS!$K$97="S-curve",SIN(PI()*(TIMELINE!AC99-0.5)/TIMELINE!$C$98)*SIN(PI()/(2*TIMELINE!$C$98)),0)))))),0)</f>
        <v>0</v>
      </c>
      <c r="AD92" s="118" t="n">
        <f aca="false">IF(INPUTS!$E$97="Yes",IF(OR(TIMELINE!AD99=0,TIMELINE!$C$98=0),0,IF(INPUTS!$K$97="Upfront",--(TIMELINE!AD99=1),IF(INPUTS!$K$97="Even",1/TIMELINE!$C$98,IF(INPUTS!$K$97="Front-loaded",(TIMELINE!$C$98-TIMELINE!AD99+1)*2/(TIMELINE!$C$98*(TIMELINE!$C$98+1)),IF(INPUTS!$K$97="Back-loaded",TIMELINE!AD99*2/(TIMELINE!$C$98*(TIMELINE!$C$98+1)),IF(INPUTS!$K$97="S-curve",SIN(PI()*(TIMELINE!AD99-0.5)/TIMELINE!$C$98)*SIN(PI()/(2*TIMELINE!$C$98)),0)))))),0)</f>
        <v>0</v>
      </c>
      <c r="AE92" s="118" t="n">
        <f aca="false">IF(INPUTS!$E$97="Yes",IF(OR(TIMELINE!AE99=0,TIMELINE!$C$98=0),0,IF(INPUTS!$K$97="Upfront",--(TIMELINE!AE99=1),IF(INPUTS!$K$97="Even",1/TIMELINE!$C$98,IF(INPUTS!$K$97="Front-loaded",(TIMELINE!$C$98-TIMELINE!AE99+1)*2/(TIMELINE!$C$98*(TIMELINE!$C$98+1)),IF(INPUTS!$K$97="Back-loaded",TIMELINE!AE99*2/(TIMELINE!$C$98*(TIMELINE!$C$98+1)),IF(INPUTS!$K$97="S-curve",SIN(PI()*(TIMELINE!AE99-0.5)/TIMELINE!$C$98)*SIN(PI()/(2*TIMELINE!$C$98)),0)))))),0)</f>
        <v>0</v>
      </c>
      <c r="AF92" s="118" t="n">
        <f aca="false">IF(INPUTS!$E$97="Yes",IF(OR(TIMELINE!AF99=0,TIMELINE!$C$98=0),0,IF(INPUTS!$K$97="Upfront",--(TIMELINE!AF99=1),IF(INPUTS!$K$97="Even",1/TIMELINE!$C$98,IF(INPUTS!$K$97="Front-loaded",(TIMELINE!$C$98-TIMELINE!AF99+1)*2/(TIMELINE!$C$98*(TIMELINE!$C$98+1)),IF(INPUTS!$K$97="Back-loaded",TIMELINE!AF99*2/(TIMELINE!$C$98*(TIMELINE!$C$98+1)),IF(INPUTS!$K$97="S-curve",SIN(PI()*(TIMELINE!AF99-0.5)/TIMELINE!$C$98)*SIN(PI()/(2*TIMELINE!$C$98)),0)))))),0)</f>
        <v>0</v>
      </c>
      <c r="AG92" s="118" t="n">
        <f aca="false">IF(INPUTS!$E$97="Yes",IF(OR(TIMELINE!AG99=0,TIMELINE!$C$98=0),0,IF(INPUTS!$K$97="Upfront",--(TIMELINE!AG99=1),IF(INPUTS!$K$97="Even",1/TIMELINE!$C$98,IF(INPUTS!$K$97="Front-loaded",(TIMELINE!$C$98-TIMELINE!AG99+1)*2/(TIMELINE!$C$98*(TIMELINE!$C$98+1)),IF(INPUTS!$K$97="Back-loaded",TIMELINE!AG99*2/(TIMELINE!$C$98*(TIMELINE!$C$98+1)),IF(INPUTS!$K$97="S-curve",SIN(PI()*(TIMELINE!AG99-0.5)/TIMELINE!$C$98)*SIN(PI()/(2*TIMELINE!$C$98)),0)))))),0)</f>
        <v>0</v>
      </c>
      <c r="AH92" s="118" t="n">
        <f aca="false">IF(INPUTS!$E$97="Yes",IF(OR(TIMELINE!AH99=0,TIMELINE!$C$98=0),0,IF(INPUTS!$K$97="Upfront",--(TIMELINE!AH99=1),IF(INPUTS!$K$97="Even",1/TIMELINE!$C$98,IF(INPUTS!$K$97="Front-loaded",(TIMELINE!$C$98-TIMELINE!AH99+1)*2/(TIMELINE!$C$98*(TIMELINE!$C$98+1)),IF(INPUTS!$K$97="Back-loaded",TIMELINE!AH99*2/(TIMELINE!$C$98*(TIMELINE!$C$98+1)),IF(INPUTS!$K$97="S-curve",SIN(PI()*(TIMELINE!AH99-0.5)/TIMELINE!$C$98)*SIN(PI()/(2*TIMELINE!$C$98)),0)))))),0)</f>
        <v>0</v>
      </c>
      <c r="AI92" s="118" t="n">
        <f aca="false">IF(INPUTS!$E$97="Yes",IF(OR(TIMELINE!AI99=0,TIMELINE!$C$98=0),0,IF(INPUTS!$K$97="Upfront",--(TIMELINE!AI99=1),IF(INPUTS!$K$97="Even",1/TIMELINE!$C$98,IF(INPUTS!$K$97="Front-loaded",(TIMELINE!$C$98-TIMELINE!AI99+1)*2/(TIMELINE!$C$98*(TIMELINE!$C$98+1)),IF(INPUTS!$K$97="Back-loaded",TIMELINE!AI99*2/(TIMELINE!$C$98*(TIMELINE!$C$98+1)),IF(INPUTS!$K$97="S-curve",SIN(PI()*(TIMELINE!AI99-0.5)/TIMELINE!$C$98)*SIN(PI()/(2*TIMELINE!$C$98)),0)))))),0)</f>
        <v>0</v>
      </c>
      <c r="AJ92" s="118" t="n">
        <f aca="false">IF(INPUTS!$E$97="Yes",IF(OR(TIMELINE!AJ99=0,TIMELINE!$C$98=0),0,IF(INPUTS!$K$97="Upfront",--(TIMELINE!AJ99=1),IF(INPUTS!$K$97="Even",1/TIMELINE!$C$98,IF(INPUTS!$K$97="Front-loaded",(TIMELINE!$C$98-TIMELINE!AJ99+1)*2/(TIMELINE!$C$98*(TIMELINE!$C$98+1)),IF(INPUTS!$K$97="Back-loaded",TIMELINE!AJ99*2/(TIMELINE!$C$98*(TIMELINE!$C$98+1)),IF(INPUTS!$K$97="S-curve",SIN(PI()*(TIMELINE!AJ99-0.5)/TIMELINE!$C$98)*SIN(PI()/(2*TIMELINE!$C$98)),0)))))),0)</f>
        <v>0</v>
      </c>
      <c r="AK92" s="118" t="n">
        <f aca="false">IF(INPUTS!$E$97="Yes",IF(OR(TIMELINE!AK99=0,TIMELINE!$C$98=0),0,IF(INPUTS!$K$97="Upfront",--(TIMELINE!AK99=1),IF(INPUTS!$K$97="Even",1/TIMELINE!$C$98,IF(INPUTS!$K$97="Front-loaded",(TIMELINE!$C$98-TIMELINE!AK99+1)*2/(TIMELINE!$C$98*(TIMELINE!$C$98+1)),IF(INPUTS!$K$97="Back-loaded",TIMELINE!AK99*2/(TIMELINE!$C$98*(TIMELINE!$C$98+1)),IF(INPUTS!$K$97="S-curve",SIN(PI()*(TIMELINE!AK99-0.5)/TIMELINE!$C$98)*SIN(PI()/(2*TIMELINE!$C$98)),0)))))),0)</f>
        <v>0</v>
      </c>
      <c r="AL92" s="118" t="n">
        <f aca="false">IF(INPUTS!$E$97="Yes",IF(OR(TIMELINE!AL99=0,TIMELINE!$C$98=0),0,IF(INPUTS!$K$97="Upfront",--(TIMELINE!AL99=1),IF(INPUTS!$K$97="Even",1/TIMELINE!$C$98,IF(INPUTS!$K$97="Front-loaded",(TIMELINE!$C$98-TIMELINE!AL99+1)*2/(TIMELINE!$C$98*(TIMELINE!$C$98+1)),IF(INPUTS!$K$97="Back-loaded",TIMELINE!AL99*2/(TIMELINE!$C$98*(TIMELINE!$C$98+1)),IF(INPUTS!$K$97="S-curve",SIN(PI()*(TIMELINE!AL99-0.5)/TIMELINE!$C$98)*SIN(PI()/(2*TIMELINE!$C$98)),0)))))),0)</f>
        <v>0</v>
      </c>
      <c r="AM92" s="118" t="n">
        <f aca="false">IF(INPUTS!$E$97="Yes",IF(OR(TIMELINE!AM99=0,TIMELINE!$C$98=0),0,IF(INPUTS!$K$97="Upfront",--(TIMELINE!AM99=1),IF(INPUTS!$K$97="Even",1/TIMELINE!$C$98,IF(INPUTS!$K$97="Front-loaded",(TIMELINE!$C$98-TIMELINE!AM99+1)*2/(TIMELINE!$C$98*(TIMELINE!$C$98+1)),IF(INPUTS!$K$97="Back-loaded",TIMELINE!AM99*2/(TIMELINE!$C$98*(TIMELINE!$C$98+1)),IF(INPUTS!$K$97="S-curve",SIN(PI()*(TIMELINE!AM99-0.5)/TIMELINE!$C$98)*SIN(PI()/(2*TIMELINE!$C$98)),0)))))),0)</f>
        <v>0</v>
      </c>
      <c r="AN92" s="118" t="n">
        <f aca="false">IF(INPUTS!$E$97="Yes",IF(OR(TIMELINE!AN99=0,TIMELINE!$C$98=0),0,IF(INPUTS!$K$97="Upfront",--(TIMELINE!AN99=1),IF(INPUTS!$K$97="Even",1/TIMELINE!$C$98,IF(INPUTS!$K$97="Front-loaded",(TIMELINE!$C$98-TIMELINE!AN99+1)*2/(TIMELINE!$C$98*(TIMELINE!$C$98+1)),IF(INPUTS!$K$97="Back-loaded",TIMELINE!AN99*2/(TIMELINE!$C$98*(TIMELINE!$C$98+1)),IF(INPUTS!$K$97="S-curve",SIN(PI()*(TIMELINE!AN99-0.5)/TIMELINE!$C$98)*SIN(PI()/(2*TIMELINE!$C$98)),0)))))),0)</f>
        <v>0</v>
      </c>
      <c r="AO92" s="118" t="n">
        <f aca="false">IF(INPUTS!$E$97="Yes",IF(OR(TIMELINE!AO99=0,TIMELINE!$C$98=0),0,IF(INPUTS!$K$97="Upfront",--(TIMELINE!AO99=1),IF(INPUTS!$K$97="Even",1/TIMELINE!$C$98,IF(INPUTS!$K$97="Front-loaded",(TIMELINE!$C$98-TIMELINE!AO99+1)*2/(TIMELINE!$C$98*(TIMELINE!$C$98+1)),IF(INPUTS!$K$97="Back-loaded",TIMELINE!AO99*2/(TIMELINE!$C$98*(TIMELINE!$C$98+1)),IF(INPUTS!$K$97="S-curve",SIN(PI()*(TIMELINE!AO99-0.5)/TIMELINE!$C$98)*SIN(PI()/(2*TIMELINE!$C$98)),0)))))),0)</f>
        <v>0</v>
      </c>
      <c r="AP92" s="118" t="n">
        <f aca="false">IF(INPUTS!$E$97="Yes",IF(OR(TIMELINE!AP99=0,TIMELINE!$C$98=0),0,IF(INPUTS!$K$97="Upfront",--(TIMELINE!AP99=1),IF(INPUTS!$K$97="Even",1/TIMELINE!$C$98,IF(INPUTS!$K$97="Front-loaded",(TIMELINE!$C$98-TIMELINE!AP99+1)*2/(TIMELINE!$C$98*(TIMELINE!$C$98+1)),IF(INPUTS!$K$97="Back-loaded",TIMELINE!AP99*2/(TIMELINE!$C$98*(TIMELINE!$C$98+1)),IF(INPUTS!$K$97="S-curve",SIN(PI()*(TIMELINE!AP99-0.5)/TIMELINE!$C$98)*SIN(PI()/(2*TIMELINE!$C$98)),0)))))),0)</f>
        <v>0</v>
      </c>
      <c r="AQ92" s="118" t="n">
        <f aca="false">IF(INPUTS!$E$97="Yes",IF(OR(TIMELINE!AQ99=0,TIMELINE!$C$98=0),0,IF(INPUTS!$K$97="Upfront",--(TIMELINE!AQ99=1),IF(INPUTS!$K$97="Even",1/TIMELINE!$C$98,IF(INPUTS!$K$97="Front-loaded",(TIMELINE!$C$98-TIMELINE!AQ99+1)*2/(TIMELINE!$C$98*(TIMELINE!$C$98+1)),IF(INPUTS!$K$97="Back-loaded",TIMELINE!AQ99*2/(TIMELINE!$C$98*(TIMELINE!$C$98+1)),IF(INPUTS!$K$97="S-curve",SIN(PI()*(TIMELINE!AQ99-0.5)/TIMELINE!$C$98)*SIN(PI()/(2*TIMELINE!$C$98)),0)))))),0)</f>
        <v>0</v>
      </c>
    </row>
    <row r="93" customFormat="false" ht="15" hidden="false" customHeight="false" outlineLevel="0" collapsed="false">
      <c r="B93" s="3" t="s">
        <v>671</v>
      </c>
      <c r="D93" s="118" t="n">
        <f aca="false">SUM($D92:D92)</f>
        <v>0</v>
      </c>
      <c r="E93" s="118" t="n">
        <f aca="false">SUM($D92:E92)</f>
        <v>0</v>
      </c>
      <c r="F93" s="118" t="n">
        <f aca="false">SUM($D92:F92)</f>
        <v>0</v>
      </c>
      <c r="G93" s="118" t="n">
        <f aca="false">SUM($D92:G92)</f>
        <v>0</v>
      </c>
      <c r="H93" s="118" t="n">
        <f aca="false">SUM($D92:H92)</f>
        <v>0</v>
      </c>
      <c r="I93" s="118" t="n">
        <f aca="false">SUM($D92:I92)</f>
        <v>0</v>
      </c>
      <c r="J93" s="118" t="n">
        <f aca="false">SUM($D92:J92)</f>
        <v>0</v>
      </c>
      <c r="K93" s="118" t="n">
        <f aca="false">SUM($D92:K92)</f>
        <v>0</v>
      </c>
      <c r="L93" s="118" t="n">
        <f aca="false">SUM($D92:L92)</f>
        <v>0</v>
      </c>
      <c r="M93" s="118" t="n">
        <f aca="false">SUM($D92:M92)</f>
        <v>0</v>
      </c>
      <c r="N93" s="118" t="n">
        <f aca="false">SUM($D92:N92)</f>
        <v>0</v>
      </c>
      <c r="O93" s="118" t="n">
        <f aca="false">SUM($D92:O92)</f>
        <v>0</v>
      </c>
      <c r="P93" s="118" t="n">
        <f aca="false">SUM($D92:P92)</f>
        <v>0</v>
      </c>
      <c r="Q93" s="118" t="n">
        <f aca="false">SUM($D92:Q92)</f>
        <v>0</v>
      </c>
      <c r="R93" s="118" t="n">
        <f aca="false">SUM($D92:R92)</f>
        <v>0</v>
      </c>
      <c r="S93" s="118" t="n">
        <f aca="false">SUM($D92:S92)</f>
        <v>0</v>
      </c>
      <c r="T93" s="118" t="n">
        <f aca="false">SUM($D92:T92)</f>
        <v>0</v>
      </c>
      <c r="U93" s="118" t="n">
        <f aca="false">SUM($D92:U92)</f>
        <v>0</v>
      </c>
      <c r="V93" s="118" t="n">
        <f aca="false">SUM($D92:V92)</f>
        <v>0</v>
      </c>
      <c r="W93" s="118" t="n">
        <f aca="false">SUM($D92:W92)</f>
        <v>0</v>
      </c>
      <c r="X93" s="118" t="n">
        <f aca="false">SUM($D92:X92)</f>
        <v>0</v>
      </c>
      <c r="Y93" s="118" t="n">
        <f aca="false">SUM($D92:Y92)</f>
        <v>0</v>
      </c>
      <c r="Z93" s="118" t="n">
        <f aca="false">SUM($D92:Z92)</f>
        <v>0</v>
      </c>
      <c r="AA93" s="118" t="n">
        <f aca="false">SUM($D92:AA92)</f>
        <v>0</v>
      </c>
      <c r="AB93" s="118" t="n">
        <f aca="false">SUM($D92:AB92)</f>
        <v>0</v>
      </c>
      <c r="AC93" s="118" t="n">
        <f aca="false">SUM($D92:AC92)</f>
        <v>0</v>
      </c>
      <c r="AD93" s="118" t="n">
        <f aca="false">SUM($D92:AD92)</f>
        <v>0</v>
      </c>
      <c r="AE93" s="118" t="n">
        <f aca="false">SUM($D92:AE92)</f>
        <v>0</v>
      </c>
      <c r="AF93" s="118" t="n">
        <f aca="false">SUM($D92:AF92)</f>
        <v>0</v>
      </c>
      <c r="AG93" s="118" t="n">
        <f aca="false">SUM($D92:AG92)</f>
        <v>0</v>
      </c>
      <c r="AH93" s="118" t="n">
        <f aca="false">SUM($D92:AH92)</f>
        <v>0</v>
      </c>
      <c r="AI93" s="118" t="n">
        <f aca="false">SUM($D92:AI92)</f>
        <v>0</v>
      </c>
      <c r="AJ93" s="118" t="n">
        <f aca="false">SUM($D92:AJ92)</f>
        <v>0</v>
      </c>
      <c r="AK93" s="118" t="n">
        <f aca="false">SUM($D92:AK92)</f>
        <v>0</v>
      </c>
      <c r="AL93" s="118" t="n">
        <f aca="false">SUM($D92:AL92)</f>
        <v>0</v>
      </c>
      <c r="AM93" s="118" t="n">
        <f aca="false">SUM($D92:AM92)</f>
        <v>0</v>
      </c>
      <c r="AN93" s="118" t="n">
        <f aca="false">SUM($D92:AN92)</f>
        <v>0</v>
      </c>
      <c r="AO93" s="118" t="n">
        <f aca="false">SUM($D92:AO92)</f>
        <v>0</v>
      </c>
      <c r="AP93" s="118" t="n">
        <f aca="false">SUM($D92:AP92)</f>
        <v>0</v>
      </c>
      <c r="AQ93" s="118" t="n">
        <f aca="false">SUM($D92:AQ92)</f>
        <v>0</v>
      </c>
    </row>
    <row r="94" customFormat="false" ht="15" hidden="false" customHeight="false" outlineLevel="0" collapsed="false">
      <c r="B94" s="3" t="s">
        <v>672</v>
      </c>
      <c r="C94" s="117" t="n">
        <f aca="false">SUM(D94:AQ94)</f>
        <v>0</v>
      </c>
      <c r="D94" s="118" t="n">
        <f aca="false">IF(INPUTS!$E$97="Yes",IF(OR(TIMELINE!D101=0,TIMELINE!$C$100=0),0,IF(INPUTS!$O$97="Upfront",--(TIMELINE!D101=1),IF(INPUTS!$O$97="Even",1/TIMELINE!$C$100,IF(INPUTS!$O$97="Front-loaded",(TIMELINE!$C$100-TIMELINE!D101+1)*2/(TIMELINE!$C$100*(TIMELINE!$C$100+1)),IF(INPUTS!$O$97="Back-loaded",TIMELINE!D101*2/(TIMELINE!$C$100*(TIMELINE!$C$100+1)),IF(INPUTS!$O$97="S-curve",SIN(PI()*(TIMELINE!D101-0.5)/TIMELINE!$C$100)*SIN(PI()/(2*TIMELINE!$C$100)),0)))))),0)</f>
        <v>0</v>
      </c>
      <c r="E94" s="118" t="n">
        <f aca="false">IF(INPUTS!$E$97="Yes",IF(OR(TIMELINE!E101=0,TIMELINE!$C$100=0),0,IF(INPUTS!$O$97="Upfront",--(TIMELINE!E101=1),IF(INPUTS!$O$97="Even",1/TIMELINE!$C$100,IF(INPUTS!$O$97="Front-loaded",(TIMELINE!$C$100-TIMELINE!E101+1)*2/(TIMELINE!$C$100*(TIMELINE!$C$100+1)),IF(INPUTS!$O$97="Back-loaded",TIMELINE!E101*2/(TIMELINE!$C$100*(TIMELINE!$C$100+1)),IF(INPUTS!$O$97="S-curve",SIN(PI()*(TIMELINE!E101-0.5)/TIMELINE!$C$100)*SIN(PI()/(2*TIMELINE!$C$100)),0)))))),0)</f>
        <v>0</v>
      </c>
      <c r="F94" s="118" t="n">
        <f aca="false">IF(INPUTS!$E$97="Yes",IF(OR(TIMELINE!F101=0,TIMELINE!$C$100=0),0,IF(INPUTS!$O$97="Upfront",--(TIMELINE!F101=1),IF(INPUTS!$O$97="Even",1/TIMELINE!$C$100,IF(INPUTS!$O$97="Front-loaded",(TIMELINE!$C$100-TIMELINE!F101+1)*2/(TIMELINE!$C$100*(TIMELINE!$C$100+1)),IF(INPUTS!$O$97="Back-loaded",TIMELINE!F101*2/(TIMELINE!$C$100*(TIMELINE!$C$100+1)),IF(INPUTS!$O$97="S-curve",SIN(PI()*(TIMELINE!F101-0.5)/TIMELINE!$C$100)*SIN(PI()/(2*TIMELINE!$C$100)),0)))))),0)</f>
        <v>0</v>
      </c>
      <c r="G94" s="118" t="n">
        <f aca="false">IF(INPUTS!$E$97="Yes",IF(OR(TIMELINE!G101=0,TIMELINE!$C$100=0),0,IF(INPUTS!$O$97="Upfront",--(TIMELINE!G101=1),IF(INPUTS!$O$97="Even",1/TIMELINE!$C$100,IF(INPUTS!$O$97="Front-loaded",(TIMELINE!$C$100-TIMELINE!G101+1)*2/(TIMELINE!$C$100*(TIMELINE!$C$100+1)),IF(INPUTS!$O$97="Back-loaded",TIMELINE!G101*2/(TIMELINE!$C$100*(TIMELINE!$C$100+1)),IF(INPUTS!$O$97="S-curve",SIN(PI()*(TIMELINE!G101-0.5)/TIMELINE!$C$100)*SIN(PI()/(2*TIMELINE!$C$100)),0)))))),0)</f>
        <v>0</v>
      </c>
      <c r="H94" s="118" t="n">
        <f aca="false">IF(INPUTS!$E$97="Yes",IF(OR(TIMELINE!H101=0,TIMELINE!$C$100=0),0,IF(INPUTS!$O$97="Upfront",--(TIMELINE!H101=1),IF(INPUTS!$O$97="Even",1/TIMELINE!$C$100,IF(INPUTS!$O$97="Front-loaded",(TIMELINE!$C$100-TIMELINE!H101+1)*2/(TIMELINE!$C$100*(TIMELINE!$C$100+1)),IF(INPUTS!$O$97="Back-loaded",TIMELINE!H101*2/(TIMELINE!$C$100*(TIMELINE!$C$100+1)),IF(INPUTS!$O$97="S-curve",SIN(PI()*(TIMELINE!H101-0.5)/TIMELINE!$C$100)*SIN(PI()/(2*TIMELINE!$C$100)),0)))))),0)</f>
        <v>0</v>
      </c>
      <c r="I94" s="118" t="n">
        <f aca="false">IF(INPUTS!$E$97="Yes",IF(OR(TIMELINE!I101=0,TIMELINE!$C$100=0),0,IF(INPUTS!$O$97="Upfront",--(TIMELINE!I101=1),IF(INPUTS!$O$97="Even",1/TIMELINE!$C$100,IF(INPUTS!$O$97="Front-loaded",(TIMELINE!$C$100-TIMELINE!I101+1)*2/(TIMELINE!$C$100*(TIMELINE!$C$100+1)),IF(INPUTS!$O$97="Back-loaded",TIMELINE!I101*2/(TIMELINE!$C$100*(TIMELINE!$C$100+1)),IF(INPUTS!$O$97="S-curve",SIN(PI()*(TIMELINE!I101-0.5)/TIMELINE!$C$100)*SIN(PI()/(2*TIMELINE!$C$100)),0)))))),0)</f>
        <v>0</v>
      </c>
      <c r="J94" s="118" t="n">
        <f aca="false">IF(INPUTS!$E$97="Yes",IF(OR(TIMELINE!J101=0,TIMELINE!$C$100=0),0,IF(INPUTS!$O$97="Upfront",--(TIMELINE!J101=1),IF(INPUTS!$O$97="Even",1/TIMELINE!$C$100,IF(INPUTS!$O$97="Front-loaded",(TIMELINE!$C$100-TIMELINE!J101+1)*2/(TIMELINE!$C$100*(TIMELINE!$C$100+1)),IF(INPUTS!$O$97="Back-loaded",TIMELINE!J101*2/(TIMELINE!$C$100*(TIMELINE!$C$100+1)),IF(INPUTS!$O$97="S-curve",SIN(PI()*(TIMELINE!J101-0.5)/TIMELINE!$C$100)*SIN(PI()/(2*TIMELINE!$C$100)),0)))))),0)</f>
        <v>0</v>
      </c>
      <c r="K94" s="118" t="n">
        <f aca="false">IF(INPUTS!$E$97="Yes",IF(OR(TIMELINE!K101=0,TIMELINE!$C$100=0),0,IF(INPUTS!$O$97="Upfront",--(TIMELINE!K101=1),IF(INPUTS!$O$97="Even",1/TIMELINE!$C$100,IF(INPUTS!$O$97="Front-loaded",(TIMELINE!$C$100-TIMELINE!K101+1)*2/(TIMELINE!$C$100*(TIMELINE!$C$100+1)),IF(INPUTS!$O$97="Back-loaded",TIMELINE!K101*2/(TIMELINE!$C$100*(TIMELINE!$C$100+1)),IF(INPUTS!$O$97="S-curve",SIN(PI()*(TIMELINE!K101-0.5)/TIMELINE!$C$100)*SIN(PI()/(2*TIMELINE!$C$100)),0)))))),0)</f>
        <v>0</v>
      </c>
      <c r="L94" s="118" t="n">
        <f aca="false">IF(INPUTS!$E$97="Yes",IF(OR(TIMELINE!L101=0,TIMELINE!$C$100=0),0,IF(INPUTS!$O$97="Upfront",--(TIMELINE!L101=1),IF(INPUTS!$O$97="Even",1/TIMELINE!$C$100,IF(INPUTS!$O$97="Front-loaded",(TIMELINE!$C$100-TIMELINE!L101+1)*2/(TIMELINE!$C$100*(TIMELINE!$C$100+1)),IF(INPUTS!$O$97="Back-loaded",TIMELINE!L101*2/(TIMELINE!$C$100*(TIMELINE!$C$100+1)),IF(INPUTS!$O$97="S-curve",SIN(PI()*(TIMELINE!L101-0.5)/TIMELINE!$C$100)*SIN(PI()/(2*TIMELINE!$C$100)),0)))))),0)</f>
        <v>0</v>
      </c>
      <c r="M94" s="118" t="n">
        <f aca="false">IF(INPUTS!$E$97="Yes",IF(OR(TIMELINE!M101=0,TIMELINE!$C$100=0),0,IF(INPUTS!$O$97="Upfront",--(TIMELINE!M101=1),IF(INPUTS!$O$97="Even",1/TIMELINE!$C$100,IF(INPUTS!$O$97="Front-loaded",(TIMELINE!$C$100-TIMELINE!M101+1)*2/(TIMELINE!$C$100*(TIMELINE!$C$100+1)),IF(INPUTS!$O$97="Back-loaded",TIMELINE!M101*2/(TIMELINE!$C$100*(TIMELINE!$C$100+1)),IF(INPUTS!$O$97="S-curve",SIN(PI()*(TIMELINE!M101-0.5)/TIMELINE!$C$100)*SIN(PI()/(2*TIMELINE!$C$100)),0)))))),0)</f>
        <v>0</v>
      </c>
      <c r="N94" s="118" t="n">
        <f aca="false">IF(INPUTS!$E$97="Yes",IF(OR(TIMELINE!N101=0,TIMELINE!$C$100=0),0,IF(INPUTS!$O$97="Upfront",--(TIMELINE!N101=1),IF(INPUTS!$O$97="Even",1/TIMELINE!$C$100,IF(INPUTS!$O$97="Front-loaded",(TIMELINE!$C$100-TIMELINE!N101+1)*2/(TIMELINE!$C$100*(TIMELINE!$C$100+1)),IF(INPUTS!$O$97="Back-loaded",TIMELINE!N101*2/(TIMELINE!$C$100*(TIMELINE!$C$100+1)),IF(INPUTS!$O$97="S-curve",SIN(PI()*(TIMELINE!N101-0.5)/TIMELINE!$C$100)*SIN(PI()/(2*TIMELINE!$C$100)),0)))))),0)</f>
        <v>0</v>
      </c>
      <c r="O94" s="118" t="n">
        <f aca="false">IF(INPUTS!$E$97="Yes",IF(OR(TIMELINE!O101=0,TIMELINE!$C$100=0),0,IF(INPUTS!$O$97="Upfront",--(TIMELINE!O101=1),IF(INPUTS!$O$97="Even",1/TIMELINE!$C$100,IF(INPUTS!$O$97="Front-loaded",(TIMELINE!$C$100-TIMELINE!O101+1)*2/(TIMELINE!$C$100*(TIMELINE!$C$100+1)),IF(INPUTS!$O$97="Back-loaded",TIMELINE!O101*2/(TIMELINE!$C$100*(TIMELINE!$C$100+1)),IF(INPUTS!$O$97="S-curve",SIN(PI()*(TIMELINE!O101-0.5)/TIMELINE!$C$100)*SIN(PI()/(2*TIMELINE!$C$100)),0)))))),0)</f>
        <v>0</v>
      </c>
      <c r="P94" s="118" t="n">
        <f aca="false">IF(INPUTS!$E$97="Yes",IF(OR(TIMELINE!P101=0,TIMELINE!$C$100=0),0,IF(INPUTS!$O$97="Upfront",--(TIMELINE!P101=1),IF(INPUTS!$O$97="Even",1/TIMELINE!$C$100,IF(INPUTS!$O$97="Front-loaded",(TIMELINE!$C$100-TIMELINE!P101+1)*2/(TIMELINE!$C$100*(TIMELINE!$C$100+1)),IF(INPUTS!$O$97="Back-loaded",TIMELINE!P101*2/(TIMELINE!$C$100*(TIMELINE!$C$100+1)),IF(INPUTS!$O$97="S-curve",SIN(PI()*(TIMELINE!P101-0.5)/TIMELINE!$C$100)*SIN(PI()/(2*TIMELINE!$C$100)),0)))))),0)</f>
        <v>0</v>
      </c>
      <c r="Q94" s="118" t="n">
        <f aca="false">IF(INPUTS!$E$97="Yes",IF(OR(TIMELINE!Q101=0,TIMELINE!$C$100=0),0,IF(INPUTS!$O$97="Upfront",--(TIMELINE!Q101=1),IF(INPUTS!$O$97="Even",1/TIMELINE!$C$100,IF(INPUTS!$O$97="Front-loaded",(TIMELINE!$C$100-TIMELINE!Q101+1)*2/(TIMELINE!$C$100*(TIMELINE!$C$100+1)),IF(INPUTS!$O$97="Back-loaded",TIMELINE!Q101*2/(TIMELINE!$C$100*(TIMELINE!$C$100+1)),IF(INPUTS!$O$97="S-curve",SIN(PI()*(TIMELINE!Q101-0.5)/TIMELINE!$C$100)*SIN(PI()/(2*TIMELINE!$C$100)),0)))))),0)</f>
        <v>0</v>
      </c>
      <c r="R94" s="118" t="n">
        <f aca="false">IF(INPUTS!$E$97="Yes",IF(OR(TIMELINE!R101=0,TIMELINE!$C$100=0),0,IF(INPUTS!$O$97="Upfront",--(TIMELINE!R101=1),IF(INPUTS!$O$97="Even",1/TIMELINE!$C$100,IF(INPUTS!$O$97="Front-loaded",(TIMELINE!$C$100-TIMELINE!R101+1)*2/(TIMELINE!$C$100*(TIMELINE!$C$100+1)),IF(INPUTS!$O$97="Back-loaded",TIMELINE!R101*2/(TIMELINE!$C$100*(TIMELINE!$C$100+1)),IF(INPUTS!$O$97="S-curve",SIN(PI()*(TIMELINE!R101-0.5)/TIMELINE!$C$100)*SIN(PI()/(2*TIMELINE!$C$100)),0)))))),0)</f>
        <v>0</v>
      </c>
      <c r="S94" s="118" t="n">
        <f aca="false">IF(INPUTS!$E$97="Yes",IF(OR(TIMELINE!S101=0,TIMELINE!$C$100=0),0,IF(INPUTS!$O$97="Upfront",--(TIMELINE!S101=1),IF(INPUTS!$O$97="Even",1/TIMELINE!$C$100,IF(INPUTS!$O$97="Front-loaded",(TIMELINE!$C$100-TIMELINE!S101+1)*2/(TIMELINE!$C$100*(TIMELINE!$C$100+1)),IF(INPUTS!$O$97="Back-loaded",TIMELINE!S101*2/(TIMELINE!$C$100*(TIMELINE!$C$100+1)),IF(INPUTS!$O$97="S-curve",SIN(PI()*(TIMELINE!S101-0.5)/TIMELINE!$C$100)*SIN(PI()/(2*TIMELINE!$C$100)),0)))))),0)</f>
        <v>0</v>
      </c>
      <c r="T94" s="118" t="n">
        <f aca="false">IF(INPUTS!$E$97="Yes",IF(OR(TIMELINE!T101=0,TIMELINE!$C$100=0),0,IF(INPUTS!$O$97="Upfront",--(TIMELINE!T101=1),IF(INPUTS!$O$97="Even",1/TIMELINE!$C$100,IF(INPUTS!$O$97="Front-loaded",(TIMELINE!$C$100-TIMELINE!T101+1)*2/(TIMELINE!$C$100*(TIMELINE!$C$100+1)),IF(INPUTS!$O$97="Back-loaded",TIMELINE!T101*2/(TIMELINE!$C$100*(TIMELINE!$C$100+1)),IF(INPUTS!$O$97="S-curve",SIN(PI()*(TIMELINE!T101-0.5)/TIMELINE!$C$100)*SIN(PI()/(2*TIMELINE!$C$100)),0)))))),0)</f>
        <v>0</v>
      </c>
      <c r="U94" s="118" t="n">
        <f aca="false">IF(INPUTS!$E$97="Yes",IF(OR(TIMELINE!U101=0,TIMELINE!$C$100=0),0,IF(INPUTS!$O$97="Upfront",--(TIMELINE!U101=1),IF(INPUTS!$O$97="Even",1/TIMELINE!$C$100,IF(INPUTS!$O$97="Front-loaded",(TIMELINE!$C$100-TIMELINE!U101+1)*2/(TIMELINE!$C$100*(TIMELINE!$C$100+1)),IF(INPUTS!$O$97="Back-loaded",TIMELINE!U101*2/(TIMELINE!$C$100*(TIMELINE!$C$100+1)),IF(INPUTS!$O$97="S-curve",SIN(PI()*(TIMELINE!U101-0.5)/TIMELINE!$C$100)*SIN(PI()/(2*TIMELINE!$C$100)),0)))))),0)</f>
        <v>0</v>
      </c>
      <c r="V94" s="118" t="n">
        <f aca="false">IF(INPUTS!$E$97="Yes",IF(OR(TIMELINE!V101=0,TIMELINE!$C$100=0),0,IF(INPUTS!$O$97="Upfront",--(TIMELINE!V101=1),IF(INPUTS!$O$97="Even",1/TIMELINE!$C$100,IF(INPUTS!$O$97="Front-loaded",(TIMELINE!$C$100-TIMELINE!V101+1)*2/(TIMELINE!$C$100*(TIMELINE!$C$100+1)),IF(INPUTS!$O$97="Back-loaded",TIMELINE!V101*2/(TIMELINE!$C$100*(TIMELINE!$C$100+1)),IF(INPUTS!$O$97="S-curve",SIN(PI()*(TIMELINE!V101-0.5)/TIMELINE!$C$100)*SIN(PI()/(2*TIMELINE!$C$100)),0)))))),0)</f>
        <v>0</v>
      </c>
      <c r="W94" s="118" t="n">
        <f aca="false">IF(INPUTS!$E$97="Yes",IF(OR(TIMELINE!W101=0,TIMELINE!$C$100=0),0,IF(INPUTS!$O$97="Upfront",--(TIMELINE!W101=1),IF(INPUTS!$O$97="Even",1/TIMELINE!$C$100,IF(INPUTS!$O$97="Front-loaded",(TIMELINE!$C$100-TIMELINE!W101+1)*2/(TIMELINE!$C$100*(TIMELINE!$C$100+1)),IF(INPUTS!$O$97="Back-loaded",TIMELINE!W101*2/(TIMELINE!$C$100*(TIMELINE!$C$100+1)),IF(INPUTS!$O$97="S-curve",SIN(PI()*(TIMELINE!W101-0.5)/TIMELINE!$C$100)*SIN(PI()/(2*TIMELINE!$C$100)),0)))))),0)</f>
        <v>0</v>
      </c>
      <c r="X94" s="118" t="n">
        <f aca="false">IF(INPUTS!$E$97="Yes",IF(OR(TIMELINE!X101=0,TIMELINE!$C$100=0),0,IF(INPUTS!$O$97="Upfront",--(TIMELINE!X101=1),IF(INPUTS!$O$97="Even",1/TIMELINE!$C$100,IF(INPUTS!$O$97="Front-loaded",(TIMELINE!$C$100-TIMELINE!X101+1)*2/(TIMELINE!$C$100*(TIMELINE!$C$100+1)),IF(INPUTS!$O$97="Back-loaded",TIMELINE!X101*2/(TIMELINE!$C$100*(TIMELINE!$C$100+1)),IF(INPUTS!$O$97="S-curve",SIN(PI()*(TIMELINE!X101-0.5)/TIMELINE!$C$100)*SIN(PI()/(2*TIMELINE!$C$100)),0)))))),0)</f>
        <v>0</v>
      </c>
      <c r="Y94" s="118" t="n">
        <f aca="false">IF(INPUTS!$E$97="Yes",IF(OR(TIMELINE!Y101=0,TIMELINE!$C$100=0),0,IF(INPUTS!$O$97="Upfront",--(TIMELINE!Y101=1),IF(INPUTS!$O$97="Even",1/TIMELINE!$C$100,IF(INPUTS!$O$97="Front-loaded",(TIMELINE!$C$100-TIMELINE!Y101+1)*2/(TIMELINE!$C$100*(TIMELINE!$C$100+1)),IF(INPUTS!$O$97="Back-loaded",TIMELINE!Y101*2/(TIMELINE!$C$100*(TIMELINE!$C$100+1)),IF(INPUTS!$O$97="S-curve",SIN(PI()*(TIMELINE!Y101-0.5)/TIMELINE!$C$100)*SIN(PI()/(2*TIMELINE!$C$100)),0)))))),0)</f>
        <v>0</v>
      </c>
      <c r="Z94" s="118" t="n">
        <f aca="false">IF(INPUTS!$E$97="Yes",IF(OR(TIMELINE!Z101=0,TIMELINE!$C$100=0),0,IF(INPUTS!$O$97="Upfront",--(TIMELINE!Z101=1),IF(INPUTS!$O$97="Even",1/TIMELINE!$C$100,IF(INPUTS!$O$97="Front-loaded",(TIMELINE!$C$100-TIMELINE!Z101+1)*2/(TIMELINE!$C$100*(TIMELINE!$C$100+1)),IF(INPUTS!$O$97="Back-loaded",TIMELINE!Z101*2/(TIMELINE!$C$100*(TIMELINE!$C$100+1)),IF(INPUTS!$O$97="S-curve",SIN(PI()*(TIMELINE!Z101-0.5)/TIMELINE!$C$100)*SIN(PI()/(2*TIMELINE!$C$100)),0)))))),0)</f>
        <v>0</v>
      </c>
      <c r="AA94" s="118" t="n">
        <f aca="false">IF(INPUTS!$E$97="Yes",IF(OR(TIMELINE!AA101=0,TIMELINE!$C$100=0),0,IF(INPUTS!$O$97="Upfront",--(TIMELINE!AA101=1),IF(INPUTS!$O$97="Even",1/TIMELINE!$C$100,IF(INPUTS!$O$97="Front-loaded",(TIMELINE!$C$100-TIMELINE!AA101+1)*2/(TIMELINE!$C$100*(TIMELINE!$C$100+1)),IF(INPUTS!$O$97="Back-loaded",TIMELINE!AA101*2/(TIMELINE!$C$100*(TIMELINE!$C$100+1)),IF(INPUTS!$O$97="S-curve",SIN(PI()*(TIMELINE!AA101-0.5)/TIMELINE!$C$100)*SIN(PI()/(2*TIMELINE!$C$100)),0)))))),0)</f>
        <v>0</v>
      </c>
      <c r="AB94" s="118" t="n">
        <f aca="false">IF(INPUTS!$E$97="Yes",IF(OR(TIMELINE!AB101=0,TIMELINE!$C$100=0),0,IF(INPUTS!$O$97="Upfront",--(TIMELINE!AB101=1),IF(INPUTS!$O$97="Even",1/TIMELINE!$C$100,IF(INPUTS!$O$97="Front-loaded",(TIMELINE!$C$100-TIMELINE!AB101+1)*2/(TIMELINE!$C$100*(TIMELINE!$C$100+1)),IF(INPUTS!$O$97="Back-loaded",TIMELINE!AB101*2/(TIMELINE!$C$100*(TIMELINE!$C$100+1)),IF(INPUTS!$O$97="S-curve",SIN(PI()*(TIMELINE!AB101-0.5)/TIMELINE!$C$100)*SIN(PI()/(2*TIMELINE!$C$100)),0)))))),0)</f>
        <v>0</v>
      </c>
      <c r="AC94" s="118" t="n">
        <f aca="false">IF(INPUTS!$E$97="Yes",IF(OR(TIMELINE!AC101=0,TIMELINE!$C$100=0),0,IF(INPUTS!$O$97="Upfront",--(TIMELINE!AC101=1),IF(INPUTS!$O$97="Even",1/TIMELINE!$C$100,IF(INPUTS!$O$97="Front-loaded",(TIMELINE!$C$100-TIMELINE!AC101+1)*2/(TIMELINE!$C$100*(TIMELINE!$C$100+1)),IF(INPUTS!$O$97="Back-loaded",TIMELINE!AC101*2/(TIMELINE!$C$100*(TIMELINE!$C$100+1)),IF(INPUTS!$O$97="S-curve",SIN(PI()*(TIMELINE!AC101-0.5)/TIMELINE!$C$100)*SIN(PI()/(2*TIMELINE!$C$100)),0)))))),0)</f>
        <v>0</v>
      </c>
      <c r="AD94" s="118" t="n">
        <f aca="false">IF(INPUTS!$E$97="Yes",IF(OR(TIMELINE!AD101=0,TIMELINE!$C$100=0),0,IF(INPUTS!$O$97="Upfront",--(TIMELINE!AD101=1),IF(INPUTS!$O$97="Even",1/TIMELINE!$C$100,IF(INPUTS!$O$97="Front-loaded",(TIMELINE!$C$100-TIMELINE!AD101+1)*2/(TIMELINE!$C$100*(TIMELINE!$C$100+1)),IF(INPUTS!$O$97="Back-loaded",TIMELINE!AD101*2/(TIMELINE!$C$100*(TIMELINE!$C$100+1)),IF(INPUTS!$O$97="S-curve",SIN(PI()*(TIMELINE!AD101-0.5)/TIMELINE!$C$100)*SIN(PI()/(2*TIMELINE!$C$100)),0)))))),0)</f>
        <v>0</v>
      </c>
      <c r="AE94" s="118" t="n">
        <f aca="false">IF(INPUTS!$E$97="Yes",IF(OR(TIMELINE!AE101=0,TIMELINE!$C$100=0),0,IF(INPUTS!$O$97="Upfront",--(TIMELINE!AE101=1),IF(INPUTS!$O$97="Even",1/TIMELINE!$C$100,IF(INPUTS!$O$97="Front-loaded",(TIMELINE!$C$100-TIMELINE!AE101+1)*2/(TIMELINE!$C$100*(TIMELINE!$C$100+1)),IF(INPUTS!$O$97="Back-loaded",TIMELINE!AE101*2/(TIMELINE!$C$100*(TIMELINE!$C$100+1)),IF(INPUTS!$O$97="S-curve",SIN(PI()*(TIMELINE!AE101-0.5)/TIMELINE!$C$100)*SIN(PI()/(2*TIMELINE!$C$100)),0)))))),0)</f>
        <v>0</v>
      </c>
      <c r="AF94" s="118" t="n">
        <f aca="false">IF(INPUTS!$E$97="Yes",IF(OR(TIMELINE!AF101=0,TIMELINE!$C$100=0),0,IF(INPUTS!$O$97="Upfront",--(TIMELINE!AF101=1),IF(INPUTS!$O$97="Even",1/TIMELINE!$C$100,IF(INPUTS!$O$97="Front-loaded",(TIMELINE!$C$100-TIMELINE!AF101+1)*2/(TIMELINE!$C$100*(TIMELINE!$C$100+1)),IF(INPUTS!$O$97="Back-loaded",TIMELINE!AF101*2/(TIMELINE!$C$100*(TIMELINE!$C$100+1)),IF(INPUTS!$O$97="S-curve",SIN(PI()*(TIMELINE!AF101-0.5)/TIMELINE!$C$100)*SIN(PI()/(2*TIMELINE!$C$100)),0)))))),0)</f>
        <v>0</v>
      </c>
      <c r="AG94" s="118" t="n">
        <f aca="false">IF(INPUTS!$E$97="Yes",IF(OR(TIMELINE!AG101=0,TIMELINE!$C$100=0),0,IF(INPUTS!$O$97="Upfront",--(TIMELINE!AG101=1),IF(INPUTS!$O$97="Even",1/TIMELINE!$C$100,IF(INPUTS!$O$97="Front-loaded",(TIMELINE!$C$100-TIMELINE!AG101+1)*2/(TIMELINE!$C$100*(TIMELINE!$C$100+1)),IF(INPUTS!$O$97="Back-loaded",TIMELINE!AG101*2/(TIMELINE!$C$100*(TIMELINE!$C$100+1)),IF(INPUTS!$O$97="S-curve",SIN(PI()*(TIMELINE!AG101-0.5)/TIMELINE!$C$100)*SIN(PI()/(2*TIMELINE!$C$100)),0)))))),0)</f>
        <v>0</v>
      </c>
      <c r="AH94" s="118" t="n">
        <f aca="false">IF(INPUTS!$E$97="Yes",IF(OR(TIMELINE!AH101=0,TIMELINE!$C$100=0),0,IF(INPUTS!$O$97="Upfront",--(TIMELINE!AH101=1),IF(INPUTS!$O$97="Even",1/TIMELINE!$C$100,IF(INPUTS!$O$97="Front-loaded",(TIMELINE!$C$100-TIMELINE!AH101+1)*2/(TIMELINE!$C$100*(TIMELINE!$C$100+1)),IF(INPUTS!$O$97="Back-loaded",TIMELINE!AH101*2/(TIMELINE!$C$100*(TIMELINE!$C$100+1)),IF(INPUTS!$O$97="S-curve",SIN(PI()*(TIMELINE!AH101-0.5)/TIMELINE!$C$100)*SIN(PI()/(2*TIMELINE!$C$100)),0)))))),0)</f>
        <v>0</v>
      </c>
      <c r="AI94" s="118" t="n">
        <f aca="false">IF(INPUTS!$E$97="Yes",IF(OR(TIMELINE!AI101=0,TIMELINE!$C$100=0),0,IF(INPUTS!$O$97="Upfront",--(TIMELINE!AI101=1),IF(INPUTS!$O$97="Even",1/TIMELINE!$C$100,IF(INPUTS!$O$97="Front-loaded",(TIMELINE!$C$100-TIMELINE!AI101+1)*2/(TIMELINE!$C$100*(TIMELINE!$C$100+1)),IF(INPUTS!$O$97="Back-loaded",TIMELINE!AI101*2/(TIMELINE!$C$100*(TIMELINE!$C$100+1)),IF(INPUTS!$O$97="S-curve",SIN(PI()*(TIMELINE!AI101-0.5)/TIMELINE!$C$100)*SIN(PI()/(2*TIMELINE!$C$100)),0)))))),0)</f>
        <v>0</v>
      </c>
      <c r="AJ94" s="118" t="n">
        <f aca="false">IF(INPUTS!$E$97="Yes",IF(OR(TIMELINE!AJ101=0,TIMELINE!$C$100=0),0,IF(INPUTS!$O$97="Upfront",--(TIMELINE!AJ101=1),IF(INPUTS!$O$97="Even",1/TIMELINE!$C$100,IF(INPUTS!$O$97="Front-loaded",(TIMELINE!$C$100-TIMELINE!AJ101+1)*2/(TIMELINE!$C$100*(TIMELINE!$C$100+1)),IF(INPUTS!$O$97="Back-loaded",TIMELINE!AJ101*2/(TIMELINE!$C$100*(TIMELINE!$C$100+1)),IF(INPUTS!$O$97="S-curve",SIN(PI()*(TIMELINE!AJ101-0.5)/TIMELINE!$C$100)*SIN(PI()/(2*TIMELINE!$C$100)),0)))))),0)</f>
        <v>0</v>
      </c>
      <c r="AK94" s="118" t="n">
        <f aca="false">IF(INPUTS!$E$97="Yes",IF(OR(TIMELINE!AK101=0,TIMELINE!$C$100=0),0,IF(INPUTS!$O$97="Upfront",--(TIMELINE!AK101=1),IF(INPUTS!$O$97="Even",1/TIMELINE!$C$100,IF(INPUTS!$O$97="Front-loaded",(TIMELINE!$C$100-TIMELINE!AK101+1)*2/(TIMELINE!$C$100*(TIMELINE!$C$100+1)),IF(INPUTS!$O$97="Back-loaded",TIMELINE!AK101*2/(TIMELINE!$C$100*(TIMELINE!$C$100+1)),IF(INPUTS!$O$97="S-curve",SIN(PI()*(TIMELINE!AK101-0.5)/TIMELINE!$C$100)*SIN(PI()/(2*TIMELINE!$C$100)),0)))))),0)</f>
        <v>0</v>
      </c>
      <c r="AL94" s="118" t="n">
        <f aca="false">IF(INPUTS!$E$97="Yes",IF(OR(TIMELINE!AL101=0,TIMELINE!$C$100=0),0,IF(INPUTS!$O$97="Upfront",--(TIMELINE!AL101=1),IF(INPUTS!$O$97="Even",1/TIMELINE!$C$100,IF(INPUTS!$O$97="Front-loaded",(TIMELINE!$C$100-TIMELINE!AL101+1)*2/(TIMELINE!$C$100*(TIMELINE!$C$100+1)),IF(INPUTS!$O$97="Back-loaded",TIMELINE!AL101*2/(TIMELINE!$C$100*(TIMELINE!$C$100+1)),IF(INPUTS!$O$97="S-curve",SIN(PI()*(TIMELINE!AL101-0.5)/TIMELINE!$C$100)*SIN(PI()/(2*TIMELINE!$C$100)),0)))))),0)</f>
        <v>0</v>
      </c>
      <c r="AM94" s="118" t="n">
        <f aca="false">IF(INPUTS!$E$97="Yes",IF(OR(TIMELINE!AM101=0,TIMELINE!$C$100=0),0,IF(INPUTS!$O$97="Upfront",--(TIMELINE!AM101=1),IF(INPUTS!$O$97="Even",1/TIMELINE!$C$100,IF(INPUTS!$O$97="Front-loaded",(TIMELINE!$C$100-TIMELINE!AM101+1)*2/(TIMELINE!$C$100*(TIMELINE!$C$100+1)),IF(INPUTS!$O$97="Back-loaded",TIMELINE!AM101*2/(TIMELINE!$C$100*(TIMELINE!$C$100+1)),IF(INPUTS!$O$97="S-curve",SIN(PI()*(TIMELINE!AM101-0.5)/TIMELINE!$C$100)*SIN(PI()/(2*TIMELINE!$C$100)),0)))))),0)</f>
        <v>0</v>
      </c>
      <c r="AN94" s="118" t="n">
        <f aca="false">IF(INPUTS!$E$97="Yes",IF(OR(TIMELINE!AN101=0,TIMELINE!$C$100=0),0,IF(INPUTS!$O$97="Upfront",--(TIMELINE!AN101=1),IF(INPUTS!$O$97="Even",1/TIMELINE!$C$100,IF(INPUTS!$O$97="Front-loaded",(TIMELINE!$C$100-TIMELINE!AN101+1)*2/(TIMELINE!$C$100*(TIMELINE!$C$100+1)),IF(INPUTS!$O$97="Back-loaded",TIMELINE!AN101*2/(TIMELINE!$C$100*(TIMELINE!$C$100+1)),IF(INPUTS!$O$97="S-curve",SIN(PI()*(TIMELINE!AN101-0.5)/TIMELINE!$C$100)*SIN(PI()/(2*TIMELINE!$C$100)),0)))))),0)</f>
        <v>0</v>
      </c>
      <c r="AO94" s="118" t="n">
        <f aca="false">IF(INPUTS!$E$97="Yes",IF(OR(TIMELINE!AO101=0,TIMELINE!$C$100=0),0,IF(INPUTS!$O$97="Upfront",--(TIMELINE!AO101=1),IF(INPUTS!$O$97="Even",1/TIMELINE!$C$100,IF(INPUTS!$O$97="Front-loaded",(TIMELINE!$C$100-TIMELINE!AO101+1)*2/(TIMELINE!$C$100*(TIMELINE!$C$100+1)),IF(INPUTS!$O$97="Back-loaded",TIMELINE!AO101*2/(TIMELINE!$C$100*(TIMELINE!$C$100+1)),IF(INPUTS!$O$97="S-curve",SIN(PI()*(TIMELINE!AO101-0.5)/TIMELINE!$C$100)*SIN(PI()/(2*TIMELINE!$C$100)),0)))))),0)</f>
        <v>0</v>
      </c>
      <c r="AP94" s="118" t="n">
        <f aca="false">IF(INPUTS!$E$97="Yes",IF(OR(TIMELINE!AP101=0,TIMELINE!$C$100=0),0,IF(INPUTS!$O$97="Upfront",--(TIMELINE!AP101=1),IF(INPUTS!$O$97="Even",1/TIMELINE!$C$100,IF(INPUTS!$O$97="Front-loaded",(TIMELINE!$C$100-TIMELINE!AP101+1)*2/(TIMELINE!$C$100*(TIMELINE!$C$100+1)),IF(INPUTS!$O$97="Back-loaded",TIMELINE!AP101*2/(TIMELINE!$C$100*(TIMELINE!$C$100+1)),IF(INPUTS!$O$97="S-curve",SIN(PI()*(TIMELINE!AP101-0.5)/TIMELINE!$C$100)*SIN(PI()/(2*TIMELINE!$C$100)),0)))))),0)</f>
        <v>0</v>
      </c>
      <c r="AQ94" s="118" t="n">
        <f aca="false">IF(INPUTS!$E$97="Yes",IF(OR(TIMELINE!AQ101=0,TIMELINE!$C$100=0),0,IF(INPUTS!$O$97="Upfront",--(TIMELINE!AQ101=1),IF(INPUTS!$O$97="Even",1/TIMELINE!$C$100,IF(INPUTS!$O$97="Front-loaded",(TIMELINE!$C$100-TIMELINE!AQ101+1)*2/(TIMELINE!$C$100*(TIMELINE!$C$100+1)),IF(INPUTS!$O$97="Back-loaded",TIMELINE!AQ101*2/(TIMELINE!$C$100*(TIMELINE!$C$100+1)),IF(INPUTS!$O$97="S-curve",SIN(PI()*(TIMELINE!AQ101-0.5)/TIMELINE!$C$100)*SIN(PI()/(2*TIMELINE!$C$100)),0)))))),0)</f>
        <v>0</v>
      </c>
    </row>
    <row r="95" customFormat="false" ht="15" hidden="false" customHeight="false" outlineLevel="0" collapsed="false">
      <c r="B95" s="3" t="s">
        <v>673</v>
      </c>
      <c r="D95" s="118" t="n">
        <f aca="false">SUM($D94:D94)</f>
        <v>0</v>
      </c>
      <c r="E95" s="118" t="n">
        <f aca="false">SUM($D94:E94)</f>
        <v>0</v>
      </c>
      <c r="F95" s="118" t="n">
        <f aca="false">SUM($D94:F94)</f>
        <v>0</v>
      </c>
      <c r="G95" s="118" t="n">
        <f aca="false">SUM($D94:G94)</f>
        <v>0</v>
      </c>
      <c r="H95" s="118" t="n">
        <f aca="false">SUM($D94:H94)</f>
        <v>0</v>
      </c>
      <c r="I95" s="118" t="n">
        <f aca="false">SUM($D94:I94)</f>
        <v>0</v>
      </c>
      <c r="J95" s="118" t="n">
        <f aca="false">SUM($D94:J94)</f>
        <v>0</v>
      </c>
      <c r="K95" s="118" t="n">
        <f aca="false">SUM($D94:K94)</f>
        <v>0</v>
      </c>
      <c r="L95" s="118" t="n">
        <f aca="false">SUM($D94:L94)</f>
        <v>0</v>
      </c>
      <c r="M95" s="118" t="n">
        <f aca="false">SUM($D94:M94)</f>
        <v>0</v>
      </c>
      <c r="N95" s="118" t="n">
        <f aca="false">SUM($D94:N94)</f>
        <v>0</v>
      </c>
      <c r="O95" s="118" t="n">
        <f aca="false">SUM($D94:O94)</f>
        <v>0</v>
      </c>
      <c r="P95" s="118" t="n">
        <f aca="false">SUM($D94:P94)</f>
        <v>0</v>
      </c>
      <c r="Q95" s="118" t="n">
        <f aca="false">SUM($D94:Q94)</f>
        <v>0</v>
      </c>
      <c r="R95" s="118" t="n">
        <f aca="false">SUM($D94:R94)</f>
        <v>0</v>
      </c>
      <c r="S95" s="118" t="n">
        <f aca="false">SUM($D94:S94)</f>
        <v>0</v>
      </c>
      <c r="T95" s="118" t="n">
        <f aca="false">SUM($D94:T94)</f>
        <v>0</v>
      </c>
      <c r="U95" s="118" t="n">
        <f aca="false">SUM($D94:U94)</f>
        <v>0</v>
      </c>
      <c r="V95" s="118" t="n">
        <f aca="false">SUM($D94:V94)</f>
        <v>0</v>
      </c>
      <c r="W95" s="118" t="n">
        <f aca="false">SUM($D94:W94)</f>
        <v>0</v>
      </c>
      <c r="X95" s="118" t="n">
        <f aca="false">SUM($D94:X94)</f>
        <v>0</v>
      </c>
      <c r="Y95" s="118" t="n">
        <f aca="false">SUM($D94:Y94)</f>
        <v>0</v>
      </c>
      <c r="Z95" s="118" t="n">
        <f aca="false">SUM($D94:Z94)</f>
        <v>0</v>
      </c>
      <c r="AA95" s="118" t="n">
        <f aca="false">SUM($D94:AA94)</f>
        <v>0</v>
      </c>
      <c r="AB95" s="118" t="n">
        <f aca="false">SUM($D94:AB94)</f>
        <v>0</v>
      </c>
      <c r="AC95" s="118" t="n">
        <f aca="false">SUM($D94:AC94)</f>
        <v>0</v>
      </c>
      <c r="AD95" s="118" t="n">
        <f aca="false">SUM($D94:AD94)</f>
        <v>0</v>
      </c>
      <c r="AE95" s="118" t="n">
        <f aca="false">SUM($D94:AE94)</f>
        <v>0</v>
      </c>
      <c r="AF95" s="118" t="n">
        <f aca="false">SUM($D94:AF94)</f>
        <v>0</v>
      </c>
      <c r="AG95" s="118" t="n">
        <f aca="false">SUM($D94:AG94)</f>
        <v>0</v>
      </c>
      <c r="AH95" s="118" t="n">
        <f aca="false">SUM($D94:AH94)</f>
        <v>0</v>
      </c>
      <c r="AI95" s="118" t="n">
        <f aca="false">SUM($D94:AI94)</f>
        <v>0</v>
      </c>
      <c r="AJ95" s="118" t="n">
        <f aca="false">SUM($D94:AJ94)</f>
        <v>0</v>
      </c>
      <c r="AK95" s="118" t="n">
        <f aca="false">SUM($D94:AK94)</f>
        <v>0</v>
      </c>
      <c r="AL95" s="118" t="n">
        <f aca="false">SUM($D94:AL94)</f>
        <v>0</v>
      </c>
      <c r="AM95" s="118" t="n">
        <f aca="false">SUM($D94:AM94)</f>
        <v>0</v>
      </c>
      <c r="AN95" s="118" t="n">
        <f aca="false">SUM($D94:AN94)</f>
        <v>0</v>
      </c>
      <c r="AO95" s="118" t="n">
        <f aca="false">SUM($D94:AO94)</f>
        <v>0</v>
      </c>
      <c r="AP95" s="118" t="n">
        <f aca="false">SUM($D94:AP94)</f>
        <v>0</v>
      </c>
      <c r="AQ95" s="118" t="n">
        <f aca="false">SUM($D94:AQ94)</f>
        <v>0</v>
      </c>
    </row>
    <row r="96" customFormat="false" ht="15" hidden="false" customHeight="false" outlineLevel="0" collapsed="false">
      <c r="B96" s="17" t="s">
        <v>674</v>
      </c>
      <c r="C96" s="105" t="str">
        <f aca="false">IF(NOT(INPUTS!$E$97="Yes"),"Off",IF(AND(ABS(C92-1)&lt;0.000000001,ABS(C94-1)&lt;0.000000001,ABS(AQ95-1)&lt;0.000000001),"OK","ERROR"))</f>
        <v>Off</v>
      </c>
    </row>
    <row r="98" customFormat="false" ht="19.5" hidden="false" customHeight="true" outlineLevel="0" collapsed="false">
      <c r="B98" s="4" t="s">
        <v>675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customFormat="false" ht="15" hidden="false" customHeight="false" outlineLevel="0" collapsed="false">
      <c r="B99" s="3" t="s">
        <v>676</v>
      </c>
      <c r="C99" s="117" t="n">
        <f aca="false">SUM(D99:AQ99)</f>
        <v>1</v>
      </c>
      <c r="D99" s="118" t="n">
        <f aca="false">IF(INPUTS!$T$98&gt;0,(INPUTS!$T$88*D38+INPUTS!$T$89*D44+INPUTS!$T$90*D50+INPUTS!$T$91*D56+INPUTS!$T$92*D62+INPUTS!$T$93*D68+INPUTS!$T$94*D74+INPUTS!$T$95*D80+INPUTS!$T$96*D86+INPUTS!$T$97*D92)/INPUTS!$T$98,0)</f>
        <v>0</v>
      </c>
      <c r="E99" s="118" t="n">
        <f aca="false">IF(INPUTS!$T$98&gt;0,(INPUTS!$T$88*E38+INPUTS!$T$89*E44+INPUTS!$T$90*E50+INPUTS!$T$91*E56+INPUTS!$T$92*E62+INPUTS!$T$93*E68+INPUTS!$T$94*E74+INPUTS!$T$95*E80+INPUTS!$T$96*E86+INPUTS!$T$97*E92)/INPUTS!$T$98,0)</f>
        <v>0</v>
      </c>
      <c r="F99" s="118" t="n">
        <f aca="false">IF(INPUTS!$T$98&gt;0,(INPUTS!$T$88*F38+INPUTS!$T$89*F44+INPUTS!$T$90*F50+INPUTS!$T$91*F56+INPUTS!$T$92*F62+INPUTS!$T$93*F68+INPUTS!$T$94*F74+INPUTS!$T$95*F80+INPUTS!$T$96*F86+INPUTS!$T$97*F92)/INPUTS!$T$98,0)</f>
        <v>0.076103500761035</v>
      </c>
      <c r="G99" s="118" t="n">
        <f aca="false">IF(INPUTS!$T$98&gt;0,(INPUTS!$T$88*G38+INPUTS!$T$89*G44+INPUTS!$T$90*G50+INPUTS!$T$91*G56+INPUTS!$T$92*G62+INPUTS!$T$93*G68+INPUTS!$T$94*G74+INPUTS!$T$95*G80+INPUTS!$T$96*G86+INPUTS!$T$97*G92)/INPUTS!$T$98,0)</f>
        <v>0.113290438632904</v>
      </c>
      <c r="H99" s="118" t="n">
        <f aca="false">IF(INPUTS!$T$98&gt;0,(INPUTS!$T$88*H38+INPUTS!$T$89*H44+INPUTS!$T$90*H50+INPUTS!$T$91*H56+INPUTS!$T$92*H62+INPUTS!$T$93*H68+INPUTS!$T$94*H74+INPUTS!$T$95*H80+INPUTS!$T$96*H86+INPUTS!$T$97*H92)/INPUTS!$T$98,0)</f>
        <v>0.103777501037775</v>
      </c>
      <c r="I99" s="118" t="n">
        <f aca="false">IF(INPUTS!$T$98&gt;0,(INPUTS!$T$88*I38+INPUTS!$T$89*I44+INPUTS!$T$90*I50+INPUTS!$T$91*I56+INPUTS!$T$92*I62+INPUTS!$T$93*I68+INPUTS!$T$94*I74+INPUTS!$T$95*I80+INPUTS!$T$96*I86+INPUTS!$T$97*I92)/INPUTS!$T$98,0)</f>
        <v>0.0998685484986855</v>
      </c>
      <c r="J99" s="118" t="n">
        <f aca="false">IF(INPUTS!$T$98&gt;0,(INPUTS!$T$88*J38+INPUTS!$T$89*J44+INPUTS!$T$90*J50+INPUTS!$T$91*J56+INPUTS!$T$92*J62+INPUTS!$T$93*J68+INPUTS!$T$94*J74+INPUTS!$T$95*J80+INPUTS!$T$96*J86+INPUTS!$T$97*J92)/INPUTS!$T$98,0)</f>
        <v>0.0903556109035561</v>
      </c>
      <c r="K99" s="118" t="n">
        <f aca="false">IF(INPUTS!$T$98&gt;0,(INPUTS!$T$88*K38+INPUTS!$T$89*K44+INPUTS!$T$90*K50+INPUTS!$T$91*K56+INPUTS!$T$92*K62+INPUTS!$T$93*K68+INPUTS!$T$94*K74+INPUTS!$T$95*K80+INPUTS!$T$96*K86+INPUTS!$T$97*K92)/INPUTS!$T$98,0)</f>
        <v>0.0822955583229556</v>
      </c>
      <c r="L99" s="118" t="n">
        <f aca="false">IF(INPUTS!$T$98&gt;0,(INPUTS!$T$88*L38+INPUTS!$T$89*L44+INPUTS!$T$90*L50+INPUTS!$T$91*L56+INPUTS!$T$92*L62+INPUTS!$T$93*L68+INPUTS!$T$94*L74+INPUTS!$T$95*L80+INPUTS!$T$96*L86+INPUTS!$T$97*L92)/INPUTS!$T$98,0)</f>
        <v>0.0742355057423551</v>
      </c>
      <c r="M99" s="118" t="n">
        <f aca="false">IF(INPUTS!$T$98&gt;0,(INPUTS!$T$88*M38+INPUTS!$T$89*M44+INPUTS!$T$90*M50+INPUTS!$T$91*M56+INPUTS!$T$92*M62+INPUTS!$T$93*M68+INPUTS!$T$94*M74+INPUTS!$T$95*M80+INPUTS!$T$96*M86+INPUTS!$T$97*M92)/INPUTS!$T$98,0)</f>
        <v>0.0661754531617545</v>
      </c>
      <c r="N99" s="118" t="n">
        <f aca="false">IF(INPUTS!$T$98&gt;0,(INPUTS!$T$88*N38+INPUTS!$T$89*N44+INPUTS!$T$90*N50+INPUTS!$T$91*N56+INPUTS!$T$92*N62+INPUTS!$T$93*N68+INPUTS!$T$94*N74+INPUTS!$T$95*N80+INPUTS!$T$96*N86+INPUTS!$T$97*N92)/INPUTS!$T$98,0)</f>
        <v>0.058115400581154</v>
      </c>
      <c r="O99" s="118" t="n">
        <f aca="false">IF(INPUTS!$T$98&gt;0,(INPUTS!$T$88*O38+INPUTS!$T$89*O44+INPUTS!$T$90*O50+INPUTS!$T$91*O56+INPUTS!$T$92*O62+INPUTS!$T$93*O68+INPUTS!$T$94*O74+INPUTS!$T$95*O80+INPUTS!$T$96*O86+INPUTS!$T$97*O92)/INPUTS!$T$98,0)</f>
        <v>0.0595682855956829</v>
      </c>
      <c r="P99" s="118" t="n">
        <f aca="false">IF(INPUTS!$T$98&gt;0,(INPUTS!$T$88*P38+INPUTS!$T$89*P44+INPUTS!$T$90*P50+INPUTS!$T$91*P56+INPUTS!$T$92*P62+INPUTS!$T$93*P68+INPUTS!$T$94*P74+INPUTS!$T$95*P80+INPUTS!$T$96*P86+INPUTS!$T$97*P92)/INPUTS!$T$98,0)</f>
        <v>0.0610211706102117</v>
      </c>
      <c r="Q99" s="118" t="n">
        <f aca="false">IF(INPUTS!$T$98&gt;0,(INPUTS!$T$88*Q38+INPUTS!$T$89*Q44+INPUTS!$T$90*Q50+INPUTS!$T$91*Q56+INPUTS!$T$92*Q62+INPUTS!$T$93*Q68+INPUTS!$T$94*Q74+INPUTS!$T$95*Q80+INPUTS!$T$96*Q86+INPUTS!$T$97*Q92)/INPUTS!$T$98,0)</f>
        <v>0.0568700705687007</v>
      </c>
      <c r="R99" s="118" t="n">
        <f aca="false">IF(INPUTS!$T$98&gt;0,(INPUTS!$T$88*R38+INPUTS!$T$89*R44+INPUTS!$T$90*R50+INPUTS!$T$91*R56+INPUTS!$T$92*R62+INPUTS!$T$93*R68+INPUTS!$T$94*R74+INPUTS!$T$95*R80+INPUTS!$T$96*R86+INPUTS!$T$97*R92)/INPUTS!$T$98,0)</f>
        <v>0.0583229555832296</v>
      </c>
      <c r="S99" s="118" t="n">
        <f aca="false">IF(INPUTS!$T$98&gt;0,(INPUTS!$T$88*S38+INPUTS!$T$89*S44+INPUTS!$T$90*S50+INPUTS!$T$91*S56+INPUTS!$T$92*S62+INPUTS!$T$93*S68+INPUTS!$T$94*S74+INPUTS!$T$95*S80+INPUTS!$T$96*S86+INPUTS!$T$97*S92)/INPUTS!$T$98,0)</f>
        <v>0</v>
      </c>
      <c r="T99" s="118" t="n">
        <f aca="false">IF(INPUTS!$T$98&gt;0,(INPUTS!$T$88*T38+INPUTS!$T$89*T44+INPUTS!$T$90*T50+INPUTS!$T$91*T56+INPUTS!$T$92*T62+INPUTS!$T$93*T68+INPUTS!$T$94*T74+INPUTS!$T$95*T80+INPUTS!$T$96*T86+INPUTS!$T$97*T92)/INPUTS!$T$98,0)</f>
        <v>0</v>
      </c>
      <c r="U99" s="118" t="n">
        <f aca="false">IF(INPUTS!$T$98&gt;0,(INPUTS!$T$88*U38+INPUTS!$T$89*U44+INPUTS!$T$90*U50+INPUTS!$T$91*U56+INPUTS!$T$92*U62+INPUTS!$T$93*U68+INPUTS!$T$94*U74+INPUTS!$T$95*U80+INPUTS!$T$96*U86+INPUTS!$T$97*U92)/INPUTS!$T$98,0)</f>
        <v>0</v>
      </c>
      <c r="V99" s="118" t="n">
        <f aca="false">IF(INPUTS!$T$98&gt;0,(INPUTS!$T$88*V38+INPUTS!$T$89*V44+INPUTS!$T$90*V50+INPUTS!$T$91*V56+INPUTS!$T$92*V62+INPUTS!$T$93*V68+INPUTS!$T$94*V74+INPUTS!$T$95*V80+INPUTS!$T$96*V86+INPUTS!$T$97*V92)/INPUTS!$T$98,0)</f>
        <v>0</v>
      </c>
      <c r="W99" s="118" t="n">
        <f aca="false">IF(INPUTS!$T$98&gt;0,(INPUTS!$T$88*W38+INPUTS!$T$89*W44+INPUTS!$T$90*W50+INPUTS!$T$91*W56+INPUTS!$T$92*W62+INPUTS!$T$93*W68+INPUTS!$T$94*W74+INPUTS!$T$95*W80+INPUTS!$T$96*W86+INPUTS!$T$97*W92)/INPUTS!$T$98,0)</f>
        <v>0</v>
      </c>
      <c r="X99" s="118" t="n">
        <f aca="false">IF(INPUTS!$T$98&gt;0,(INPUTS!$T$88*X38+INPUTS!$T$89*X44+INPUTS!$T$90*X50+INPUTS!$T$91*X56+INPUTS!$T$92*X62+INPUTS!$T$93*X68+INPUTS!$T$94*X74+INPUTS!$T$95*X80+INPUTS!$T$96*X86+INPUTS!$T$97*X92)/INPUTS!$T$98,0)</f>
        <v>0</v>
      </c>
      <c r="Y99" s="118" t="n">
        <f aca="false">IF(INPUTS!$T$98&gt;0,(INPUTS!$T$88*Y38+INPUTS!$T$89*Y44+INPUTS!$T$90*Y50+INPUTS!$T$91*Y56+INPUTS!$T$92*Y62+INPUTS!$T$93*Y68+INPUTS!$T$94*Y74+INPUTS!$T$95*Y80+INPUTS!$T$96*Y86+INPUTS!$T$97*Y92)/INPUTS!$T$98,0)</f>
        <v>0</v>
      </c>
      <c r="Z99" s="118" t="n">
        <f aca="false">IF(INPUTS!$T$98&gt;0,(INPUTS!$T$88*Z38+INPUTS!$T$89*Z44+INPUTS!$T$90*Z50+INPUTS!$T$91*Z56+INPUTS!$T$92*Z62+INPUTS!$T$93*Z68+INPUTS!$T$94*Z74+INPUTS!$T$95*Z80+INPUTS!$T$96*Z86+INPUTS!$T$97*Z92)/INPUTS!$T$98,0)</f>
        <v>0</v>
      </c>
      <c r="AA99" s="118" t="n">
        <f aca="false">IF(INPUTS!$T$98&gt;0,(INPUTS!$T$88*AA38+INPUTS!$T$89*AA44+INPUTS!$T$90*AA50+INPUTS!$T$91*AA56+INPUTS!$T$92*AA62+INPUTS!$T$93*AA68+INPUTS!$T$94*AA74+INPUTS!$T$95*AA80+INPUTS!$T$96*AA86+INPUTS!$T$97*AA92)/INPUTS!$T$98,0)</f>
        <v>0</v>
      </c>
      <c r="AB99" s="118" t="n">
        <f aca="false">IF(INPUTS!$T$98&gt;0,(INPUTS!$T$88*AB38+INPUTS!$T$89*AB44+INPUTS!$T$90*AB50+INPUTS!$T$91*AB56+INPUTS!$T$92*AB62+INPUTS!$T$93*AB68+INPUTS!$T$94*AB74+INPUTS!$T$95*AB80+INPUTS!$T$96*AB86+INPUTS!$T$97*AB92)/INPUTS!$T$98,0)</f>
        <v>0</v>
      </c>
      <c r="AC99" s="118" t="n">
        <f aca="false">IF(INPUTS!$T$98&gt;0,(INPUTS!$T$88*AC38+INPUTS!$T$89*AC44+INPUTS!$T$90*AC50+INPUTS!$T$91*AC56+INPUTS!$T$92*AC62+INPUTS!$T$93*AC68+INPUTS!$T$94*AC74+INPUTS!$T$95*AC80+INPUTS!$T$96*AC86+INPUTS!$T$97*AC92)/INPUTS!$T$98,0)</f>
        <v>0</v>
      </c>
      <c r="AD99" s="118" t="n">
        <f aca="false">IF(INPUTS!$T$98&gt;0,(INPUTS!$T$88*AD38+INPUTS!$T$89*AD44+INPUTS!$T$90*AD50+INPUTS!$T$91*AD56+INPUTS!$T$92*AD62+INPUTS!$T$93*AD68+INPUTS!$T$94*AD74+INPUTS!$T$95*AD80+INPUTS!$T$96*AD86+INPUTS!$T$97*AD92)/INPUTS!$T$98,0)</f>
        <v>0</v>
      </c>
      <c r="AE99" s="118" t="n">
        <f aca="false">IF(INPUTS!$T$98&gt;0,(INPUTS!$T$88*AE38+INPUTS!$T$89*AE44+INPUTS!$T$90*AE50+INPUTS!$T$91*AE56+INPUTS!$T$92*AE62+INPUTS!$T$93*AE68+INPUTS!$T$94*AE74+INPUTS!$T$95*AE80+INPUTS!$T$96*AE86+INPUTS!$T$97*AE92)/INPUTS!$T$98,0)</f>
        <v>0</v>
      </c>
      <c r="AF99" s="118" t="n">
        <f aca="false">IF(INPUTS!$T$98&gt;0,(INPUTS!$T$88*AF38+INPUTS!$T$89*AF44+INPUTS!$T$90*AF50+INPUTS!$T$91*AF56+INPUTS!$T$92*AF62+INPUTS!$T$93*AF68+INPUTS!$T$94*AF74+INPUTS!$T$95*AF80+INPUTS!$T$96*AF86+INPUTS!$T$97*AF92)/INPUTS!$T$98,0)</f>
        <v>0</v>
      </c>
      <c r="AG99" s="118" t="n">
        <f aca="false">IF(INPUTS!$T$98&gt;0,(INPUTS!$T$88*AG38+INPUTS!$T$89*AG44+INPUTS!$T$90*AG50+INPUTS!$T$91*AG56+INPUTS!$T$92*AG62+INPUTS!$T$93*AG68+INPUTS!$T$94*AG74+INPUTS!$T$95*AG80+INPUTS!$T$96*AG86+INPUTS!$T$97*AG92)/INPUTS!$T$98,0)</f>
        <v>0</v>
      </c>
      <c r="AH99" s="118" t="n">
        <f aca="false">IF(INPUTS!$T$98&gt;0,(INPUTS!$T$88*AH38+INPUTS!$T$89*AH44+INPUTS!$T$90*AH50+INPUTS!$T$91*AH56+INPUTS!$T$92*AH62+INPUTS!$T$93*AH68+INPUTS!$T$94*AH74+INPUTS!$T$95*AH80+INPUTS!$T$96*AH86+INPUTS!$T$97*AH92)/INPUTS!$T$98,0)</f>
        <v>0</v>
      </c>
      <c r="AI99" s="118" t="n">
        <f aca="false">IF(INPUTS!$T$98&gt;0,(INPUTS!$T$88*AI38+INPUTS!$T$89*AI44+INPUTS!$T$90*AI50+INPUTS!$T$91*AI56+INPUTS!$T$92*AI62+INPUTS!$T$93*AI68+INPUTS!$T$94*AI74+INPUTS!$T$95*AI80+INPUTS!$T$96*AI86+INPUTS!$T$97*AI92)/INPUTS!$T$98,0)</f>
        <v>0</v>
      </c>
      <c r="AJ99" s="118" t="n">
        <f aca="false">IF(INPUTS!$T$98&gt;0,(INPUTS!$T$88*AJ38+INPUTS!$T$89*AJ44+INPUTS!$T$90*AJ50+INPUTS!$T$91*AJ56+INPUTS!$T$92*AJ62+INPUTS!$T$93*AJ68+INPUTS!$T$94*AJ74+INPUTS!$T$95*AJ80+INPUTS!$T$96*AJ86+INPUTS!$T$97*AJ92)/INPUTS!$T$98,0)</f>
        <v>0</v>
      </c>
      <c r="AK99" s="118" t="n">
        <f aca="false">IF(INPUTS!$T$98&gt;0,(INPUTS!$T$88*AK38+INPUTS!$T$89*AK44+INPUTS!$T$90*AK50+INPUTS!$T$91*AK56+INPUTS!$T$92*AK62+INPUTS!$T$93*AK68+INPUTS!$T$94*AK74+INPUTS!$T$95*AK80+INPUTS!$T$96*AK86+INPUTS!$T$97*AK92)/INPUTS!$T$98,0)</f>
        <v>0</v>
      </c>
      <c r="AL99" s="118" t="n">
        <f aca="false">IF(INPUTS!$T$98&gt;0,(INPUTS!$T$88*AL38+INPUTS!$T$89*AL44+INPUTS!$T$90*AL50+INPUTS!$T$91*AL56+INPUTS!$T$92*AL62+INPUTS!$T$93*AL68+INPUTS!$T$94*AL74+INPUTS!$T$95*AL80+INPUTS!$T$96*AL86+INPUTS!$T$97*AL92)/INPUTS!$T$98,0)</f>
        <v>0</v>
      </c>
      <c r="AM99" s="118" t="n">
        <f aca="false">IF(INPUTS!$T$98&gt;0,(INPUTS!$T$88*AM38+INPUTS!$T$89*AM44+INPUTS!$T$90*AM50+INPUTS!$T$91*AM56+INPUTS!$T$92*AM62+INPUTS!$T$93*AM68+INPUTS!$T$94*AM74+INPUTS!$T$95*AM80+INPUTS!$T$96*AM86+INPUTS!$T$97*AM92)/INPUTS!$T$98,0)</f>
        <v>0</v>
      </c>
      <c r="AN99" s="118" t="n">
        <f aca="false">IF(INPUTS!$T$98&gt;0,(INPUTS!$T$88*AN38+INPUTS!$T$89*AN44+INPUTS!$T$90*AN50+INPUTS!$T$91*AN56+INPUTS!$T$92*AN62+INPUTS!$T$93*AN68+INPUTS!$T$94*AN74+INPUTS!$T$95*AN80+INPUTS!$T$96*AN86+INPUTS!$T$97*AN92)/INPUTS!$T$98,0)</f>
        <v>0</v>
      </c>
      <c r="AO99" s="118" t="n">
        <f aca="false">IF(INPUTS!$T$98&gt;0,(INPUTS!$T$88*AO38+INPUTS!$T$89*AO44+INPUTS!$T$90*AO50+INPUTS!$T$91*AO56+INPUTS!$T$92*AO62+INPUTS!$T$93*AO68+INPUTS!$T$94*AO74+INPUTS!$T$95*AO80+INPUTS!$T$96*AO86+INPUTS!$T$97*AO92)/INPUTS!$T$98,0)</f>
        <v>0</v>
      </c>
      <c r="AP99" s="118" t="n">
        <f aca="false">IF(INPUTS!$T$98&gt;0,(INPUTS!$T$88*AP38+INPUTS!$T$89*AP44+INPUTS!$T$90*AP50+INPUTS!$T$91*AP56+INPUTS!$T$92*AP62+INPUTS!$T$93*AP68+INPUTS!$T$94*AP74+INPUTS!$T$95*AP80+INPUTS!$T$96*AP86+INPUTS!$T$97*AP92)/INPUTS!$T$98,0)</f>
        <v>0</v>
      </c>
      <c r="AQ99" s="118" t="n">
        <f aca="false">IF(INPUTS!$T$98&gt;0,(INPUTS!$T$88*AQ38+INPUTS!$T$89*AQ44+INPUTS!$T$90*AQ50+INPUTS!$T$91*AQ56+INPUTS!$T$92*AQ62+INPUTS!$T$93*AQ68+INPUTS!$T$94*AQ74+INPUTS!$T$95*AQ80+INPUTS!$T$96*AQ86+INPUTS!$T$97*AQ92)/INPUTS!$T$98,0)</f>
        <v>0</v>
      </c>
    </row>
    <row r="100" customFormat="false" ht="15" hidden="false" customHeight="false" outlineLevel="0" collapsed="false">
      <c r="B100" s="3" t="s">
        <v>677</v>
      </c>
      <c r="C100" s="117" t="n">
        <f aca="false">SUM(D100:AQ100)</f>
        <v>1</v>
      </c>
      <c r="D100" s="118" t="n">
        <f aca="false">IF(INPUTS!$U$98&gt;0,(INPUTS!$U$88*D40+INPUTS!$U$89*D46+INPUTS!$U$90*D52+INPUTS!$U$91*D58+INPUTS!$U$92*D64+INPUTS!$U$93*D70+INPUTS!$U$94*D76+INPUTS!$U$95*D82+INPUTS!$U$96*D88+INPUTS!$U$97*D94)/INPUTS!$U$98,0)</f>
        <v>0</v>
      </c>
      <c r="E100" s="118" t="n">
        <f aca="false">IF(INPUTS!$U$98&gt;0,(INPUTS!$U$88*E40+INPUTS!$U$89*E46+INPUTS!$U$90*E52+INPUTS!$U$91*E58+INPUTS!$U$92*E64+INPUTS!$U$93*E70+INPUTS!$U$94*E76+INPUTS!$U$95*E82+INPUTS!$U$96*E88+INPUTS!$U$97*E94)/INPUTS!$U$98,0)</f>
        <v>0</v>
      </c>
      <c r="F100" s="118" t="n">
        <f aca="false">IF(INPUTS!$U$98&gt;0,(INPUTS!$U$88*F40+INPUTS!$U$89*F46+INPUTS!$U$90*F52+INPUTS!$U$91*F58+INPUTS!$U$92*F64+INPUTS!$U$93*F70+INPUTS!$U$94*F76+INPUTS!$U$95*F82+INPUTS!$U$96*F88+INPUTS!$U$97*F94)/INPUTS!$U$98,0)</f>
        <v>0</v>
      </c>
      <c r="G100" s="118" t="n">
        <f aca="false">IF(INPUTS!$U$98&gt;0,(INPUTS!$U$88*G40+INPUTS!$U$89*G46+INPUTS!$U$90*G52+INPUTS!$U$91*G58+INPUTS!$U$92*G64+INPUTS!$U$93*G70+INPUTS!$U$94*G76+INPUTS!$U$95*G82+INPUTS!$U$96*G88+INPUTS!$U$97*G94)/INPUTS!$U$98,0)</f>
        <v>0.00456800590614377</v>
      </c>
      <c r="H100" s="118" t="n">
        <f aca="false">IF(INPUTS!$U$98&gt;0,(INPUTS!$U$88*H40+INPUTS!$U$89*H46+INPUTS!$U$90*H52+INPUTS!$U$91*H58+INPUTS!$U$92*H64+INPUTS!$U$93*H70+INPUTS!$U$94*H76+INPUTS!$U$95*H82+INPUTS!$U$96*H88+INPUTS!$U$97*H94)/INPUTS!$U$98,0)</f>
        <v>0.0195749664227507</v>
      </c>
      <c r="I100" s="118" t="n">
        <f aca="false">IF(INPUTS!$U$98&gt;0,(INPUTS!$U$88*I40+INPUTS!$U$89*I46+INPUTS!$U$90*I52+INPUTS!$U$91*I58+INPUTS!$U$92*I64+INPUTS!$U$93*I70+INPUTS!$U$94*I76+INPUTS!$U$95*I82+INPUTS!$U$96*I88+INPUTS!$U$97*I94)/INPUTS!$U$98,0)</f>
        <v>0.0411197726021386</v>
      </c>
      <c r="J100" s="118" t="n">
        <f aca="false">IF(INPUTS!$U$98&gt;0,(INPUTS!$U$88*J40+INPUTS!$U$89*J46+INPUTS!$U$90*J52+INPUTS!$U$91*J58+INPUTS!$U$92*J64+INPUTS!$U$93*J70+INPUTS!$U$94*J76+INPUTS!$U$95*J82+INPUTS!$U$96*J88+INPUTS!$U$97*J94)/INPUTS!$U$98,0)</f>
        <v>0.0619123296046715</v>
      </c>
      <c r="K100" s="118" t="n">
        <f aca="false">IF(INPUTS!$U$98&gt;0,(INPUTS!$U$88*K40+INPUTS!$U$89*K46+INPUTS!$U$90*K52+INPUTS!$U$91*K58+INPUTS!$U$92*K64+INPUTS!$U$93*K70+INPUTS!$U$94*K76+INPUTS!$U$95*K82+INPUTS!$U$96*K88+INPUTS!$U$97*K94)/INPUTS!$U$98,0)</f>
        <v>0.0793692805553633</v>
      </c>
      <c r="L100" s="118" t="n">
        <f aca="false">IF(INPUTS!$U$98&gt;0,(INPUTS!$U$88*L40+INPUTS!$U$89*L46+INPUTS!$U$90*L52+INPUTS!$U$91*L58+INPUTS!$U$92*L64+INPUTS!$U$93*L70+INPUTS!$U$94*L76+INPUTS!$U$95*L82+INPUTS!$U$96*L88+INPUTS!$U$97*L94)/INPUTS!$U$98,0)</f>
        <v>0.0926064944921223</v>
      </c>
      <c r="M100" s="118" t="n">
        <f aca="false">IF(INPUTS!$U$98&gt;0,(INPUTS!$U$88*M40+INPUTS!$U$89*M46+INPUTS!$U$90*M52+INPUTS!$U$91*M58+INPUTS!$U$92*M64+INPUTS!$U$93*M70+INPUTS!$U$94*M76+INPUTS!$U$95*M82+INPUTS!$U$96*M88+INPUTS!$U$97*M94)/INPUTS!$U$98,0)</f>
        <v>0.100981710254933</v>
      </c>
      <c r="N100" s="118" t="n">
        <f aca="false">IF(INPUTS!$U$98&gt;0,(INPUTS!$U$88*N40+INPUTS!$U$89*N46+INPUTS!$U$90*N52+INPUTS!$U$91*N58+INPUTS!$U$92*N64+INPUTS!$U$93*N70+INPUTS!$U$94*N76+INPUTS!$U$95*N82+INPUTS!$U$96*N88+INPUTS!$U$97*N94)/INPUTS!$U$98,0)</f>
        <v>0.104128320282428</v>
      </c>
      <c r="O100" s="118" t="n">
        <f aca="false">IF(INPUTS!$U$98&gt;0,(INPUTS!$U$88*O40+INPUTS!$U$89*O46+INPUTS!$U$90*O52+INPUTS!$U$91*O58+INPUTS!$U$92*O64+INPUTS!$U$93*O70+INPUTS!$U$94*O76+INPUTS!$U$95*O82+INPUTS!$U$96*O88+INPUTS!$U$97*O94)/INPUTS!$U$98,0)</f>
        <v>0.101972508958545</v>
      </c>
      <c r="P100" s="118" t="n">
        <f aca="false">IF(INPUTS!$U$98&gt;0,(INPUTS!$U$88*P40+INPUTS!$U$89*P46+INPUTS!$U$90*P52+INPUTS!$U$91*P58+INPUTS!$U$92*P64+INPUTS!$U$93*P70+INPUTS!$U$94*P76+INPUTS!$U$95*P82+INPUTS!$U$96*P88+INPUTS!$U$97*P94)/INPUTS!$U$98,0)</f>
        <v>0.094732879051781</v>
      </c>
      <c r="Q100" s="118" t="n">
        <f aca="false">IF(INPUTS!$U$98&gt;0,(INPUTS!$U$88*Q40+INPUTS!$U$89*Q46+INPUTS!$U$90*Q52+INPUTS!$U$91*Q58+INPUTS!$U$92*Q64+INPUTS!$U$93*Q70+INPUTS!$U$94*Q76+INPUTS!$U$95*Q82+INPUTS!$U$96*Q88+INPUTS!$U$97*Q94)/INPUTS!$U$98,0)</f>
        <v>0.0829027993762268</v>
      </c>
      <c r="R100" s="118" t="n">
        <f aca="false">IF(INPUTS!$U$98&gt;0,(INPUTS!$U$88*R40+INPUTS!$U$89*R46+INPUTS!$U$90*R52+INPUTS!$U$91*R58+INPUTS!$U$92*R64+INPUTS!$U$93*R70+INPUTS!$U$94*R76+INPUTS!$U$95*R82+INPUTS!$U$96*R88+INPUTS!$U$97*R94)/INPUTS!$U$98,0)</f>
        <v>0.0672167825222214</v>
      </c>
      <c r="S100" s="118" t="n">
        <f aca="false">IF(INPUTS!$U$98&gt;0,(INPUTS!$U$88*S40+INPUTS!$U$89*S46+INPUTS!$U$90*S52+INPUTS!$U$91*S58+INPUTS!$U$92*S64+INPUTS!$U$93*S70+INPUTS!$U$94*S76+INPUTS!$U$95*S82+INPUTS!$U$96*S88+INPUTS!$U$97*S94)/INPUTS!$U$98,0)</f>
        <v>0.0531711898648468</v>
      </c>
      <c r="T100" s="118" t="n">
        <f aca="false">IF(INPUTS!$U$98&gt;0,(INPUTS!$U$88*T40+INPUTS!$U$89*T46+INPUTS!$U$90*T52+INPUTS!$U$91*T58+INPUTS!$U$92*T64+INPUTS!$U$93*T70+INPUTS!$U$94*T76+INPUTS!$U$95*T82+INPUTS!$U$96*T88+INPUTS!$U$97*T94)/INPUTS!$U$98,0)</f>
        <v>0.0415190557800941</v>
      </c>
      <c r="U100" s="118" t="n">
        <f aca="false">IF(INPUTS!$U$98&gt;0,(INPUTS!$U$88*U40+INPUTS!$U$89*U46+INPUTS!$U$90*U52+INPUTS!$U$91*U58+INPUTS!$U$92*U64+INPUTS!$U$93*U70+INPUTS!$U$94*U76+INPUTS!$U$95*U82+INPUTS!$U$96*U88+INPUTS!$U$97*U94)/INPUTS!$U$98,0)</f>
        <v>0.0297324817239664</v>
      </c>
      <c r="V100" s="118" t="n">
        <f aca="false">IF(INPUTS!$U$98&gt;0,(INPUTS!$U$88*V40+INPUTS!$U$89*V46+INPUTS!$U$90*V52+INPUTS!$U$91*V58+INPUTS!$U$92*V64+INPUTS!$U$93*V70+INPUTS!$U$94*V76+INPUTS!$U$95*V82+INPUTS!$U$96*V88+INPUTS!$U$97*V94)/INPUTS!$U$98,0)</f>
        <v>0.0183091718439316</v>
      </c>
      <c r="W100" s="118" t="n">
        <f aca="false">IF(INPUTS!$U$98&gt;0,(INPUTS!$U$88*W40+INPUTS!$U$89*W46+INPUTS!$U$90*W52+INPUTS!$U$91*W58+INPUTS!$U$92*W64+INPUTS!$U$93*W70+INPUTS!$U$94*W76+INPUTS!$U$95*W82+INPUTS!$U$96*W88+INPUTS!$U$97*W94)/INPUTS!$U$98,0)</f>
        <v>0.00618225075783637</v>
      </c>
      <c r="X100" s="118" t="n">
        <f aca="false">IF(INPUTS!$U$98&gt;0,(INPUTS!$U$88*X40+INPUTS!$U$89*X46+INPUTS!$U$90*X52+INPUTS!$U$91*X58+INPUTS!$U$92*X64+INPUTS!$U$93*X70+INPUTS!$U$94*X76+INPUTS!$U$95*X82+INPUTS!$U$96*X88+INPUTS!$U$97*X94)/INPUTS!$U$98,0)</f>
        <v>0</v>
      </c>
      <c r="Y100" s="118" t="n">
        <f aca="false">IF(INPUTS!$U$98&gt;0,(INPUTS!$U$88*Y40+INPUTS!$U$89*Y46+INPUTS!$U$90*Y52+INPUTS!$U$91*Y58+INPUTS!$U$92*Y64+INPUTS!$U$93*Y70+INPUTS!$U$94*Y76+INPUTS!$U$95*Y82+INPUTS!$U$96*Y88+INPUTS!$U$97*Y94)/INPUTS!$U$98,0)</f>
        <v>0</v>
      </c>
      <c r="Z100" s="118" t="n">
        <f aca="false">IF(INPUTS!$U$98&gt;0,(INPUTS!$U$88*Z40+INPUTS!$U$89*Z46+INPUTS!$U$90*Z52+INPUTS!$U$91*Z58+INPUTS!$U$92*Z64+INPUTS!$U$93*Z70+INPUTS!$U$94*Z76+INPUTS!$U$95*Z82+INPUTS!$U$96*Z88+INPUTS!$U$97*Z94)/INPUTS!$U$98,0)</f>
        <v>0</v>
      </c>
      <c r="AA100" s="118" t="n">
        <f aca="false">IF(INPUTS!$U$98&gt;0,(INPUTS!$U$88*AA40+INPUTS!$U$89*AA46+INPUTS!$U$90*AA52+INPUTS!$U$91*AA58+INPUTS!$U$92*AA64+INPUTS!$U$93*AA70+INPUTS!$U$94*AA76+INPUTS!$U$95*AA82+INPUTS!$U$96*AA88+INPUTS!$U$97*AA94)/INPUTS!$U$98,0)</f>
        <v>0</v>
      </c>
      <c r="AB100" s="118" t="n">
        <f aca="false">IF(INPUTS!$U$98&gt;0,(INPUTS!$U$88*AB40+INPUTS!$U$89*AB46+INPUTS!$U$90*AB52+INPUTS!$U$91*AB58+INPUTS!$U$92*AB64+INPUTS!$U$93*AB70+INPUTS!$U$94*AB76+INPUTS!$U$95*AB82+INPUTS!$U$96*AB88+INPUTS!$U$97*AB94)/INPUTS!$U$98,0)</f>
        <v>0</v>
      </c>
      <c r="AC100" s="118" t="n">
        <f aca="false">IF(INPUTS!$U$98&gt;0,(INPUTS!$U$88*AC40+INPUTS!$U$89*AC46+INPUTS!$U$90*AC52+INPUTS!$U$91*AC58+INPUTS!$U$92*AC64+INPUTS!$U$93*AC70+INPUTS!$U$94*AC76+INPUTS!$U$95*AC82+INPUTS!$U$96*AC88+INPUTS!$U$97*AC94)/INPUTS!$U$98,0)</f>
        <v>0</v>
      </c>
      <c r="AD100" s="118" t="n">
        <f aca="false">IF(INPUTS!$U$98&gt;0,(INPUTS!$U$88*AD40+INPUTS!$U$89*AD46+INPUTS!$U$90*AD52+INPUTS!$U$91*AD58+INPUTS!$U$92*AD64+INPUTS!$U$93*AD70+INPUTS!$U$94*AD76+INPUTS!$U$95*AD82+INPUTS!$U$96*AD88+INPUTS!$U$97*AD94)/INPUTS!$U$98,0)</f>
        <v>0</v>
      </c>
      <c r="AE100" s="118" t="n">
        <f aca="false">IF(INPUTS!$U$98&gt;0,(INPUTS!$U$88*AE40+INPUTS!$U$89*AE46+INPUTS!$U$90*AE52+INPUTS!$U$91*AE58+INPUTS!$U$92*AE64+INPUTS!$U$93*AE70+INPUTS!$U$94*AE76+INPUTS!$U$95*AE82+INPUTS!$U$96*AE88+INPUTS!$U$97*AE94)/INPUTS!$U$98,0)</f>
        <v>0</v>
      </c>
      <c r="AF100" s="118" t="n">
        <f aca="false">IF(INPUTS!$U$98&gt;0,(INPUTS!$U$88*AF40+INPUTS!$U$89*AF46+INPUTS!$U$90*AF52+INPUTS!$U$91*AF58+INPUTS!$U$92*AF64+INPUTS!$U$93*AF70+INPUTS!$U$94*AF76+INPUTS!$U$95*AF82+INPUTS!$U$96*AF88+INPUTS!$U$97*AF94)/INPUTS!$U$98,0)</f>
        <v>0</v>
      </c>
      <c r="AG100" s="118" t="n">
        <f aca="false">IF(INPUTS!$U$98&gt;0,(INPUTS!$U$88*AG40+INPUTS!$U$89*AG46+INPUTS!$U$90*AG52+INPUTS!$U$91*AG58+INPUTS!$U$92*AG64+INPUTS!$U$93*AG70+INPUTS!$U$94*AG76+INPUTS!$U$95*AG82+INPUTS!$U$96*AG88+INPUTS!$U$97*AG94)/INPUTS!$U$98,0)</f>
        <v>0</v>
      </c>
      <c r="AH100" s="118" t="n">
        <f aca="false">IF(INPUTS!$U$98&gt;0,(INPUTS!$U$88*AH40+INPUTS!$U$89*AH46+INPUTS!$U$90*AH52+INPUTS!$U$91*AH58+INPUTS!$U$92*AH64+INPUTS!$U$93*AH70+INPUTS!$U$94*AH76+INPUTS!$U$95*AH82+INPUTS!$U$96*AH88+INPUTS!$U$97*AH94)/INPUTS!$U$98,0)</f>
        <v>0</v>
      </c>
      <c r="AI100" s="118" t="n">
        <f aca="false">IF(INPUTS!$U$98&gt;0,(INPUTS!$U$88*AI40+INPUTS!$U$89*AI46+INPUTS!$U$90*AI52+INPUTS!$U$91*AI58+INPUTS!$U$92*AI64+INPUTS!$U$93*AI70+INPUTS!$U$94*AI76+INPUTS!$U$95*AI82+INPUTS!$U$96*AI88+INPUTS!$U$97*AI94)/INPUTS!$U$98,0)</f>
        <v>0</v>
      </c>
      <c r="AJ100" s="118" t="n">
        <f aca="false">IF(INPUTS!$U$98&gt;0,(INPUTS!$U$88*AJ40+INPUTS!$U$89*AJ46+INPUTS!$U$90*AJ52+INPUTS!$U$91*AJ58+INPUTS!$U$92*AJ64+INPUTS!$U$93*AJ70+INPUTS!$U$94*AJ76+INPUTS!$U$95*AJ82+INPUTS!$U$96*AJ88+INPUTS!$U$97*AJ94)/INPUTS!$U$98,0)</f>
        <v>0</v>
      </c>
      <c r="AK100" s="118" t="n">
        <f aca="false">IF(INPUTS!$U$98&gt;0,(INPUTS!$U$88*AK40+INPUTS!$U$89*AK46+INPUTS!$U$90*AK52+INPUTS!$U$91*AK58+INPUTS!$U$92*AK64+INPUTS!$U$93*AK70+INPUTS!$U$94*AK76+INPUTS!$U$95*AK82+INPUTS!$U$96*AK88+INPUTS!$U$97*AK94)/INPUTS!$U$98,0)</f>
        <v>0</v>
      </c>
      <c r="AL100" s="118" t="n">
        <f aca="false">IF(INPUTS!$U$98&gt;0,(INPUTS!$U$88*AL40+INPUTS!$U$89*AL46+INPUTS!$U$90*AL52+INPUTS!$U$91*AL58+INPUTS!$U$92*AL64+INPUTS!$U$93*AL70+INPUTS!$U$94*AL76+INPUTS!$U$95*AL82+INPUTS!$U$96*AL88+INPUTS!$U$97*AL94)/INPUTS!$U$98,0)</f>
        <v>0</v>
      </c>
      <c r="AM100" s="118" t="n">
        <f aca="false">IF(INPUTS!$U$98&gt;0,(INPUTS!$U$88*AM40+INPUTS!$U$89*AM46+INPUTS!$U$90*AM52+INPUTS!$U$91*AM58+INPUTS!$U$92*AM64+INPUTS!$U$93*AM70+INPUTS!$U$94*AM76+INPUTS!$U$95*AM82+INPUTS!$U$96*AM88+INPUTS!$U$97*AM94)/INPUTS!$U$98,0)</f>
        <v>0</v>
      </c>
      <c r="AN100" s="118" t="n">
        <f aca="false">IF(INPUTS!$U$98&gt;0,(INPUTS!$U$88*AN40+INPUTS!$U$89*AN46+INPUTS!$U$90*AN52+INPUTS!$U$91*AN58+INPUTS!$U$92*AN64+INPUTS!$U$93*AN70+INPUTS!$U$94*AN76+INPUTS!$U$95*AN82+INPUTS!$U$96*AN88+INPUTS!$U$97*AN94)/INPUTS!$U$98,0)</f>
        <v>0</v>
      </c>
      <c r="AO100" s="118" t="n">
        <f aca="false">IF(INPUTS!$U$98&gt;0,(INPUTS!$U$88*AO40+INPUTS!$U$89*AO46+INPUTS!$U$90*AO52+INPUTS!$U$91*AO58+INPUTS!$U$92*AO64+INPUTS!$U$93*AO70+INPUTS!$U$94*AO76+INPUTS!$U$95*AO82+INPUTS!$U$96*AO88+INPUTS!$U$97*AO94)/INPUTS!$U$98,0)</f>
        <v>0</v>
      </c>
      <c r="AP100" s="118" t="n">
        <f aca="false">IF(INPUTS!$U$98&gt;0,(INPUTS!$U$88*AP40+INPUTS!$U$89*AP46+INPUTS!$U$90*AP52+INPUTS!$U$91*AP58+INPUTS!$U$92*AP64+INPUTS!$U$93*AP70+INPUTS!$U$94*AP76+INPUTS!$U$95*AP82+INPUTS!$U$96*AP88+INPUTS!$U$97*AP94)/INPUTS!$U$98,0)</f>
        <v>0</v>
      </c>
      <c r="AQ100" s="118" t="n">
        <f aca="false">IF(INPUTS!$U$98&gt;0,(INPUTS!$U$88*AQ40+INPUTS!$U$89*AQ46+INPUTS!$U$90*AQ52+INPUTS!$U$91*AQ58+INPUTS!$U$92*AQ64+INPUTS!$U$93*AQ70+INPUTS!$U$94*AQ76+INPUTS!$U$95*AQ82+INPUTS!$U$96*AQ88+INPUTS!$U$97*AQ94)/INPUTS!$U$98,0)</f>
        <v>0</v>
      </c>
    </row>
    <row r="101" customFormat="false" ht="15" hidden="false" customHeight="false" outlineLevel="0" collapsed="false">
      <c r="B101" s="3" t="s">
        <v>678</v>
      </c>
      <c r="C101" s="117" t="n">
        <f aca="false">SUM(D101:AQ101)</f>
        <v>1</v>
      </c>
      <c r="D101" s="118" t="n">
        <f aca="false">IF(SUMIF(INPUTS!$D$88:$D$97,"Villa",INPUTS!$U$88:$U$97)&gt;0,((INPUTS!$D$88="Villa")*INPUTS!$U$88*D40+(INPUTS!$D$89="Villa")*INPUTS!$U$89*D46+(INPUTS!$D$90="Villa")*INPUTS!$U$90*D52+(INPUTS!$D$91="Villa")*INPUTS!$U$91*D58+(INPUTS!$D$92="Villa")*INPUTS!$U$92*D64+(INPUTS!$D$93="Villa")*INPUTS!$U$93*D70+(INPUTS!$D$94="Villa")*INPUTS!$U$94*D76+(INPUTS!$D$95="Villa")*INPUTS!$U$95*D82+(INPUTS!$D$96="Villa")*INPUTS!$U$96*D88+(INPUTS!$D$97="Villa")*INPUTS!$U$97*D94)/SUMIF(INPUTS!$D$88:$D$97,"Villa",INPUTS!$U$88:$U$97),0)</f>
        <v>0</v>
      </c>
      <c r="E101" s="118" t="n">
        <f aca="false">IF(SUMIF(INPUTS!$D$88:$D$97,"Villa",INPUTS!$U$88:$U$97)&gt;0,((INPUTS!$D$88="Villa")*INPUTS!$U$88*E40+(INPUTS!$D$89="Villa")*INPUTS!$U$89*E46+(INPUTS!$D$90="Villa")*INPUTS!$U$90*E52+(INPUTS!$D$91="Villa")*INPUTS!$U$91*E58+(INPUTS!$D$92="Villa")*INPUTS!$U$92*E64+(INPUTS!$D$93="Villa")*INPUTS!$U$93*E70+(INPUTS!$D$94="Villa")*INPUTS!$U$94*E76+(INPUTS!$D$95="Villa")*INPUTS!$U$95*E82+(INPUTS!$D$96="Villa")*INPUTS!$U$96*E88+(INPUTS!$D$97="Villa")*INPUTS!$U$97*E94)/SUMIF(INPUTS!$D$88:$D$97,"Villa",INPUTS!$U$88:$U$97),0)</f>
        <v>0</v>
      </c>
      <c r="F101" s="118" t="n">
        <f aca="false">IF(SUMIF(INPUTS!$D$88:$D$97,"Villa",INPUTS!$U$88:$U$97)&gt;0,((INPUTS!$D$88="Villa")*INPUTS!$U$88*F40+(INPUTS!$D$89="Villa")*INPUTS!$U$89*F46+(INPUTS!$D$90="Villa")*INPUTS!$U$90*F52+(INPUTS!$D$91="Villa")*INPUTS!$U$91*F58+(INPUTS!$D$92="Villa")*INPUTS!$U$92*F64+(INPUTS!$D$93="Villa")*INPUTS!$U$93*F70+(INPUTS!$D$94="Villa")*INPUTS!$U$94*F76+(INPUTS!$D$95="Villa")*INPUTS!$U$95*F82+(INPUTS!$D$96="Villa")*INPUTS!$U$96*F88+(INPUTS!$D$97="Villa")*INPUTS!$U$97*F94)/SUMIF(INPUTS!$D$88:$D$97,"Villa",INPUTS!$U$88:$U$97),0)</f>
        <v>0</v>
      </c>
      <c r="G101" s="118" t="n">
        <f aca="false">IF(SUMIF(INPUTS!$D$88:$D$97,"Villa",INPUTS!$U$88:$U$97)&gt;0,((INPUTS!$D$88="Villa")*INPUTS!$U$88*G40+(INPUTS!$D$89="Villa")*INPUTS!$U$89*G46+(INPUTS!$D$90="Villa")*INPUTS!$U$90*G52+(INPUTS!$D$91="Villa")*INPUTS!$U$91*G58+(INPUTS!$D$92="Villa")*INPUTS!$U$92*G64+(INPUTS!$D$93="Villa")*INPUTS!$U$93*G70+(INPUTS!$D$94="Villa")*INPUTS!$U$94*G76+(INPUTS!$D$95="Villa")*INPUTS!$U$95*G82+(INPUTS!$D$96="Villa")*INPUTS!$U$96*G88+(INPUTS!$D$97="Villa")*INPUTS!$U$97*G94)/SUMIF(INPUTS!$D$88:$D$97,"Villa",INPUTS!$U$88:$U$97),0)</f>
        <v>0.0170370868554659</v>
      </c>
      <c r="H101" s="118" t="n">
        <f aca="false">IF(SUMIF(INPUTS!$D$88:$D$97,"Villa",INPUTS!$U$88:$U$97)&gt;0,((INPUTS!$D$88="Villa")*INPUTS!$U$88*H40+(INPUTS!$D$89="Villa")*INPUTS!$U$89*H46+(INPUTS!$D$90="Villa")*INPUTS!$U$90*H52+(INPUTS!$D$91="Villa")*INPUTS!$U$91*H58+(INPUTS!$D$92="Villa")*INPUTS!$U$92*H64+(INPUTS!$D$93="Villa")*INPUTS!$U$93*H70+(INPUTS!$D$94="Villa")*INPUTS!$U$94*H76+(INPUTS!$D$95="Villa")*INPUTS!$U$95*H82+(INPUTS!$D$96="Villa")*INPUTS!$U$96*H88+(INPUTS!$D$97="Villa")*INPUTS!$U$97*H94)/SUMIF(INPUTS!$D$88:$D$97,"Villa",INPUTS!$U$88:$U$97),0)</f>
        <v>0.0499502112523148</v>
      </c>
      <c r="I101" s="118" t="n">
        <f aca="false">IF(SUMIF(INPUTS!$D$88:$D$97,"Villa",INPUTS!$U$88:$U$97)&gt;0,((INPUTS!$D$88="Villa")*INPUTS!$U$88*I40+(INPUTS!$D$89="Villa")*INPUTS!$U$89*I46+(INPUTS!$D$90="Villa")*INPUTS!$U$90*I52+(INPUTS!$D$91="Villa")*INPUTS!$U$91*I58+(INPUTS!$D$92="Villa")*INPUTS!$U$92*I64+(INPUTS!$D$93="Villa")*INPUTS!$U$93*I70+(INPUTS!$D$94="Villa")*INPUTS!$U$94*I76+(INPUTS!$D$95="Villa")*INPUTS!$U$95*I82+(INPUTS!$D$96="Villa")*INPUTS!$U$96*I88+(INPUTS!$D$97="Villa")*INPUTS!$U$97*I94)/SUMIF(INPUTS!$D$88:$D$97,"Villa",INPUTS!$U$88:$U$97),0)</f>
        <v>0.0794593112989456</v>
      </c>
      <c r="J101" s="118" t="n">
        <f aca="false">IF(SUMIF(INPUTS!$D$88:$D$97,"Villa",INPUTS!$U$88:$U$97)&gt;0,((INPUTS!$D$88="Villa")*INPUTS!$U$88*J40+(INPUTS!$D$89="Villa")*INPUTS!$U$89*J46+(INPUTS!$D$90="Villa")*INPUTS!$U$90*J52+(INPUTS!$D$91="Villa")*INPUTS!$U$91*J58+(INPUTS!$D$92="Villa")*INPUTS!$U$92*J64+(INPUTS!$D$93="Villa")*INPUTS!$U$93*J70+(INPUTS!$D$94="Villa")*INPUTS!$U$94*J76+(INPUTS!$D$95="Villa")*INPUTS!$U$95*J82+(INPUTS!$D$96="Villa")*INPUTS!$U$96*J88+(INPUTS!$D$97="Villa")*INPUTS!$U$97*J94)/SUMIF(INPUTS!$D$88:$D$97,"Villa",INPUTS!$U$88:$U$97),0)</f>
        <v>0.103553390593274</v>
      </c>
      <c r="K101" s="118" t="n">
        <f aca="false">IF(SUMIF(INPUTS!$D$88:$D$97,"Villa",INPUTS!$U$88:$U$97)&gt;0,((INPUTS!$D$88="Villa")*INPUTS!$U$88*K40+(INPUTS!$D$89="Villa")*INPUTS!$U$89*K46+(INPUTS!$D$90="Villa")*INPUTS!$U$90*K52+(INPUTS!$D$91="Villa")*INPUTS!$U$91*K58+(INPUTS!$D$92="Villa")*INPUTS!$U$92*K64+(INPUTS!$D$93="Villa")*INPUTS!$U$93*K70+(INPUTS!$D$94="Villa")*INPUTS!$U$94*K76+(INPUTS!$D$95="Villa")*INPUTS!$U$95*K82+(INPUTS!$D$96="Villa")*INPUTS!$U$96*K88+(INPUTS!$D$97="Villa")*INPUTS!$U$97*K94)/SUMIF(INPUTS!$D$88:$D$97,"Villa",INPUTS!$U$88:$U$97),0)</f>
        <v>0.12059047744874</v>
      </c>
      <c r="L101" s="118" t="n">
        <f aca="false">IF(SUMIF(INPUTS!$D$88:$D$97,"Villa",INPUTS!$U$88:$U$97)&gt;0,((INPUTS!$D$88="Villa")*INPUTS!$U$88*L40+(INPUTS!$D$89="Villa")*INPUTS!$U$89*L46+(INPUTS!$D$90="Villa")*INPUTS!$U$90*L52+(INPUTS!$D$91="Villa")*INPUTS!$U$91*L58+(INPUTS!$D$92="Villa")*INPUTS!$U$92*L64+(INPUTS!$D$93="Villa")*INPUTS!$U$93*L70+(INPUTS!$D$94="Villa")*INPUTS!$U$94*L76+(INPUTS!$D$95="Villa")*INPUTS!$U$95*L82+(INPUTS!$D$96="Villa")*INPUTS!$U$96*L88+(INPUTS!$D$97="Villa")*INPUTS!$U$97*L94)/SUMIF(INPUTS!$D$88:$D$97,"Villa",INPUTS!$U$88:$U$97),0)</f>
        <v>0.12940952255126</v>
      </c>
      <c r="M101" s="118" t="n">
        <f aca="false">IF(SUMIF(INPUTS!$D$88:$D$97,"Villa",INPUTS!$U$88:$U$97)&gt;0,((INPUTS!$D$88="Villa")*INPUTS!$U$88*M40+(INPUTS!$D$89="Villa")*INPUTS!$U$89*M46+(INPUTS!$D$90="Villa")*INPUTS!$U$90*M52+(INPUTS!$D$91="Villa")*INPUTS!$U$91*M58+(INPUTS!$D$92="Villa")*INPUTS!$U$92*M64+(INPUTS!$D$93="Villa")*INPUTS!$U$93*M70+(INPUTS!$D$94="Villa")*INPUTS!$U$94*M76+(INPUTS!$D$95="Villa")*INPUTS!$U$95*M82+(INPUTS!$D$96="Villa")*INPUTS!$U$96*M88+(INPUTS!$D$97="Villa")*INPUTS!$U$97*M94)/SUMIF(INPUTS!$D$88:$D$97,"Villa",INPUTS!$U$88:$U$97),0)</f>
        <v>0.12940952255126</v>
      </c>
      <c r="N101" s="118" t="n">
        <f aca="false">IF(SUMIF(INPUTS!$D$88:$D$97,"Villa",INPUTS!$U$88:$U$97)&gt;0,((INPUTS!$D$88="Villa")*INPUTS!$U$88*N40+(INPUTS!$D$89="Villa")*INPUTS!$U$89*N46+(INPUTS!$D$90="Villa")*INPUTS!$U$90*N52+(INPUTS!$D$91="Villa")*INPUTS!$U$91*N58+(INPUTS!$D$92="Villa")*INPUTS!$U$92*N64+(INPUTS!$D$93="Villa")*INPUTS!$U$93*N70+(INPUTS!$D$94="Villa")*INPUTS!$U$94*N76+(INPUTS!$D$95="Villa")*INPUTS!$U$95*N82+(INPUTS!$D$96="Villa")*INPUTS!$U$96*N88+(INPUTS!$D$97="Villa")*INPUTS!$U$97*N94)/SUMIF(INPUTS!$D$88:$D$97,"Villa",INPUTS!$U$88:$U$97),0)</f>
        <v>0.12059047744874</v>
      </c>
      <c r="O101" s="118" t="n">
        <f aca="false">IF(SUMIF(INPUTS!$D$88:$D$97,"Villa",INPUTS!$U$88:$U$97)&gt;0,((INPUTS!$D$88="Villa")*INPUTS!$U$88*O40+(INPUTS!$D$89="Villa")*INPUTS!$U$89*O46+(INPUTS!$D$90="Villa")*INPUTS!$U$90*O52+(INPUTS!$D$91="Villa")*INPUTS!$U$91*O58+(INPUTS!$D$92="Villa")*INPUTS!$U$92*O64+(INPUTS!$D$93="Villa")*INPUTS!$U$93*O70+(INPUTS!$D$94="Villa")*INPUTS!$U$94*O76+(INPUTS!$D$95="Villa")*INPUTS!$U$95*O82+(INPUTS!$D$96="Villa")*INPUTS!$U$96*O88+(INPUTS!$D$97="Villa")*INPUTS!$U$97*O94)/SUMIF(INPUTS!$D$88:$D$97,"Villa",INPUTS!$U$88:$U$97),0)</f>
        <v>0.103553390593274</v>
      </c>
      <c r="P101" s="118" t="n">
        <f aca="false">IF(SUMIF(INPUTS!$D$88:$D$97,"Villa",INPUTS!$U$88:$U$97)&gt;0,((INPUTS!$D$88="Villa")*INPUTS!$U$88*P40+(INPUTS!$D$89="Villa")*INPUTS!$U$89*P46+(INPUTS!$D$90="Villa")*INPUTS!$U$90*P52+(INPUTS!$D$91="Villa")*INPUTS!$U$91*P58+(INPUTS!$D$92="Villa")*INPUTS!$U$92*P64+(INPUTS!$D$93="Villa")*INPUTS!$U$93*P70+(INPUTS!$D$94="Villa")*INPUTS!$U$94*P76+(INPUTS!$D$95="Villa")*INPUTS!$U$95*P82+(INPUTS!$D$96="Villa")*INPUTS!$U$96*P88+(INPUTS!$D$97="Villa")*INPUTS!$U$97*P94)/SUMIF(INPUTS!$D$88:$D$97,"Villa",INPUTS!$U$88:$U$97),0)</f>
        <v>0.0794593112989456</v>
      </c>
      <c r="Q101" s="118" t="n">
        <f aca="false">IF(SUMIF(INPUTS!$D$88:$D$97,"Villa",INPUTS!$U$88:$U$97)&gt;0,((INPUTS!$D$88="Villa")*INPUTS!$U$88*Q40+(INPUTS!$D$89="Villa")*INPUTS!$U$89*Q46+(INPUTS!$D$90="Villa")*INPUTS!$U$90*Q52+(INPUTS!$D$91="Villa")*INPUTS!$U$91*Q58+(INPUTS!$D$92="Villa")*INPUTS!$U$92*Q64+(INPUTS!$D$93="Villa")*INPUTS!$U$93*Q70+(INPUTS!$D$94="Villa")*INPUTS!$U$94*Q76+(INPUTS!$D$95="Villa")*INPUTS!$U$95*Q82+(INPUTS!$D$96="Villa")*INPUTS!$U$96*Q88+(INPUTS!$D$97="Villa")*INPUTS!$U$97*Q94)/SUMIF(INPUTS!$D$88:$D$97,"Villa",INPUTS!$U$88:$U$97),0)</f>
        <v>0.0499502112523148</v>
      </c>
      <c r="R101" s="118" t="n">
        <f aca="false">IF(SUMIF(INPUTS!$D$88:$D$97,"Villa",INPUTS!$U$88:$U$97)&gt;0,((INPUTS!$D$88="Villa")*INPUTS!$U$88*R40+(INPUTS!$D$89="Villa")*INPUTS!$U$89*R46+(INPUTS!$D$90="Villa")*INPUTS!$U$90*R52+(INPUTS!$D$91="Villa")*INPUTS!$U$91*R58+(INPUTS!$D$92="Villa")*INPUTS!$U$92*R64+(INPUTS!$D$93="Villa")*INPUTS!$U$93*R70+(INPUTS!$D$94="Villa")*INPUTS!$U$94*R76+(INPUTS!$D$95="Villa")*INPUTS!$U$95*R82+(INPUTS!$D$96="Villa")*INPUTS!$U$96*R88+(INPUTS!$D$97="Villa")*INPUTS!$U$97*R94)/SUMIF(INPUTS!$D$88:$D$97,"Villa",INPUTS!$U$88:$U$97),0)</f>
        <v>0.0170370868554659</v>
      </c>
      <c r="S101" s="118" t="n">
        <f aca="false">IF(SUMIF(INPUTS!$D$88:$D$97,"Villa",INPUTS!$U$88:$U$97)&gt;0,((INPUTS!$D$88="Villa")*INPUTS!$U$88*S40+(INPUTS!$D$89="Villa")*INPUTS!$U$89*S46+(INPUTS!$D$90="Villa")*INPUTS!$U$90*S52+(INPUTS!$D$91="Villa")*INPUTS!$U$91*S58+(INPUTS!$D$92="Villa")*INPUTS!$U$92*S64+(INPUTS!$D$93="Villa")*INPUTS!$U$93*S70+(INPUTS!$D$94="Villa")*INPUTS!$U$94*S76+(INPUTS!$D$95="Villa")*INPUTS!$U$95*S82+(INPUTS!$D$96="Villa")*INPUTS!$U$96*S88+(INPUTS!$D$97="Villa")*INPUTS!$U$97*S94)/SUMIF(INPUTS!$D$88:$D$97,"Villa",INPUTS!$U$88:$U$97),0)</f>
        <v>0</v>
      </c>
      <c r="T101" s="118" t="n">
        <f aca="false">IF(SUMIF(INPUTS!$D$88:$D$97,"Villa",INPUTS!$U$88:$U$97)&gt;0,((INPUTS!$D$88="Villa")*INPUTS!$U$88*T40+(INPUTS!$D$89="Villa")*INPUTS!$U$89*T46+(INPUTS!$D$90="Villa")*INPUTS!$U$90*T52+(INPUTS!$D$91="Villa")*INPUTS!$U$91*T58+(INPUTS!$D$92="Villa")*INPUTS!$U$92*T64+(INPUTS!$D$93="Villa")*INPUTS!$U$93*T70+(INPUTS!$D$94="Villa")*INPUTS!$U$94*T76+(INPUTS!$D$95="Villa")*INPUTS!$U$95*T82+(INPUTS!$D$96="Villa")*INPUTS!$U$96*T88+(INPUTS!$D$97="Villa")*INPUTS!$U$97*T94)/SUMIF(INPUTS!$D$88:$D$97,"Villa",INPUTS!$U$88:$U$97),0)</f>
        <v>0</v>
      </c>
      <c r="U101" s="118" t="n">
        <f aca="false">IF(SUMIF(INPUTS!$D$88:$D$97,"Villa",INPUTS!$U$88:$U$97)&gt;0,((INPUTS!$D$88="Villa")*INPUTS!$U$88*U40+(INPUTS!$D$89="Villa")*INPUTS!$U$89*U46+(INPUTS!$D$90="Villa")*INPUTS!$U$90*U52+(INPUTS!$D$91="Villa")*INPUTS!$U$91*U58+(INPUTS!$D$92="Villa")*INPUTS!$U$92*U64+(INPUTS!$D$93="Villa")*INPUTS!$U$93*U70+(INPUTS!$D$94="Villa")*INPUTS!$U$94*U76+(INPUTS!$D$95="Villa")*INPUTS!$U$95*U82+(INPUTS!$D$96="Villa")*INPUTS!$U$96*U88+(INPUTS!$D$97="Villa")*INPUTS!$U$97*U94)/SUMIF(INPUTS!$D$88:$D$97,"Villa",INPUTS!$U$88:$U$97),0)</f>
        <v>0</v>
      </c>
      <c r="V101" s="118" t="n">
        <f aca="false">IF(SUMIF(INPUTS!$D$88:$D$97,"Villa",INPUTS!$U$88:$U$97)&gt;0,((INPUTS!$D$88="Villa")*INPUTS!$U$88*V40+(INPUTS!$D$89="Villa")*INPUTS!$U$89*V46+(INPUTS!$D$90="Villa")*INPUTS!$U$90*V52+(INPUTS!$D$91="Villa")*INPUTS!$U$91*V58+(INPUTS!$D$92="Villa")*INPUTS!$U$92*V64+(INPUTS!$D$93="Villa")*INPUTS!$U$93*V70+(INPUTS!$D$94="Villa")*INPUTS!$U$94*V76+(INPUTS!$D$95="Villa")*INPUTS!$U$95*V82+(INPUTS!$D$96="Villa")*INPUTS!$U$96*V88+(INPUTS!$D$97="Villa")*INPUTS!$U$97*V94)/SUMIF(INPUTS!$D$88:$D$97,"Villa",INPUTS!$U$88:$U$97),0)</f>
        <v>0</v>
      </c>
      <c r="W101" s="118" t="n">
        <f aca="false">IF(SUMIF(INPUTS!$D$88:$D$97,"Villa",INPUTS!$U$88:$U$97)&gt;0,((INPUTS!$D$88="Villa")*INPUTS!$U$88*W40+(INPUTS!$D$89="Villa")*INPUTS!$U$89*W46+(INPUTS!$D$90="Villa")*INPUTS!$U$90*W52+(INPUTS!$D$91="Villa")*INPUTS!$U$91*W58+(INPUTS!$D$92="Villa")*INPUTS!$U$92*W64+(INPUTS!$D$93="Villa")*INPUTS!$U$93*W70+(INPUTS!$D$94="Villa")*INPUTS!$U$94*W76+(INPUTS!$D$95="Villa")*INPUTS!$U$95*W82+(INPUTS!$D$96="Villa")*INPUTS!$U$96*W88+(INPUTS!$D$97="Villa")*INPUTS!$U$97*W94)/SUMIF(INPUTS!$D$88:$D$97,"Villa",INPUTS!$U$88:$U$97),0)</f>
        <v>0</v>
      </c>
      <c r="X101" s="118" t="n">
        <f aca="false">IF(SUMIF(INPUTS!$D$88:$D$97,"Villa",INPUTS!$U$88:$U$97)&gt;0,((INPUTS!$D$88="Villa")*INPUTS!$U$88*X40+(INPUTS!$D$89="Villa")*INPUTS!$U$89*X46+(INPUTS!$D$90="Villa")*INPUTS!$U$90*X52+(INPUTS!$D$91="Villa")*INPUTS!$U$91*X58+(INPUTS!$D$92="Villa")*INPUTS!$U$92*X64+(INPUTS!$D$93="Villa")*INPUTS!$U$93*X70+(INPUTS!$D$94="Villa")*INPUTS!$U$94*X76+(INPUTS!$D$95="Villa")*INPUTS!$U$95*X82+(INPUTS!$D$96="Villa")*INPUTS!$U$96*X88+(INPUTS!$D$97="Villa")*INPUTS!$U$97*X94)/SUMIF(INPUTS!$D$88:$D$97,"Villa",INPUTS!$U$88:$U$97),0)</f>
        <v>0</v>
      </c>
      <c r="Y101" s="118" t="n">
        <f aca="false">IF(SUMIF(INPUTS!$D$88:$D$97,"Villa",INPUTS!$U$88:$U$97)&gt;0,((INPUTS!$D$88="Villa")*INPUTS!$U$88*Y40+(INPUTS!$D$89="Villa")*INPUTS!$U$89*Y46+(INPUTS!$D$90="Villa")*INPUTS!$U$90*Y52+(INPUTS!$D$91="Villa")*INPUTS!$U$91*Y58+(INPUTS!$D$92="Villa")*INPUTS!$U$92*Y64+(INPUTS!$D$93="Villa")*INPUTS!$U$93*Y70+(INPUTS!$D$94="Villa")*INPUTS!$U$94*Y76+(INPUTS!$D$95="Villa")*INPUTS!$U$95*Y82+(INPUTS!$D$96="Villa")*INPUTS!$U$96*Y88+(INPUTS!$D$97="Villa")*INPUTS!$U$97*Y94)/SUMIF(INPUTS!$D$88:$D$97,"Villa",INPUTS!$U$88:$U$97),0)</f>
        <v>0</v>
      </c>
      <c r="Z101" s="118" t="n">
        <f aca="false">IF(SUMIF(INPUTS!$D$88:$D$97,"Villa",INPUTS!$U$88:$U$97)&gt;0,((INPUTS!$D$88="Villa")*INPUTS!$U$88*Z40+(INPUTS!$D$89="Villa")*INPUTS!$U$89*Z46+(INPUTS!$D$90="Villa")*INPUTS!$U$90*Z52+(INPUTS!$D$91="Villa")*INPUTS!$U$91*Z58+(INPUTS!$D$92="Villa")*INPUTS!$U$92*Z64+(INPUTS!$D$93="Villa")*INPUTS!$U$93*Z70+(INPUTS!$D$94="Villa")*INPUTS!$U$94*Z76+(INPUTS!$D$95="Villa")*INPUTS!$U$95*Z82+(INPUTS!$D$96="Villa")*INPUTS!$U$96*Z88+(INPUTS!$D$97="Villa")*INPUTS!$U$97*Z94)/SUMIF(INPUTS!$D$88:$D$97,"Villa",INPUTS!$U$88:$U$97),0)</f>
        <v>0</v>
      </c>
      <c r="AA101" s="118" t="n">
        <f aca="false">IF(SUMIF(INPUTS!$D$88:$D$97,"Villa",INPUTS!$U$88:$U$97)&gt;0,((INPUTS!$D$88="Villa")*INPUTS!$U$88*AA40+(INPUTS!$D$89="Villa")*INPUTS!$U$89*AA46+(INPUTS!$D$90="Villa")*INPUTS!$U$90*AA52+(INPUTS!$D$91="Villa")*INPUTS!$U$91*AA58+(INPUTS!$D$92="Villa")*INPUTS!$U$92*AA64+(INPUTS!$D$93="Villa")*INPUTS!$U$93*AA70+(INPUTS!$D$94="Villa")*INPUTS!$U$94*AA76+(INPUTS!$D$95="Villa")*INPUTS!$U$95*AA82+(INPUTS!$D$96="Villa")*INPUTS!$U$96*AA88+(INPUTS!$D$97="Villa")*INPUTS!$U$97*AA94)/SUMIF(INPUTS!$D$88:$D$97,"Villa",INPUTS!$U$88:$U$97),0)</f>
        <v>0</v>
      </c>
      <c r="AB101" s="118" t="n">
        <f aca="false">IF(SUMIF(INPUTS!$D$88:$D$97,"Villa",INPUTS!$U$88:$U$97)&gt;0,((INPUTS!$D$88="Villa")*INPUTS!$U$88*AB40+(INPUTS!$D$89="Villa")*INPUTS!$U$89*AB46+(INPUTS!$D$90="Villa")*INPUTS!$U$90*AB52+(INPUTS!$D$91="Villa")*INPUTS!$U$91*AB58+(INPUTS!$D$92="Villa")*INPUTS!$U$92*AB64+(INPUTS!$D$93="Villa")*INPUTS!$U$93*AB70+(INPUTS!$D$94="Villa")*INPUTS!$U$94*AB76+(INPUTS!$D$95="Villa")*INPUTS!$U$95*AB82+(INPUTS!$D$96="Villa")*INPUTS!$U$96*AB88+(INPUTS!$D$97="Villa")*INPUTS!$U$97*AB94)/SUMIF(INPUTS!$D$88:$D$97,"Villa",INPUTS!$U$88:$U$97),0)</f>
        <v>0</v>
      </c>
      <c r="AC101" s="118" t="n">
        <f aca="false">IF(SUMIF(INPUTS!$D$88:$D$97,"Villa",INPUTS!$U$88:$U$97)&gt;0,((INPUTS!$D$88="Villa")*INPUTS!$U$88*AC40+(INPUTS!$D$89="Villa")*INPUTS!$U$89*AC46+(INPUTS!$D$90="Villa")*INPUTS!$U$90*AC52+(INPUTS!$D$91="Villa")*INPUTS!$U$91*AC58+(INPUTS!$D$92="Villa")*INPUTS!$U$92*AC64+(INPUTS!$D$93="Villa")*INPUTS!$U$93*AC70+(INPUTS!$D$94="Villa")*INPUTS!$U$94*AC76+(INPUTS!$D$95="Villa")*INPUTS!$U$95*AC82+(INPUTS!$D$96="Villa")*INPUTS!$U$96*AC88+(INPUTS!$D$97="Villa")*INPUTS!$U$97*AC94)/SUMIF(INPUTS!$D$88:$D$97,"Villa",INPUTS!$U$88:$U$97),0)</f>
        <v>0</v>
      </c>
      <c r="AD101" s="118" t="n">
        <f aca="false">IF(SUMIF(INPUTS!$D$88:$D$97,"Villa",INPUTS!$U$88:$U$97)&gt;0,((INPUTS!$D$88="Villa")*INPUTS!$U$88*AD40+(INPUTS!$D$89="Villa")*INPUTS!$U$89*AD46+(INPUTS!$D$90="Villa")*INPUTS!$U$90*AD52+(INPUTS!$D$91="Villa")*INPUTS!$U$91*AD58+(INPUTS!$D$92="Villa")*INPUTS!$U$92*AD64+(INPUTS!$D$93="Villa")*INPUTS!$U$93*AD70+(INPUTS!$D$94="Villa")*INPUTS!$U$94*AD76+(INPUTS!$D$95="Villa")*INPUTS!$U$95*AD82+(INPUTS!$D$96="Villa")*INPUTS!$U$96*AD88+(INPUTS!$D$97="Villa")*INPUTS!$U$97*AD94)/SUMIF(INPUTS!$D$88:$D$97,"Villa",INPUTS!$U$88:$U$97),0)</f>
        <v>0</v>
      </c>
      <c r="AE101" s="118" t="n">
        <f aca="false">IF(SUMIF(INPUTS!$D$88:$D$97,"Villa",INPUTS!$U$88:$U$97)&gt;0,((INPUTS!$D$88="Villa")*INPUTS!$U$88*AE40+(INPUTS!$D$89="Villa")*INPUTS!$U$89*AE46+(INPUTS!$D$90="Villa")*INPUTS!$U$90*AE52+(INPUTS!$D$91="Villa")*INPUTS!$U$91*AE58+(INPUTS!$D$92="Villa")*INPUTS!$U$92*AE64+(INPUTS!$D$93="Villa")*INPUTS!$U$93*AE70+(INPUTS!$D$94="Villa")*INPUTS!$U$94*AE76+(INPUTS!$D$95="Villa")*INPUTS!$U$95*AE82+(INPUTS!$D$96="Villa")*INPUTS!$U$96*AE88+(INPUTS!$D$97="Villa")*INPUTS!$U$97*AE94)/SUMIF(INPUTS!$D$88:$D$97,"Villa",INPUTS!$U$88:$U$97),0)</f>
        <v>0</v>
      </c>
      <c r="AF101" s="118" t="n">
        <f aca="false">IF(SUMIF(INPUTS!$D$88:$D$97,"Villa",INPUTS!$U$88:$U$97)&gt;0,((INPUTS!$D$88="Villa")*INPUTS!$U$88*AF40+(INPUTS!$D$89="Villa")*INPUTS!$U$89*AF46+(INPUTS!$D$90="Villa")*INPUTS!$U$90*AF52+(INPUTS!$D$91="Villa")*INPUTS!$U$91*AF58+(INPUTS!$D$92="Villa")*INPUTS!$U$92*AF64+(INPUTS!$D$93="Villa")*INPUTS!$U$93*AF70+(INPUTS!$D$94="Villa")*INPUTS!$U$94*AF76+(INPUTS!$D$95="Villa")*INPUTS!$U$95*AF82+(INPUTS!$D$96="Villa")*INPUTS!$U$96*AF88+(INPUTS!$D$97="Villa")*INPUTS!$U$97*AF94)/SUMIF(INPUTS!$D$88:$D$97,"Villa",INPUTS!$U$88:$U$97),0)</f>
        <v>0</v>
      </c>
      <c r="AG101" s="118" t="n">
        <f aca="false">IF(SUMIF(INPUTS!$D$88:$D$97,"Villa",INPUTS!$U$88:$U$97)&gt;0,((INPUTS!$D$88="Villa")*INPUTS!$U$88*AG40+(INPUTS!$D$89="Villa")*INPUTS!$U$89*AG46+(INPUTS!$D$90="Villa")*INPUTS!$U$90*AG52+(INPUTS!$D$91="Villa")*INPUTS!$U$91*AG58+(INPUTS!$D$92="Villa")*INPUTS!$U$92*AG64+(INPUTS!$D$93="Villa")*INPUTS!$U$93*AG70+(INPUTS!$D$94="Villa")*INPUTS!$U$94*AG76+(INPUTS!$D$95="Villa")*INPUTS!$U$95*AG82+(INPUTS!$D$96="Villa")*INPUTS!$U$96*AG88+(INPUTS!$D$97="Villa")*INPUTS!$U$97*AG94)/SUMIF(INPUTS!$D$88:$D$97,"Villa",INPUTS!$U$88:$U$97),0)</f>
        <v>0</v>
      </c>
      <c r="AH101" s="118" t="n">
        <f aca="false">IF(SUMIF(INPUTS!$D$88:$D$97,"Villa",INPUTS!$U$88:$U$97)&gt;0,((INPUTS!$D$88="Villa")*INPUTS!$U$88*AH40+(INPUTS!$D$89="Villa")*INPUTS!$U$89*AH46+(INPUTS!$D$90="Villa")*INPUTS!$U$90*AH52+(INPUTS!$D$91="Villa")*INPUTS!$U$91*AH58+(INPUTS!$D$92="Villa")*INPUTS!$U$92*AH64+(INPUTS!$D$93="Villa")*INPUTS!$U$93*AH70+(INPUTS!$D$94="Villa")*INPUTS!$U$94*AH76+(INPUTS!$D$95="Villa")*INPUTS!$U$95*AH82+(INPUTS!$D$96="Villa")*INPUTS!$U$96*AH88+(INPUTS!$D$97="Villa")*INPUTS!$U$97*AH94)/SUMIF(INPUTS!$D$88:$D$97,"Villa",INPUTS!$U$88:$U$97),0)</f>
        <v>0</v>
      </c>
      <c r="AI101" s="118" t="n">
        <f aca="false">IF(SUMIF(INPUTS!$D$88:$D$97,"Villa",INPUTS!$U$88:$U$97)&gt;0,((INPUTS!$D$88="Villa")*INPUTS!$U$88*AI40+(INPUTS!$D$89="Villa")*INPUTS!$U$89*AI46+(INPUTS!$D$90="Villa")*INPUTS!$U$90*AI52+(INPUTS!$D$91="Villa")*INPUTS!$U$91*AI58+(INPUTS!$D$92="Villa")*INPUTS!$U$92*AI64+(INPUTS!$D$93="Villa")*INPUTS!$U$93*AI70+(INPUTS!$D$94="Villa")*INPUTS!$U$94*AI76+(INPUTS!$D$95="Villa")*INPUTS!$U$95*AI82+(INPUTS!$D$96="Villa")*INPUTS!$U$96*AI88+(INPUTS!$D$97="Villa")*INPUTS!$U$97*AI94)/SUMIF(INPUTS!$D$88:$D$97,"Villa",INPUTS!$U$88:$U$97),0)</f>
        <v>0</v>
      </c>
      <c r="AJ101" s="118" t="n">
        <f aca="false">IF(SUMIF(INPUTS!$D$88:$D$97,"Villa",INPUTS!$U$88:$U$97)&gt;0,((INPUTS!$D$88="Villa")*INPUTS!$U$88*AJ40+(INPUTS!$D$89="Villa")*INPUTS!$U$89*AJ46+(INPUTS!$D$90="Villa")*INPUTS!$U$90*AJ52+(INPUTS!$D$91="Villa")*INPUTS!$U$91*AJ58+(INPUTS!$D$92="Villa")*INPUTS!$U$92*AJ64+(INPUTS!$D$93="Villa")*INPUTS!$U$93*AJ70+(INPUTS!$D$94="Villa")*INPUTS!$U$94*AJ76+(INPUTS!$D$95="Villa")*INPUTS!$U$95*AJ82+(INPUTS!$D$96="Villa")*INPUTS!$U$96*AJ88+(INPUTS!$D$97="Villa")*INPUTS!$U$97*AJ94)/SUMIF(INPUTS!$D$88:$D$97,"Villa",INPUTS!$U$88:$U$97),0)</f>
        <v>0</v>
      </c>
      <c r="AK101" s="118" t="n">
        <f aca="false">IF(SUMIF(INPUTS!$D$88:$D$97,"Villa",INPUTS!$U$88:$U$97)&gt;0,((INPUTS!$D$88="Villa")*INPUTS!$U$88*AK40+(INPUTS!$D$89="Villa")*INPUTS!$U$89*AK46+(INPUTS!$D$90="Villa")*INPUTS!$U$90*AK52+(INPUTS!$D$91="Villa")*INPUTS!$U$91*AK58+(INPUTS!$D$92="Villa")*INPUTS!$U$92*AK64+(INPUTS!$D$93="Villa")*INPUTS!$U$93*AK70+(INPUTS!$D$94="Villa")*INPUTS!$U$94*AK76+(INPUTS!$D$95="Villa")*INPUTS!$U$95*AK82+(INPUTS!$D$96="Villa")*INPUTS!$U$96*AK88+(INPUTS!$D$97="Villa")*INPUTS!$U$97*AK94)/SUMIF(INPUTS!$D$88:$D$97,"Villa",INPUTS!$U$88:$U$97),0)</f>
        <v>0</v>
      </c>
      <c r="AL101" s="118" t="n">
        <f aca="false">IF(SUMIF(INPUTS!$D$88:$D$97,"Villa",INPUTS!$U$88:$U$97)&gt;0,((INPUTS!$D$88="Villa")*INPUTS!$U$88*AL40+(INPUTS!$D$89="Villa")*INPUTS!$U$89*AL46+(INPUTS!$D$90="Villa")*INPUTS!$U$90*AL52+(INPUTS!$D$91="Villa")*INPUTS!$U$91*AL58+(INPUTS!$D$92="Villa")*INPUTS!$U$92*AL64+(INPUTS!$D$93="Villa")*INPUTS!$U$93*AL70+(INPUTS!$D$94="Villa")*INPUTS!$U$94*AL76+(INPUTS!$D$95="Villa")*INPUTS!$U$95*AL82+(INPUTS!$D$96="Villa")*INPUTS!$U$96*AL88+(INPUTS!$D$97="Villa")*INPUTS!$U$97*AL94)/SUMIF(INPUTS!$D$88:$D$97,"Villa",INPUTS!$U$88:$U$97),0)</f>
        <v>0</v>
      </c>
      <c r="AM101" s="118" t="n">
        <f aca="false">IF(SUMIF(INPUTS!$D$88:$D$97,"Villa",INPUTS!$U$88:$U$97)&gt;0,((INPUTS!$D$88="Villa")*INPUTS!$U$88*AM40+(INPUTS!$D$89="Villa")*INPUTS!$U$89*AM46+(INPUTS!$D$90="Villa")*INPUTS!$U$90*AM52+(INPUTS!$D$91="Villa")*INPUTS!$U$91*AM58+(INPUTS!$D$92="Villa")*INPUTS!$U$92*AM64+(INPUTS!$D$93="Villa")*INPUTS!$U$93*AM70+(INPUTS!$D$94="Villa")*INPUTS!$U$94*AM76+(INPUTS!$D$95="Villa")*INPUTS!$U$95*AM82+(INPUTS!$D$96="Villa")*INPUTS!$U$96*AM88+(INPUTS!$D$97="Villa")*INPUTS!$U$97*AM94)/SUMIF(INPUTS!$D$88:$D$97,"Villa",INPUTS!$U$88:$U$97),0)</f>
        <v>0</v>
      </c>
      <c r="AN101" s="118" t="n">
        <f aca="false">IF(SUMIF(INPUTS!$D$88:$D$97,"Villa",INPUTS!$U$88:$U$97)&gt;0,((INPUTS!$D$88="Villa")*INPUTS!$U$88*AN40+(INPUTS!$D$89="Villa")*INPUTS!$U$89*AN46+(INPUTS!$D$90="Villa")*INPUTS!$U$90*AN52+(INPUTS!$D$91="Villa")*INPUTS!$U$91*AN58+(INPUTS!$D$92="Villa")*INPUTS!$U$92*AN64+(INPUTS!$D$93="Villa")*INPUTS!$U$93*AN70+(INPUTS!$D$94="Villa")*INPUTS!$U$94*AN76+(INPUTS!$D$95="Villa")*INPUTS!$U$95*AN82+(INPUTS!$D$96="Villa")*INPUTS!$U$96*AN88+(INPUTS!$D$97="Villa")*INPUTS!$U$97*AN94)/SUMIF(INPUTS!$D$88:$D$97,"Villa",INPUTS!$U$88:$U$97),0)</f>
        <v>0</v>
      </c>
      <c r="AO101" s="118" t="n">
        <f aca="false">IF(SUMIF(INPUTS!$D$88:$D$97,"Villa",INPUTS!$U$88:$U$97)&gt;0,((INPUTS!$D$88="Villa")*INPUTS!$U$88*AO40+(INPUTS!$D$89="Villa")*INPUTS!$U$89*AO46+(INPUTS!$D$90="Villa")*INPUTS!$U$90*AO52+(INPUTS!$D$91="Villa")*INPUTS!$U$91*AO58+(INPUTS!$D$92="Villa")*INPUTS!$U$92*AO64+(INPUTS!$D$93="Villa")*INPUTS!$U$93*AO70+(INPUTS!$D$94="Villa")*INPUTS!$U$94*AO76+(INPUTS!$D$95="Villa")*INPUTS!$U$95*AO82+(INPUTS!$D$96="Villa")*INPUTS!$U$96*AO88+(INPUTS!$D$97="Villa")*INPUTS!$U$97*AO94)/SUMIF(INPUTS!$D$88:$D$97,"Villa",INPUTS!$U$88:$U$97),0)</f>
        <v>0</v>
      </c>
      <c r="AP101" s="118" t="n">
        <f aca="false">IF(SUMIF(INPUTS!$D$88:$D$97,"Villa",INPUTS!$U$88:$U$97)&gt;0,((INPUTS!$D$88="Villa")*INPUTS!$U$88*AP40+(INPUTS!$D$89="Villa")*INPUTS!$U$89*AP46+(INPUTS!$D$90="Villa")*INPUTS!$U$90*AP52+(INPUTS!$D$91="Villa")*INPUTS!$U$91*AP58+(INPUTS!$D$92="Villa")*INPUTS!$U$92*AP64+(INPUTS!$D$93="Villa")*INPUTS!$U$93*AP70+(INPUTS!$D$94="Villa")*INPUTS!$U$94*AP76+(INPUTS!$D$95="Villa")*INPUTS!$U$95*AP82+(INPUTS!$D$96="Villa")*INPUTS!$U$96*AP88+(INPUTS!$D$97="Villa")*INPUTS!$U$97*AP94)/SUMIF(INPUTS!$D$88:$D$97,"Villa",INPUTS!$U$88:$U$97),0)</f>
        <v>0</v>
      </c>
      <c r="AQ101" s="118" t="n">
        <f aca="false">IF(SUMIF(INPUTS!$D$88:$D$97,"Villa",INPUTS!$U$88:$U$97)&gt;0,((INPUTS!$D$88="Villa")*INPUTS!$U$88*AQ40+(INPUTS!$D$89="Villa")*INPUTS!$U$89*AQ46+(INPUTS!$D$90="Villa")*INPUTS!$U$90*AQ52+(INPUTS!$D$91="Villa")*INPUTS!$U$91*AQ58+(INPUTS!$D$92="Villa")*INPUTS!$U$92*AQ64+(INPUTS!$D$93="Villa")*INPUTS!$U$93*AQ70+(INPUTS!$D$94="Villa")*INPUTS!$U$94*AQ76+(INPUTS!$D$95="Villa")*INPUTS!$U$95*AQ82+(INPUTS!$D$96="Villa")*INPUTS!$U$96*AQ88+(INPUTS!$D$97="Villa")*INPUTS!$U$97*AQ94)/SUMIF(INPUTS!$D$88:$D$97,"Villa",INPUTS!$U$88:$U$97),0)</f>
        <v>0</v>
      </c>
    </row>
    <row r="102" customFormat="false" ht="15" hidden="false" customHeight="false" outlineLevel="0" collapsed="false">
      <c r="B102" s="3" t="s">
        <v>679</v>
      </c>
      <c r="C102" s="117" t="n">
        <f aca="false">SUM(D102:AQ102)</f>
        <v>1</v>
      </c>
      <c r="D102" s="118" t="n">
        <f aca="false">IF(SUMIF(INPUTS!$D$88:$D$97,"Apartment",INPUTS!$U$88:$U$97)&gt;0,((INPUTS!$D$88="Apartment")*INPUTS!$U$88*D40+(INPUTS!$D$89="Apartment")*INPUTS!$U$89*D46+(INPUTS!$D$90="Apartment")*INPUTS!$U$90*D52+(INPUTS!$D$91="Apartment")*INPUTS!$U$91*D58+(INPUTS!$D$92="Apartment")*INPUTS!$U$92*D64+(INPUTS!$D$93="Apartment")*INPUTS!$U$93*D70+(INPUTS!$D$94="Apartment")*INPUTS!$U$94*D76+(INPUTS!$D$95="Apartment")*INPUTS!$U$95*D82+(INPUTS!$D$96="Apartment")*INPUTS!$U$96*D88+(INPUTS!$D$97="Apartment")*INPUTS!$U$97*D94)/SUMIF(INPUTS!$D$88:$D$97,"Apartment",INPUTS!$U$88:$U$97),0)</f>
        <v>0</v>
      </c>
      <c r="E102" s="118" t="n">
        <f aca="false">IF(SUMIF(INPUTS!$D$88:$D$97,"Apartment",INPUTS!$U$88:$U$97)&gt;0,((INPUTS!$D$88="Apartment")*INPUTS!$U$88*E40+(INPUTS!$D$89="Apartment")*INPUTS!$U$89*E46+(INPUTS!$D$90="Apartment")*INPUTS!$U$90*E52+(INPUTS!$D$91="Apartment")*INPUTS!$U$91*E58+(INPUTS!$D$92="Apartment")*INPUTS!$U$92*E64+(INPUTS!$D$93="Apartment")*INPUTS!$U$93*E70+(INPUTS!$D$94="Apartment")*INPUTS!$U$94*E76+(INPUTS!$D$95="Apartment")*INPUTS!$U$95*E82+(INPUTS!$D$96="Apartment")*INPUTS!$U$96*E88+(INPUTS!$D$97="Apartment")*INPUTS!$U$97*E94)/SUMIF(INPUTS!$D$88:$D$97,"Apartment",INPUTS!$U$88:$U$97),0)</f>
        <v>0</v>
      </c>
      <c r="F102" s="118" t="n">
        <f aca="false">IF(SUMIF(INPUTS!$D$88:$D$97,"Apartment",INPUTS!$U$88:$U$97)&gt;0,((INPUTS!$D$88="Apartment")*INPUTS!$U$88*F40+(INPUTS!$D$89="Apartment")*INPUTS!$U$89*F46+(INPUTS!$D$90="Apartment")*INPUTS!$U$90*F52+(INPUTS!$D$91="Apartment")*INPUTS!$U$91*F58+(INPUTS!$D$92="Apartment")*INPUTS!$U$92*F64+(INPUTS!$D$93="Apartment")*INPUTS!$U$93*F70+(INPUTS!$D$94="Apartment")*INPUTS!$U$94*F76+(INPUTS!$D$95="Apartment")*INPUTS!$U$95*F82+(INPUTS!$D$96="Apartment")*INPUTS!$U$96*F88+(INPUTS!$D$97="Apartment")*INPUTS!$U$97*F94)/SUMIF(INPUTS!$D$88:$D$97,"Apartment",INPUTS!$U$88:$U$97),0)</f>
        <v>0</v>
      </c>
      <c r="G102" s="118" t="n">
        <f aca="false">IF(SUMIF(INPUTS!$D$88:$D$97,"Apartment",INPUTS!$U$88:$U$97)&gt;0,((INPUTS!$D$88="Apartment")*INPUTS!$U$88*G40+(INPUTS!$D$89="Apartment")*INPUTS!$U$89*G46+(INPUTS!$D$90="Apartment")*INPUTS!$U$90*G52+(INPUTS!$D$91="Apartment")*INPUTS!$U$91*G58+(INPUTS!$D$92="Apartment")*INPUTS!$U$92*G64+(INPUTS!$D$93="Apartment")*INPUTS!$U$93*G70+(INPUTS!$D$94="Apartment")*INPUTS!$U$94*G76+(INPUTS!$D$95="Apartment")*INPUTS!$U$95*G82+(INPUTS!$D$96="Apartment")*INPUTS!$U$96*G88+(INPUTS!$D$97="Apartment")*INPUTS!$U$97*G94)/SUMIF(INPUTS!$D$88:$D$97,"Apartment",INPUTS!$U$88:$U$97),0)</f>
        <v>0</v>
      </c>
      <c r="H102" s="118" t="n">
        <f aca="false">IF(SUMIF(INPUTS!$D$88:$D$97,"Apartment",INPUTS!$U$88:$U$97)&gt;0,((INPUTS!$D$88="Apartment")*INPUTS!$U$88*H40+(INPUTS!$D$89="Apartment")*INPUTS!$U$89*H46+(INPUTS!$D$90="Apartment")*INPUTS!$U$90*H52+(INPUTS!$D$91="Apartment")*INPUTS!$U$91*H58+(INPUTS!$D$92="Apartment")*INPUTS!$U$92*H64+(INPUTS!$D$93="Apartment")*INPUTS!$U$93*H70+(INPUTS!$D$94="Apartment")*INPUTS!$U$94*H76+(INPUTS!$D$95="Apartment")*INPUTS!$U$95*H82+(INPUTS!$D$96="Apartment")*INPUTS!$U$96*H88+(INPUTS!$D$97="Apartment")*INPUTS!$U$97*H94)/SUMIF(INPUTS!$D$88:$D$97,"Apartment",INPUTS!$U$88:$U$97),0)</f>
        <v>0.00960735979838478</v>
      </c>
      <c r="I102" s="118" t="n">
        <f aca="false">IF(SUMIF(INPUTS!$D$88:$D$97,"Apartment",INPUTS!$U$88:$U$97)&gt;0,((INPUTS!$D$88="Apartment")*INPUTS!$U$88*I40+(INPUTS!$D$89="Apartment")*INPUTS!$U$89*I46+(INPUTS!$D$90="Apartment")*INPUTS!$U$90*I52+(INPUTS!$D$91="Apartment")*INPUTS!$U$91*I58+(INPUTS!$D$92="Apartment")*INPUTS!$U$92*I64+(INPUTS!$D$93="Apartment")*INPUTS!$U$93*I70+(INPUTS!$D$94="Apartment")*INPUTS!$U$94*I76+(INPUTS!$D$95="Apartment")*INPUTS!$U$95*I82+(INPUTS!$D$96="Apartment")*INPUTS!$U$96*I88+(INPUTS!$D$97="Apartment")*INPUTS!$U$97*I94)/SUMIF(INPUTS!$D$88:$D$97,"Apartment",INPUTS!$U$88:$U$97),0)</f>
        <v>0.0284528739459718</v>
      </c>
      <c r="J102" s="118" t="n">
        <f aca="false">IF(SUMIF(INPUTS!$D$88:$D$97,"Apartment",INPUTS!$U$88:$U$97)&gt;0,((INPUTS!$D$88="Apartment")*INPUTS!$U$88*J40+(INPUTS!$D$89="Apartment")*INPUTS!$U$89*J46+(INPUTS!$D$90="Apartment")*INPUTS!$U$90*J52+(INPUTS!$D$91="Apartment")*INPUTS!$U$91*J58+(INPUTS!$D$92="Apartment")*INPUTS!$U$92*J64+(INPUTS!$D$93="Apartment")*INPUTS!$U$93*J70+(INPUTS!$D$94="Apartment")*INPUTS!$U$94*J76+(INPUTS!$D$95="Apartment")*INPUTS!$U$95*J82+(INPUTS!$D$96="Apartment")*INPUTS!$U$96*J88+(INPUTS!$D$97="Apartment")*INPUTS!$U$97*J94)/SUMIF(INPUTS!$D$88:$D$97,"Apartment",INPUTS!$U$88:$U$97),0)</f>
        <v>0.0462049601043708</v>
      </c>
      <c r="K102" s="118" t="n">
        <f aca="false">IF(SUMIF(INPUTS!$D$88:$D$97,"Apartment",INPUTS!$U$88:$U$97)&gt;0,((INPUTS!$D$88="Apartment")*INPUTS!$U$88*K40+(INPUTS!$D$89="Apartment")*INPUTS!$U$89*K46+(INPUTS!$D$90="Apartment")*INPUTS!$U$90*K52+(INPUTS!$D$91="Apartment")*INPUTS!$U$91*K58+(INPUTS!$D$92="Apartment")*INPUTS!$U$92*K64+(INPUTS!$D$93="Apartment")*INPUTS!$U$93*K70+(INPUTS!$D$94="Apartment")*INPUTS!$U$94*K76+(INPUTS!$D$95="Apartment")*INPUTS!$U$95*K82+(INPUTS!$D$96="Apartment")*INPUTS!$U$96*K88+(INPUTS!$D$97="Apartment")*INPUTS!$U$97*K94)/SUMIF(INPUTS!$D$88:$D$97,"Apartment",INPUTS!$U$88:$U$97),0)</f>
        <v>0.0621814155579989</v>
      </c>
      <c r="L102" s="118" t="n">
        <f aca="false">IF(SUMIF(INPUTS!$D$88:$D$97,"Apartment",INPUTS!$U$88:$U$97)&gt;0,((INPUTS!$D$88="Apartment")*INPUTS!$U$88*L40+(INPUTS!$D$89="Apartment")*INPUTS!$U$89*L46+(INPUTS!$D$90="Apartment")*INPUTS!$U$90*L52+(INPUTS!$D$91="Apartment")*INPUTS!$U$91*L58+(INPUTS!$D$92="Apartment")*INPUTS!$U$92*L64+(INPUTS!$D$93="Apartment")*INPUTS!$U$93*L70+(INPUTS!$D$94="Apartment")*INPUTS!$U$94*L76+(INPUTS!$D$95="Apartment")*INPUTS!$U$95*L82+(INPUTS!$D$96="Apartment")*INPUTS!$U$96*L88+(INPUTS!$D$97="Apartment")*INPUTS!$U$97*L94)/SUMIF(INPUTS!$D$88:$D$97,"Apartment",INPUTS!$U$88:$U$97),0)</f>
        <v>0.0757682740834727</v>
      </c>
      <c r="M102" s="118" t="n">
        <f aca="false">IF(SUMIF(INPUTS!$D$88:$D$97,"Apartment",INPUTS!$U$88:$U$97)&gt;0,((INPUTS!$D$88="Apartment")*INPUTS!$U$88*M40+(INPUTS!$D$89="Apartment")*INPUTS!$U$89*M46+(INPUTS!$D$90="Apartment")*INPUTS!$U$90*M52+(INPUTS!$D$91="Apartment")*INPUTS!$U$91*M58+(INPUTS!$D$92="Apartment")*INPUTS!$U$92*M64+(INPUTS!$D$93="Apartment")*INPUTS!$U$93*M70+(INPUTS!$D$94="Apartment")*INPUTS!$U$94*M76+(INPUTS!$D$95="Apartment")*INPUTS!$U$95*M82+(INPUTS!$D$96="Apartment")*INPUTS!$U$96*M88+(INPUTS!$D$97="Apartment")*INPUTS!$U$97*M94)/SUMIF(INPUTS!$D$88:$D$97,"Apartment",INPUTS!$U$88:$U$97),0)</f>
        <v>0.0864434003272562</v>
      </c>
      <c r="N102" s="118" t="n">
        <f aca="false">IF(SUMIF(INPUTS!$D$88:$D$97,"Apartment",INPUTS!$U$88:$U$97)&gt;0,((INPUTS!$D$88="Apartment")*INPUTS!$U$88*N40+(INPUTS!$D$89="Apartment")*INPUTS!$U$89*N46+(INPUTS!$D$90="Apartment")*INPUTS!$U$90*N52+(INPUTS!$D$91="Apartment")*INPUTS!$U$91*N58+(INPUTS!$D$92="Apartment")*INPUTS!$U$92*N64+(INPUTS!$D$93="Apartment")*INPUTS!$U$93*N70+(INPUTS!$D$94="Apartment")*INPUTS!$U$94*N76+(INPUTS!$D$95="Apartment")*INPUTS!$U$95*N82+(INPUTS!$D$96="Apartment")*INPUTS!$U$96*N88+(INPUTS!$D$97="Apartment")*INPUTS!$U$97*N94)/SUMIF(INPUTS!$D$88:$D$97,"Apartment",INPUTS!$U$88:$U$97),0)</f>
        <v>0.0937965551744808</v>
      </c>
      <c r="O102" s="118" t="n">
        <f aca="false">IF(SUMIF(INPUTS!$D$88:$D$97,"Apartment",INPUTS!$U$88:$U$97)&gt;0,((INPUTS!$D$88="Apartment")*INPUTS!$U$88*O40+(INPUTS!$D$89="Apartment")*INPUTS!$U$89*O46+(INPUTS!$D$90="Apartment")*INPUTS!$U$90*O52+(INPUTS!$D$91="Apartment")*INPUTS!$U$91*O58+(INPUTS!$D$92="Apartment")*INPUTS!$U$92*O64+(INPUTS!$D$93="Apartment")*INPUTS!$U$93*O70+(INPUTS!$D$94="Apartment")*INPUTS!$U$94*O76+(INPUTS!$D$95="Apartment")*INPUTS!$U$95*O82+(INPUTS!$D$96="Apartment")*INPUTS!$U$96*O88+(INPUTS!$D$97="Apartment")*INPUTS!$U$97*O94)/SUMIF(INPUTS!$D$88:$D$97,"Apartment",INPUTS!$U$88:$U$97),0)</f>
        <v>0.0975451610080641</v>
      </c>
      <c r="P102" s="118" t="n">
        <f aca="false">IF(SUMIF(INPUTS!$D$88:$D$97,"Apartment",INPUTS!$U$88:$U$97)&gt;0,((INPUTS!$D$88="Apartment")*INPUTS!$U$88*P40+(INPUTS!$D$89="Apartment")*INPUTS!$U$89*P46+(INPUTS!$D$90="Apartment")*INPUTS!$U$90*P52+(INPUTS!$D$91="Apartment")*INPUTS!$U$91*P58+(INPUTS!$D$92="Apartment")*INPUTS!$U$92*P64+(INPUTS!$D$93="Apartment")*INPUTS!$U$93*P70+(INPUTS!$D$94="Apartment")*INPUTS!$U$94*P76+(INPUTS!$D$95="Apartment")*INPUTS!$U$95*P82+(INPUTS!$D$96="Apartment")*INPUTS!$U$96*P88+(INPUTS!$D$97="Apartment")*INPUTS!$U$97*P94)/SUMIF(INPUTS!$D$88:$D$97,"Apartment",INPUTS!$U$88:$U$97),0)</f>
        <v>0.0975451610080641</v>
      </c>
      <c r="Q102" s="118" t="n">
        <f aca="false">IF(SUMIF(INPUTS!$D$88:$D$97,"Apartment",INPUTS!$U$88:$U$97)&gt;0,((INPUTS!$D$88="Apartment")*INPUTS!$U$88*Q40+(INPUTS!$D$89="Apartment")*INPUTS!$U$89*Q46+(INPUTS!$D$90="Apartment")*INPUTS!$U$90*Q52+(INPUTS!$D$91="Apartment")*INPUTS!$U$91*Q58+(INPUTS!$D$92="Apartment")*INPUTS!$U$92*Q64+(INPUTS!$D$93="Apartment")*INPUTS!$U$93*Q70+(INPUTS!$D$94="Apartment")*INPUTS!$U$94*Q76+(INPUTS!$D$95="Apartment")*INPUTS!$U$95*Q82+(INPUTS!$D$96="Apartment")*INPUTS!$U$96*Q88+(INPUTS!$D$97="Apartment")*INPUTS!$U$97*Q94)/SUMIF(INPUTS!$D$88:$D$97,"Apartment",INPUTS!$U$88:$U$97),0)</f>
        <v>0.0937965551744808</v>
      </c>
      <c r="R102" s="118" t="n">
        <f aca="false">IF(SUMIF(INPUTS!$D$88:$D$97,"Apartment",INPUTS!$U$88:$U$97)&gt;0,((INPUTS!$D$88="Apartment")*INPUTS!$U$88*R40+(INPUTS!$D$89="Apartment")*INPUTS!$U$89*R46+(INPUTS!$D$90="Apartment")*INPUTS!$U$90*R52+(INPUTS!$D$91="Apartment")*INPUTS!$U$91*R58+(INPUTS!$D$92="Apartment")*INPUTS!$U$92*R64+(INPUTS!$D$93="Apartment")*INPUTS!$U$93*R70+(INPUTS!$D$94="Apartment")*INPUTS!$U$94*R76+(INPUTS!$D$95="Apartment")*INPUTS!$U$95*R82+(INPUTS!$D$96="Apartment")*INPUTS!$U$96*R88+(INPUTS!$D$97="Apartment")*INPUTS!$U$97*R94)/SUMIF(INPUTS!$D$88:$D$97,"Apartment",INPUTS!$U$88:$U$97),0)</f>
        <v>0.0864434003272562</v>
      </c>
      <c r="S102" s="118" t="n">
        <f aca="false">IF(SUMIF(INPUTS!$D$88:$D$97,"Apartment",INPUTS!$U$88:$U$97)&gt;0,((INPUTS!$D$88="Apartment")*INPUTS!$U$88*S40+(INPUTS!$D$89="Apartment")*INPUTS!$U$89*S46+(INPUTS!$D$90="Apartment")*INPUTS!$U$90*S52+(INPUTS!$D$91="Apartment")*INPUTS!$U$91*S58+(INPUTS!$D$92="Apartment")*INPUTS!$U$92*S64+(INPUTS!$D$93="Apartment")*INPUTS!$U$93*S70+(INPUTS!$D$94="Apartment")*INPUTS!$U$94*S76+(INPUTS!$D$95="Apartment")*INPUTS!$U$95*S82+(INPUTS!$D$96="Apartment")*INPUTS!$U$96*S88+(INPUTS!$D$97="Apartment")*INPUTS!$U$97*S94)/SUMIF(INPUTS!$D$88:$D$97,"Apartment",INPUTS!$U$88:$U$97),0)</f>
        <v>0.0757682740834727</v>
      </c>
      <c r="T102" s="118" t="n">
        <f aca="false">IF(SUMIF(INPUTS!$D$88:$D$97,"Apartment",INPUTS!$U$88:$U$97)&gt;0,((INPUTS!$D$88="Apartment")*INPUTS!$U$88*T40+(INPUTS!$D$89="Apartment")*INPUTS!$U$89*T46+(INPUTS!$D$90="Apartment")*INPUTS!$U$90*T52+(INPUTS!$D$91="Apartment")*INPUTS!$U$91*T58+(INPUTS!$D$92="Apartment")*INPUTS!$U$92*T64+(INPUTS!$D$93="Apartment")*INPUTS!$U$93*T70+(INPUTS!$D$94="Apartment")*INPUTS!$U$94*T76+(INPUTS!$D$95="Apartment")*INPUTS!$U$95*T82+(INPUTS!$D$96="Apartment")*INPUTS!$U$96*T88+(INPUTS!$D$97="Apartment")*INPUTS!$U$97*T94)/SUMIF(INPUTS!$D$88:$D$97,"Apartment",INPUTS!$U$88:$U$97),0)</f>
        <v>0.0621814155579989</v>
      </c>
      <c r="U102" s="118" t="n">
        <f aca="false">IF(SUMIF(INPUTS!$D$88:$D$97,"Apartment",INPUTS!$U$88:$U$97)&gt;0,((INPUTS!$D$88="Apartment")*INPUTS!$U$88*U40+(INPUTS!$D$89="Apartment")*INPUTS!$U$89*U46+(INPUTS!$D$90="Apartment")*INPUTS!$U$90*U52+(INPUTS!$D$91="Apartment")*INPUTS!$U$91*U58+(INPUTS!$D$92="Apartment")*INPUTS!$U$92*U64+(INPUTS!$D$93="Apartment")*INPUTS!$U$93*U70+(INPUTS!$D$94="Apartment")*INPUTS!$U$94*U76+(INPUTS!$D$95="Apartment")*INPUTS!$U$95*U82+(INPUTS!$D$96="Apartment")*INPUTS!$U$96*U88+(INPUTS!$D$97="Apartment")*INPUTS!$U$97*U94)/SUMIF(INPUTS!$D$88:$D$97,"Apartment",INPUTS!$U$88:$U$97),0)</f>
        <v>0.0462049601043708</v>
      </c>
      <c r="V102" s="118" t="n">
        <f aca="false">IF(SUMIF(INPUTS!$D$88:$D$97,"Apartment",INPUTS!$U$88:$U$97)&gt;0,((INPUTS!$D$88="Apartment")*INPUTS!$U$88*V40+(INPUTS!$D$89="Apartment")*INPUTS!$U$89*V46+(INPUTS!$D$90="Apartment")*INPUTS!$U$90*V52+(INPUTS!$D$91="Apartment")*INPUTS!$U$91*V58+(INPUTS!$D$92="Apartment")*INPUTS!$U$92*V64+(INPUTS!$D$93="Apartment")*INPUTS!$U$93*V70+(INPUTS!$D$94="Apartment")*INPUTS!$U$94*V76+(INPUTS!$D$95="Apartment")*INPUTS!$U$95*V82+(INPUTS!$D$96="Apartment")*INPUTS!$U$96*V88+(INPUTS!$D$97="Apartment")*INPUTS!$U$97*V94)/SUMIF(INPUTS!$D$88:$D$97,"Apartment",INPUTS!$U$88:$U$97),0)</f>
        <v>0.0284528739459718</v>
      </c>
      <c r="W102" s="118" t="n">
        <f aca="false">IF(SUMIF(INPUTS!$D$88:$D$97,"Apartment",INPUTS!$U$88:$U$97)&gt;0,((INPUTS!$D$88="Apartment")*INPUTS!$U$88*W40+(INPUTS!$D$89="Apartment")*INPUTS!$U$89*W46+(INPUTS!$D$90="Apartment")*INPUTS!$U$90*W52+(INPUTS!$D$91="Apartment")*INPUTS!$U$91*W58+(INPUTS!$D$92="Apartment")*INPUTS!$U$92*W64+(INPUTS!$D$93="Apartment")*INPUTS!$U$93*W70+(INPUTS!$D$94="Apartment")*INPUTS!$U$94*W76+(INPUTS!$D$95="Apartment")*INPUTS!$U$95*W82+(INPUTS!$D$96="Apartment")*INPUTS!$U$96*W88+(INPUTS!$D$97="Apartment")*INPUTS!$U$97*W94)/SUMIF(INPUTS!$D$88:$D$97,"Apartment",INPUTS!$U$88:$U$97),0)</f>
        <v>0.0096073597983848</v>
      </c>
      <c r="X102" s="118" t="n">
        <f aca="false">IF(SUMIF(INPUTS!$D$88:$D$97,"Apartment",INPUTS!$U$88:$U$97)&gt;0,((INPUTS!$D$88="Apartment")*INPUTS!$U$88*X40+(INPUTS!$D$89="Apartment")*INPUTS!$U$89*X46+(INPUTS!$D$90="Apartment")*INPUTS!$U$90*X52+(INPUTS!$D$91="Apartment")*INPUTS!$U$91*X58+(INPUTS!$D$92="Apartment")*INPUTS!$U$92*X64+(INPUTS!$D$93="Apartment")*INPUTS!$U$93*X70+(INPUTS!$D$94="Apartment")*INPUTS!$U$94*X76+(INPUTS!$D$95="Apartment")*INPUTS!$U$95*X82+(INPUTS!$D$96="Apartment")*INPUTS!$U$96*X88+(INPUTS!$D$97="Apartment")*INPUTS!$U$97*X94)/SUMIF(INPUTS!$D$88:$D$97,"Apartment",INPUTS!$U$88:$U$97),0)</f>
        <v>0</v>
      </c>
      <c r="Y102" s="118" t="n">
        <f aca="false">IF(SUMIF(INPUTS!$D$88:$D$97,"Apartment",INPUTS!$U$88:$U$97)&gt;0,((INPUTS!$D$88="Apartment")*INPUTS!$U$88*Y40+(INPUTS!$D$89="Apartment")*INPUTS!$U$89*Y46+(INPUTS!$D$90="Apartment")*INPUTS!$U$90*Y52+(INPUTS!$D$91="Apartment")*INPUTS!$U$91*Y58+(INPUTS!$D$92="Apartment")*INPUTS!$U$92*Y64+(INPUTS!$D$93="Apartment")*INPUTS!$U$93*Y70+(INPUTS!$D$94="Apartment")*INPUTS!$U$94*Y76+(INPUTS!$D$95="Apartment")*INPUTS!$U$95*Y82+(INPUTS!$D$96="Apartment")*INPUTS!$U$96*Y88+(INPUTS!$D$97="Apartment")*INPUTS!$U$97*Y94)/SUMIF(INPUTS!$D$88:$D$97,"Apartment",INPUTS!$U$88:$U$97),0)</f>
        <v>0</v>
      </c>
      <c r="Z102" s="118" t="n">
        <f aca="false">IF(SUMIF(INPUTS!$D$88:$D$97,"Apartment",INPUTS!$U$88:$U$97)&gt;0,((INPUTS!$D$88="Apartment")*INPUTS!$U$88*Z40+(INPUTS!$D$89="Apartment")*INPUTS!$U$89*Z46+(INPUTS!$D$90="Apartment")*INPUTS!$U$90*Z52+(INPUTS!$D$91="Apartment")*INPUTS!$U$91*Z58+(INPUTS!$D$92="Apartment")*INPUTS!$U$92*Z64+(INPUTS!$D$93="Apartment")*INPUTS!$U$93*Z70+(INPUTS!$D$94="Apartment")*INPUTS!$U$94*Z76+(INPUTS!$D$95="Apartment")*INPUTS!$U$95*Z82+(INPUTS!$D$96="Apartment")*INPUTS!$U$96*Z88+(INPUTS!$D$97="Apartment")*INPUTS!$U$97*Z94)/SUMIF(INPUTS!$D$88:$D$97,"Apartment",INPUTS!$U$88:$U$97),0)</f>
        <v>0</v>
      </c>
      <c r="AA102" s="118" t="n">
        <f aca="false">IF(SUMIF(INPUTS!$D$88:$D$97,"Apartment",INPUTS!$U$88:$U$97)&gt;0,((INPUTS!$D$88="Apartment")*INPUTS!$U$88*AA40+(INPUTS!$D$89="Apartment")*INPUTS!$U$89*AA46+(INPUTS!$D$90="Apartment")*INPUTS!$U$90*AA52+(INPUTS!$D$91="Apartment")*INPUTS!$U$91*AA58+(INPUTS!$D$92="Apartment")*INPUTS!$U$92*AA64+(INPUTS!$D$93="Apartment")*INPUTS!$U$93*AA70+(INPUTS!$D$94="Apartment")*INPUTS!$U$94*AA76+(INPUTS!$D$95="Apartment")*INPUTS!$U$95*AA82+(INPUTS!$D$96="Apartment")*INPUTS!$U$96*AA88+(INPUTS!$D$97="Apartment")*INPUTS!$U$97*AA94)/SUMIF(INPUTS!$D$88:$D$97,"Apartment",INPUTS!$U$88:$U$97),0)</f>
        <v>0</v>
      </c>
      <c r="AB102" s="118" t="n">
        <f aca="false">IF(SUMIF(INPUTS!$D$88:$D$97,"Apartment",INPUTS!$U$88:$U$97)&gt;0,((INPUTS!$D$88="Apartment")*INPUTS!$U$88*AB40+(INPUTS!$D$89="Apartment")*INPUTS!$U$89*AB46+(INPUTS!$D$90="Apartment")*INPUTS!$U$90*AB52+(INPUTS!$D$91="Apartment")*INPUTS!$U$91*AB58+(INPUTS!$D$92="Apartment")*INPUTS!$U$92*AB64+(INPUTS!$D$93="Apartment")*INPUTS!$U$93*AB70+(INPUTS!$D$94="Apartment")*INPUTS!$U$94*AB76+(INPUTS!$D$95="Apartment")*INPUTS!$U$95*AB82+(INPUTS!$D$96="Apartment")*INPUTS!$U$96*AB88+(INPUTS!$D$97="Apartment")*INPUTS!$U$97*AB94)/SUMIF(INPUTS!$D$88:$D$97,"Apartment",INPUTS!$U$88:$U$97),0)</f>
        <v>0</v>
      </c>
      <c r="AC102" s="118" t="n">
        <f aca="false">IF(SUMIF(INPUTS!$D$88:$D$97,"Apartment",INPUTS!$U$88:$U$97)&gt;0,((INPUTS!$D$88="Apartment")*INPUTS!$U$88*AC40+(INPUTS!$D$89="Apartment")*INPUTS!$U$89*AC46+(INPUTS!$D$90="Apartment")*INPUTS!$U$90*AC52+(INPUTS!$D$91="Apartment")*INPUTS!$U$91*AC58+(INPUTS!$D$92="Apartment")*INPUTS!$U$92*AC64+(INPUTS!$D$93="Apartment")*INPUTS!$U$93*AC70+(INPUTS!$D$94="Apartment")*INPUTS!$U$94*AC76+(INPUTS!$D$95="Apartment")*INPUTS!$U$95*AC82+(INPUTS!$D$96="Apartment")*INPUTS!$U$96*AC88+(INPUTS!$D$97="Apartment")*INPUTS!$U$97*AC94)/SUMIF(INPUTS!$D$88:$D$97,"Apartment",INPUTS!$U$88:$U$97),0)</f>
        <v>0</v>
      </c>
      <c r="AD102" s="118" t="n">
        <f aca="false">IF(SUMIF(INPUTS!$D$88:$D$97,"Apartment",INPUTS!$U$88:$U$97)&gt;0,((INPUTS!$D$88="Apartment")*INPUTS!$U$88*AD40+(INPUTS!$D$89="Apartment")*INPUTS!$U$89*AD46+(INPUTS!$D$90="Apartment")*INPUTS!$U$90*AD52+(INPUTS!$D$91="Apartment")*INPUTS!$U$91*AD58+(INPUTS!$D$92="Apartment")*INPUTS!$U$92*AD64+(INPUTS!$D$93="Apartment")*INPUTS!$U$93*AD70+(INPUTS!$D$94="Apartment")*INPUTS!$U$94*AD76+(INPUTS!$D$95="Apartment")*INPUTS!$U$95*AD82+(INPUTS!$D$96="Apartment")*INPUTS!$U$96*AD88+(INPUTS!$D$97="Apartment")*INPUTS!$U$97*AD94)/SUMIF(INPUTS!$D$88:$D$97,"Apartment",INPUTS!$U$88:$U$97),0)</f>
        <v>0</v>
      </c>
      <c r="AE102" s="118" t="n">
        <f aca="false">IF(SUMIF(INPUTS!$D$88:$D$97,"Apartment",INPUTS!$U$88:$U$97)&gt;0,((INPUTS!$D$88="Apartment")*INPUTS!$U$88*AE40+(INPUTS!$D$89="Apartment")*INPUTS!$U$89*AE46+(INPUTS!$D$90="Apartment")*INPUTS!$U$90*AE52+(INPUTS!$D$91="Apartment")*INPUTS!$U$91*AE58+(INPUTS!$D$92="Apartment")*INPUTS!$U$92*AE64+(INPUTS!$D$93="Apartment")*INPUTS!$U$93*AE70+(INPUTS!$D$94="Apartment")*INPUTS!$U$94*AE76+(INPUTS!$D$95="Apartment")*INPUTS!$U$95*AE82+(INPUTS!$D$96="Apartment")*INPUTS!$U$96*AE88+(INPUTS!$D$97="Apartment")*INPUTS!$U$97*AE94)/SUMIF(INPUTS!$D$88:$D$97,"Apartment",INPUTS!$U$88:$U$97),0)</f>
        <v>0</v>
      </c>
      <c r="AF102" s="118" t="n">
        <f aca="false">IF(SUMIF(INPUTS!$D$88:$D$97,"Apartment",INPUTS!$U$88:$U$97)&gt;0,((INPUTS!$D$88="Apartment")*INPUTS!$U$88*AF40+(INPUTS!$D$89="Apartment")*INPUTS!$U$89*AF46+(INPUTS!$D$90="Apartment")*INPUTS!$U$90*AF52+(INPUTS!$D$91="Apartment")*INPUTS!$U$91*AF58+(INPUTS!$D$92="Apartment")*INPUTS!$U$92*AF64+(INPUTS!$D$93="Apartment")*INPUTS!$U$93*AF70+(INPUTS!$D$94="Apartment")*INPUTS!$U$94*AF76+(INPUTS!$D$95="Apartment")*INPUTS!$U$95*AF82+(INPUTS!$D$96="Apartment")*INPUTS!$U$96*AF88+(INPUTS!$D$97="Apartment")*INPUTS!$U$97*AF94)/SUMIF(INPUTS!$D$88:$D$97,"Apartment",INPUTS!$U$88:$U$97),0)</f>
        <v>0</v>
      </c>
      <c r="AG102" s="118" t="n">
        <f aca="false">IF(SUMIF(INPUTS!$D$88:$D$97,"Apartment",INPUTS!$U$88:$U$97)&gt;0,((INPUTS!$D$88="Apartment")*INPUTS!$U$88*AG40+(INPUTS!$D$89="Apartment")*INPUTS!$U$89*AG46+(INPUTS!$D$90="Apartment")*INPUTS!$U$90*AG52+(INPUTS!$D$91="Apartment")*INPUTS!$U$91*AG58+(INPUTS!$D$92="Apartment")*INPUTS!$U$92*AG64+(INPUTS!$D$93="Apartment")*INPUTS!$U$93*AG70+(INPUTS!$D$94="Apartment")*INPUTS!$U$94*AG76+(INPUTS!$D$95="Apartment")*INPUTS!$U$95*AG82+(INPUTS!$D$96="Apartment")*INPUTS!$U$96*AG88+(INPUTS!$D$97="Apartment")*INPUTS!$U$97*AG94)/SUMIF(INPUTS!$D$88:$D$97,"Apartment",INPUTS!$U$88:$U$97),0)</f>
        <v>0</v>
      </c>
      <c r="AH102" s="118" t="n">
        <f aca="false">IF(SUMIF(INPUTS!$D$88:$D$97,"Apartment",INPUTS!$U$88:$U$97)&gt;0,((INPUTS!$D$88="Apartment")*INPUTS!$U$88*AH40+(INPUTS!$D$89="Apartment")*INPUTS!$U$89*AH46+(INPUTS!$D$90="Apartment")*INPUTS!$U$90*AH52+(INPUTS!$D$91="Apartment")*INPUTS!$U$91*AH58+(INPUTS!$D$92="Apartment")*INPUTS!$U$92*AH64+(INPUTS!$D$93="Apartment")*INPUTS!$U$93*AH70+(INPUTS!$D$94="Apartment")*INPUTS!$U$94*AH76+(INPUTS!$D$95="Apartment")*INPUTS!$U$95*AH82+(INPUTS!$D$96="Apartment")*INPUTS!$U$96*AH88+(INPUTS!$D$97="Apartment")*INPUTS!$U$97*AH94)/SUMIF(INPUTS!$D$88:$D$97,"Apartment",INPUTS!$U$88:$U$97),0)</f>
        <v>0</v>
      </c>
      <c r="AI102" s="118" t="n">
        <f aca="false">IF(SUMIF(INPUTS!$D$88:$D$97,"Apartment",INPUTS!$U$88:$U$97)&gt;0,((INPUTS!$D$88="Apartment")*INPUTS!$U$88*AI40+(INPUTS!$D$89="Apartment")*INPUTS!$U$89*AI46+(INPUTS!$D$90="Apartment")*INPUTS!$U$90*AI52+(INPUTS!$D$91="Apartment")*INPUTS!$U$91*AI58+(INPUTS!$D$92="Apartment")*INPUTS!$U$92*AI64+(INPUTS!$D$93="Apartment")*INPUTS!$U$93*AI70+(INPUTS!$D$94="Apartment")*INPUTS!$U$94*AI76+(INPUTS!$D$95="Apartment")*INPUTS!$U$95*AI82+(INPUTS!$D$96="Apartment")*INPUTS!$U$96*AI88+(INPUTS!$D$97="Apartment")*INPUTS!$U$97*AI94)/SUMIF(INPUTS!$D$88:$D$97,"Apartment",INPUTS!$U$88:$U$97),0)</f>
        <v>0</v>
      </c>
      <c r="AJ102" s="118" t="n">
        <f aca="false">IF(SUMIF(INPUTS!$D$88:$D$97,"Apartment",INPUTS!$U$88:$U$97)&gt;0,((INPUTS!$D$88="Apartment")*INPUTS!$U$88*AJ40+(INPUTS!$D$89="Apartment")*INPUTS!$U$89*AJ46+(INPUTS!$D$90="Apartment")*INPUTS!$U$90*AJ52+(INPUTS!$D$91="Apartment")*INPUTS!$U$91*AJ58+(INPUTS!$D$92="Apartment")*INPUTS!$U$92*AJ64+(INPUTS!$D$93="Apartment")*INPUTS!$U$93*AJ70+(INPUTS!$D$94="Apartment")*INPUTS!$U$94*AJ76+(INPUTS!$D$95="Apartment")*INPUTS!$U$95*AJ82+(INPUTS!$D$96="Apartment")*INPUTS!$U$96*AJ88+(INPUTS!$D$97="Apartment")*INPUTS!$U$97*AJ94)/SUMIF(INPUTS!$D$88:$D$97,"Apartment",INPUTS!$U$88:$U$97),0)</f>
        <v>0</v>
      </c>
      <c r="AK102" s="118" t="n">
        <f aca="false">IF(SUMIF(INPUTS!$D$88:$D$97,"Apartment",INPUTS!$U$88:$U$97)&gt;0,((INPUTS!$D$88="Apartment")*INPUTS!$U$88*AK40+(INPUTS!$D$89="Apartment")*INPUTS!$U$89*AK46+(INPUTS!$D$90="Apartment")*INPUTS!$U$90*AK52+(INPUTS!$D$91="Apartment")*INPUTS!$U$91*AK58+(INPUTS!$D$92="Apartment")*INPUTS!$U$92*AK64+(INPUTS!$D$93="Apartment")*INPUTS!$U$93*AK70+(INPUTS!$D$94="Apartment")*INPUTS!$U$94*AK76+(INPUTS!$D$95="Apartment")*INPUTS!$U$95*AK82+(INPUTS!$D$96="Apartment")*INPUTS!$U$96*AK88+(INPUTS!$D$97="Apartment")*INPUTS!$U$97*AK94)/SUMIF(INPUTS!$D$88:$D$97,"Apartment",INPUTS!$U$88:$U$97),0)</f>
        <v>0</v>
      </c>
      <c r="AL102" s="118" t="n">
        <f aca="false">IF(SUMIF(INPUTS!$D$88:$D$97,"Apartment",INPUTS!$U$88:$U$97)&gt;0,((INPUTS!$D$88="Apartment")*INPUTS!$U$88*AL40+(INPUTS!$D$89="Apartment")*INPUTS!$U$89*AL46+(INPUTS!$D$90="Apartment")*INPUTS!$U$90*AL52+(INPUTS!$D$91="Apartment")*INPUTS!$U$91*AL58+(INPUTS!$D$92="Apartment")*INPUTS!$U$92*AL64+(INPUTS!$D$93="Apartment")*INPUTS!$U$93*AL70+(INPUTS!$D$94="Apartment")*INPUTS!$U$94*AL76+(INPUTS!$D$95="Apartment")*INPUTS!$U$95*AL82+(INPUTS!$D$96="Apartment")*INPUTS!$U$96*AL88+(INPUTS!$D$97="Apartment")*INPUTS!$U$97*AL94)/SUMIF(INPUTS!$D$88:$D$97,"Apartment",INPUTS!$U$88:$U$97),0)</f>
        <v>0</v>
      </c>
      <c r="AM102" s="118" t="n">
        <f aca="false">IF(SUMIF(INPUTS!$D$88:$D$97,"Apartment",INPUTS!$U$88:$U$97)&gt;0,((INPUTS!$D$88="Apartment")*INPUTS!$U$88*AM40+(INPUTS!$D$89="Apartment")*INPUTS!$U$89*AM46+(INPUTS!$D$90="Apartment")*INPUTS!$U$90*AM52+(INPUTS!$D$91="Apartment")*INPUTS!$U$91*AM58+(INPUTS!$D$92="Apartment")*INPUTS!$U$92*AM64+(INPUTS!$D$93="Apartment")*INPUTS!$U$93*AM70+(INPUTS!$D$94="Apartment")*INPUTS!$U$94*AM76+(INPUTS!$D$95="Apartment")*INPUTS!$U$95*AM82+(INPUTS!$D$96="Apartment")*INPUTS!$U$96*AM88+(INPUTS!$D$97="Apartment")*INPUTS!$U$97*AM94)/SUMIF(INPUTS!$D$88:$D$97,"Apartment",INPUTS!$U$88:$U$97),0)</f>
        <v>0</v>
      </c>
      <c r="AN102" s="118" t="n">
        <f aca="false">IF(SUMIF(INPUTS!$D$88:$D$97,"Apartment",INPUTS!$U$88:$U$97)&gt;0,((INPUTS!$D$88="Apartment")*INPUTS!$U$88*AN40+(INPUTS!$D$89="Apartment")*INPUTS!$U$89*AN46+(INPUTS!$D$90="Apartment")*INPUTS!$U$90*AN52+(INPUTS!$D$91="Apartment")*INPUTS!$U$91*AN58+(INPUTS!$D$92="Apartment")*INPUTS!$U$92*AN64+(INPUTS!$D$93="Apartment")*INPUTS!$U$93*AN70+(INPUTS!$D$94="Apartment")*INPUTS!$U$94*AN76+(INPUTS!$D$95="Apartment")*INPUTS!$U$95*AN82+(INPUTS!$D$96="Apartment")*INPUTS!$U$96*AN88+(INPUTS!$D$97="Apartment")*INPUTS!$U$97*AN94)/SUMIF(INPUTS!$D$88:$D$97,"Apartment",INPUTS!$U$88:$U$97),0)</f>
        <v>0</v>
      </c>
      <c r="AO102" s="118" t="n">
        <f aca="false">IF(SUMIF(INPUTS!$D$88:$D$97,"Apartment",INPUTS!$U$88:$U$97)&gt;0,((INPUTS!$D$88="Apartment")*INPUTS!$U$88*AO40+(INPUTS!$D$89="Apartment")*INPUTS!$U$89*AO46+(INPUTS!$D$90="Apartment")*INPUTS!$U$90*AO52+(INPUTS!$D$91="Apartment")*INPUTS!$U$91*AO58+(INPUTS!$D$92="Apartment")*INPUTS!$U$92*AO64+(INPUTS!$D$93="Apartment")*INPUTS!$U$93*AO70+(INPUTS!$D$94="Apartment")*INPUTS!$U$94*AO76+(INPUTS!$D$95="Apartment")*INPUTS!$U$95*AO82+(INPUTS!$D$96="Apartment")*INPUTS!$U$96*AO88+(INPUTS!$D$97="Apartment")*INPUTS!$U$97*AO94)/SUMIF(INPUTS!$D$88:$D$97,"Apartment",INPUTS!$U$88:$U$97),0)</f>
        <v>0</v>
      </c>
      <c r="AP102" s="118" t="n">
        <f aca="false">IF(SUMIF(INPUTS!$D$88:$D$97,"Apartment",INPUTS!$U$88:$U$97)&gt;0,((INPUTS!$D$88="Apartment")*INPUTS!$U$88*AP40+(INPUTS!$D$89="Apartment")*INPUTS!$U$89*AP46+(INPUTS!$D$90="Apartment")*INPUTS!$U$90*AP52+(INPUTS!$D$91="Apartment")*INPUTS!$U$91*AP58+(INPUTS!$D$92="Apartment")*INPUTS!$U$92*AP64+(INPUTS!$D$93="Apartment")*INPUTS!$U$93*AP70+(INPUTS!$D$94="Apartment")*INPUTS!$U$94*AP76+(INPUTS!$D$95="Apartment")*INPUTS!$U$95*AP82+(INPUTS!$D$96="Apartment")*INPUTS!$U$96*AP88+(INPUTS!$D$97="Apartment")*INPUTS!$U$97*AP94)/SUMIF(INPUTS!$D$88:$D$97,"Apartment",INPUTS!$U$88:$U$97),0)</f>
        <v>0</v>
      </c>
      <c r="AQ102" s="118" t="n">
        <f aca="false">IF(SUMIF(INPUTS!$D$88:$D$97,"Apartment",INPUTS!$U$88:$U$97)&gt;0,((INPUTS!$D$88="Apartment")*INPUTS!$U$88*AQ40+(INPUTS!$D$89="Apartment")*INPUTS!$U$89*AQ46+(INPUTS!$D$90="Apartment")*INPUTS!$U$90*AQ52+(INPUTS!$D$91="Apartment")*INPUTS!$U$91*AQ58+(INPUTS!$D$92="Apartment")*INPUTS!$U$92*AQ64+(INPUTS!$D$93="Apartment")*INPUTS!$U$93*AQ70+(INPUTS!$D$94="Apartment")*INPUTS!$U$94*AQ76+(INPUTS!$D$95="Apartment")*INPUTS!$U$95*AQ82+(INPUTS!$D$96="Apartment")*INPUTS!$U$96*AQ88+(INPUTS!$D$97="Apartment")*INPUTS!$U$97*AQ94)/SUMIF(INPUTS!$D$88:$D$97,"Apartment",INPUTS!$U$88:$U$97),0)</f>
        <v>0</v>
      </c>
    </row>
    <row r="103" customFormat="false" ht="15" hidden="false" customHeight="false" outlineLevel="0" collapsed="false">
      <c r="B103" s="3" t="s">
        <v>680</v>
      </c>
      <c r="C103" s="117" t="n">
        <f aca="false">SUM(D103:AQ103)</f>
        <v>1</v>
      </c>
      <c r="D103" s="118" t="n">
        <f aca="false">IF(SUMIF(INPUTS!$D$88:$D$97,"Studio",INPUTS!$U$88:$U$97)&gt;0,((INPUTS!$D$88="Studio")*INPUTS!$U$88*D40+(INPUTS!$D$89="Studio")*INPUTS!$U$89*D46+(INPUTS!$D$90="Studio")*INPUTS!$U$90*D52+(INPUTS!$D$91="Studio")*INPUTS!$U$91*D58+(INPUTS!$D$92="Studio")*INPUTS!$U$92*D64+(INPUTS!$D$93="Studio")*INPUTS!$U$93*D70+(INPUTS!$D$94="Studio")*INPUTS!$U$94*D76+(INPUTS!$D$95="Studio")*INPUTS!$U$95*D82+(INPUTS!$D$96="Studio")*INPUTS!$U$96*D88+(INPUTS!$D$97="Studio")*INPUTS!$U$97*D94)/SUMIF(INPUTS!$D$88:$D$97,"Studio",INPUTS!$U$88:$U$97),0)</f>
        <v>0</v>
      </c>
      <c r="E103" s="118" t="n">
        <f aca="false">IF(SUMIF(INPUTS!$D$88:$D$97,"Studio",INPUTS!$U$88:$U$97)&gt;0,((INPUTS!$D$88="Studio")*INPUTS!$U$88*E40+(INPUTS!$D$89="Studio")*INPUTS!$U$89*E46+(INPUTS!$D$90="Studio")*INPUTS!$U$90*E52+(INPUTS!$D$91="Studio")*INPUTS!$U$91*E58+(INPUTS!$D$92="Studio")*INPUTS!$U$92*E64+(INPUTS!$D$93="Studio")*INPUTS!$U$93*E70+(INPUTS!$D$94="Studio")*INPUTS!$U$94*E76+(INPUTS!$D$95="Studio")*INPUTS!$U$95*E82+(INPUTS!$D$96="Studio")*INPUTS!$U$96*E88+(INPUTS!$D$97="Studio")*INPUTS!$U$97*E94)/SUMIF(INPUTS!$D$88:$D$97,"Studio",INPUTS!$U$88:$U$97),0)</f>
        <v>0</v>
      </c>
      <c r="F103" s="118" t="n">
        <f aca="false">IF(SUMIF(INPUTS!$D$88:$D$97,"Studio",INPUTS!$U$88:$U$97)&gt;0,((INPUTS!$D$88="Studio")*INPUTS!$U$88*F40+(INPUTS!$D$89="Studio")*INPUTS!$U$89*F46+(INPUTS!$D$90="Studio")*INPUTS!$U$90*F52+(INPUTS!$D$91="Studio")*INPUTS!$U$91*F58+(INPUTS!$D$92="Studio")*INPUTS!$U$92*F64+(INPUTS!$D$93="Studio")*INPUTS!$U$93*F70+(INPUTS!$D$94="Studio")*INPUTS!$U$94*F76+(INPUTS!$D$95="Studio")*INPUTS!$U$95*F82+(INPUTS!$D$96="Studio")*INPUTS!$U$96*F88+(INPUTS!$D$97="Studio")*INPUTS!$U$97*F94)/SUMIF(INPUTS!$D$88:$D$97,"Studio",INPUTS!$U$88:$U$97),0)</f>
        <v>0</v>
      </c>
      <c r="G103" s="118" t="n">
        <f aca="false">IF(SUMIF(INPUTS!$D$88:$D$97,"Studio",INPUTS!$U$88:$U$97)&gt;0,((INPUTS!$D$88="Studio")*INPUTS!$U$88*G40+(INPUTS!$D$89="Studio")*INPUTS!$U$89*G46+(INPUTS!$D$90="Studio")*INPUTS!$U$90*G52+(INPUTS!$D$91="Studio")*INPUTS!$U$91*G58+(INPUTS!$D$92="Studio")*INPUTS!$U$92*G64+(INPUTS!$D$93="Studio")*INPUTS!$U$93*G70+(INPUTS!$D$94="Studio")*INPUTS!$U$94*G76+(INPUTS!$D$95="Studio")*INPUTS!$U$95*G82+(INPUTS!$D$96="Studio")*INPUTS!$U$96*G88+(INPUTS!$D$97="Studio")*INPUTS!$U$97*G94)/SUMIF(INPUTS!$D$88:$D$97,"Studio",INPUTS!$U$88:$U$97),0)</f>
        <v>0</v>
      </c>
      <c r="H103" s="118" t="n">
        <f aca="false">IF(SUMIF(INPUTS!$D$88:$D$97,"Studio",INPUTS!$U$88:$U$97)&gt;0,((INPUTS!$D$88="Studio")*INPUTS!$U$88*H40+(INPUTS!$D$89="Studio")*INPUTS!$U$89*H46+(INPUTS!$D$90="Studio")*INPUTS!$U$90*H52+(INPUTS!$D$91="Studio")*INPUTS!$U$91*H58+(INPUTS!$D$92="Studio")*INPUTS!$U$92*H64+(INPUTS!$D$93="Studio")*INPUTS!$U$93*H70+(INPUTS!$D$94="Studio")*INPUTS!$U$94*H76+(INPUTS!$D$95="Studio")*INPUTS!$U$95*H82+(INPUTS!$D$96="Studio")*INPUTS!$U$96*H88+(INPUTS!$D$97="Studio")*INPUTS!$U$97*H94)/SUMIF(INPUTS!$D$88:$D$97,"Studio",INPUTS!$U$88:$U$97),0)</f>
        <v>0</v>
      </c>
      <c r="I103" s="118" t="n">
        <f aca="false">IF(SUMIF(INPUTS!$D$88:$D$97,"Studio",INPUTS!$U$88:$U$97)&gt;0,((INPUTS!$D$88="Studio")*INPUTS!$U$88*I40+(INPUTS!$D$89="Studio")*INPUTS!$U$89*I46+(INPUTS!$D$90="Studio")*INPUTS!$U$90*I52+(INPUTS!$D$91="Studio")*INPUTS!$U$91*I58+(INPUTS!$D$92="Studio")*INPUTS!$U$92*I64+(INPUTS!$D$93="Studio")*INPUTS!$U$93*I70+(INPUTS!$D$94="Studio")*INPUTS!$U$94*I76+(INPUTS!$D$95="Studio")*INPUTS!$U$95*I82+(INPUTS!$D$96="Studio")*INPUTS!$U$96*I88+(INPUTS!$D$97="Studio")*INPUTS!$U$97*I94)/SUMIF(INPUTS!$D$88:$D$97,"Studio",INPUTS!$U$88:$U$97),0)</f>
        <v>0.0170370868554658</v>
      </c>
      <c r="J103" s="118" t="n">
        <f aca="false">IF(SUMIF(INPUTS!$D$88:$D$97,"Studio",INPUTS!$U$88:$U$97)&gt;0,((INPUTS!$D$88="Studio")*INPUTS!$U$88*J40+(INPUTS!$D$89="Studio")*INPUTS!$U$89*J46+(INPUTS!$D$90="Studio")*INPUTS!$U$90*J52+(INPUTS!$D$91="Studio")*INPUTS!$U$91*J58+(INPUTS!$D$92="Studio")*INPUTS!$U$92*J64+(INPUTS!$D$93="Studio")*INPUTS!$U$93*J70+(INPUTS!$D$94="Studio")*INPUTS!$U$94*J76+(INPUTS!$D$95="Studio")*INPUTS!$U$95*J82+(INPUTS!$D$96="Studio")*INPUTS!$U$96*J88+(INPUTS!$D$97="Studio")*INPUTS!$U$97*J94)/SUMIF(INPUTS!$D$88:$D$97,"Studio",INPUTS!$U$88:$U$97),0)</f>
        <v>0.0499502112523148</v>
      </c>
      <c r="K103" s="118" t="n">
        <f aca="false">IF(SUMIF(INPUTS!$D$88:$D$97,"Studio",INPUTS!$U$88:$U$97)&gt;0,((INPUTS!$D$88="Studio")*INPUTS!$U$88*K40+(INPUTS!$D$89="Studio")*INPUTS!$U$89*K46+(INPUTS!$D$90="Studio")*INPUTS!$U$90*K52+(INPUTS!$D$91="Studio")*INPUTS!$U$91*K58+(INPUTS!$D$92="Studio")*INPUTS!$U$92*K64+(INPUTS!$D$93="Studio")*INPUTS!$U$93*K70+(INPUTS!$D$94="Studio")*INPUTS!$U$94*K76+(INPUTS!$D$95="Studio")*INPUTS!$U$95*K82+(INPUTS!$D$96="Studio")*INPUTS!$U$96*K88+(INPUTS!$D$97="Studio")*INPUTS!$U$97*K94)/SUMIF(INPUTS!$D$88:$D$97,"Studio",INPUTS!$U$88:$U$97),0)</f>
        <v>0.0794593112989456</v>
      </c>
      <c r="L103" s="118" t="n">
        <f aca="false">IF(SUMIF(INPUTS!$D$88:$D$97,"Studio",INPUTS!$U$88:$U$97)&gt;0,((INPUTS!$D$88="Studio")*INPUTS!$U$88*L40+(INPUTS!$D$89="Studio")*INPUTS!$U$89*L46+(INPUTS!$D$90="Studio")*INPUTS!$U$90*L52+(INPUTS!$D$91="Studio")*INPUTS!$U$91*L58+(INPUTS!$D$92="Studio")*INPUTS!$U$92*L64+(INPUTS!$D$93="Studio")*INPUTS!$U$93*L70+(INPUTS!$D$94="Studio")*INPUTS!$U$94*L76+(INPUTS!$D$95="Studio")*INPUTS!$U$95*L82+(INPUTS!$D$96="Studio")*INPUTS!$U$96*L88+(INPUTS!$D$97="Studio")*INPUTS!$U$97*L94)/SUMIF(INPUTS!$D$88:$D$97,"Studio",INPUTS!$U$88:$U$97),0)</f>
        <v>0.103553390593274</v>
      </c>
      <c r="M103" s="118" t="n">
        <f aca="false">IF(SUMIF(INPUTS!$D$88:$D$97,"Studio",INPUTS!$U$88:$U$97)&gt;0,((INPUTS!$D$88="Studio")*INPUTS!$U$88*M40+(INPUTS!$D$89="Studio")*INPUTS!$U$89*M46+(INPUTS!$D$90="Studio")*INPUTS!$U$90*M52+(INPUTS!$D$91="Studio")*INPUTS!$U$91*M58+(INPUTS!$D$92="Studio")*INPUTS!$U$92*M64+(INPUTS!$D$93="Studio")*INPUTS!$U$93*M70+(INPUTS!$D$94="Studio")*INPUTS!$U$94*M76+(INPUTS!$D$95="Studio")*INPUTS!$U$95*M82+(INPUTS!$D$96="Studio")*INPUTS!$U$96*M88+(INPUTS!$D$97="Studio")*INPUTS!$U$97*M94)/SUMIF(INPUTS!$D$88:$D$97,"Studio",INPUTS!$U$88:$U$97),0)</f>
        <v>0.12059047744874</v>
      </c>
      <c r="N103" s="118" t="n">
        <f aca="false">IF(SUMIF(INPUTS!$D$88:$D$97,"Studio",INPUTS!$U$88:$U$97)&gt;0,((INPUTS!$D$88="Studio")*INPUTS!$U$88*N40+(INPUTS!$D$89="Studio")*INPUTS!$U$89*N46+(INPUTS!$D$90="Studio")*INPUTS!$U$90*N52+(INPUTS!$D$91="Studio")*INPUTS!$U$91*N58+(INPUTS!$D$92="Studio")*INPUTS!$U$92*N64+(INPUTS!$D$93="Studio")*INPUTS!$U$93*N70+(INPUTS!$D$94="Studio")*INPUTS!$U$94*N76+(INPUTS!$D$95="Studio")*INPUTS!$U$95*N82+(INPUTS!$D$96="Studio")*INPUTS!$U$96*N88+(INPUTS!$D$97="Studio")*INPUTS!$U$97*N94)/SUMIF(INPUTS!$D$88:$D$97,"Studio",INPUTS!$U$88:$U$97),0)</f>
        <v>0.12940952255126</v>
      </c>
      <c r="O103" s="118" t="n">
        <f aca="false">IF(SUMIF(INPUTS!$D$88:$D$97,"Studio",INPUTS!$U$88:$U$97)&gt;0,((INPUTS!$D$88="Studio")*INPUTS!$U$88*O40+(INPUTS!$D$89="Studio")*INPUTS!$U$89*O46+(INPUTS!$D$90="Studio")*INPUTS!$U$90*O52+(INPUTS!$D$91="Studio")*INPUTS!$U$91*O58+(INPUTS!$D$92="Studio")*INPUTS!$U$92*O64+(INPUTS!$D$93="Studio")*INPUTS!$U$93*O70+(INPUTS!$D$94="Studio")*INPUTS!$U$94*O76+(INPUTS!$D$95="Studio")*INPUTS!$U$95*O82+(INPUTS!$D$96="Studio")*INPUTS!$U$96*O88+(INPUTS!$D$97="Studio")*INPUTS!$U$97*O94)/SUMIF(INPUTS!$D$88:$D$97,"Studio",INPUTS!$U$88:$U$97),0)</f>
        <v>0.12940952255126</v>
      </c>
      <c r="P103" s="118" t="n">
        <f aca="false">IF(SUMIF(INPUTS!$D$88:$D$97,"Studio",INPUTS!$U$88:$U$97)&gt;0,((INPUTS!$D$88="Studio")*INPUTS!$U$88*P40+(INPUTS!$D$89="Studio")*INPUTS!$U$89*P46+(INPUTS!$D$90="Studio")*INPUTS!$U$90*P52+(INPUTS!$D$91="Studio")*INPUTS!$U$91*P58+(INPUTS!$D$92="Studio")*INPUTS!$U$92*P64+(INPUTS!$D$93="Studio")*INPUTS!$U$93*P70+(INPUTS!$D$94="Studio")*INPUTS!$U$94*P76+(INPUTS!$D$95="Studio")*INPUTS!$U$95*P82+(INPUTS!$D$96="Studio")*INPUTS!$U$96*P88+(INPUTS!$D$97="Studio")*INPUTS!$U$97*P94)/SUMIF(INPUTS!$D$88:$D$97,"Studio",INPUTS!$U$88:$U$97),0)</f>
        <v>0.12059047744874</v>
      </c>
      <c r="Q103" s="118" t="n">
        <f aca="false">IF(SUMIF(INPUTS!$D$88:$D$97,"Studio",INPUTS!$U$88:$U$97)&gt;0,((INPUTS!$D$88="Studio")*INPUTS!$U$88*Q40+(INPUTS!$D$89="Studio")*INPUTS!$U$89*Q46+(INPUTS!$D$90="Studio")*INPUTS!$U$90*Q52+(INPUTS!$D$91="Studio")*INPUTS!$U$91*Q58+(INPUTS!$D$92="Studio")*INPUTS!$U$92*Q64+(INPUTS!$D$93="Studio")*INPUTS!$U$93*Q70+(INPUTS!$D$94="Studio")*INPUTS!$U$94*Q76+(INPUTS!$D$95="Studio")*INPUTS!$U$95*Q82+(INPUTS!$D$96="Studio")*INPUTS!$U$96*Q88+(INPUTS!$D$97="Studio")*INPUTS!$U$97*Q94)/SUMIF(INPUTS!$D$88:$D$97,"Studio",INPUTS!$U$88:$U$97),0)</f>
        <v>0.103553390593274</v>
      </c>
      <c r="R103" s="118" t="n">
        <f aca="false">IF(SUMIF(INPUTS!$D$88:$D$97,"Studio",INPUTS!$U$88:$U$97)&gt;0,((INPUTS!$D$88="Studio")*INPUTS!$U$88*R40+(INPUTS!$D$89="Studio")*INPUTS!$U$89*R46+(INPUTS!$D$90="Studio")*INPUTS!$U$90*R52+(INPUTS!$D$91="Studio")*INPUTS!$U$91*R58+(INPUTS!$D$92="Studio")*INPUTS!$U$92*R64+(INPUTS!$D$93="Studio")*INPUTS!$U$93*R70+(INPUTS!$D$94="Studio")*INPUTS!$U$94*R76+(INPUTS!$D$95="Studio")*INPUTS!$U$95*R82+(INPUTS!$D$96="Studio")*INPUTS!$U$96*R88+(INPUTS!$D$97="Studio")*INPUTS!$U$97*R94)/SUMIF(INPUTS!$D$88:$D$97,"Studio",INPUTS!$U$88:$U$97),0)</f>
        <v>0.0794593112989456</v>
      </c>
      <c r="S103" s="118" t="n">
        <f aca="false">IF(SUMIF(INPUTS!$D$88:$D$97,"Studio",INPUTS!$U$88:$U$97)&gt;0,((INPUTS!$D$88="Studio")*INPUTS!$U$88*S40+(INPUTS!$D$89="Studio")*INPUTS!$U$89*S46+(INPUTS!$D$90="Studio")*INPUTS!$U$90*S52+(INPUTS!$D$91="Studio")*INPUTS!$U$91*S58+(INPUTS!$D$92="Studio")*INPUTS!$U$92*S64+(INPUTS!$D$93="Studio")*INPUTS!$U$93*S70+(INPUTS!$D$94="Studio")*INPUTS!$U$94*S76+(INPUTS!$D$95="Studio")*INPUTS!$U$95*S82+(INPUTS!$D$96="Studio")*INPUTS!$U$96*S88+(INPUTS!$D$97="Studio")*INPUTS!$U$97*S94)/SUMIF(INPUTS!$D$88:$D$97,"Studio",INPUTS!$U$88:$U$97),0)</f>
        <v>0.0499502112523148</v>
      </c>
      <c r="T103" s="118" t="n">
        <f aca="false">IF(SUMIF(INPUTS!$D$88:$D$97,"Studio",INPUTS!$U$88:$U$97)&gt;0,((INPUTS!$D$88="Studio")*INPUTS!$U$88*T40+(INPUTS!$D$89="Studio")*INPUTS!$U$89*T46+(INPUTS!$D$90="Studio")*INPUTS!$U$90*T52+(INPUTS!$D$91="Studio")*INPUTS!$U$91*T58+(INPUTS!$D$92="Studio")*INPUTS!$U$92*T64+(INPUTS!$D$93="Studio")*INPUTS!$U$93*T70+(INPUTS!$D$94="Studio")*INPUTS!$U$94*T76+(INPUTS!$D$95="Studio")*INPUTS!$U$95*T82+(INPUTS!$D$96="Studio")*INPUTS!$U$96*T88+(INPUTS!$D$97="Studio")*INPUTS!$U$97*T94)/SUMIF(INPUTS!$D$88:$D$97,"Studio",INPUTS!$U$88:$U$97),0)</f>
        <v>0.0170370868554659</v>
      </c>
      <c r="U103" s="118" t="n">
        <f aca="false">IF(SUMIF(INPUTS!$D$88:$D$97,"Studio",INPUTS!$U$88:$U$97)&gt;0,((INPUTS!$D$88="Studio")*INPUTS!$U$88*U40+(INPUTS!$D$89="Studio")*INPUTS!$U$89*U46+(INPUTS!$D$90="Studio")*INPUTS!$U$90*U52+(INPUTS!$D$91="Studio")*INPUTS!$U$91*U58+(INPUTS!$D$92="Studio")*INPUTS!$U$92*U64+(INPUTS!$D$93="Studio")*INPUTS!$U$93*U70+(INPUTS!$D$94="Studio")*INPUTS!$U$94*U76+(INPUTS!$D$95="Studio")*INPUTS!$U$95*U82+(INPUTS!$D$96="Studio")*INPUTS!$U$96*U88+(INPUTS!$D$97="Studio")*INPUTS!$U$97*U94)/SUMIF(INPUTS!$D$88:$D$97,"Studio",INPUTS!$U$88:$U$97),0)</f>
        <v>0</v>
      </c>
      <c r="V103" s="118" t="n">
        <f aca="false">IF(SUMIF(INPUTS!$D$88:$D$97,"Studio",INPUTS!$U$88:$U$97)&gt;0,((INPUTS!$D$88="Studio")*INPUTS!$U$88*V40+(INPUTS!$D$89="Studio")*INPUTS!$U$89*V46+(INPUTS!$D$90="Studio")*INPUTS!$U$90*V52+(INPUTS!$D$91="Studio")*INPUTS!$U$91*V58+(INPUTS!$D$92="Studio")*INPUTS!$U$92*V64+(INPUTS!$D$93="Studio")*INPUTS!$U$93*V70+(INPUTS!$D$94="Studio")*INPUTS!$U$94*V76+(INPUTS!$D$95="Studio")*INPUTS!$U$95*V82+(INPUTS!$D$96="Studio")*INPUTS!$U$96*V88+(INPUTS!$D$97="Studio")*INPUTS!$U$97*V94)/SUMIF(INPUTS!$D$88:$D$97,"Studio",INPUTS!$U$88:$U$97),0)</f>
        <v>0</v>
      </c>
      <c r="W103" s="118" t="n">
        <f aca="false">IF(SUMIF(INPUTS!$D$88:$D$97,"Studio",INPUTS!$U$88:$U$97)&gt;0,((INPUTS!$D$88="Studio")*INPUTS!$U$88*W40+(INPUTS!$D$89="Studio")*INPUTS!$U$89*W46+(INPUTS!$D$90="Studio")*INPUTS!$U$90*W52+(INPUTS!$D$91="Studio")*INPUTS!$U$91*W58+(INPUTS!$D$92="Studio")*INPUTS!$U$92*W64+(INPUTS!$D$93="Studio")*INPUTS!$U$93*W70+(INPUTS!$D$94="Studio")*INPUTS!$U$94*W76+(INPUTS!$D$95="Studio")*INPUTS!$U$95*W82+(INPUTS!$D$96="Studio")*INPUTS!$U$96*W88+(INPUTS!$D$97="Studio")*INPUTS!$U$97*W94)/SUMIF(INPUTS!$D$88:$D$97,"Studio",INPUTS!$U$88:$U$97),0)</f>
        <v>0</v>
      </c>
      <c r="X103" s="118" t="n">
        <f aca="false">IF(SUMIF(INPUTS!$D$88:$D$97,"Studio",INPUTS!$U$88:$U$97)&gt;0,((INPUTS!$D$88="Studio")*INPUTS!$U$88*X40+(INPUTS!$D$89="Studio")*INPUTS!$U$89*X46+(INPUTS!$D$90="Studio")*INPUTS!$U$90*X52+(INPUTS!$D$91="Studio")*INPUTS!$U$91*X58+(INPUTS!$D$92="Studio")*INPUTS!$U$92*X64+(INPUTS!$D$93="Studio")*INPUTS!$U$93*X70+(INPUTS!$D$94="Studio")*INPUTS!$U$94*X76+(INPUTS!$D$95="Studio")*INPUTS!$U$95*X82+(INPUTS!$D$96="Studio")*INPUTS!$U$96*X88+(INPUTS!$D$97="Studio")*INPUTS!$U$97*X94)/SUMIF(INPUTS!$D$88:$D$97,"Studio",INPUTS!$U$88:$U$97),0)</f>
        <v>0</v>
      </c>
      <c r="Y103" s="118" t="n">
        <f aca="false">IF(SUMIF(INPUTS!$D$88:$D$97,"Studio",INPUTS!$U$88:$U$97)&gt;0,((INPUTS!$D$88="Studio")*INPUTS!$U$88*Y40+(INPUTS!$D$89="Studio")*INPUTS!$U$89*Y46+(INPUTS!$D$90="Studio")*INPUTS!$U$90*Y52+(INPUTS!$D$91="Studio")*INPUTS!$U$91*Y58+(INPUTS!$D$92="Studio")*INPUTS!$U$92*Y64+(INPUTS!$D$93="Studio")*INPUTS!$U$93*Y70+(INPUTS!$D$94="Studio")*INPUTS!$U$94*Y76+(INPUTS!$D$95="Studio")*INPUTS!$U$95*Y82+(INPUTS!$D$96="Studio")*INPUTS!$U$96*Y88+(INPUTS!$D$97="Studio")*INPUTS!$U$97*Y94)/SUMIF(INPUTS!$D$88:$D$97,"Studio",INPUTS!$U$88:$U$97),0)</f>
        <v>0</v>
      </c>
      <c r="Z103" s="118" t="n">
        <f aca="false">IF(SUMIF(INPUTS!$D$88:$D$97,"Studio",INPUTS!$U$88:$U$97)&gt;0,((INPUTS!$D$88="Studio")*INPUTS!$U$88*Z40+(INPUTS!$D$89="Studio")*INPUTS!$U$89*Z46+(INPUTS!$D$90="Studio")*INPUTS!$U$90*Z52+(INPUTS!$D$91="Studio")*INPUTS!$U$91*Z58+(INPUTS!$D$92="Studio")*INPUTS!$U$92*Z64+(INPUTS!$D$93="Studio")*INPUTS!$U$93*Z70+(INPUTS!$D$94="Studio")*INPUTS!$U$94*Z76+(INPUTS!$D$95="Studio")*INPUTS!$U$95*Z82+(INPUTS!$D$96="Studio")*INPUTS!$U$96*Z88+(INPUTS!$D$97="Studio")*INPUTS!$U$97*Z94)/SUMIF(INPUTS!$D$88:$D$97,"Studio",INPUTS!$U$88:$U$97),0)</f>
        <v>0</v>
      </c>
      <c r="AA103" s="118" t="n">
        <f aca="false">IF(SUMIF(INPUTS!$D$88:$D$97,"Studio",INPUTS!$U$88:$U$97)&gt;0,((INPUTS!$D$88="Studio")*INPUTS!$U$88*AA40+(INPUTS!$D$89="Studio")*INPUTS!$U$89*AA46+(INPUTS!$D$90="Studio")*INPUTS!$U$90*AA52+(INPUTS!$D$91="Studio")*INPUTS!$U$91*AA58+(INPUTS!$D$92="Studio")*INPUTS!$U$92*AA64+(INPUTS!$D$93="Studio")*INPUTS!$U$93*AA70+(INPUTS!$D$94="Studio")*INPUTS!$U$94*AA76+(INPUTS!$D$95="Studio")*INPUTS!$U$95*AA82+(INPUTS!$D$96="Studio")*INPUTS!$U$96*AA88+(INPUTS!$D$97="Studio")*INPUTS!$U$97*AA94)/SUMIF(INPUTS!$D$88:$D$97,"Studio",INPUTS!$U$88:$U$97),0)</f>
        <v>0</v>
      </c>
      <c r="AB103" s="118" t="n">
        <f aca="false">IF(SUMIF(INPUTS!$D$88:$D$97,"Studio",INPUTS!$U$88:$U$97)&gt;0,((INPUTS!$D$88="Studio")*INPUTS!$U$88*AB40+(INPUTS!$D$89="Studio")*INPUTS!$U$89*AB46+(INPUTS!$D$90="Studio")*INPUTS!$U$90*AB52+(INPUTS!$D$91="Studio")*INPUTS!$U$91*AB58+(INPUTS!$D$92="Studio")*INPUTS!$U$92*AB64+(INPUTS!$D$93="Studio")*INPUTS!$U$93*AB70+(INPUTS!$D$94="Studio")*INPUTS!$U$94*AB76+(INPUTS!$D$95="Studio")*INPUTS!$U$95*AB82+(INPUTS!$D$96="Studio")*INPUTS!$U$96*AB88+(INPUTS!$D$97="Studio")*INPUTS!$U$97*AB94)/SUMIF(INPUTS!$D$88:$D$97,"Studio",INPUTS!$U$88:$U$97),0)</f>
        <v>0</v>
      </c>
      <c r="AC103" s="118" t="n">
        <f aca="false">IF(SUMIF(INPUTS!$D$88:$D$97,"Studio",INPUTS!$U$88:$U$97)&gt;0,((INPUTS!$D$88="Studio")*INPUTS!$U$88*AC40+(INPUTS!$D$89="Studio")*INPUTS!$U$89*AC46+(INPUTS!$D$90="Studio")*INPUTS!$U$90*AC52+(INPUTS!$D$91="Studio")*INPUTS!$U$91*AC58+(INPUTS!$D$92="Studio")*INPUTS!$U$92*AC64+(INPUTS!$D$93="Studio")*INPUTS!$U$93*AC70+(INPUTS!$D$94="Studio")*INPUTS!$U$94*AC76+(INPUTS!$D$95="Studio")*INPUTS!$U$95*AC82+(INPUTS!$D$96="Studio")*INPUTS!$U$96*AC88+(INPUTS!$D$97="Studio")*INPUTS!$U$97*AC94)/SUMIF(INPUTS!$D$88:$D$97,"Studio",INPUTS!$U$88:$U$97),0)</f>
        <v>0</v>
      </c>
      <c r="AD103" s="118" t="n">
        <f aca="false">IF(SUMIF(INPUTS!$D$88:$D$97,"Studio",INPUTS!$U$88:$U$97)&gt;0,((INPUTS!$D$88="Studio")*INPUTS!$U$88*AD40+(INPUTS!$D$89="Studio")*INPUTS!$U$89*AD46+(INPUTS!$D$90="Studio")*INPUTS!$U$90*AD52+(INPUTS!$D$91="Studio")*INPUTS!$U$91*AD58+(INPUTS!$D$92="Studio")*INPUTS!$U$92*AD64+(INPUTS!$D$93="Studio")*INPUTS!$U$93*AD70+(INPUTS!$D$94="Studio")*INPUTS!$U$94*AD76+(INPUTS!$D$95="Studio")*INPUTS!$U$95*AD82+(INPUTS!$D$96="Studio")*INPUTS!$U$96*AD88+(INPUTS!$D$97="Studio")*INPUTS!$U$97*AD94)/SUMIF(INPUTS!$D$88:$D$97,"Studio",INPUTS!$U$88:$U$97),0)</f>
        <v>0</v>
      </c>
      <c r="AE103" s="118" t="n">
        <f aca="false">IF(SUMIF(INPUTS!$D$88:$D$97,"Studio",INPUTS!$U$88:$U$97)&gt;0,((INPUTS!$D$88="Studio")*INPUTS!$U$88*AE40+(INPUTS!$D$89="Studio")*INPUTS!$U$89*AE46+(INPUTS!$D$90="Studio")*INPUTS!$U$90*AE52+(INPUTS!$D$91="Studio")*INPUTS!$U$91*AE58+(INPUTS!$D$92="Studio")*INPUTS!$U$92*AE64+(INPUTS!$D$93="Studio")*INPUTS!$U$93*AE70+(INPUTS!$D$94="Studio")*INPUTS!$U$94*AE76+(INPUTS!$D$95="Studio")*INPUTS!$U$95*AE82+(INPUTS!$D$96="Studio")*INPUTS!$U$96*AE88+(INPUTS!$D$97="Studio")*INPUTS!$U$97*AE94)/SUMIF(INPUTS!$D$88:$D$97,"Studio",INPUTS!$U$88:$U$97),0)</f>
        <v>0</v>
      </c>
      <c r="AF103" s="118" t="n">
        <f aca="false">IF(SUMIF(INPUTS!$D$88:$D$97,"Studio",INPUTS!$U$88:$U$97)&gt;0,((INPUTS!$D$88="Studio")*INPUTS!$U$88*AF40+(INPUTS!$D$89="Studio")*INPUTS!$U$89*AF46+(INPUTS!$D$90="Studio")*INPUTS!$U$90*AF52+(INPUTS!$D$91="Studio")*INPUTS!$U$91*AF58+(INPUTS!$D$92="Studio")*INPUTS!$U$92*AF64+(INPUTS!$D$93="Studio")*INPUTS!$U$93*AF70+(INPUTS!$D$94="Studio")*INPUTS!$U$94*AF76+(INPUTS!$D$95="Studio")*INPUTS!$U$95*AF82+(INPUTS!$D$96="Studio")*INPUTS!$U$96*AF88+(INPUTS!$D$97="Studio")*INPUTS!$U$97*AF94)/SUMIF(INPUTS!$D$88:$D$97,"Studio",INPUTS!$U$88:$U$97),0)</f>
        <v>0</v>
      </c>
      <c r="AG103" s="118" t="n">
        <f aca="false">IF(SUMIF(INPUTS!$D$88:$D$97,"Studio",INPUTS!$U$88:$U$97)&gt;0,((INPUTS!$D$88="Studio")*INPUTS!$U$88*AG40+(INPUTS!$D$89="Studio")*INPUTS!$U$89*AG46+(INPUTS!$D$90="Studio")*INPUTS!$U$90*AG52+(INPUTS!$D$91="Studio")*INPUTS!$U$91*AG58+(INPUTS!$D$92="Studio")*INPUTS!$U$92*AG64+(INPUTS!$D$93="Studio")*INPUTS!$U$93*AG70+(INPUTS!$D$94="Studio")*INPUTS!$U$94*AG76+(INPUTS!$D$95="Studio")*INPUTS!$U$95*AG82+(INPUTS!$D$96="Studio")*INPUTS!$U$96*AG88+(INPUTS!$D$97="Studio")*INPUTS!$U$97*AG94)/SUMIF(INPUTS!$D$88:$D$97,"Studio",INPUTS!$U$88:$U$97),0)</f>
        <v>0</v>
      </c>
      <c r="AH103" s="118" t="n">
        <f aca="false">IF(SUMIF(INPUTS!$D$88:$D$97,"Studio",INPUTS!$U$88:$U$97)&gt;0,((INPUTS!$D$88="Studio")*INPUTS!$U$88*AH40+(INPUTS!$D$89="Studio")*INPUTS!$U$89*AH46+(INPUTS!$D$90="Studio")*INPUTS!$U$90*AH52+(INPUTS!$D$91="Studio")*INPUTS!$U$91*AH58+(INPUTS!$D$92="Studio")*INPUTS!$U$92*AH64+(INPUTS!$D$93="Studio")*INPUTS!$U$93*AH70+(INPUTS!$D$94="Studio")*INPUTS!$U$94*AH76+(INPUTS!$D$95="Studio")*INPUTS!$U$95*AH82+(INPUTS!$D$96="Studio")*INPUTS!$U$96*AH88+(INPUTS!$D$97="Studio")*INPUTS!$U$97*AH94)/SUMIF(INPUTS!$D$88:$D$97,"Studio",INPUTS!$U$88:$U$97),0)</f>
        <v>0</v>
      </c>
      <c r="AI103" s="118" t="n">
        <f aca="false">IF(SUMIF(INPUTS!$D$88:$D$97,"Studio",INPUTS!$U$88:$U$97)&gt;0,((INPUTS!$D$88="Studio")*INPUTS!$U$88*AI40+(INPUTS!$D$89="Studio")*INPUTS!$U$89*AI46+(INPUTS!$D$90="Studio")*INPUTS!$U$90*AI52+(INPUTS!$D$91="Studio")*INPUTS!$U$91*AI58+(INPUTS!$D$92="Studio")*INPUTS!$U$92*AI64+(INPUTS!$D$93="Studio")*INPUTS!$U$93*AI70+(INPUTS!$D$94="Studio")*INPUTS!$U$94*AI76+(INPUTS!$D$95="Studio")*INPUTS!$U$95*AI82+(INPUTS!$D$96="Studio")*INPUTS!$U$96*AI88+(INPUTS!$D$97="Studio")*INPUTS!$U$97*AI94)/SUMIF(INPUTS!$D$88:$D$97,"Studio",INPUTS!$U$88:$U$97),0)</f>
        <v>0</v>
      </c>
      <c r="AJ103" s="118" t="n">
        <f aca="false">IF(SUMIF(INPUTS!$D$88:$D$97,"Studio",INPUTS!$U$88:$U$97)&gt;0,((INPUTS!$D$88="Studio")*INPUTS!$U$88*AJ40+(INPUTS!$D$89="Studio")*INPUTS!$U$89*AJ46+(INPUTS!$D$90="Studio")*INPUTS!$U$90*AJ52+(INPUTS!$D$91="Studio")*INPUTS!$U$91*AJ58+(INPUTS!$D$92="Studio")*INPUTS!$U$92*AJ64+(INPUTS!$D$93="Studio")*INPUTS!$U$93*AJ70+(INPUTS!$D$94="Studio")*INPUTS!$U$94*AJ76+(INPUTS!$D$95="Studio")*INPUTS!$U$95*AJ82+(INPUTS!$D$96="Studio")*INPUTS!$U$96*AJ88+(INPUTS!$D$97="Studio")*INPUTS!$U$97*AJ94)/SUMIF(INPUTS!$D$88:$D$97,"Studio",INPUTS!$U$88:$U$97),0)</f>
        <v>0</v>
      </c>
      <c r="AK103" s="118" t="n">
        <f aca="false">IF(SUMIF(INPUTS!$D$88:$D$97,"Studio",INPUTS!$U$88:$U$97)&gt;0,((INPUTS!$D$88="Studio")*INPUTS!$U$88*AK40+(INPUTS!$D$89="Studio")*INPUTS!$U$89*AK46+(INPUTS!$D$90="Studio")*INPUTS!$U$90*AK52+(INPUTS!$D$91="Studio")*INPUTS!$U$91*AK58+(INPUTS!$D$92="Studio")*INPUTS!$U$92*AK64+(INPUTS!$D$93="Studio")*INPUTS!$U$93*AK70+(INPUTS!$D$94="Studio")*INPUTS!$U$94*AK76+(INPUTS!$D$95="Studio")*INPUTS!$U$95*AK82+(INPUTS!$D$96="Studio")*INPUTS!$U$96*AK88+(INPUTS!$D$97="Studio")*INPUTS!$U$97*AK94)/SUMIF(INPUTS!$D$88:$D$97,"Studio",INPUTS!$U$88:$U$97),0)</f>
        <v>0</v>
      </c>
      <c r="AL103" s="118" t="n">
        <f aca="false">IF(SUMIF(INPUTS!$D$88:$D$97,"Studio",INPUTS!$U$88:$U$97)&gt;0,((INPUTS!$D$88="Studio")*INPUTS!$U$88*AL40+(INPUTS!$D$89="Studio")*INPUTS!$U$89*AL46+(INPUTS!$D$90="Studio")*INPUTS!$U$90*AL52+(INPUTS!$D$91="Studio")*INPUTS!$U$91*AL58+(INPUTS!$D$92="Studio")*INPUTS!$U$92*AL64+(INPUTS!$D$93="Studio")*INPUTS!$U$93*AL70+(INPUTS!$D$94="Studio")*INPUTS!$U$94*AL76+(INPUTS!$D$95="Studio")*INPUTS!$U$95*AL82+(INPUTS!$D$96="Studio")*INPUTS!$U$96*AL88+(INPUTS!$D$97="Studio")*INPUTS!$U$97*AL94)/SUMIF(INPUTS!$D$88:$D$97,"Studio",INPUTS!$U$88:$U$97),0)</f>
        <v>0</v>
      </c>
      <c r="AM103" s="118" t="n">
        <f aca="false">IF(SUMIF(INPUTS!$D$88:$D$97,"Studio",INPUTS!$U$88:$U$97)&gt;0,((INPUTS!$D$88="Studio")*INPUTS!$U$88*AM40+(INPUTS!$D$89="Studio")*INPUTS!$U$89*AM46+(INPUTS!$D$90="Studio")*INPUTS!$U$90*AM52+(INPUTS!$D$91="Studio")*INPUTS!$U$91*AM58+(INPUTS!$D$92="Studio")*INPUTS!$U$92*AM64+(INPUTS!$D$93="Studio")*INPUTS!$U$93*AM70+(INPUTS!$D$94="Studio")*INPUTS!$U$94*AM76+(INPUTS!$D$95="Studio")*INPUTS!$U$95*AM82+(INPUTS!$D$96="Studio")*INPUTS!$U$96*AM88+(INPUTS!$D$97="Studio")*INPUTS!$U$97*AM94)/SUMIF(INPUTS!$D$88:$D$97,"Studio",INPUTS!$U$88:$U$97),0)</f>
        <v>0</v>
      </c>
      <c r="AN103" s="118" t="n">
        <f aca="false">IF(SUMIF(INPUTS!$D$88:$D$97,"Studio",INPUTS!$U$88:$U$97)&gt;0,((INPUTS!$D$88="Studio")*INPUTS!$U$88*AN40+(INPUTS!$D$89="Studio")*INPUTS!$U$89*AN46+(INPUTS!$D$90="Studio")*INPUTS!$U$90*AN52+(INPUTS!$D$91="Studio")*INPUTS!$U$91*AN58+(INPUTS!$D$92="Studio")*INPUTS!$U$92*AN64+(INPUTS!$D$93="Studio")*INPUTS!$U$93*AN70+(INPUTS!$D$94="Studio")*INPUTS!$U$94*AN76+(INPUTS!$D$95="Studio")*INPUTS!$U$95*AN82+(INPUTS!$D$96="Studio")*INPUTS!$U$96*AN88+(INPUTS!$D$97="Studio")*INPUTS!$U$97*AN94)/SUMIF(INPUTS!$D$88:$D$97,"Studio",INPUTS!$U$88:$U$97),0)</f>
        <v>0</v>
      </c>
      <c r="AO103" s="118" t="n">
        <f aca="false">IF(SUMIF(INPUTS!$D$88:$D$97,"Studio",INPUTS!$U$88:$U$97)&gt;0,((INPUTS!$D$88="Studio")*INPUTS!$U$88*AO40+(INPUTS!$D$89="Studio")*INPUTS!$U$89*AO46+(INPUTS!$D$90="Studio")*INPUTS!$U$90*AO52+(INPUTS!$D$91="Studio")*INPUTS!$U$91*AO58+(INPUTS!$D$92="Studio")*INPUTS!$U$92*AO64+(INPUTS!$D$93="Studio")*INPUTS!$U$93*AO70+(INPUTS!$D$94="Studio")*INPUTS!$U$94*AO76+(INPUTS!$D$95="Studio")*INPUTS!$U$95*AO82+(INPUTS!$D$96="Studio")*INPUTS!$U$96*AO88+(INPUTS!$D$97="Studio")*INPUTS!$U$97*AO94)/SUMIF(INPUTS!$D$88:$D$97,"Studio",INPUTS!$U$88:$U$97),0)</f>
        <v>0</v>
      </c>
      <c r="AP103" s="118" t="n">
        <f aca="false">IF(SUMIF(INPUTS!$D$88:$D$97,"Studio",INPUTS!$U$88:$U$97)&gt;0,((INPUTS!$D$88="Studio")*INPUTS!$U$88*AP40+(INPUTS!$D$89="Studio")*INPUTS!$U$89*AP46+(INPUTS!$D$90="Studio")*INPUTS!$U$90*AP52+(INPUTS!$D$91="Studio")*INPUTS!$U$91*AP58+(INPUTS!$D$92="Studio")*INPUTS!$U$92*AP64+(INPUTS!$D$93="Studio")*INPUTS!$U$93*AP70+(INPUTS!$D$94="Studio")*INPUTS!$U$94*AP76+(INPUTS!$D$95="Studio")*INPUTS!$U$95*AP82+(INPUTS!$D$96="Studio")*INPUTS!$U$96*AP88+(INPUTS!$D$97="Studio")*INPUTS!$U$97*AP94)/SUMIF(INPUTS!$D$88:$D$97,"Studio",INPUTS!$U$88:$U$97),0)</f>
        <v>0</v>
      </c>
      <c r="AQ103" s="118" t="n">
        <f aca="false">IF(SUMIF(INPUTS!$D$88:$D$97,"Studio",INPUTS!$U$88:$U$97)&gt;0,((INPUTS!$D$88="Studio")*INPUTS!$U$88*AQ40+(INPUTS!$D$89="Studio")*INPUTS!$U$89*AQ46+(INPUTS!$D$90="Studio")*INPUTS!$U$90*AQ52+(INPUTS!$D$91="Studio")*INPUTS!$U$91*AQ58+(INPUTS!$D$92="Studio")*INPUTS!$U$92*AQ64+(INPUTS!$D$93="Studio")*INPUTS!$U$93*AQ70+(INPUTS!$D$94="Studio")*INPUTS!$U$94*AQ76+(INPUTS!$D$95="Studio")*INPUTS!$U$95*AQ82+(INPUTS!$D$96="Studio")*INPUTS!$U$96*AQ88+(INPUTS!$D$97="Studio")*INPUTS!$U$97*AQ94)/SUMIF(INPUTS!$D$88:$D$97,"Studio",INPUTS!$U$88:$U$97),0)</f>
        <v>0</v>
      </c>
    </row>
    <row r="104" customFormat="false" ht="15" hidden="false" customHeight="false" outlineLevel="0" collapsed="false">
      <c r="B104" s="3" t="s">
        <v>681</v>
      </c>
      <c r="C104" s="117" t="n">
        <f aca="false">SUM(D104:AQ104)</f>
        <v>0</v>
      </c>
      <c r="D104" s="118" t="n">
        <f aca="false">IF(SUMIF(INPUTS!$D$88:$D$97,"Plot",INPUTS!$U$88:$U$97)&gt;0,((INPUTS!$D$88="Plot")*INPUTS!$U$88*D40+(INPUTS!$D$89="Plot")*INPUTS!$U$89*D46+(INPUTS!$D$90="Plot")*INPUTS!$U$90*D52+(INPUTS!$D$91="Plot")*INPUTS!$U$91*D58+(INPUTS!$D$92="Plot")*INPUTS!$U$92*D64+(INPUTS!$D$93="Plot")*INPUTS!$U$93*D70+(INPUTS!$D$94="Plot")*INPUTS!$U$94*D76+(INPUTS!$D$95="Plot")*INPUTS!$U$95*D82+(INPUTS!$D$96="Plot")*INPUTS!$U$96*D88+(INPUTS!$D$97="Plot")*INPUTS!$U$97*D94)/SUMIF(INPUTS!$D$88:$D$97,"Plot",INPUTS!$U$88:$U$97),0)</f>
        <v>0</v>
      </c>
      <c r="E104" s="118" t="n">
        <f aca="false">IF(SUMIF(INPUTS!$D$88:$D$97,"Plot",INPUTS!$U$88:$U$97)&gt;0,((INPUTS!$D$88="Plot")*INPUTS!$U$88*E40+(INPUTS!$D$89="Plot")*INPUTS!$U$89*E46+(INPUTS!$D$90="Plot")*INPUTS!$U$90*E52+(INPUTS!$D$91="Plot")*INPUTS!$U$91*E58+(INPUTS!$D$92="Plot")*INPUTS!$U$92*E64+(INPUTS!$D$93="Plot")*INPUTS!$U$93*E70+(INPUTS!$D$94="Plot")*INPUTS!$U$94*E76+(INPUTS!$D$95="Plot")*INPUTS!$U$95*E82+(INPUTS!$D$96="Plot")*INPUTS!$U$96*E88+(INPUTS!$D$97="Plot")*INPUTS!$U$97*E94)/SUMIF(INPUTS!$D$88:$D$97,"Plot",INPUTS!$U$88:$U$97),0)</f>
        <v>0</v>
      </c>
      <c r="F104" s="118" t="n">
        <f aca="false">IF(SUMIF(INPUTS!$D$88:$D$97,"Plot",INPUTS!$U$88:$U$97)&gt;0,((INPUTS!$D$88="Plot")*INPUTS!$U$88*F40+(INPUTS!$D$89="Plot")*INPUTS!$U$89*F46+(INPUTS!$D$90="Plot")*INPUTS!$U$90*F52+(INPUTS!$D$91="Plot")*INPUTS!$U$91*F58+(INPUTS!$D$92="Plot")*INPUTS!$U$92*F64+(INPUTS!$D$93="Plot")*INPUTS!$U$93*F70+(INPUTS!$D$94="Plot")*INPUTS!$U$94*F76+(INPUTS!$D$95="Plot")*INPUTS!$U$95*F82+(INPUTS!$D$96="Plot")*INPUTS!$U$96*F88+(INPUTS!$D$97="Plot")*INPUTS!$U$97*F94)/SUMIF(INPUTS!$D$88:$D$97,"Plot",INPUTS!$U$88:$U$97),0)</f>
        <v>0</v>
      </c>
      <c r="G104" s="118" t="n">
        <f aca="false">IF(SUMIF(INPUTS!$D$88:$D$97,"Plot",INPUTS!$U$88:$U$97)&gt;0,((INPUTS!$D$88="Plot")*INPUTS!$U$88*G40+(INPUTS!$D$89="Plot")*INPUTS!$U$89*G46+(INPUTS!$D$90="Plot")*INPUTS!$U$90*G52+(INPUTS!$D$91="Plot")*INPUTS!$U$91*G58+(INPUTS!$D$92="Plot")*INPUTS!$U$92*G64+(INPUTS!$D$93="Plot")*INPUTS!$U$93*G70+(INPUTS!$D$94="Plot")*INPUTS!$U$94*G76+(INPUTS!$D$95="Plot")*INPUTS!$U$95*G82+(INPUTS!$D$96="Plot")*INPUTS!$U$96*G88+(INPUTS!$D$97="Plot")*INPUTS!$U$97*G94)/SUMIF(INPUTS!$D$88:$D$97,"Plot",INPUTS!$U$88:$U$97),0)</f>
        <v>0</v>
      </c>
      <c r="H104" s="118" t="n">
        <f aca="false">IF(SUMIF(INPUTS!$D$88:$D$97,"Plot",INPUTS!$U$88:$U$97)&gt;0,((INPUTS!$D$88="Plot")*INPUTS!$U$88*H40+(INPUTS!$D$89="Plot")*INPUTS!$U$89*H46+(INPUTS!$D$90="Plot")*INPUTS!$U$90*H52+(INPUTS!$D$91="Plot")*INPUTS!$U$91*H58+(INPUTS!$D$92="Plot")*INPUTS!$U$92*H64+(INPUTS!$D$93="Plot")*INPUTS!$U$93*H70+(INPUTS!$D$94="Plot")*INPUTS!$U$94*H76+(INPUTS!$D$95="Plot")*INPUTS!$U$95*H82+(INPUTS!$D$96="Plot")*INPUTS!$U$96*H88+(INPUTS!$D$97="Plot")*INPUTS!$U$97*H94)/SUMIF(INPUTS!$D$88:$D$97,"Plot",INPUTS!$U$88:$U$97),0)</f>
        <v>0</v>
      </c>
      <c r="I104" s="118" t="n">
        <f aca="false">IF(SUMIF(INPUTS!$D$88:$D$97,"Plot",INPUTS!$U$88:$U$97)&gt;0,((INPUTS!$D$88="Plot")*INPUTS!$U$88*I40+(INPUTS!$D$89="Plot")*INPUTS!$U$89*I46+(INPUTS!$D$90="Plot")*INPUTS!$U$90*I52+(INPUTS!$D$91="Plot")*INPUTS!$U$91*I58+(INPUTS!$D$92="Plot")*INPUTS!$U$92*I64+(INPUTS!$D$93="Plot")*INPUTS!$U$93*I70+(INPUTS!$D$94="Plot")*INPUTS!$U$94*I76+(INPUTS!$D$95="Plot")*INPUTS!$U$95*I82+(INPUTS!$D$96="Plot")*INPUTS!$U$96*I88+(INPUTS!$D$97="Plot")*INPUTS!$U$97*I94)/SUMIF(INPUTS!$D$88:$D$97,"Plot",INPUTS!$U$88:$U$97),0)</f>
        <v>0</v>
      </c>
      <c r="J104" s="118" t="n">
        <f aca="false">IF(SUMIF(INPUTS!$D$88:$D$97,"Plot",INPUTS!$U$88:$U$97)&gt;0,((INPUTS!$D$88="Plot")*INPUTS!$U$88*J40+(INPUTS!$D$89="Plot")*INPUTS!$U$89*J46+(INPUTS!$D$90="Plot")*INPUTS!$U$90*J52+(INPUTS!$D$91="Plot")*INPUTS!$U$91*J58+(INPUTS!$D$92="Plot")*INPUTS!$U$92*J64+(INPUTS!$D$93="Plot")*INPUTS!$U$93*J70+(INPUTS!$D$94="Plot")*INPUTS!$U$94*J76+(INPUTS!$D$95="Plot")*INPUTS!$U$95*J82+(INPUTS!$D$96="Plot")*INPUTS!$U$96*J88+(INPUTS!$D$97="Plot")*INPUTS!$U$97*J94)/SUMIF(INPUTS!$D$88:$D$97,"Plot",INPUTS!$U$88:$U$97),0)</f>
        <v>0</v>
      </c>
      <c r="K104" s="118" t="n">
        <f aca="false">IF(SUMIF(INPUTS!$D$88:$D$97,"Plot",INPUTS!$U$88:$U$97)&gt;0,((INPUTS!$D$88="Plot")*INPUTS!$U$88*K40+(INPUTS!$D$89="Plot")*INPUTS!$U$89*K46+(INPUTS!$D$90="Plot")*INPUTS!$U$90*K52+(INPUTS!$D$91="Plot")*INPUTS!$U$91*K58+(INPUTS!$D$92="Plot")*INPUTS!$U$92*K64+(INPUTS!$D$93="Plot")*INPUTS!$U$93*K70+(INPUTS!$D$94="Plot")*INPUTS!$U$94*K76+(INPUTS!$D$95="Plot")*INPUTS!$U$95*K82+(INPUTS!$D$96="Plot")*INPUTS!$U$96*K88+(INPUTS!$D$97="Plot")*INPUTS!$U$97*K94)/SUMIF(INPUTS!$D$88:$D$97,"Plot",INPUTS!$U$88:$U$97),0)</f>
        <v>0</v>
      </c>
      <c r="L104" s="118" t="n">
        <f aca="false">IF(SUMIF(INPUTS!$D$88:$D$97,"Plot",INPUTS!$U$88:$U$97)&gt;0,((INPUTS!$D$88="Plot")*INPUTS!$U$88*L40+(INPUTS!$D$89="Plot")*INPUTS!$U$89*L46+(INPUTS!$D$90="Plot")*INPUTS!$U$90*L52+(INPUTS!$D$91="Plot")*INPUTS!$U$91*L58+(INPUTS!$D$92="Plot")*INPUTS!$U$92*L64+(INPUTS!$D$93="Plot")*INPUTS!$U$93*L70+(INPUTS!$D$94="Plot")*INPUTS!$U$94*L76+(INPUTS!$D$95="Plot")*INPUTS!$U$95*L82+(INPUTS!$D$96="Plot")*INPUTS!$U$96*L88+(INPUTS!$D$97="Plot")*INPUTS!$U$97*L94)/SUMIF(INPUTS!$D$88:$D$97,"Plot",INPUTS!$U$88:$U$97),0)</f>
        <v>0</v>
      </c>
      <c r="M104" s="118" t="n">
        <f aca="false">IF(SUMIF(INPUTS!$D$88:$D$97,"Plot",INPUTS!$U$88:$U$97)&gt;0,((INPUTS!$D$88="Plot")*INPUTS!$U$88*M40+(INPUTS!$D$89="Plot")*INPUTS!$U$89*M46+(INPUTS!$D$90="Plot")*INPUTS!$U$90*M52+(INPUTS!$D$91="Plot")*INPUTS!$U$91*M58+(INPUTS!$D$92="Plot")*INPUTS!$U$92*M64+(INPUTS!$D$93="Plot")*INPUTS!$U$93*M70+(INPUTS!$D$94="Plot")*INPUTS!$U$94*M76+(INPUTS!$D$95="Plot")*INPUTS!$U$95*M82+(INPUTS!$D$96="Plot")*INPUTS!$U$96*M88+(INPUTS!$D$97="Plot")*INPUTS!$U$97*M94)/SUMIF(INPUTS!$D$88:$D$97,"Plot",INPUTS!$U$88:$U$97),0)</f>
        <v>0</v>
      </c>
      <c r="N104" s="118" t="n">
        <f aca="false">IF(SUMIF(INPUTS!$D$88:$D$97,"Plot",INPUTS!$U$88:$U$97)&gt;0,((INPUTS!$D$88="Plot")*INPUTS!$U$88*N40+(INPUTS!$D$89="Plot")*INPUTS!$U$89*N46+(INPUTS!$D$90="Plot")*INPUTS!$U$90*N52+(INPUTS!$D$91="Plot")*INPUTS!$U$91*N58+(INPUTS!$D$92="Plot")*INPUTS!$U$92*N64+(INPUTS!$D$93="Plot")*INPUTS!$U$93*N70+(INPUTS!$D$94="Plot")*INPUTS!$U$94*N76+(INPUTS!$D$95="Plot")*INPUTS!$U$95*N82+(INPUTS!$D$96="Plot")*INPUTS!$U$96*N88+(INPUTS!$D$97="Plot")*INPUTS!$U$97*N94)/SUMIF(INPUTS!$D$88:$D$97,"Plot",INPUTS!$U$88:$U$97),0)</f>
        <v>0</v>
      </c>
      <c r="O104" s="118" t="n">
        <f aca="false">IF(SUMIF(INPUTS!$D$88:$D$97,"Plot",INPUTS!$U$88:$U$97)&gt;0,((INPUTS!$D$88="Plot")*INPUTS!$U$88*O40+(INPUTS!$D$89="Plot")*INPUTS!$U$89*O46+(INPUTS!$D$90="Plot")*INPUTS!$U$90*O52+(INPUTS!$D$91="Plot")*INPUTS!$U$91*O58+(INPUTS!$D$92="Plot")*INPUTS!$U$92*O64+(INPUTS!$D$93="Plot")*INPUTS!$U$93*O70+(INPUTS!$D$94="Plot")*INPUTS!$U$94*O76+(INPUTS!$D$95="Plot")*INPUTS!$U$95*O82+(INPUTS!$D$96="Plot")*INPUTS!$U$96*O88+(INPUTS!$D$97="Plot")*INPUTS!$U$97*O94)/SUMIF(INPUTS!$D$88:$D$97,"Plot",INPUTS!$U$88:$U$97),0)</f>
        <v>0</v>
      </c>
      <c r="P104" s="118" t="n">
        <f aca="false">IF(SUMIF(INPUTS!$D$88:$D$97,"Plot",INPUTS!$U$88:$U$97)&gt;0,((INPUTS!$D$88="Plot")*INPUTS!$U$88*P40+(INPUTS!$D$89="Plot")*INPUTS!$U$89*P46+(INPUTS!$D$90="Plot")*INPUTS!$U$90*P52+(INPUTS!$D$91="Plot")*INPUTS!$U$91*P58+(INPUTS!$D$92="Plot")*INPUTS!$U$92*P64+(INPUTS!$D$93="Plot")*INPUTS!$U$93*P70+(INPUTS!$D$94="Plot")*INPUTS!$U$94*P76+(INPUTS!$D$95="Plot")*INPUTS!$U$95*P82+(INPUTS!$D$96="Plot")*INPUTS!$U$96*P88+(INPUTS!$D$97="Plot")*INPUTS!$U$97*P94)/SUMIF(INPUTS!$D$88:$D$97,"Plot",INPUTS!$U$88:$U$97),0)</f>
        <v>0</v>
      </c>
      <c r="Q104" s="118" t="n">
        <f aca="false">IF(SUMIF(INPUTS!$D$88:$D$97,"Plot",INPUTS!$U$88:$U$97)&gt;0,((INPUTS!$D$88="Plot")*INPUTS!$U$88*Q40+(INPUTS!$D$89="Plot")*INPUTS!$U$89*Q46+(INPUTS!$D$90="Plot")*INPUTS!$U$90*Q52+(INPUTS!$D$91="Plot")*INPUTS!$U$91*Q58+(INPUTS!$D$92="Plot")*INPUTS!$U$92*Q64+(INPUTS!$D$93="Plot")*INPUTS!$U$93*Q70+(INPUTS!$D$94="Plot")*INPUTS!$U$94*Q76+(INPUTS!$D$95="Plot")*INPUTS!$U$95*Q82+(INPUTS!$D$96="Plot")*INPUTS!$U$96*Q88+(INPUTS!$D$97="Plot")*INPUTS!$U$97*Q94)/SUMIF(INPUTS!$D$88:$D$97,"Plot",INPUTS!$U$88:$U$97),0)</f>
        <v>0</v>
      </c>
      <c r="R104" s="118" t="n">
        <f aca="false">IF(SUMIF(INPUTS!$D$88:$D$97,"Plot",INPUTS!$U$88:$U$97)&gt;0,((INPUTS!$D$88="Plot")*INPUTS!$U$88*R40+(INPUTS!$D$89="Plot")*INPUTS!$U$89*R46+(INPUTS!$D$90="Plot")*INPUTS!$U$90*R52+(INPUTS!$D$91="Plot")*INPUTS!$U$91*R58+(INPUTS!$D$92="Plot")*INPUTS!$U$92*R64+(INPUTS!$D$93="Plot")*INPUTS!$U$93*R70+(INPUTS!$D$94="Plot")*INPUTS!$U$94*R76+(INPUTS!$D$95="Plot")*INPUTS!$U$95*R82+(INPUTS!$D$96="Plot")*INPUTS!$U$96*R88+(INPUTS!$D$97="Plot")*INPUTS!$U$97*R94)/SUMIF(INPUTS!$D$88:$D$97,"Plot",INPUTS!$U$88:$U$97),0)</f>
        <v>0</v>
      </c>
      <c r="S104" s="118" t="n">
        <f aca="false">IF(SUMIF(INPUTS!$D$88:$D$97,"Plot",INPUTS!$U$88:$U$97)&gt;0,((INPUTS!$D$88="Plot")*INPUTS!$U$88*S40+(INPUTS!$D$89="Plot")*INPUTS!$U$89*S46+(INPUTS!$D$90="Plot")*INPUTS!$U$90*S52+(INPUTS!$D$91="Plot")*INPUTS!$U$91*S58+(INPUTS!$D$92="Plot")*INPUTS!$U$92*S64+(INPUTS!$D$93="Plot")*INPUTS!$U$93*S70+(INPUTS!$D$94="Plot")*INPUTS!$U$94*S76+(INPUTS!$D$95="Plot")*INPUTS!$U$95*S82+(INPUTS!$D$96="Plot")*INPUTS!$U$96*S88+(INPUTS!$D$97="Plot")*INPUTS!$U$97*S94)/SUMIF(INPUTS!$D$88:$D$97,"Plot",INPUTS!$U$88:$U$97),0)</f>
        <v>0</v>
      </c>
      <c r="T104" s="118" t="n">
        <f aca="false">IF(SUMIF(INPUTS!$D$88:$D$97,"Plot",INPUTS!$U$88:$U$97)&gt;0,((INPUTS!$D$88="Plot")*INPUTS!$U$88*T40+(INPUTS!$D$89="Plot")*INPUTS!$U$89*T46+(INPUTS!$D$90="Plot")*INPUTS!$U$90*T52+(INPUTS!$D$91="Plot")*INPUTS!$U$91*T58+(INPUTS!$D$92="Plot")*INPUTS!$U$92*T64+(INPUTS!$D$93="Plot")*INPUTS!$U$93*T70+(INPUTS!$D$94="Plot")*INPUTS!$U$94*T76+(INPUTS!$D$95="Plot")*INPUTS!$U$95*T82+(INPUTS!$D$96="Plot")*INPUTS!$U$96*T88+(INPUTS!$D$97="Plot")*INPUTS!$U$97*T94)/SUMIF(INPUTS!$D$88:$D$97,"Plot",INPUTS!$U$88:$U$97),0)</f>
        <v>0</v>
      </c>
      <c r="U104" s="118" t="n">
        <f aca="false">IF(SUMIF(INPUTS!$D$88:$D$97,"Plot",INPUTS!$U$88:$U$97)&gt;0,((INPUTS!$D$88="Plot")*INPUTS!$U$88*U40+(INPUTS!$D$89="Plot")*INPUTS!$U$89*U46+(INPUTS!$D$90="Plot")*INPUTS!$U$90*U52+(INPUTS!$D$91="Plot")*INPUTS!$U$91*U58+(INPUTS!$D$92="Plot")*INPUTS!$U$92*U64+(INPUTS!$D$93="Plot")*INPUTS!$U$93*U70+(INPUTS!$D$94="Plot")*INPUTS!$U$94*U76+(INPUTS!$D$95="Plot")*INPUTS!$U$95*U82+(INPUTS!$D$96="Plot")*INPUTS!$U$96*U88+(INPUTS!$D$97="Plot")*INPUTS!$U$97*U94)/SUMIF(INPUTS!$D$88:$D$97,"Plot",INPUTS!$U$88:$U$97),0)</f>
        <v>0</v>
      </c>
      <c r="V104" s="118" t="n">
        <f aca="false">IF(SUMIF(INPUTS!$D$88:$D$97,"Plot",INPUTS!$U$88:$U$97)&gt;0,((INPUTS!$D$88="Plot")*INPUTS!$U$88*V40+(INPUTS!$D$89="Plot")*INPUTS!$U$89*V46+(INPUTS!$D$90="Plot")*INPUTS!$U$90*V52+(INPUTS!$D$91="Plot")*INPUTS!$U$91*V58+(INPUTS!$D$92="Plot")*INPUTS!$U$92*V64+(INPUTS!$D$93="Plot")*INPUTS!$U$93*V70+(INPUTS!$D$94="Plot")*INPUTS!$U$94*V76+(INPUTS!$D$95="Plot")*INPUTS!$U$95*V82+(INPUTS!$D$96="Plot")*INPUTS!$U$96*V88+(INPUTS!$D$97="Plot")*INPUTS!$U$97*V94)/SUMIF(INPUTS!$D$88:$D$97,"Plot",INPUTS!$U$88:$U$97),0)</f>
        <v>0</v>
      </c>
      <c r="W104" s="118" t="n">
        <f aca="false">IF(SUMIF(INPUTS!$D$88:$D$97,"Plot",INPUTS!$U$88:$U$97)&gt;0,((INPUTS!$D$88="Plot")*INPUTS!$U$88*W40+(INPUTS!$D$89="Plot")*INPUTS!$U$89*W46+(INPUTS!$D$90="Plot")*INPUTS!$U$90*W52+(INPUTS!$D$91="Plot")*INPUTS!$U$91*W58+(INPUTS!$D$92="Plot")*INPUTS!$U$92*W64+(INPUTS!$D$93="Plot")*INPUTS!$U$93*W70+(INPUTS!$D$94="Plot")*INPUTS!$U$94*W76+(INPUTS!$D$95="Plot")*INPUTS!$U$95*W82+(INPUTS!$D$96="Plot")*INPUTS!$U$96*W88+(INPUTS!$D$97="Plot")*INPUTS!$U$97*W94)/SUMIF(INPUTS!$D$88:$D$97,"Plot",INPUTS!$U$88:$U$97),0)</f>
        <v>0</v>
      </c>
      <c r="X104" s="118" t="n">
        <f aca="false">IF(SUMIF(INPUTS!$D$88:$D$97,"Plot",INPUTS!$U$88:$U$97)&gt;0,((INPUTS!$D$88="Plot")*INPUTS!$U$88*X40+(INPUTS!$D$89="Plot")*INPUTS!$U$89*X46+(INPUTS!$D$90="Plot")*INPUTS!$U$90*X52+(INPUTS!$D$91="Plot")*INPUTS!$U$91*X58+(INPUTS!$D$92="Plot")*INPUTS!$U$92*X64+(INPUTS!$D$93="Plot")*INPUTS!$U$93*X70+(INPUTS!$D$94="Plot")*INPUTS!$U$94*X76+(INPUTS!$D$95="Plot")*INPUTS!$U$95*X82+(INPUTS!$D$96="Plot")*INPUTS!$U$96*X88+(INPUTS!$D$97="Plot")*INPUTS!$U$97*X94)/SUMIF(INPUTS!$D$88:$D$97,"Plot",INPUTS!$U$88:$U$97),0)</f>
        <v>0</v>
      </c>
      <c r="Y104" s="118" t="n">
        <f aca="false">IF(SUMIF(INPUTS!$D$88:$D$97,"Plot",INPUTS!$U$88:$U$97)&gt;0,((INPUTS!$D$88="Plot")*INPUTS!$U$88*Y40+(INPUTS!$D$89="Plot")*INPUTS!$U$89*Y46+(INPUTS!$D$90="Plot")*INPUTS!$U$90*Y52+(INPUTS!$D$91="Plot")*INPUTS!$U$91*Y58+(INPUTS!$D$92="Plot")*INPUTS!$U$92*Y64+(INPUTS!$D$93="Plot")*INPUTS!$U$93*Y70+(INPUTS!$D$94="Plot")*INPUTS!$U$94*Y76+(INPUTS!$D$95="Plot")*INPUTS!$U$95*Y82+(INPUTS!$D$96="Plot")*INPUTS!$U$96*Y88+(INPUTS!$D$97="Plot")*INPUTS!$U$97*Y94)/SUMIF(INPUTS!$D$88:$D$97,"Plot",INPUTS!$U$88:$U$97),0)</f>
        <v>0</v>
      </c>
      <c r="Z104" s="118" t="n">
        <f aca="false">IF(SUMIF(INPUTS!$D$88:$D$97,"Plot",INPUTS!$U$88:$U$97)&gt;0,((INPUTS!$D$88="Plot")*INPUTS!$U$88*Z40+(INPUTS!$D$89="Plot")*INPUTS!$U$89*Z46+(INPUTS!$D$90="Plot")*INPUTS!$U$90*Z52+(INPUTS!$D$91="Plot")*INPUTS!$U$91*Z58+(INPUTS!$D$92="Plot")*INPUTS!$U$92*Z64+(INPUTS!$D$93="Plot")*INPUTS!$U$93*Z70+(INPUTS!$D$94="Plot")*INPUTS!$U$94*Z76+(INPUTS!$D$95="Plot")*INPUTS!$U$95*Z82+(INPUTS!$D$96="Plot")*INPUTS!$U$96*Z88+(INPUTS!$D$97="Plot")*INPUTS!$U$97*Z94)/SUMIF(INPUTS!$D$88:$D$97,"Plot",INPUTS!$U$88:$U$97),0)</f>
        <v>0</v>
      </c>
      <c r="AA104" s="118" t="n">
        <f aca="false">IF(SUMIF(INPUTS!$D$88:$D$97,"Plot",INPUTS!$U$88:$U$97)&gt;0,((INPUTS!$D$88="Plot")*INPUTS!$U$88*AA40+(INPUTS!$D$89="Plot")*INPUTS!$U$89*AA46+(INPUTS!$D$90="Plot")*INPUTS!$U$90*AA52+(INPUTS!$D$91="Plot")*INPUTS!$U$91*AA58+(INPUTS!$D$92="Plot")*INPUTS!$U$92*AA64+(INPUTS!$D$93="Plot")*INPUTS!$U$93*AA70+(INPUTS!$D$94="Plot")*INPUTS!$U$94*AA76+(INPUTS!$D$95="Plot")*INPUTS!$U$95*AA82+(INPUTS!$D$96="Plot")*INPUTS!$U$96*AA88+(INPUTS!$D$97="Plot")*INPUTS!$U$97*AA94)/SUMIF(INPUTS!$D$88:$D$97,"Plot",INPUTS!$U$88:$U$97),0)</f>
        <v>0</v>
      </c>
      <c r="AB104" s="118" t="n">
        <f aca="false">IF(SUMIF(INPUTS!$D$88:$D$97,"Plot",INPUTS!$U$88:$U$97)&gt;0,((INPUTS!$D$88="Plot")*INPUTS!$U$88*AB40+(INPUTS!$D$89="Plot")*INPUTS!$U$89*AB46+(INPUTS!$D$90="Plot")*INPUTS!$U$90*AB52+(INPUTS!$D$91="Plot")*INPUTS!$U$91*AB58+(INPUTS!$D$92="Plot")*INPUTS!$U$92*AB64+(INPUTS!$D$93="Plot")*INPUTS!$U$93*AB70+(INPUTS!$D$94="Plot")*INPUTS!$U$94*AB76+(INPUTS!$D$95="Plot")*INPUTS!$U$95*AB82+(INPUTS!$D$96="Plot")*INPUTS!$U$96*AB88+(INPUTS!$D$97="Plot")*INPUTS!$U$97*AB94)/SUMIF(INPUTS!$D$88:$D$97,"Plot",INPUTS!$U$88:$U$97),0)</f>
        <v>0</v>
      </c>
      <c r="AC104" s="118" t="n">
        <f aca="false">IF(SUMIF(INPUTS!$D$88:$D$97,"Plot",INPUTS!$U$88:$U$97)&gt;0,((INPUTS!$D$88="Plot")*INPUTS!$U$88*AC40+(INPUTS!$D$89="Plot")*INPUTS!$U$89*AC46+(INPUTS!$D$90="Plot")*INPUTS!$U$90*AC52+(INPUTS!$D$91="Plot")*INPUTS!$U$91*AC58+(INPUTS!$D$92="Plot")*INPUTS!$U$92*AC64+(INPUTS!$D$93="Plot")*INPUTS!$U$93*AC70+(INPUTS!$D$94="Plot")*INPUTS!$U$94*AC76+(INPUTS!$D$95="Plot")*INPUTS!$U$95*AC82+(INPUTS!$D$96="Plot")*INPUTS!$U$96*AC88+(INPUTS!$D$97="Plot")*INPUTS!$U$97*AC94)/SUMIF(INPUTS!$D$88:$D$97,"Plot",INPUTS!$U$88:$U$97),0)</f>
        <v>0</v>
      </c>
      <c r="AD104" s="118" t="n">
        <f aca="false">IF(SUMIF(INPUTS!$D$88:$D$97,"Plot",INPUTS!$U$88:$U$97)&gt;0,((INPUTS!$D$88="Plot")*INPUTS!$U$88*AD40+(INPUTS!$D$89="Plot")*INPUTS!$U$89*AD46+(INPUTS!$D$90="Plot")*INPUTS!$U$90*AD52+(INPUTS!$D$91="Plot")*INPUTS!$U$91*AD58+(INPUTS!$D$92="Plot")*INPUTS!$U$92*AD64+(INPUTS!$D$93="Plot")*INPUTS!$U$93*AD70+(INPUTS!$D$94="Plot")*INPUTS!$U$94*AD76+(INPUTS!$D$95="Plot")*INPUTS!$U$95*AD82+(INPUTS!$D$96="Plot")*INPUTS!$U$96*AD88+(INPUTS!$D$97="Plot")*INPUTS!$U$97*AD94)/SUMIF(INPUTS!$D$88:$D$97,"Plot",INPUTS!$U$88:$U$97),0)</f>
        <v>0</v>
      </c>
      <c r="AE104" s="118" t="n">
        <f aca="false">IF(SUMIF(INPUTS!$D$88:$D$97,"Plot",INPUTS!$U$88:$U$97)&gt;0,((INPUTS!$D$88="Plot")*INPUTS!$U$88*AE40+(INPUTS!$D$89="Plot")*INPUTS!$U$89*AE46+(INPUTS!$D$90="Plot")*INPUTS!$U$90*AE52+(INPUTS!$D$91="Plot")*INPUTS!$U$91*AE58+(INPUTS!$D$92="Plot")*INPUTS!$U$92*AE64+(INPUTS!$D$93="Plot")*INPUTS!$U$93*AE70+(INPUTS!$D$94="Plot")*INPUTS!$U$94*AE76+(INPUTS!$D$95="Plot")*INPUTS!$U$95*AE82+(INPUTS!$D$96="Plot")*INPUTS!$U$96*AE88+(INPUTS!$D$97="Plot")*INPUTS!$U$97*AE94)/SUMIF(INPUTS!$D$88:$D$97,"Plot",INPUTS!$U$88:$U$97),0)</f>
        <v>0</v>
      </c>
      <c r="AF104" s="118" t="n">
        <f aca="false">IF(SUMIF(INPUTS!$D$88:$D$97,"Plot",INPUTS!$U$88:$U$97)&gt;0,((INPUTS!$D$88="Plot")*INPUTS!$U$88*AF40+(INPUTS!$D$89="Plot")*INPUTS!$U$89*AF46+(INPUTS!$D$90="Plot")*INPUTS!$U$90*AF52+(INPUTS!$D$91="Plot")*INPUTS!$U$91*AF58+(INPUTS!$D$92="Plot")*INPUTS!$U$92*AF64+(INPUTS!$D$93="Plot")*INPUTS!$U$93*AF70+(INPUTS!$D$94="Plot")*INPUTS!$U$94*AF76+(INPUTS!$D$95="Plot")*INPUTS!$U$95*AF82+(INPUTS!$D$96="Plot")*INPUTS!$U$96*AF88+(INPUTS!$D$97="Plot")*INPUTS!$U$97*AF94)/SUMIF(INPUTS!$D$88:$D$97,"Plot",INPUTS!$U$88:$U$97),0)</f>
        <v>0</v>
      </c>
      <c r="AG104" s="118" t="n">
        <f aca="false">IF(SUMIF(INPUTS!$D$88:$D$97,"Plot",INPUTS!$U$88:$U$97)&gt;0,((INPUTS!$D$88="Plot")*INPUTS!$U$88*AG40+(INPUTS!$D$89="Plot")*INPUTS!$U$89*AG46+(INPUTS!$D$90="Plot")*INPUTS!$U$90*AG52+(INPUTS!$D$91="Plot")*INPUTS!$U$91*AG58+(INPUTS!$D$92="Plot")*INPUTS!$U$92*AG64+(INPUTS!$D$93="Plot")*INPUTS!$U$93*AG70+(INPUTS!$D$94="Plot")*INPUTS!$U$94*AG76+(INPUTS!$D$95="Plot")*INPUTS!$U$95*AG82+(INPUTS!$D$96="Plot")*INPUTS!$U$96*AG88+(INPUTS!$D$97="Plot")*INPUTS!$U$97*AG94)/SUMIF(INPUTS!$D$88:$D$97,"Plot",INPUTS!$U$88:$U$97),0)</f>
        <v>0</v>
      </c>
      <c r="AH104" s="118" t="n">
        <f aca="false">IF(SUMIF(INPUTS!$D$88:$D$97,"Plot",INPUTS!$U$88:$U$97)&gt;0,((INPUTS!$D$88="Plot")*INPUTS!$U$88*AH40+(INPUTS!$D$89="Plot")*INPUTS!$U$89*AH46+(INPUTS!$D$90="Plot")*INPUTS!$U$90*AH52+(INPUTS!$D$91="Plot")*INPUTS!$U$91*AH58+(INPUTS!$D$92="Plot")*INPUTS!$U$92*AH64+(INPUTS!$D$93="Plot")*INPUTS!$U$93*AH70+(INPUTS!$D$94="Plot")*INPUTS!$U$94*AH76+(INPUTS!$D$95="Plot")*INPUTS!$U$95*AH82+(INPUTS!$D$96="Plot")*INPUTS!$U$96*AH88+(INPUTS!$D$97="Plot")*INPUTS!$U$97*AH94)/SUMIF(INPUTS!$D$88:$D$97,"Plot",INPUTS!$U$88:$U$97),0)</f>
        <v>0</v>
      </c>
      <c r="AI104" s="118" t="n">
        <f aca="false">IF(SUMIF(INPUTS!$D$88:$D$97,"Plot",INPUTS!$U$88:$U$97)&gt;0,((INPUTS!$D$88="Plot")*INPUTS!$U$88*AI40+(INPUTS!$D$89="Plot")*INPUTS!$U$89*AI46+(INPUTS!$D$90="Plot")*INPUTS!$U$90*AI52+(INPUTS!$D$91="Plot")*INPUTS!$U$91*AI58+(INPUTS!$D$92="Plot")*INPUTS!$U$92*AI64+(INPUTS!$D$93="Plot")*INPUTS!$U$93*AI70+(INPUTS!$D$94="Plot")*INPUTS!$U$94*AI76+(INPUTS!$D$95="Plot")*INPUTS!$U$95*AI82+(INPUTS!$D$96="Plot")*INPUTS!$U$96*AI88+(INPUTS!$D$97="Plot")*INPUTS!$U$97*AI94)/SUMIF(INPUTS!$D$88:$D$97,"Plot",INPUTS!$U$88:$U$97),0)</f>
        <v>0</v>
      </c>
      <c r="AJ104" s="118" t="n">
        <f aca="false">IF(SUMIF(INPUTS!$D$88:$D$97,"Plot",INPUTS!$U$88:$U$97)&gt;0,((INPUTS!$D$88="Plot")*INPUTS!$U$88*AJ40+(INPUTS!$D$89="Plot")*INPUTS!$U$89*AJ46+(INPUTS!$D$90="Plot")*INPUTS!$U$90*AJ52+(INPUTS!$D$91="Plot")*INPUTS!$U$91*AJ58+(INPUTS!$D$92="Plot")*INPUTS!$U$92*AJ64+(INPUTS!$D$93="Plot")*INPUTS!$U$93*AJ70+(INPUTS!$D$94="Plot")*INPUTS!$U$94*AJ76+(INPUTS!$D$95="Plot")*INPUTS!$U$95*AJ82+(INPUTS!$D$96="Plot")*INPUTS!$U$96*AJ88+(INPUTS!$D$97="Plot")*INPUTS!$U$97*AJ94)/SUMIF(INPUTS!$D$88:$D$97,"Plot",INPUTS!$U$88:$U$97),0)</f>
        <v>0</v>
      </c>
      <c r="AK104" s="118" t="n">
        <f aca="false">IF(SUMIF(INPUTS!$D$88:$D$97,"Plot",INPUTS!$U$88:$U$97)&gt;0,((INPUTS!$D$88="Plot")*INPUTS!$U$88*AK40+(INPUTS!$D$89="Plot")*INPUTS!$U$89*AK46+(INPUTS!$D$90="Plot")*INPUTS!$U$90*AK52+(INPUTS!$D$91="Plot")*INPUTS!$U$91*AK58+(INPUTS!$D$92="Plot")*INPUTS!$U$92*AK64+(INPUTS!$D$93="Plot")*INPUTS!$U$93*AK70+(INPUTS!$D$94="Plot")*INPUTS!$U$94*AK76+(INPUTS!$D$95="Plot")*INPUTS!$U$95*AK82+(INPUTS!$D$96="Plot")*INPUTS!$U$96*AK88+(INPUTS!$D$97="Plot")*INPUTS!$U$97*AK94)/SUMIF(INPUTS!$D$88:$D$97,"Plot",INPUTS!$U$88:$U$97),0)</f>
        <v>0</v>
      </c>
      <c r="AL104" s="118" t="n">
        <f aca="false">IF(SUMIF(INPUTS!$D$88:$D$97,"Plot",INPUTS!$U$88:$U$97)&gt;0,((INPUTS!$D$88="Plot")*INPUTS!$U$88*AL40+(INPUTS!$D$89="Plot")*INPUTS!$U$89*AL46+(INPUTS!$D$90="Plot")*INPUTS!$U$90*AL52+(INPUTS!$D$91="Plot")*INPUTS!$U$91*AL58+(INPUTS!$D$92="Plot")*INPUTS!$U$92*AL64+(INPUTS!$D$93="Plot")*INPUTS!$U$93*AL70+(INPUTS!$D$94="Plot")*INPUTS!$U$94*AL76+(INPUTS!$D$95="Plot")*INPUTS!$U$95*AL82+(INPUTS!$D$96="Plot")*INPUTS!$U$96*AL88+(INPUTS!$D$97="Plot")*INPUTS!$U$97*AL94)/SUMIF(INPUTS!$D$88:$D$97,"Plot",INPUTS!$U$88:$U$97),0)</f>
        <v>0</v>
      </c>
      <c r="AM104" s="118" t="n">
        <f aca="false">IF(SUMIF(INPUTS!$D$88:$D$97,"Plot",INPUTS!$U$88:$U$97)&gt;0,((INPUTS!$D$88="Plot")*INPUTS!$U$88*AM40+(INPUTS!$D$89="Plot")*INPUTS!$U$89*AM46+(INPUTS!$D$90="Plot")*INPUTS!$U$90*AM52+(INPUTS!$D$91="Plot")*INPUTS!$U$91*AM58+(INPUTS!$D$92="Plot")*INPUTS!$U$92*AM64+(INPUTS!$D$93="Plot")*INPUTS!$U$93*AM70+(INPUTS!$D$94="Plot")*INPUTS!$U$94*AM76+(INPUTS!$D$95="Plot")*INPUTS!$U$95*AM82+(INPUTS!$D$96="Plot")*INPUTS!$U$96*AM88+(INPUTS!$D$97="Plot")*INPUTS!$U$97*AM94)/SUMIF(INPUTS!$D$88:$D$97,"Plot",INPUTS!$U$88:$U$97),0)</f>
        <v>0</v>
      </c>
      <c r="AN104" s="118" t="n">
        <f aca="false">IF(SUMIF(INPUTS!$D$88:$D$97,"Plot",INPUTS!$U$88:$U$97)&gt;0,((INPUTS!$D$88="Plot")*INPUTS!$U$88*AN40+(INPUTS!$D$89="Plot")*INPUTS!$U$89*AN46+(INPUTS!$D$90="Plot")*INPUTS!$U$90*AN52+(INPUTS!$D$91="Plot")*INPUTS!$U$91*AN58+(INPUTS!$D$92="Plot")*INPUTS!$U$92*AN64+(INPUTS!$D$93="Plot")*INPUTS!$U$93*AN70+(INPUTS!$D$94="Plot")*INPUTS!$U$94*AN76+(INPUTS!$D$95="Plot")*INPUTS!$U$95*AN82+(INPUTS!$D$96="Plot")*INPUTS!$U$96*AN88+(INPUTS!$D$97="Plot")*INPUTS!$U$97*AN94)/SUMIF(INPUTS!$D$88:$D$97,"Plot",INPUTS!$U$88:$U$97),0)</f>
        <v>0</v>
      </c>
      <c r="AO104" s="118" t="n">
        <f aca="false">IF(SUMIF(INPUTS!$D$88:$D$97,"Plot",INPUTS!$U$88:$U$97)&gt;0,((INPUTS!$D$88="Plot")*INPUTS!$U$88*AO40+(INPUTS!$D$89="Plot")*INPUTS!$U$89*AO46+(INPUTS!$D$90="Plot")*INPUTS!$U$90*AO52+(INPUTS!$D$91="Plot")*INPUTS!$U$91*AO58+(INPUTS!$D$92="Plot")*INPUTS!$U$92*AO64+(INPUTS!$D$93="Plot")*INPUTS!$U$93*AO70+(INPUTS!$D$94="Plot")*INPUTS!$U$94*AO76+(INPUTS!$D$95="Plot")*INPUTS!$U$95*AO82+(INPUTS!$D$96="Plot")*INPUTS!$U$96*AO88+(INPUTS!$D$97="Plot")*INPUTS!$U$97*AO94)/SUMIF(INPUTS!$D$88:$D$97,"Plot",INPUTS!$U$88:$U$97),0)</f>
        <v>0</v>
      </c>
      <c r="AP104" s="118" t="n">
        <f aca="false">IF(SUMIF(INPUTS!$D$88:$D$97,"Plot",INPUTS!$U$88:$U$97)&gt;0,((INPUTS!$D$88="Plot")*INPUTS!$U$88*AP40+(INPUTS!$D$89="Plot")*INPUTS!$U$89*AP46+(INPUTS!$D$90="Plot")*INPUTS!$U$90*AP52+(INPUTS!$D$91="Plot")*INPUTS!$U$91*AP58+(INPUTS!$D$92="Plot")*INPUTS!$U$92*AP64+(INPUTS!$D$93="Plot")*INPUTS!$U$93*AP70+(INPUTS!$D$94="Plot")*INPUTS!$U$94*AP76+(INPUTS!$D$95="Plot")*INPUTS!$U$95*AP82+(INPUTS!$D$96="Plot")*INPUTS!$U$96*AP88+(INPUTS!$D$97="Plot")*INPUTS!$U$97*AP94)/SUMIF(INPUTS!$D$88:$D$97,"Plot",INPUTS!$U$88:$U$97),0)</f>
        <v>0</v>
      </c>
      <c r="AQ104" s="118" t="n">
        <f aca="false">IF(SUMIF(INPUTS!$D$88:$D$97,"Plot",INPUTS!$U$88:$U$97)&gt;0,((INPUTS!$D$88="Plot")*INPUTS!$U$88*AQ40+(INPUTS!$D$89="Plot")*INPUTS!$U$89*AQ46+(INPUTS!$D$90="Plot")*INPUTS!$U$90*AQ52+(INPUTS!$D$91="Plot")*INPUTS!$U$91*AQ58+(INPUTS!$D$92="Plot")*INPUTS!$U$92*AQ64+(INPUTS!$D$93="Plot")*INPUTS!$U$93*AQ70+(INPUTS!$D$94="Plot")*INPUTS!$U$94*AQ76+(INPUTS!$D$95="Plot")*INPUTS!$U$95*AQ82+(INPUTS!$D$96="Plot")*INPUTS!$U$96*AQ88+(INPUTS!$D$97="Plot")*INPUTS!$U$97*AQ94)/SUMIF(INPUTS!$D$88:$D$97,"Plot",INPUTS!$U$88:$U$97),0)</f>
        <v>0</v>
      </c>
    </row>
    <row r="105" customFormat="false" ht="15" hidden="false" customHeight="false" outlineLevel="0" collapsed="false">
      <c r="B105" s="3" t="s">
        <v>682</v>
      </c>
      <c r="C105" s="117" t="n">
        <f aca="false">SUM(D105:AQ105)</f>
        <v>0</v>
      </c>
      <c r="D105" s="118" t="n">
        <f aca="false">IF(SUMIF(INPUTS!$D$88:$D$97,"Institutional",INPUTS!$U$88:$U$97)&gt;0,((INPUTS!$D$88="Institutional")*INPUTS!$U$88*D40+(INPUTS!$D$89="Institutional")*INPUTS!$U$89*D46+(INPUTS!$D$90="Institutional")*INPUTS!$U$90*D52+(INPUTS!$D$91="Institutional")*INPUTS!$U$91*D58+(INPUTS!$D$92="Institutional")*INPUTS!$U$92*D64+(INPUTS!$D$93="Institutional")*INPUTS!$U$93*D70+(INPUTS!$D$94="Institutional")*INPUTS!$U$94*D76+(INPUTS!$D$95="Institutional")*INPUTS!$U$95*D82+(INPUTS!$D$96="Institutional")*INPUTS!$U$96*D88+(INPUTS!$D$97="Institutional")*INPUTS!$U$97*D94)/SUMIF(INPUTS!$D$88:$D$97,"Institutional",INPUTS!$U$88:$U$97),0)</f>
        <v>0</v>
      </c>
      <c r="E105" s="118" t="n">
        <f aca="false">IF(SUMIF(INPUTS!$D$88:$D$97,"Institutional",INPUTS!$U$88:$U$97)&gt;0,((INPUTS!$D$88="Institutional")*INPUTS!$U$88*E40+(INPUTS!$D$89="Institutional")*INPUTS!$U$89*E46+(INPUTS!$D$90="Institutional")*INPUTS!$U$90*E52+(INPUTS!$D$91="Institutional")*INPUTS!$U$91*E58+(INPUTS!$D$92="Institutional")*INPUTS!$U$92*E64+(INPUTS!$D$93="Institutional")*INPUTS!$U$93*E70+(INPUTS!$D$94="Institutional")*INPUTS!$U$94*E76+(INPUTS!$D$95="Institutional")*INPUTS!$U$95*E82+(INPUTS!$D$96="Institutional")*INPUTS!$U$96*E88+(INPUTS!$D$97="Institutional")*INPUTS!$U$97*E94)/SUMIF(INPUTS!$D$88:$D$97,"Institutional",INPUTS!$U$88:$U$97),0)</f>
        <v>0</v>
      </c>
      <c r="F105" s="118" t="n">
        <f aca="false">IF(SUMIF(INPUTS!$D$88:$D$97,"Institutional",INPUTS!$U$88:$U$97)&gt;0,((INPUTS!$D$88="Institutional")*INPUTS!$U$88*F40+(INPUTS!$D$89="Institutional")*INPUTS!$U$89*F46+(INPUTS!$D$90="Institutional")*INPUTS!$U$90*F52+(INPUTS!$D$91="Institutional")*INPUTS!$U$91*F58+(INPUTS!$D$92="Institutional")*INPUTS!$U$92*F64+(INPUTS!$D$93="Institutional")*INPUTS!$U$93*F70+(INPUTS!$D$94="Institutional")*INPUTS!$U$94*F76+(INPUTS!$D$95="Institutional")*INPUTS!$U$95*F82+(INPUTS!$D$96="Institutional")*INPUTS!$U$96*F88+(INPUTS!$D$97="Institutional")*INPUTS!$U$97*F94)/SUMIF(INPUTS!$D$88:$D$97,"Institutional",INPUTS!$U$88:$U$97),0)</f>
        <v>0</v>
      </c>
      <c r="G105" s="118" t="n">
        <f aca="false">IF(SUMIF(INPUTS!$D$88:$D$97,"Institutional",INPUTS!$U$88:$U$97)&gt;0,((INPUTS!$D$88="Institutional")*INPUTS!$U$88*G40+(INPUTS!$D$89="Institutional")*INPUTS!$U$89*G46+(INPUTS!$D$90="Institutional")*INPUTS!$U$90*G52+(INPUTS!$D$91="Institutional")*INPUTS!$U$91*G58+(INPUTS!$D$92="Institutional")*INPUTS!$U$92*G64+(INPUTS!$D$93="Institutional")*INPUTS!$U$93*G70+(INPUTS!$D$94="Institutional")*INPUTS!$U$94*G76+(INPUTS!$D$95="Institutional")*INPUTS!$U$95*G82+(INPUTS!$D$96="Institutional")*INPUTS!$U$96*G88+(INPUTS!$D$97="Institutional")*INPUTS!$U$97*G94)/SUMIF(INPUTS!$D$88:$D$97,"Institutional",INPUTS!$U$88:$U$97),0)</f>
        <v>0</v>
      </c>
      <c r="H105" s="118" t="n">
        <f aca="false">IF(SUMIF(INPUTS!$D$88:$D$97,"Institutional",INPUTS!$U$88:$U$97)&gt;0,((INPUTS!$D$88="Institutional")*INPUTS!$U$88*H40+(INPUTS!$D$89="Institutional")*INPUTS!$U$89*H46+(INPUTS!$D$90="Institutional")*INPUTS!$U$90*H52+(INPUTS!$D$91="Institutional")*INPUTS!$U$91*H58+(INPUTS!$D$92="Institutional")*INPUTS!$U$92*H64+(INPUTS!$D$93="Institutional")*INPUTS!$U$93*H70+(INPUTS!$D$94="Institutional")*INPUTS!$U$94*H76+(INPUTS!$D$95="Institutional")*INPUTS!$U$95*H82+(INPUTS!$D$96="Institutional")*INPUTS!$U$96*H88+(INPUTS!$D$97="Institutional")*INPUTS!$U$97*H94)/SUMIF(INPUTS!$D$88:$D$97,"Institutional",INPUTS!$U$88:$U$97),0)</f>
        <v>0</v>
      </c>
      <c r="I105" s="118" t="n">
        <f aca="false">IF(SUMIF(INPUTS!$D$88:$D$97,"Institutional",INPUTS!$U$88:$U$97)&gt;0,((INPUTS!$D$88="Institutional")*INPUTS!$U$88*I40+(INPUTS!$D$89="Institutional")*INPUTS!$U$89*I46+(INPUTS!$D$90="Institutional")*INPUTS!$U$90*I52+(INPUTS!$D$91="Institutional")*INPUTS!$U$91*I58+(INPUTS!$D$92="Institutional")*INPUTS!$U$92*I64+(INPUTS!$D$93="Institutional")*INPUTS!$U$93*I70+(INPUTS!$D$94="Institutional")*INPUTS!$U$94*I76+(INPUTS!$D$95="Institutional")*INPUTS!$U$95*I82+(INPUTS!$D$96="Institutional")*INPUTS!$U$96*I88+(INPUTS!$D$97="Institutional")*INPUTS!$U$97*I94)/SUMIF(INPUTS!$D$88:$D$97,"Institutional",INPUTS!$U$88:$U$97),0)</f>
        <v>0</v>
      </c>
      <c r="J105" s="118" t="n">
        <f aca="false">IF(SUMIF(INPUTS!$D$88:$D$97,"Institutional",INPUTS!$U$88:$U$97)&gt;0,((INPUTS!$D$88="Institutional")*INPUTS!$U$88*J40+(INPUTS!$D$89="Institutional")*INPUTS!$U$89*J46+(INPUTS!$D$90="Institutional")*INPUTS!$U$90*J52+(INPUTS!$D$91="Institutional")*INPUTS!$U$91*J58+(INPUTS!$D$92="Institutional")*INPUTS!$U$92*J64+(INPUTS!$D$93="Institutional")*INPUTS!$U$93*J70+(INPUTS!$D$94="Institutional")*INPUTS!$U$94*J76+(INPUTS!$D$95="Institutional")*INPUTS!$U$95*J82+(INPUTS!$D$96="Institutional")*INPUTS!$U$96*J88+(INPUTS!$D$97="Institutional")*INPUTS!$U$97*J94)/SUMIF(INPUTS!$D$88:$D$97,"Institutional",INPUTS!$U$88:$U$97),0)</f>
        <v>0</v>
      </c>
      <c r="K105" s="118" t="n">
        <f aca="false">IF(SUMIF(INPUTS!$D$88:$D$97,"Institutional",INPUTS!$U$88:$U$97)&gt;0,((INPUTS!$D$88="Institutional")*INPUTS!$U$88*K40+(INPUTS!$D$89="Institutional")*INPUTS!$U$89*K46+(INPUTS!$D$90="Institutional")*INPUTS!$U$90*K52+(INPUTS!$D$91="Institutional")*INPUTS!$U$91*K58+(INPUTS!$D$92="Institutional")*INPUTS!$U$92*K64+(INPUTS!$D$93="Institutional")*INPUTS!$U$93*K70+(INPUTS!$D$94="Institutional")*INPUTS!$U$94*K76+(INPUTS!$D$95="Institutional")*INPUTS!$U$95*K82+(INPUTS!$D$96="Institutional")*INPUTS!$U$96*K88+(INPUTS!$D$97="Institutional")*INPUTS!$U$97*K94)/SUMIF(INPUTS!$D$88:$D$97,"Institutional",INPUTS!$U$88:$U$97),0)</f>
        <v>0</v>
      </c>
      <c r="L105" s="118" t="n">
        <f aca="false">IF(SUMIF(INPUTS!$D$88:$D$97,"Institutional",INPUTS!$U$88:$U$97)&gt;0,((INPUTS!$D$88="Institutional")*INPUTS!$U$88*L40+(INPUTS!$D$89="Institutional")*INPUTS!$U$89*L46+(INPUTS!$D$90="Institutional")*INPUTS!$U$90*L52+(INPUTS!$D$91="Institutional")*INPUTS!$U$91*L58+(INPUTS!$D$92="Institutional")*INPUTS!$U$92*L64+(INPUTS!$D$93="Institutional")*INPUTS!$U$93*L70+(INPUTS!$D$94="Institutional")*INPUTS!$U$94*L76+(INPUTS!$D$95="Institutional")*INPUTS!$U$95*L82+(INPUTS!$D$96="Institutional")*INPUTS!$U$96*L88+(INPUTS!$D$97="Institutional")*INPUTS!$U$97*L94)/SUMIF(INPUTS!$D$88:$D$97,"Institutional",INPUTS!$U$88:$U$97),0)</f>
        <v>0</v>
      </c>
      <c r="M105" s="118" t="n">
        <f aca="false">IF(SUMIF(INPUTS!$D$88:$D$97,"Institutional",INPUTS!$U$88:$U$97)&gt;0,((INPUTS!$D$88="Institutional")*INPUTS!$U$88*M40+(INPUTS!$D$89="Institutional")*INPUTS!$U$89*M46+(INPUTS!$D$90="Institutional")*INPUTS!$U$90*M52+(INPUTS!$D$91="Institutional")*INPUTS!$U$91*M58+(INPUTS!$D$92="Institutional")*INPUTS!$U$92*M64+(INPUTS!$D$93="Institutional")*INPUTS!$U$93*M70+(INPUTS!$D$94="Institutional")*INPUTS!$U$94*M76+(INPUTS!$D$95="Institutional")*INPUTS!$U$95*M82+(INPUTS!$D$96="Institutional")*INPUTS!$U$96*M88+(INPUTS!$D$97="Institutional")*INPUTS!$U$97*M94)/SUMIF(INPUTS!$D$88:$D$97,"Institutional",INPUTS!$U$88:$U$97),0)</f>
        <v>0</v>
      </c>
      <c r="N105" s="118" t="n">
        <f aca="false">IF(SUMIF(INPUTS!$D$88:$D$97,"Institutional",INPUTS!$U$88:$U$97)&gt;0,((INPUTS!$D$88="Institutional")*INPUTS!$U$88*N40+(INPUTS!$D$89="Institutional")*INPUTS!$U$89*N46+(INPUTS!$D$90="Institutional")*INPUTS!$U$90*N52+(INPUTS!$D$91="Institutional")*INPUTS!$U$91*N58+(INPUTS!$D$92="Institutional")*INPUTS!$U$92*N64+(INPUTS!$D$93="Institutional")*INPUTS!$U$93*N70+(INPUTS!$D$94="Institutional")*INPUTS!$U$94*N76+(INPUTS!$D$95="Institutional")*INPUTS!$U$95*N82+(INPUTS!$D$96="Institutional")*INPUTS!$U$96*N88+(INPUTS!$D$97="Institutional")*INPUTS!$U$97*N94)/SUMIF(INPUTS!$D$88:$D$97,"Institutional",INPUTS!$U$88:$U$97),0)</f>
        <v>0</v>
      </c>
      <c r="O105" s="118" t="n">
        <f aca="false">IF(SUMIF(INPUTS!$D$88:$D$97,"Institutional",INPUTS!$U$88:$U$97)&gt;0,((INPUTS!$D$88="Institutional")*INPUTS!$U$88*O40+(INPUTS!$D$89="Institutional")*INPUTS!$U$89*O46+(INPUTS!$D$90="Institutional")*INPUTS!$U$90*O52+(INPUTS!$D$91="Institutional")*INPUTS!$U$91*O58+(INPUTS!$D$92="Institutional")*INPUTS!$U$92*O64+(INPUTS!$D$93="Institutional")*INPUTS!$U$93*O70+(INPUTS!$D$94="Institutional")*INPUTS!$U$94*O76+(INPUTS!$D$95="Institutional")*INPUTS!$U$95*O82+(INPUTS!$D$96="Institutional")*INPUTS!$U$96*O88+(INPUTS!$D$97="Institutional")*INPUTS!$U$97*O94)/SUMIF(INPUTS!$D$88:$D$97,"Institutional",INPUTS!$U$88:$U$97),0)</f>
        <v>0</v>
      </c>
      <c r="P105" s="118" t="n">
        <f aca="false">IF(SUMIF(INPUTS!$D$88:$D$97,"Institutional",INPUTS!$U$88:$U$97)&gt;0,((INPUTS!$D$88="Institutional")*INPUTS!$U$88*P40+(INPUTS!$D$89="Institutional")*INPUTS!$U$89*P46+(INPUTS!$D$90="Institutional")*INPUTS!$U$90*P52+(INPUTS!$D$91="Institutional")*INPUTS!$U$91*P58+(INPUTS!$D$92="Institutional")*INPUTS!$U$92*P64+(INPUTS!$D$93="Institutional")*INPUTS!$U$93*P70+(INPUTS!$D$94="Institutional")*INPUTS!$U$94*P76+(INPUTS!$D$95="Institutional")*INPUTS!$U$95*P82+(INPUTS!$D$96="Institutional")*INPUTS!$U$96*P88+(INPUTS!$D$97="Institutional")*INPUTS!$U$97*P94)/SUMIF(INPUTS!$D$88:$D$97,"Institutional",INPUTS!$U$88:$U$97),0)</f>
        <v>0</v>
      </c>
      <c r="Q105" s="118" t="n">
        <f aca="false">IF(SUMIF(INPUTS!$D$88:$D$97,"Institutional",INPUTS!$U$88:$U$97)&gt;0,((INPUTS!$D$88="Institutional")*INPUTS!$U$88*Q40+(INPUTS!$D$89="Institutional")*INPUTS!$U$89*Q46+(INPUTS!$D$90="Institutional")*INPUTS!$U$90*Q52+(INPUTS!$D$91="Institutional")*INPUTS!$U$91*Q58+(INPUTS!$D$92="Institutional")*INPUTS!$U$92*Q64+(INPUTS!$D$93="Institutional")*INPUTS!$U$93*Q70+(INPUTS!$D$94="Institutional")*INPUTS!$U$94*Q76+(INPUTS!$D$95="Institutional")*INPUTS!$U$95*Q82+(INPUTS!$D$96="Institutional")*INPUTS!$U$96*Q88+(INPUTS!$D$97="Institutional")*INPUTS!$U$97*Q94)/SUMIF(INPUTS!$D$88:$D$97,"Institutional",INPUTS!$U$88:$U$97),0)</f>
        <v>0</v>
      </c>
      <c r="R105" s="118" t="n">
        <f aca="false">IF(SUMIF(INPUTS!$D$88:$D$97,"Institutional",INPUTS!$U$88:$U$97)&gt;0,((INPUTS!$D$88="Institutional")*INPUTS!$U$88*R40+(INPUTS!$D$89="Institutional")*INPUTS!$U$89*R46+(INPUTS!$D$90="Institutional")*INPUTS!$U$90*R52+(INPUTS!$D$91="Institutional")*INPUTS!$U$91*R58+(INPUTS!$D$92="Institutional")*INPUTS!$U$92*R64+(INPUTS!$D$93="Institutional")*INPUTS!$U$93*R70+(INPUTS!$D$94="Institutional")*INPUTS!$U$94*R76+(INPUTS!$D$95="Institutional")*INPUTS!$U$95*R82+(INPUTS!$D$96="Institutional")*INPUTS!$U$96*R88+(INPUTS!$D$97="Institutional")*INPUTS!$U$97*R94)/SUMIF(INPUTS!$D$88:$D$97,"Institutional",INPUTS!$U$88:$U$97),0)</f>
        <v>0</v>
      </c>
      <c r="S105" s="118" t="n">
        <f aca="false">IF(SUMIF(INPUTS!$D$88:$D$97,"Institutional",INPUTS!$U$88:$U$97)&gt;0,((INPUTS!$D$88="Institutional")*INPUTS!$U$88*S40+(INPUTS!$D$89="Institutional")*INPUTS!$U$89*S46+(INPUTS!$D$90="Institutional")*INPUTS!$U$90*S52+(INPUTS!$D$91="Institutional")*INPUTS!$U$91*S58+(INPUTS!$D$92="Institutional")*INPUTS!$U$92*S64+(INPUTS!$D$93="Institutional")*INPUTS!$U$93*S70+(INPUTS!$D$94="Institutional")*INPUTS!$U$94*S76+(INPUTS!$D$95="Institutional")*INPUTS!$U$95*S82+(INPUTS!$D$96="Institutional")*INPUTS!$U$96*S88+(INPUTS!$D$97="Institutional")*INPUTS!$U$97*S94)/SUMIF(INPUTS!$D$88:$D$97,"Institutional",INPUTS!$U$88:$U$97),0)</f>
        <v>0</v>
      </c>
      <c r="T105" s="118" t="n">
        <f aca="false">IF(SUMIF(INPUTS!$D$88:$D$97,"Institutional",INPUTS!$U$88:$U$97)&gt;0,((INPUTS!$D$88="Institutional")*INPUTS!$U$88*T40+(INPUTS!$D$89="Institutional")*INPUTS!$U$89*T46+(INPUTS!$D$90="Institutional")*INPUTS!$U$90*T52+(INPUTS!$D$91="Institutional")*INPUTS!$U$91*T58+(INPUTS!$D$92="Institutional")*INPUTS!$U$92*T64+(INPUTS!$D$93="Institutional")*INPUTS!$U$93*T70+(INPUTS!$D$94="Institutional")*INPUTS!$U$94*T76+(INPUTS!$D$95="Institutional")*INPUTS!$U$95*T82+(INPUTS!$D$96="Institutional")*INPUTS!$U$96*T88+(INPUTS!$D$97="Institutional")*INPUTS!$U$97*T94)/SUMIF(INPUTS!$D$88:$D$97,"Institutional",INPUTS!$U$88:$U$97),0)</f>
        <v>0</v>
      </c>
      <c r="U105" s="118" t="n">
        <f aca="false">IF(SUMIF(INPUTS!$D$88:$D$97,"Institutional",INPUTS!$U$88:$U$97)&gt;0,((INPUTS!$D$88="Institutional")*INPUTS!$U$88*U40+(INPUTS!$D$89="Institutional")*INPUTS!$U$89*U46+(INPUTS!$D$90="Institutional")*INPUTS!$U$90*U52+(INPUTS!$D$91="Institutional")*INPUTS!$U$91*U58+(INPUTS!$D$92="Institutional")*INPUTS!$U$92*U64+(INPUTS!$D$93="Institutional")*INPUTS!$U$93*U70+(INPUTS!$D$94="Institutional")*INPUTS!$U$94*U76+(INPUTS!$D$95="Institutional")*INPUTS!$U$95*U82+(INPUTS!$D$96="Institutional")*INPUTS!$U$96*U88+(INPUTS!$D$97="Institutional")*INPUTS!$U$97*U94)/SUMIF(INPUTS!$D$88:$D$97,"Institutional",INPUTS!$U$88:$U$97),0)</f>
        <v>0</v>
      </c>
      <c r="V105" s="118" t="n">
        <f aca="false">IF(SUMIF(INPUTS!$D$88:$D$97,"Institutional",INPUTS!$U$88:$U$97)&gt;0,((INPUTS!$D$88="Institutional")*INPUTS!$U$88*V40+(INPUTS!$D$89="Institutional")*INPUTS!$U$89*V46+(INPUTS!$D$90="Institutional")*INPUTS!$U$90*V52+(INPUTS!$D$91="Institutional")*INPUTS!$U$91*V58+(INPUTS!$D$92="Institutional")*INPUTS!$U$92*V64+(INPUTS!$D$93="Institutional")*INPUTS!$U$93*V70+(INPUTS!$D$94="Institutional")*INPUTS!$U$94*V76+(INPUTS!$D$95="Institutional")*INPUTS!$U$95*V82+(INPUTS!$D$96="Institutional")*INPUTS!$U$96*V88+(INPUTS!$D$97="Institutional")*INPUTS!$U$97*V94)/SUMIF(INPUTS!$D$88:$D$97,"Institutional",INPUTS!$U$88:$U$97),0)</f>
        <v>0</v>
      </c>
      <c r="W105" s="118" t="n">
        <f aca="false">IF(SUMIF(INPUTS!$D$88:$D$97,"Institutional",INPUTS!$U$88:$U$97)&gt;0,((INPUTS!$D$88="Institutional")*INPUTS!$U$88*W40+(INPUTS!$D$89="Institutional")*INPUTS!$U$89*W46+(INPUTS!$D$90="Institutional")*INPUTS!$U$90*W52+(INPUTS!$D$91="Institutional")*INPUTS!$U$91*W58+(INPUTS!$D$92="Institutional")*INPUTS!$U$92*W64+(INPUTS!$D$93="Institutional")*INPUTS!$U$93*W70+(INPUTS!$D$94="Institutional")*INPUTS!$U$94*W76+(INPUTS!$D$95="Institutional")*INPUTS!$U$95*W82+(INPUTS!$D$96="Institutional")*INPUTS!$U$96*W88+(INPUTS!$D$97="Institutional")*INPUTS!$U$97*W94)/SUMIF(INPUTS!$D$88:$D$97,"Institutional",INPUTS!$U$88:$U$97),0)</f>
        <v>0</v>
      </c>
      <c r="X105" s="118" t="n">
        <f aca="false">IF(SUMIF(INPUTS!$D$88:$D$97,"Institutional",INPUTS!$U$88:$U$97)&gt;0,((INPUTS!$D$88="Institutional")*INPUTS!$U$88*X40+(INPUTS!$D$89="Institutional")*INPUTS!$U$89*X46+(INPUTS!$D$90="Institutional")*INPUTS!$U$90*X52+(INPUTS!$D$91="Institutional")*INPUTS!$U$91*X58+(INPUTS!$D$92="Institutional")*INPUTS!$U$92*X64+(INPUTS!$D$93="Institutional")*INPUTS!$U$93*X70+(INPUTS!$D$94="Institutional")*INPUTS!$U$94*X76+(INPUTS!$D$95="Institutional")*INPUTS!$U$95*X82+(INPUTS!$D$96="Institutional")*INPUTS!$U$96*X88+(INPUTS!$D$97="Institutional")*INPUTS!$U$97*X94)/SUMIF(INPUTS!$D$88:$D$97,"Institutional",INPUTS!$U$88:$U$97),0)</f>
        <v>0</v>
      </c>
      <c r="Y105" s="118" t="n">
        <f aca="false">IF(SUMIF(INPUTS!$D$88:$D$97,"Institutional",INPUTS!$U$88:$U$97)&gt;0,((INPUTS!$D$88="Institutional")*INPUTS!$U$88*Y40+(INPUTS!$D$89="Institutional")*INPUTS!$U$89*Y46+(INPUTS!$D$90="Institutional")*INPUTS!$U$90*Y52+(INPUTS!$D$91="Institutional")*INPUTS!$U$91*Y58+(INPUTS!$D$92="Institutional")*INPUTS!$U$92*Y64+(INPUTS!$D$93="Institutional")*INPUTS!$U$93*Y70+(INPUTS!$D$94="Institutional")*INPUTS!$U$94*Y76+(INPUTS!$D$95="Institutional")*INPUTS!$U$95*Y82+(INPUTS!$D$96="Institutional")*INPUTS!$U$96*Y88+(INPUTS!$D$97="Institutional")*INPUTS!$U$97*Y94)/SUMIF(INPUTS!$D$88:$D$97,"Institutional",INPUTS!$U$88:$U$97),0)</f>
        <v>0</v>
      </c>
      <c r="Z105" s="118" t="n">
        <f aca="false">IF(SUMIF(INPUTS!$D$88:$D$97,"Institutional",INPUTS!$U$88:$U$97)&gt;0,((INPUTS!$D$88="Institutional")*INPUTS!$U$88*Z40+(INPUTS!$D$89="Institutional")*INPUTS!$U$89*Z46+(INPUTS!$D$90="Institutional")*INPUTS!$U$90*Z52+(INPUTS!$D$91="Institutional")*INPUTS!$U$91*Z58+(INPUTS!$D$92="Institutional")*INPUTS!$U$92*Z64+(INPUTS!$D$93="Institutional")*INPUTS!$U$93*Z70+(INPUTS!$D$94="Institutional")*INPUTS!$U$94*Z76+(INPUTS!$D$95="Institutional")*INPUTS!$U$95*Z82+(INPUTS!$D$96="Institutional")*INPUTS!$U$96*Z88+(INPUTS!$D$97="Institutional")*INPUTS!$U$97*Z94)/SUMIF(INPUTS!$D$88:$D$97,"Institutional",INPUTS!$U$88:$U$97),0)</f>
        <v>0</v>
      </c>
      <c r="AA105" s="118" t="n">
        <f aca="false">IF(SUMIF(INPUTS!$D$88:$D$97,"Institutional",INPUTS!$U$88:$U$97)&gt;0,((INPUTS!$D$88="Institutional")*INPUTS!$U$88*AA40+(INPUTS!$D$89="Institutional")*INPUTS!$U$89*AA46+(INPUTS!$D$90="Institutional")*INPUTS!$U$90*AA52+(INPUTS!$D$91="Institutional")*INPUTS!$U$91*AA58+(INPUTS!$D$92="Institutional")*INPUTS!$U$92*AA64+(INPUTS!$D$93="Institutional")*INPUTS!$U$93*AA70+(INPUTS!$D$94="Institutional")*INPUTS!$U$94*AA76+(INPUTS!$D$95="Institutional")*INPUTS!$U$95*AA82+(INPUTS!$D$96="Institutional")*INPUTS!$U$96*AA88+(INPUTS!$D$97="Institutional")*INPUTS!$U$97*AA94)/SUMIF(INPUTS!$D$88:$D$97,"Institutional",INPUTS!$U$88:$U$97),0)</f>
        <v>0</v>
      </c>
      <c r="AB105" s="118" t="n">
        <f aca="false">IF(SUMIF(INPUTS!$D$88:$D$97,"Institutional",INPUTS!$U$88:$U$97)&gt;0,((INPUTS!$D$88="Institutional")*INPUTS!$U$88*AB40+(INPUTS!$D$89="Institutional")*INPUTS!$U$89*AB46+(INPUTS!$D$90="Institutional")*INPUTS!$U$90*AB52+(INPUTS!$D$91="Institutional")*INPUTS!$U$91*AB58+(INPUTS!$D$92="Institutional")*INPUTS!$U$92*AB64+(INPUTS!$D$93="Institutional")*INPUTS!$U$93*AB70+(INPUTS!$D$94="Institutional")*INPUTS!$U$94*AB76+(INPUTS!$D$95="Institutional")*INPUTS!$U$95*AB82+(INPUTS!$D$96="Institutional")*INPUTS!$U$96*AB88+(INPUTS!$D$97="Institutional")*INPUTS!$U$97*AB94)/SUMIF(INPUTS!$D$88:$D$97,"Institutional",INPUTS!$U$88:$U$97),0)</f>
        <v>0</v>
      </c>
      <c r="AC105" s="118" t="n">
        <f aca="false">IF(SUMIF(INPUTS!$D$88:$D$97,"Institutional",INPUTS!$U$88:$U$97)&gt;0,((INPUTS!$D$88="Institutional")*INPUTS!$U$88*AC40+(INPUTS!$D$89="Institutional")*INPUTS!$U$89*AC46+(INPUTS!$D$90="Institutional")*INPUTS!$U$90*AC52+(INPUTS!$D$91="Institutional")*INPUTS!$U$91*AC58+(INPUTS!$D$92="Institutional")*INPUTS!$U$92*AC64+(INPUTS!$D$93="Institutional")*INPUTS!$U$93*AC70+(INPUTS!$D$94="Institutional")*INPUTS!$U$94*AC76+(INPUTS!$D$95="Institutional")*INPUTS!$U$95*AC82+(INPUTS!$D$96="Institutional")*INPUTS!$U$96*AC88+(INPUTS!$D$97="Institutional")*INPUTS!$U$97*AC94)/SUMIF(INPUTS!$D$88:$D$97,"Institutional",INPUTS!$U$88:$U$97),0)</f>
        <v>0</v>
      </c>
      <c r="AD105" s="118" t="n">
        <f aca="false">IF(SUMIF(INPUTS!$D$88:$D$97,"Institutional",INPUTS!$U$88:$U$97)&gt;0,((INPUTS!$D$88="Institutional")*INPUTS!$U$88*AD40+(INPUTS!$D$89="Institutional")*INPUTS!$U$89*AD46+(INPUTS!$D$90="Institutional")*INPUTS!$U$90*AD52+(INPUTS!$D$91="Institutional")*INPUTS!$U$91*AD58+(INPUTS!$D$92="Institutional")*INPUTS!$U$92*AD64+(INPUTS!$D$93="Institutional")*INPUTS!$U$93*AD70+(INPUTS!$D$94="Institutional")*INPUTS!$U$94*AD76+(INPUTS!$D$95="Institutional")*INPUTS!$U$95*AD82+(INPUTS!$D$96="Institutional")*INPUTS!$U$96*AD88+(INPUTS!$D$97="Institutional")*INPUTS!$U$97*AD94)/SUMIF(INPUTS!$D$88:$D$97,"Institutional",INPUTS!$U$88:$U$97),0)</f>
        <v>0</v>
      </c>
      <c r="AE105" s="118" t="n">
        <f aca="false">IF(SUMIF(INPUTS!$D$88:$D$97,"Institutional",INPUTS!$U$88:$U$97)&gt;0,((INPUTS!$D$88="Institutional")*INPUTS!$U$88*AE40+(INPUTS!$D$89="Institutional")*INPUTS!$U$89*AE46+(INPUTS!$D$90="Institutional")*INPUTS!$U$90*AE52+(INPUTS!$D$91="Institutional")*INPUTS!$U$91*AE58+(INPUTS!$D$92="Institutional")*INPUTS!$U$92*AE64+(INPUTS!$D$93="Institutional")*INPUTS!$U$93*AE70+(INPUTS!$D$94="Institutional")*INPUTS!$U$94*AE76+(INPUTS!$D$95="Institutional")*INPUTS!$U$95*AE82+(INPUTS!$D$96="Institutional")*INPUTS!$U$96*AE88+(INPUTS!$D$97="Institutional")*INPUTS!$U$97*AE94)/SUMIF(INPUTS!$D$88:$D$97,"Institutional",INPUTS!$U$88:$U$97),0)</f>
        <v>0</v>
      </c>
      <c r="AF105" s="118" t="n">
        <f aca="false">IF(SUMIF(INPUTS!$D$88:$D$97,"Institutional",INPUTS!$U$88:$U$97)&gt;0,((INPUTS!$D$88="Institutional")*INPUTS!$U$88*AF40+(INPUTS!$D$89="Institutional")*INPUTS!$U$89*AF46+(INPUTS!$D$90="Institutional")*INPUTS!$U$90*AF52+(INPUTS!$D$91="Institutional")*INPUTS!$U$91*AF58+(INPUTS!$D$92="Institutional")*INPUTS!$U$92*AF64+(INPUTS!$D$93="Institutional")*INPUTS!$U$93*AF70+(INPUTS!$D$94="Institutional")*INPUTS!$U$94*AF76+(INPUTS!$D$95="Institutional")*INPUTS!$U$95*AF82+(INPUTS!$D$96="Institutional")*INPUTS!$U$96*AF88+(INPUTS!$D$97="Institutional")*INPUTS!$U$97*AF94)/SUMIF(INPUTS!$D$88:$D$97,"Institutional",INPUTS!$U$88:$U$97),0)</f>
        <v>0</v>
      </c>
      <c r="AG105" s="118" t="n">
        <f aca="false">IF(SUMIF(INPUTS!$D$88:$D$97,"Institutional",INPUTS!$U$88:$U$97)&gt;0,((INPUTS!$D$88="Institutional")*INPUTS!$U$88*AG40+(INPUTS!$D$89="Institutional")*INPUTS!$U$89*AG46+(INPUTS!$D$90="Institutional")*INPUTS!$U$90*AG52+(INPUTS!$D$91="Institutional")*INPUTS!$U$91*AG58+(INPUTS!$D$92="Institutional")*INPUTS!$U$92*AG64+(INPUTS!$D$93="Institutional")*INPUTS!$U$93*AG70+(INPUTS!$D$94="Institutional")*INPUTS!$U$94*AG76+(INPUTS!$D$95="Institutional")*INPUTS!$U$95*AG82+(INPUTS!$D$96="Institutional")*INPUTS!$U$96*AG88+(INPUTS!$D$97="Institutional")*INPUTS!$U$97*AG94)/SUMIF(INPUTS!$D$88:$D$97,"Institutional",INPUTS!$U$88:$U$97),0)</f>
        <v>0</v>
      </c>
      <c r="AH105" s="118" t="n">
        <f aca="false">IF(SUMIF(INPUTS!$D$88:$D$97,"Institutional",INPUTS!$U$88:$U$97)&gt;0,((INPUTS!$D$88="Institutional")*INPUTS!$U$88*AH40+(INPUTS!$D$89="Institutional")*INPUTS!$U$89*AH46+(INPUTS!$D$90="Institutional")*INPUTS!$U$90*AH52+(INPUTS!$D$91="Institutional")*INPUTS!$U$91*AH58+(INPUTS!$D$92="Institutional")*INPUTS!$U$92*AH64+(INPUTS!$D$93="Institutional")*INPUTS!$U$93*AH70+(INPUTS!$D$94="Institutional")*INPUTS!$U$94*AH76+(INPUTS!$D$95="Institutional")*INPUTS!$U$95*AH82+(INPUTS!$D$96="Institutional")*INPUTS!$U$96*AH88+(INPUTS!$D$97="Institutional")*INPUTS!$U$97*AH94)/SUMIF(INPUTS!$D$88:$D$97,"Institutional",INPUTS!$U$88:$U$97),0)</f>
        <v>0</v>
      </c>
      <c r="AI105" s="118" t="n">
        <f aca="false">IF(SUMIF(INPUTS!$D$88:$D$97,"Institutional",INPUTS!$U$88:$U$97)&gt;0,((INPUTS!$D$88="Institutional")*INPUTS!$U$88*AI40+(INPUTS!$D$89="Institutional")*INPUTS!$U$89*AI46+(INPUTS!$D$90="Institutional")*INPUTS!$U$90*AI52+(INPUTS!$D$91="Institutional")*INPUTS!$U$91*AI58+(INPUTS!$D$92="Institutional")*INPUTS!$U$92*AI64+(INPUTS!$D$93="Institutional")*INPUTS!$U$93*AI70+(INPUTS!$D$94="Institutional")*INPUTS!$U$94*AI76+(INPUTS!$D$95="Institutional")*INPUTS!$U$95*AI82+(INPUTS!$D$96="Institutional")*INPUTS!$U$96*AI88+(INPUTS!$D$97="Institutional")*INPUTS!$U$97*AI94)/SUMIF(INPUTS!$D$88:$D$97,"Institutional",INPUTS!$U$88:$U$97),0)</f>
        <v>0</v>
      </c>
      <c r="AJ105" s="118" t="n">
        <f aca="false">IF(SUMIF(INPUTS!$D$88:$D$97,"Institutional",INPUTS!$U$88:$U$97)&gt;0,((INPUTS!$D$88="Institutional")*INPUTS!$U$88*AJ40+(INPUTS!$D$89="Institutional")*INPUTS!$U$89*AJ46+(INPUTS!$D$90="Institutional")*INPUTS!$U$90*AJ52+(INPUTS!$D$91="Institutional")*INPUTS!$U$91*AJ58+(INPUTS!$D$92="Institutional")*INPUTS!$U$92*AJ64+(INPUTS!$D$93="Institutional")*INPUTS!$U$93*AJ70+(INPUTS!$D$94="Institutional")*INPUTS!$U$94*AJ76+(INPUTS!$D$95="Institutional")*INPUTS!$U$95*AJ82+(INPUTS!$D$96="Institutional")*INPUTS!$U$96*AJ88+(INPUTS!$D$97="Institutional")*INPUTS!$U$97*AJ94)/SUMIF(INPUTS!$D$88:$D$97,"Institutional",INPUTS!$U$88:$U$97),0)</f>
        <v>0</v>
      </c>
      <c r="AK105" s="118" t="n">
        <f aca="false">IF(SUMIF(INPUTS!$D$88:$D$97,"Institutional",INPUTS!$U$88:$U$97)&gt;0,((INPUTS!$D$88="Institutional")*INPUTS!$U$88*AK40+(INPUTS!$D$89="Institutional")*INPUTS!$U$89*AK46+(INPUTS!$D$90="Institutional")*INPUTS!$U$90*AK52+(INPUTS!$D$91="Institutional")*INPUTS!$U$91*AK58+(INPUTS!$D$92="Institutional")*INPUTS!$U$92*AK64+(INPUTS!$D$93="Institutional")*INPUTS!$U$93*AK70+(INPUTS!$D$94="Institutional")*INPUTS!$U$94*AK76+(INPUTS!$D$95="Institutional")*INPUTS!$U$95*AK82+(INPUTS!$D$96="Institutional")*INPUTS!$U$96*AK88+(INPUTS!$D$97="Institutional")*INPUTS!$U$97*AK94)/SUMIF(INPUTS!$D$88:$D$97,"Institutional",INPUTS!$U$88:$U$97),0)</f>
        <v>0</v>
      </c>
      <c r="AL105" s="118" t="n">
        <f aca="false">IF(SUMIF(INPUTS!$D$88:$D$97,"Institutional",INPUTS!$U$88:$U$97)&gt;0,((INPUTS!$D$88="Institutional")*INPUTS!$U$88*AL40+(INPUTS!$D$89="Institutional")*INPUTS!$U$89*AL46+(INPUTS!$D$90="Institutional")*INPUTS!$U$90*AL52+(INPUTS!$D$91="Institutional")*INPUTS!$U$91*AL58+(INPUTS!$D$92="Institutional")*INPUTS!$U$92*AL64+(INPUTS!$D$93="Institutional")*INPUTS!$U$93*AL70+(INPUTS!$D$94="Institutional")*INPUTS!$U$94*AL76+(INPUTS!$D$95="Institutional")*INPUTS!$U$95*AL82+(INPUTS!$D$96="Institutional")*INPUTS!$U$96*AL88+(INPUTS!$D$97="Institutional")*INPUTS!$U$97*AL94)/SUMIF(INPUTS!$D$88:$D$97,"Institutional",INPUTS!$U$88:$U$97),0)</f>
        <v>0</v>
      </c>
      <c r="AM105" s="118" t="n">
        <f aca="false">IF(SUMIF(INPUTS!$D$88:$D$97,"Institutional",INPUTS!$U$88:$U$97)&gt;0,((INPUTS!$D$88="Institutional")*INPUTS!$U$88*AM40+(INPUTS!$D$89="Institutional")*INPUTS!$U$89*AM46+(INPUTS!$D$90="Institutional")*INPUTS!$U$90*AM52+(INPUTS!$D$91="Institutional")*INPUTS!$U$91*AM58+(INPUTS!$D$92="Institutional")*INPUTS!$U$92*AM64+(INPUTS!$D$93="Institutional")*INPUTS!$U$93*AM70+(INPUTS!$D$94="Institutional")*INPUTS!$U$94*AM76+(INPUTS!$D$95="Institutional")*INPUTS!$U$95*AM82+(INPUTS!$D$96="Institutional")*INPUTS!$U$96*AM88+(INPUTS!$D$97="Institutional")*INPUTS!$U$97*AM94)/SUMIF(INPUTS!$D$88:$D$97,"Institutional",INPUTS!$U$88:$U$97),0)</f>
        <v>0</v>
      </c>
      <c r="AN105" s="118" t="n">
        <f aca="false">IF(SUMIF(INPUTS!$D$88:$D$97,"Institutional",INPUTS!$U$88:$U$97)&gt;0,((INPUTS!$D$88="Institutional")*INPUTS!$U$88*AN40+(INPUTS!$D$89="Institutional")*INPUTS!$U$89*AN46+(INPUTS!$D$90="Institutional")*INPUTS!$U$90*AN52+(INPUTS!$D$91="Institutional")*INPUTS!$U$91*AN58+(INPUTS!$D$92="Institutional")*INPUTS!$U$92*AN64+(INPUTS!$D$93="Institutional")*INPUTS!$U$93*AN70+(INPUTS!$D$94="Institutional")*INPUTS!$U$94*AN76+(INPUTS!$D$95="Institutional")*INPUTS!$U$95*AN82+(INPUTS!$D$96="Institutional")*INPUTS!$U$96*AN88+(INPUTS!$D$97="Institutional")*INPUTS!$U$97*AN94)/SUMIF(INPUTS!$D$88:$D$97,"Institutional",INPUTS!$U$88:$U$97),0)</f>
        <v>0</v>
      </c>
      <c r="AO105" s="118" t="n">
        <f aca="false">IF(SUMIF(INPUTS!$D$88:$D$97,"Institutional",INPUTS!$U$88:$U$97)&gt;0,((INPUTS!$D$88="Institutional")*INPUTS!$U$88*AO40+(INPUTS!$D$89="Institutional")*INPUTS!$U$89*AO46+(INPUTS!$D$90="Institutional")*INPUTS!$U$90*AO52+(INPUTS!$D$91="Institutional")*INPUTS!$U$91*AO58+(INPUTS!$D$92="Institutional")*INPUTS!$U$92*AO64+(INPUTS!$D$93="Institutional")*INPUTS!$U$93*AO70+(INPUTS!$D$94="Institutional")*INPUTS!$U$94*AO76+(INPUTS!$D$95="Institutional")*INPUTS!$U$95*AO82+(INPUTS!$D$96="Institutional")*INPUTS!$U$96*AO88+(INPUTS!$D$97="Institutional")*INPUTS!$U$97*AO94)/SUMIF(INPUTS!$D$88:$D$97,"Institutional",INPUTS!$U$88:$U$97),0)</f>
        <v>0</v>
      </c>
      <c r="AP105" s="118" t="n">
        <f aca="false">IF(SUMIF(INPUTS!$D$88:$D$97,"Institutional",INPUTS!$U$88:$U$97)&gt;0,((INPUTS!$D$88="Institutional")*INPUTS!$U$88*AP40+(INPUTS!$D$89="Institutional")*INPUTS!$U$89*AP46+(INPUTS!$D$90="Institutional")*INPUTS!$U$90*AP52+(INPUTS!$D$91="Institutional")*INPUTS!$U$91*AP58+(INPUTS!$D$92="Institutional")*INPUTS!$U$92*AP64+(INPUTS!$D$93="Institutional")*INPUTS!$U$93*AP70+(INPUTS!$D$94="Institutional")*INPUTS!$U$94*AP76+(INPUTS!$D$95="Institutional")*INPUTS!$U$95*AP82+(INPUTS!$D$96="Institutional")*INPUTS!$U$96*AP88+(INPUTS!$D$97="Institutional")*INPUTS!$U$97*AP94)/SUMIF(INPUTS!$D$88:$D$97,"Institutional",INPUTS!$U$88:$U$97),0)</f>
        <v>0</v>
      </c>
      <c r="AQ105" s="118" t="n">
        <f aca="false">IF(SUMIF(INPUTS!$D$88:$D$97,"Institutional",INPUTS!$U$88:$U$97)&gt;0,((INPUTS!$D$88="Institutional")*INPUTS!$U$88*AQ40+(INPUTS!$D$89="Institutional")*INPUTS!$U$89*AQ46+(INPUTS!$D$90="Institutional")*INPUTS!$U$90*AQ52+(INPUTS!$D$91="Institutional")*INPUTS!$U$91*AQ58+(INPUTS!$D$92="Institutional")*INPUTS!$U$92*AQ64+(INPUTS!$D$93="Institutional")*INPUTS!$U$93*AQ70+(INPUTS!$D$94="Institutional")*INPUTS!$U$94*AQ76+(INPUTS!$D$95="Institutional")*INPUTS!$U$95*AQ82+(INPUTS!$D$96="Institutional")*INPUTS!$U$96*AQ88+(INPUTS!$D$97="Institutional")*INPUTS!$U$97*AQ94)/SUMIF(INPUTS!$D$88:$D$97,"Institutional",INPUTS!$U$88:$U$97),0)</f>
        <v>0</v>
      </c>
    </row>
    <row r="106" customFormat="false" ht="15" hidden="false" customHeight="false" outlineLevel="0" collapsed="false">
      <c r="B106" s="3" t="s">
        <v>683</v>
      </c>
      <c r="C106" s="117" t="n">
        <f aca="false">SUM(D106:AQ106)</f>
        <v>1</v>
      </c>
      <c r="D106" s="118" t="n">
        <f aca="false">IF(SUMIF(INPUTS!$D$88:$D$97,"Commercial",INPUTS!$U$88:$U$97)&gt;0,((INPUTS!$D$88="Commercial")*INPUTS!$U$88*D40+(INPUTS!$D$89="Commercial")*INPUTS!$U$89*D46+(INPUTS!$D$90="Commercial")*INPUTS!$U$90*D52+(INPUTS!$D$91="Commercial")*INPUTS!$U$91*D58+(INPUTS!$D$92="Commercial")*INPUTS!$U$92*D64+(INPUTS!$D$93="Commercial")*INPUTS!$U$93*D70+(INPUTS!$D$94="Commercial")*INPUTS!$U$94*D76+(INPUTS!$D$95="Commercial")*INPUTS!$U$95*D82+(INPUTS!$D$96="Commercial")*INPUTS!$U$96*D88+(INPUTS!$D$97="Commercial")*INPUTS!$U$97*D94)/SUMIF(INPUTS!$D$88:$D$97,"Commercial",INPUTS!$U$88:$U$97),0)</f>
        <v>0</v>
      </c>
      <c r="E106" s="118" t="n">
        <f aca="false">IF(SUMIF(INPUTS!$D$88:$D$97,"Commercial",INPUTS!$U$88:$U$97)&gt;0,((INPUTS!$D$88="Commercial")*INPUTS!$U$88*E40+(INPUTS!$D$89="Commercial")*INPUTS!$U$89*E46+(INPUTS!$D$90="Commercial")*INPUTS!$U$90*E52+(INPUTS!$D$91="Commercial")*INPUTS!$U$91*E58+(INPUTS!$D$92="Commercial")*INPUTS!$U$92*E64+(INPUTS!$D$93="Commercial")*INPUTS!$U$93*E70+(INPUTS!$D$94="Commercial")*INPUTS!$U$94*E76+(INPUTS!$D$95="Commercial")*INPUTS!$U$95*E82+(INPUTS!$D$96="Commercial")*INPUTS!$U$96*E88+(INPUTS!$D$97="Commercial")*INPUTS!$U$97*E94)/SUMIF(INPUTS!$D$88:$D$97,"Commercial",INPUTS!$U$88:$U$97),0)</f>
        <v>0</v>
      </c>
      <c r="F106" s="118" t="n">
        <f aca="false">IF(SUMIF(INPUTS!$D$88:$D$97,"Commercial",INPUTS!$U$88:$U$97)&gt;0,((INPUTS!$D$88="Commercial")*INPUTS!$U$88*F40+(INPUTS!$D$89="Commercial")*INPUTS!$U$89*F46+(INPUTS!$D$90="Commercial")*INPUTS!$U$90*F52+(INPUTS!$D$91="Commercial")*INPUTS!$U$91*F58+(INPUTS!$D$92="Commercial")*INPUTS!$U$92*F64+(INPUTS!$D$93="Commercial")*INPUTS!$U$93*F70+(INPUTS!$D$94="Commercial")*INPUTS!$U$94*F76+(INPUTS!$D$95="Commercial")*INPUTS!$U$95*F82+(INPUTS!$D$96="Commercial")*INPUTS!$U$96*F88+(INPUTS!$D$97="Commercial")*INPUTS!$U$97*F94)/SUMIF(INPUTS!$D$88:$D$97,"Commercial",INPUTS!$U$88:$U$97),0)</f>
        <v>0</v>
      </c>
      <c r="G106" s="118" t="n">
        <f aca="false">IF(SUMIF(INPUTS!$D$88:$D$97,"Commercial",INPUTS!$U$88:$U$97)&gt;0,((INPUTS!$D$88="Commercial")*INPUTS!$U$88*G40+(INPUTS!$D$89="Commercial")*INPUTS!$U$89*G46+(INPUTS!$D$90="Commercial")*INPUTS!$U$90*G52+(INPUTS!$D$91="Commercial")*INPUTS!$U$91*G58+(INPUTS!$D$92="Commercial")*INPUTS!$U$92*G64+(INPUTS!$D$93="Commercial")*INPUTS!$U$93*G70+(INPUTS!$D$94="Commercial")*INPUTS!$U$94*G76+(INPUTS!$D$95="Commercial")*INPUTS!$U$95*G82+(INPUTS!$D$96="Commercial")*INPUTS!$U$96*G88+(INPUTS!$D$97="Commercial")*INPUTS!$U$97*G94)/SUMIF(INPUTS!$D$88:$D$97,"Commercial",INPUTS!$U$88:$U$97),0)</f>
        <v>0</v>
      </c>
      <c r="H106" s="118" t="n">
        <f aca="false">IF(SUMIF(INPUTS!$D$88:$D$97,"Commercial",INPUTS!$U$88:$U$97)&gt;0,((INPUTS!$D$88="Commercial")*INPUTS!$U$88*H40+(INPUTS!$D$89="Commercial")*INPUTS!$U$89*H46+(INPUTS!$D$90="Commercial")*INPUTS!$U$90*H52+(INPUTS!$D$91="Commercial")*INPUTS!$U$91*H58+(INPUTS!$D$92="Commercial")*INPUTS!$U$92*H64+(INPUTS!$D$93="Commercial")*INPUTS!$U$93*H70+(INPUTS!$D$94="Commercial")*INPUTS!$U$94*H76+(INPUTS!$D$95="Commercial")*INPUTS!$U$95*H82+(INPUTS!$D$96="Commercial")*INPUTS!$U$96*H88+(INPUTS!$D$97="Commercial")*INPUTS!$U$97*H94)/SUMIF(INPUTS!$D$88:$D$97,"Commercial",INPUTS!$U$88:$U$97),0)</f>
        <v>0</v>
      </c>
      <c r="I106" s="118" t="n">
        <f aca="false">IF(SUMIF(INPUTS!$D$88:$D$97,"Commercial",INPUTS!$U$88:$U$97)&gt;0,((INPUTS!$D$88="Commercial")*INPUTS!$U$88*I40+(INPUTS!$D$89="Commercial")*INPUTS!$U$89*I46+(INPUTS!$D$90="Commercial")*INPUTS!$U$90*I52+(INPUTS!$D$91="Commercial")*INPUTS!$U$91*I58+(INPUTS!$D$92="Commercial")*INPUTS!$U$92*I64+(INPUTS!$D$93="Commercial")*INPUTS!$U$93*I70+(INPUTS!$D$94="Commercial")*INPUTS!$U$94*I76+(INPUTS!$D$95="Commercial")*INPUTS!$U$95*I82+(INPUTS!$D$96="Commercial")*INPUTS!$U$96*I88+(INPUTS!$D$97="Commercial")*INPUTS!$U$97*I94)/SUMIF(INPUTS!$D$88:$D$97,"Commercial",INPUTS!$U$88:$U$97),0)</f>
        <v>0.0170370868554659</v>
      </c>
      <c r="J106" s="118" t="n">
        <f aca="false">IF(SUMIF(INPUTS!$D$88:$D$97,"Commercial",INPUTS!$U$88:$U$97)&gt;0,((INPUTS!$D$88="Commercial")*INPUTS!$U$88*J40+(INPUTS!$D$89="Commercial")*INPUTS!$U$89*J46+(INPUTS!$D$90="Commercial")*INPUTS!$U$90*J52+(INPUTS!$D$91="Commercial")*INPUTS!$U$91*J58+(INPUTS!$D$92="Commercial")*INPUTS!$U$92*J64+(INPUTS!$D$93="Commercial")*INPUTS!$U$93*J70+(INPUTS!$D$94="Commercial")*INPUTS!$U$94*J76+(INPUTS!$D$95="Commercial")*INPUTS!$U$95*J82+(INPUTS!$D$96="Commercial")*INPUTS!$U$96*J88+(INPUTS!$D$97="Commercial")*INPUTS!$U$97*J94)/SUMIF(INPUTS!$D$88:$D$97,"Commercial",INPUTS!$U$88:$U$97),0)</f>
        <v>0.0499502112523148</v>
      </c>
      <c r="K106" s="118" t="n">
        <f aca="false">IF(SUMIF(INPUTS!$D$88:$D$97,"Commercial",INPUTS!$U$88:$U$97)&gt;0,((INPUTS!$D$88="Commercial")*INPUTS!$U$88*K40+(INPUTS!$D$89="Commercial")*INPUTS!$U$89*K46+(INPUTS!$D$90="Commercial")*INPUTS!$U$90*K52+(INPUTS!$D$91="Commercial")*INPUTS!$U$91*K58+(INPUTS!$D$92="Commercial")*INPUTS!$U$92*K64+(INPUTS!$D$93="Commercial")*INPUTS!$U$93*K70+(INPUTS!$D$94="Commercial")*INPUTS!$U$94*K76+(INPUTS!$D$95="Commercial")*INPUTS!$U$95*K82+(INPUTS!$D$96="Commercial")*INPUTS!$U$96*K88+(INPUTS!$D$97="Commercial")*INPUTS!$U$97*K94)/SUMIF(INPUTS!$D$88:$D$97,"Commercial",INPUTS!$U$88:$U$97),0)</f>
        <v>0.0794593112989456</v>
      </c>
      <c r="L106" s="118" t="n">
        <f aca="false">IF(SUMIF(INPUTS!$D$88:$D$97,"Commercial",INPUTS!$U$88:$U$97)&gt;0,((INPUTS!$D$88="Commercial")*INPUTS!$U$88*L40+(INPUTS!$D$89="Commercial")*INPUTS!$U$89*L46+(INPUTS!$D$90="Commercial")*INPUTS!$U$90*L52+(INPUTS!$D$91="Commercial")*INPUTS!$U$91*L58+(INPUTS!$D$92="Commercial")*INPUTS!$U$92*L64+(INPUTS!$D$93="Commercial")*INPUTS!$U$93*L70+(INPUTS!$D$94="Commercial")*INPUTS!$U$94*L76+(INPUTS!$D$95="Commercial")*INPUTS!$U$95*L82+(INPUTS!$D$96="Commercial")*INPUTS!$U$96*L88+(INPUTS!$D$97="Commercial")*INPUTS!$U$97*L94)/SUMIF(INPUTS!$D$88:$D$97,"Commercial",INPUTS!$U$88:$U$97),0)</f>
        <v>0.103553390593274</v>
      </c>
      <c r="M106" s="118" t="n">
        <f aca="false">IF(SUMIF(INPUTS!$D$88:$D$97,"Commercial",INPUTS!$U$88:$U$97)&gt;0,((INPUTS!$D$88="Commercial")*INPUTS!$U$88*M40+(INPUTS!$D$89="Commercial")*INPUTS!$U$89*M46+(INPUTS!$D$90="Commercial")*INPUTS!$U$90*M52+(INPUTS!$D$91="Commercial")*INPUTS!$U$91*M58+(INPUTS!$D$92="Commercial")*INPUTS!$U$92*M64+(INPUTS!$D$93="Commercial")*INPUTS!$U$93*M70+(INPUTS!$D$94="Commercial")*INPUTS!$U$94*M76+(INPUTS!$D$95="Commercial")*INPUTS!$U$95*M82+(INPUTS!$D$96="Commercial")*INPUTS!$U$96*M88+(INPUTS!$D$97="Commercial")*INPUTS!$U$97*M94)/SUMIF(INPUTS!$D$88:$D$97,"Commercial",INPUTS!$U$88:$U$97),0)</f>
        <v>0.12059047744874</v>
      </c>
      <c r="N106" s="118" t="n">
        <f aca="false">IF(SUMIF(INPUTS!$D$88:$D$97,"Commercial",INPUTS!$U$88:$U$97)&gt;0,((INPUTS!$D$88="Commercial")*INPUTS!$U$88*N40+(INPUTS!$D$89="Commercial")*INPUTS!$U$89*N46+(INPUTS!$D$90="Commercial")*INPUTS!$U$90*N52+(INPUTS!$D$91="Commercial")*INPUTS!$U$91*N58+(INPUTS!$D$92="Commercial")*INPUTS!$U$92*N64+(INPUTS!$D$93="Commercial")*INPUTS!$U$93*N70+(INPUTS!$D$94="Commercial")*INPUTS!$U$94*N76+(INPUTS!$D$95="Commercial")*INPUTS!$U$95*N82+(INPUTS!$D$96="Commercial")*INPUTS!$U$96*N88+(INPUTS!$D$97="Commercial")*INPUTS!$U$97*N94)/SUMIF(INPUTS!$D$88:$D$97,"Commercial",INPUTS!$U$88:$U$97),0)</f>
        <v>0.12940952255126</v>
      </c>
      <c r="O106" s="118" t="n">
        <f aca="false">IF(SUMIF(INPUTS!$D$88:$D$97,"Commercial",INPUTS!$U$88:$U$97)&gt;0,((INPUTS!$D$88="Commercial")*INPUTS!$U$88*O40+(INPUTS!$D$89="Commercial")*INPUTS!$U$89*O46+(INPUTS!$D$90="Commercial")*INPUTS!$U$90*O52+(INPUTS!$D$91="Commercial")*INPUTS!$U$91*O58+(INPUTS!$D$92="Commercial")*INPUTS!$U$92*O64+(INPUTS!$D$93="Commercial")*INPUTS!$U$93*O70+(INPUTS!$D$94="Commercial")*INPUTS!$U$94*O76+(INPUTS!$D$95="Commercial")*INPUTS!$U$95*O82+(INPUTS!$D$96="Commercial")*INPUTS!$U$96*O88+(INPUTS!$D$97="Commercial")*INPUTS!$U$97*O94)/SUMIF(INPUTS!$D$88:$D$97,"Commercial",INPUTS!$U$88:$U$97),0)</f>
        <v>0.12940952255126</v>
      </c>
      <c r="P106" s="118" t="n">
        <f aca="false">IF(SUMIF(INPUTS!$D$88:$D$97,"Commercial",INPUTS!$U$88:$U$97)&gt;0,((INPUTS!$D$88="Commercial")*INPUTS!$U$88*P40+(INPUTS!$D$89="Commercial")*INPUTS!$U$89*P46+(INPUTS!$D$90="Commercial")*INPUTS!$U$90*P52+(INPUTS!$D$91="Commercial")*INPUTS!$U$91*P58+(INPUTS!$D$92="Commercial")*INPUTS!$U$92*P64+(INPUTS!$D$93="Commercial")*INPUTS!$U$93*P70+(INPUTS!$D$94="Commercial")*INPUTS!$U$94*P76+(INPUTS!$D$95="Commercial")*INPUTS!$U$95*P82+(INPUTS!$D$96="Commercial")*INPUTS!$U$96*P88+(INPUTS!$D$97="Commercial")*INPUTS!$U$97*P94)/SUMIF(INPUTS!$D$88:$D$97,"Commercial",INPUTS!$U$88:$U$97),0)</f>
        <v>0.12059047744874</v>
      </c>
      <c r="Q106" s="118" t="n">
        <f aca="false">IF(SUMIF(INPUTS!$D$88:$D$97,"Commercial",INPUTS!$U$88:$U$97)&gt;0,((INPUTS!$D$88="Commercial")*INPUTS!$U$88*Q40+(INPUTS!$D$89="Commercial")*INPUTS!$U$89*Q46+(INPUTS!$D$90="Commercial")*INPUTS!$U$90*Q52+(INPUTS!$D$91="Commercial")*INPUTS!$U$91*Q58+(INPUTS!$D$92="Commercial")*INPUTS!$U$92*Q64+(INPUTS!$D$93="Commercial")*INPUTS!$U$93*Q70+(INPUTS!$D$94="Commercial")*INPUTS!$U$94*Q76+(INPUTS!$D$95="Commercial")*INPUTS!$U$95*Q82+(INPUTS!$D$96="Commercial")*INPUTS!$U$96*Q88+(INPUTS!$D$97="Commercial")*INPUTS!$U$97*Q94)/SUMIF(INPUTS!$D$88:$D$97,"Commercial",INPUTS!$U$88:$U$97),0)</f>
        <v>0.103553390593274</v>
      </c>
      <c r="R106" s="118" t="n">
        <f aca="false">IF(SUMIF(INPUTS!$D$88:$D$97,"Commercial",INPUTS!$U$88:$U$97)&gt;0,((INPUTS!$D$88="Commercial")*INPUTS!$U$88*R40+(INPUTS!$D$89="Commercial")*INPUTS!$U$89*R46+(INPUTS!$D$90="Commercial")*INPUTS!$U$90*R52+(INPUTS!$D$91="Commercial")*INPUTS!$U$91*R58+(INPUTS!$D$92="Commercial")*INPUTS!$U$92*R64+(INPUTS!$D$93="Commercial")*INPUTS!$U$93*R70+(INPUTS!$D$94="Commercial")*INPUTS!$U$94*R76+(INPUTS!$D$95="Commercial")*INPUTS!$U$95*R82+(INPUTS!$D$96="Commercial")*INPUTS!$U$96*R88+(INPUTS!$D$97="Commercial")*INPUTS!$U$97*R94)/SUMIF(INPUTS!$D$88:$D$97,"Commercial",INPUTS!$U$88:$U$97),0)</f>
        <v>0.0794593112989456</v>
      </c>
      <c r="S106" s="118" t="n">
        <f aca="false">IF(SUMIF(INPUTS!$D$88:$D$97,"Commercial",INPUTS!$U$88:$U$97)&gt;0,((INPUTS!$D$88="Commercial")*INPUTS!$U$88*S40+(INPUTS!$D$89="Commercial")*INPUTS!$U$89*S46+(INPUTS!$D$90="Commercial")*INPUTS!$U$90*S52+(INPUTS!$D$91="Commercial")*INPUTS!$U$91*S58+(INPUTS!$D$92="Commercial")*INPUTS!$U$92*S64+(INPUTS!$D$93="Commercial")*INPUTS!$U$93*S70+(INPUTS!$D$94="Commercial")*INPUTS!$U$94*S76+(INPUTS!$D$95="Commercial")*INPUTS!$U$95*S82+(INPUTS!$D$96="Commercial")*INPUTS!$U$96*S88+(INPUTS!$D$97="Commercial")*INPUTS!$U$97*S94)/SUMIF(INPUTS!$D$88:$D$97,"Commercial",INPUTS!$U$88:$U$97),0)</f>
        <v>0.0499502112523148</v>
      </c>
      <c r="T106" s="118" t="n">
        <f aca="false">IF(SUMIF(INPUTS!$D$88:$D$97,"Commercial",INPUTS!$U$88:$U$97)&gt;0,((INPUTS!$D$88="Commercial")*INPUTS!$U$88*T40+(INPUTS!$D$89="Commercial")*INPUTS!$U$89*T46+(INPUTS!$D$90="Commercial")*INPUTS!$U$90*T52+(INPUTS!$D$91="Commercial")*INPUTS!$U$91*T58+(INPUTS!$D$92="Commercial")*INPUTS!$U$92*T64+(INPUTS!$D$93="Commercial")*INPUTS!$U$93*T70+(INPUTS!$D$94="Commercial")*INPUTS!$U$94*T76+(INPUTS!$D$95="Commercial")*INPUTS!$U$95*T82+(INPUTS!$D$96="Commercial")*INPUTS!$U$96*T88+(INPUTS!$D$97="Commercial")*INPUTS!$U$97*T94)/SUMIF(INPUTS!$D$88:$D$97,"Commercial",INPUTS!$U$88:$U$97),0)</f>
        <v>0.0170370868554659</v>
      </c>
      <c r="U106" s="118" t="n">
        <f aca="false">IF(SUMIF(INPUTS!$D$88:$D$97,"Commercial",INPUTS!$U$88:$U$97)&gt;0,((INPUTS!$D$88="Commercial")*INPUTS!$U$88*U40+(INPUTS!$D$89="Commercial")*INPUTS!$U$89*U46+(INPUTS!$D$90="Commercial")*INPUTS!$U$90*U52+(INPUTS!$D$91="Commercial")*INPUTS!$U$91*U58+(INPUTS!$D$92="Commercial")*INPUTS!$U$92*U64+(INPUTS!$D$93="Commercial")*INPUTS!$U$93*U70+(INPUTS!$D$94="Commercial")*INPUTS!$U$94*U76+(INPUTS!$D$95="Commercial")*INPUTS!$U$95*U82+(INPUTS!$D$96="Commercial")*INPUTS!$U$96*U88+(INPUTS!$D$97="Commercial")*INPUTS!$U$97*U94)/SUMIF(INPUTS!$D$88:$D$97,"Commercial",INPUTS!$U$88:$U$97),0)</f>
        <v>0</v>
      </c>
      <c r="V106" s="118" t="n">
        <f aca="false">IF(SUMIF(INPUTS!$D$88:$D$97,"Commercial",INPUTS!$U$88:$U$97)&gt;0,((INPUTS!$D$88="Commercial")*INPUTS!$U$88*V40+(INPUTS!$D$89="Commercial")*INPUTS!$U$89*V46+(INPUTS!$D$90="Commercial")*INPUTS!$U$90*V52+(INPUTS!$D$91="Commercial")*INPUTS!$U$91*V58+(INPUTS!$D$92="Commercial")*INPUTS!$U$92*V64+(INPUTS!$D$93="Commercial")*INPUTS!$U$93*V70+(INPUTS!$D$94="Commercial")*INPUTS!$U$94*V76+(INPUTS!$D$95="Commercial")*INPUTS!$U$95*V82+(INPUTS!$D$96="Commercial")*INPUTS!$U$96*V88+(INPUTS!$D$97="Commercial")*INPUTS!$U$97*V94)/SUMIF(INPUTS!$D$88:$D$97,"Commercial",INPUTS!$U$88:$U$97),0)</f>
        <v>0</v>
      </c>
      <c r="W106" s="118" t="n">
        <f aca="false">IF(SUMIF(INPUTS!$D$88:$D$97,"Commercial",INPUTS!$U$88:$U$97)&gt;0,((INPUTS!$D$88="Commercial")*INPUTS!$U$88*W40+(INPUTS!$D$89="Commercial")*INPUTS!$U$89*W46+(INPUTS!$D$90="Commercial")*INPUTS!$U$90*W52+(INPUTS!$D$91="Commercial")*INPUTS!$U$91*W58+(INPUTS!$D$92="Commercial")*INPUTS!$U$92*W64+(INPUTS!$D$93="Commercial")*INPUTS!$U$93*W70+(INPUTS!$D$94="Commercial")*INPUTS!$U$94*W76+(INPUTS!$D$95="Commercial")*INPUTS!$U$95*W82+(INPUTS!$D$96="Commercial")*INPUTS!$U$96*W88+(INPUTS!$D$97="Commercial")*INPUTS!$U$97*W94)/SUMIF(INPUTS!$D$88:$D$97,"Commercial",INPUTS!$U$88:$U$97),0)</f>
        <v>0</v>
      </c>
      <c r="X106" s="118" t="n">
        <f aca="false">IF(SUMIF(INPUTS!$D$88:$D$97,"Commercial",INPUTS!$U$88:$U$97)&gt;0,((INPUTS!$D$88="Commercial")*INPUTS!$U$88*X40+(INPUTS!$D$89="Commercial")*INPUTS!$U$89*X46+(INPUTS!$D$90="Commercial")*INPUTS!$U$90*X52+(INPUTS!$D$91="Commercial")*INPUTS!$U$91*X58+(INPUTS!$D$92="Commercial")*INPUTS!$U$92*X64+(INPUTS!$D$93="Commercial")*INPUTS!$U$93*X70+(INPUTS!$D$94="Commercial")*INPUTS!$U$94*X76+(INPUTS!$D$95="Commercial")*INPUTS!$U$95*X82+(INPUTS!$D$96="Commercial")*INPUTS!$U$96*X88+(INPUTS!$D$97="Commercial")*INPUTS!$U$97*X94)/SUMIF(INPUTS!$D$88:$D$97,"Commercial",INPUTS!$U$88:$U$97),0)</f>
        <v>0</v>
      </c>
      <c r="Y106" s="118" t="n">
        <f aca="false">IF(SUMIF(INPUTS!$D$88:$D$97,"Commercial",INPUTS!$U$88:$U$97)&gt;0,((INPUTS!$D$88="Commercial")*INPUTS!$U$88*Y40+(INPUTS!$D$89="Commercial")*INPUTS!$U$89*Y46+(INPUTS!$D$90="Commercial")*INPUTS!$U$90*Y52+(INPUTS!$D$91="Commercial")*INPUTS!$U$91*Y58+(INPUTS!$D$92="Commercial")*INPUTS!$U$92*Y64+(INPUTS!$D$93="Commercial")*INPUTS!$U$93*Y70+(INPUTS!$D$94="Commercial")*INPUTS!$U$94*Y76+(INPUTS!$D$95="Commercial")*INPUTS!$U$95*Y82+(INPUTS!$D$96="Commercial")*INPUTS!$U$96*Y88+(INPUTS!$D$97="Commercial")*INPUTS!$U$97*Y94)/SUMIF(INPUTS!$D$88:$D$97,"Commercial",INPUTS!$U$88:$U$97),0)</f>
        <v>0</v>
      </c>
      <c r="Z106" s="118" t="n">
        <f aca="false">IF(SUMIF(INPUTS!$D$88:$D$97,"Commercial",INPUTS!$U$88:$U$97)&gt;0,((INPUTS!$D$88="Commercial")*INPUTS!$U$88*Z40+(INPUTS!$D$89="Commercial")*INPUTS!$U$89*Z46+(INPUTS!$D$90="Commercial")*INPUTS!$U$90*Z52+(INPUTS!$D$91="Commercial")*INPUTS!$U$91*Z58+(INPUTS!$D$92="Commercial")*INPUTS!$U$92*Z64+(INPUTS!$D$93="Commercial")*INPUTS!$U$93*Z70+(INPUTS!$D$94="Commercial")*INPUTS!$U$94*Z76+(INPUTS!$D$95="Commercial")*INPUTS!$U$95*Z82+(INPUTS!$D$96="Commercial")*INPUTS!$U$96*Z88+(INPUTS!$D$97="Commercial")*INPUTS!$U$97*Z94)/SUMIF(INPUTS!$D$88:$D$97,"Commercial",INPUTS!$U$88:$U$97),0)</f>
        <v>0</v>
      </c>
      <c r="AA106" s="118" t="n">
        <f aca="false">IF(SUMIF(INPUTS!$D$88:$D$97,"Commercial",INPUTS!$U$88:$U$97)&gt;0,((INPUTS!$D$88="Commercial")*INPUTS!$U$88*AA40+(INPUTS!$D$89="Commercial")*INPUTS!$U$89*AA46+(INPUTS!$D$90="Commercial")*INPUTS!$U$90*AA52+(INPUTS!$D$91="Commercial")*INPUTS!$U$91*AA58+(INPUTS!$D$92="Commercial")*INPUTS!$U$92*AA64+(INPUTS!$D$93="Commercial")*INPUTS!$U$93*AA70+(INPUTS!$D$94="Commercial")*INPUTS!$U$94*AA76+(INPUTS!$D$95="Commercial")*INPUTS!$U$95*AA82+(INPUTS!$D$96="Commercial")*INPUTS!$U$96*AA88+(INPUTS!$D$97="Commercial")*INPUTS!$U$97*AA94)/SUMIF(INPUTS!$D$88:$D$97,"Commercial",INPUTS!$U$88:$U$97),0)</f>
        <v>0</v>
      </c>
      <c r="AB106" s="118" t="n">
        <f aca="false">IF(SUMIF(INPUTS!$D$88:$D$97,"Commercial",INPUTS!$U$88:$U$97)&gt;0,((INPUTS!$D$88="Commercial")*INPUTS!$U$88*AB40+(INPUTS!$D$89="Commercial")*INPUTS!$U$89*AB46+(INPUTS!$D$90="Commercial")*INPUTS!$U$90*AB52+(INPUTS!$D$91="Commercial")*INPUTS!$U$91*AB58+(INPUTS!$D$92="Commercial")*INPUTS!$U$92*AB64+(INPUTS!$D$93="Commercial")*INPUTS!$U$93*AB70+(INPUTS!$D$94="Commercial")*INPUTS!$U$94*AB76+(INPUTS!$D$95="Commercial")*INPUTS!$U$95*AB82+(INPUTS!$D$96="Commercial")*INPUTS!$U$96*AB88+(INPUTS!$D$97="Commercial")*INPUTS!$U$97*AB94)/SUMIF(INPUTS!$D$88:$D$97,"Commercial",INPUTS!$U$88:$U$97),0)</f>
        <v>0</v>
      </c>
      <c r="AC106" s="118" t="n">
        <f aca="false">IF(SUMIF(INPUTS!$D$88:$D$97,"Commercial",INPUTS!$U$88:$U$97)&gt;0,((INPUTS!$D$88="Commercial")*INPUTS!$U$88*AC40+(INPUTS!$D$89="Commercial")*INPUTS!$U$89*AC46+(INPUTS!$D$90="Commercial")*INPUTS!$U$90*AC52+(INPUTS!$D$91="Commercial")*INPUTS!$U$91*AC58+(INPUTS!$D$92="Commercial")*INPUTS!$U$92*AC64+(INPUTS!$D$93="Commercial")*INPUTS!$U$93*AC70+(INPUTS!$D$94="Commercial")*INPUTS!$U$94*AC76+(INPUTS!$D$95="Commercial")*INPUTS!$U$95*AC82+(INPUTS!$D$96="Commercial")*INPUTS!$U$96*AC88+(INPUTS!$D$97="Commercial")*INPUTS!$U$97*AC94)/SUMIF(INPUTS!$D$88:$D$97,"Commercial",INPUTS!$U$88:$U$97),0)</f>
        <v>0</v>
      </c>
      <c r="AD106" s="118" t="n">
        <f aca="false">IF(SUMIF(INPUTS!$D$88:$D$97,"Commercial",INPUTS!$U$88:$U$97)&gt;0,((INPUTS!$D$88="Commercial")*INPUTS!$U$88*AD40+(INPUTS!$D$89="Commercial")*INPUTS!$U$89*AD46+(INPUTS!$D$90="Commercial")*INPUTS!$U$90*AD52+(INPUTS!$D$91="Commercial")*INPUTS!$U$91*AD58+(INPUTS!$D$92="Commercial")*INPUTS!$U$92*AD64+(INPUTS!$D$93="Commercial")*INPUTS!$U$93*AD70+(INPUTS!$D$94="Commercial")*INPUTS!$U$94*AD76+(INPUTS!$D$95="Commercial")*INPUTS!$U$95*AD82+(INPUTS!$D$96="Commercial")*INPUTS!$U$96*AD88+(INPUTS!$D$97="Commercial")*INPUTS!$U$97*AD94)/SUMIF(INPUTS!$D$88:$D$97,"Commercial",INPUTS!$U$88:$U$97),0)</f>
        <v>0</v>
      </c>
      <c r="AE106" s="118" t="n">
        <f aca="false">IF(SUMIF(INPUTS!$D$88:$D$97,"Commercial",INPUTS!$U$88:$U$97)&gt;0,((INPUTS!$D$88="Commercial")*INPUTS!$U$88*AE40+(INPUTS!$D$89="Commercial")*INPUTS!$U$89*AE46+(INPUTS!$D$90="Commercial")*INPUTS!$U$90*AE52+(INPUTS!$D$91="Commercial")*INPUTS!$U$91*AE58+(INPUTS!$D$92="Commercial")*INPUTS!$U$92*AE64+(INPUTS!$D$93="Commercial")*INPUTS!$U$93*AE70+(INPUTS!$D$94="Commercial")*INPUTS!$U$94*AE76+(INPUTS!$D$95="Commercial")*INPUTS!$U$95*AE82+(INPUTS!$D$96="Commercial")*INPUTS!$U$96*AE88+(INPUTS!$D$97="Commercial")*INPUTS!$U$97*AE94)/SUMIF(INPUTS!$D$88:$D$97,"Commercial",INPUTS!$U$88:$U$97),0)</f>
        <v>0</v>
      </c>
      <c r="AF106" s="118" t="n">
        <f aca="false">IF(SUMIF(INPUTS!$D$88:$D$97,"Commercial",INPUTS!$U$88:$U$97)&gt;0,((INPUTS!$D$88="Commercial")*INPUTS!$U$88*AF40+(INPUTS!$D$89="Commercial")*INPUTS!$U$89*AF46+(INPUTS!$D$90="Commercial")*INPUTS!$U$90*AF52+(INPUTS!$D$91="Commercial")*INPUTS!$U$91*AF58+(INPUTS!$D$92="Commercial")*INPUTS!$U$92*AF64+(INPUTS!$D$93="Commercial")*INPUTS!$U$93*AF70+(INPUTS!$D$94="Commercial")*INPUTS!$U$94*AF76+(INPUTS!$D$95="Commercial")*INPUTS!$U$95*AF82+(INPUTS!$D$96="Commercial")*INPUTS!$U$96*AF88+(INPUTS!$D$97="Commercial")*INPUTS!$U$97*AF94)/SUMIF(INPUTS!$D$88:$D$97,"Commercial",INPUTS!$U$88:$U$97),0)</f>
        <v>0</v>
      </c>
      <c r="AG106" s="118" t="n">
        <f aca="false">IF(SUMIF(INPUTS!$D$88:$D$97,"Commercial",INPUTS!$U$88:$U$97)&gt;0,((INPUTS!$D$88="Commercial")*INPUTS!$U$88*AG40+(INPUTS!$D$89="Commercial")*INPUTS!$U$89*AG46+(INPUTS!$D$90="Commercial")*INPUTS!$U$90*AG52+(INPUTS!$D$91="Commercial")*INPUTS!$U$91*AG58+(INPUTS!$D$92="Commercial")*INPUTS!$U$92*AG64+(INPUTS!$D$93="Commercial")*INPUTS!$U$93*AG70+(INPUTS!$D$94="Commercial")*INPUTS!$U$94*AG76+(INPUTS!$D$95="Commercial")*INPUTS!$U$95*AG82+(INPUTS!$D$96="Commercial")*INPUTS!$U$96*AG88+(INPUTS!$D$97="Commercial")*INPUTS!$U$97*AG94)/SUMIF(INPUTS!$D$88:$D$97,"Commercial",INPUTS!$U$88:$U$97),0)</f>
        <v>0</v>
      </c>
      <c r="AH106" s="118" t="n">
        <f aca="false">IF(SUMIF(INPUTS!$D$88:$D$97,"Commercial",INPUTS!$U$88:$U$97)&gt;0,((INPUTS!$D$88="Commercial")*INPUTS!$U$88*AH40+(INPUTS!$D$89="Commercial")*INPUTS!$U$89*AH46+(INPUTS!$D$90="Commercial")*INPUTS!$U$90*AH52+(INPUTS!$D$91="Commercial")*INPUTS!$U$91*AH58+(INPUTS!$D$92="Commercial")*INPUTS!$U$92*AH64+(INPUTS!$D$93="Commercial")*INPUTS!$U$93*AH70+(INPUTS!$D$94="Commercial")*INPUTS!$U$94*AH76+(INPUTS!$D$95="Commercial")*INPUTS!$U$95*AH82+(INPUTS!$D$96="Commercial")*INPUTS!$U$96*AH88+(INPUTS!$D$97="Commercial")*INPUTS!$U$97*AH94)/SUMIF(INPUTS!$D$88:$D$97,"Commercial",INPUTS!$U$88:$U$97),0)</f>
        <v>0</v>
      </c>
      <c r="AI106" s="118" t="n">
        <f aca="false">IF(SUMIF(INPUTS!$D$88:$D$97,"Commercial",INPUTS!$U$88:$U$97)&gt;0,((INPUTS!$D$88="Commercial")*INPUTS!$U$88*AI40+(INPUTS!$D$89="Commercial")*INPUTS!$U$89*AI46+(INPUTS!$D$90="Commercial")*INPUTS!$U$90*AI52+(INPUTS!$D$91="Commercial")*INPUTS!$U$91*AI58+(INPUTS!$D$92="Commercial")*INPUTS!$U$92*AI64+(INPUTS!$D$93="Commercial")*INPUTS!$U$93*AI70+(INPUTS!$D$94="Commercial")*INPUTS!$U$94*AI76+(INPUTS!$D$95="Commercial")*INPUTS!$U$95*AI82+(INPUTS!$D$96="Commercial")*INPUTS!$U$96*AI88+(INPUTS!$D$97="Commercial")*INPUTS!$U$97*AI94)/SUMIF(INPUTS!$D$88:$D$97,"Commercial",INPUTS!$U$88:$U$97),0)</f>
        <v>0</v>
      </c>
      <c r="AJ106" s="118" t="n">
        <f aca="false">IF(SUMIF(INPUTS!$D$88:$D$97,"Commercial",INPUTS!$U$88:$U$97)&gt;0,((INPUTS!$D$88="Commercial")*INPUTS!$U$88*AJ40+(INPUTS!$D$89="Commercial")*INPUTS!$U$89*AJ46+(INPUTS!$D$90="Commercial")*INPUTS!$U$90*AJ52+(INPUTS!$D$91="Commercial")*INPUTS!$U$91*AJ58+(INPUTS!$D$92="Commercial")*INPUTS!$U$92*AJ64+(INPUTS!$D$93="Commercial")*INPUTS!$U$93*AJ70+(INPUTS!$D$94="Commercial")*INPUTS!$U$94*AJ76+(INPUTS!$D$95="Commercial")*INPUTS!$U$95*AJ82+(INPUTS!$D$96="Commercial")*INPUTS!$U$96*AJ88+(INPUTS!$D$97="Commercial")*INPUTS!$U$97*AJ94)/SUMIF(INPUTS!$D$88:$D$97,"Commercial",INPUTS!$U$88:$U$97),0)</f>
        <v>0</v>
      </c>
      <c r="AK106" s="118" t="n">
        <f aca="false">IF(SUMIF(INPUTS!$D$88:$D$97,"Commercial",INPUTS!$U$88:$U$97)&gt;0,((INPUTS!$D$88="Commercial")*INPUTS!$U$88*AK40+(INPUTS!$D$89="Commercial")*INPUTS!$U$89*AK46+(INPUTS!$D$90="Commercial")*INPUTS!$U$90*AK52+(INPUTS!$D$91="Commercial")*INPUTS!$U$91*AK58+(INPUTS!$D$92="Commercial")*INPUTS!$U$92*AK64+(INPUTS!$D$93="Commercial")*INPUTS!$U$93*AK70+(INPUTS!$D$94="Commercial")*INPUTS!$U$94*AK76+(INPUTS!$D$95="Commercial")*INPUTS!$U$95*AK82+(INPUTS!$D$96="Commercial")*INPUTS!$U$96*AK88+(INPUTS!$D$97="Commercial")*INPUTS!$U$97*AK94)/SUMIF(INPUTS!$D$88:$D$97,"Commercial",INPUTS!$U$88:$U$97),0)</f>
        <v>0</v>
      </c>
      <c r="AL106" s="118" t="n">
        <f aca="false">IF(SUMIF(INPUTS!$D$88:$D$97,"Commercial",INPUTS!$U$88:$U$97)&gt;0,((INPUTS!$D$88="Commercial")*INPUTS!$U$88*AL40+(INPUTS!$D$89="Commercial")*INPUTS!$U$89*AL46+(INPUTS!$D$90="Commercial")*INPUTS!$U$90*AL52+(INPUTS!$D$91="Commercial")*INPUTS!$U$91*AL58+(INPUTS!$D$92="Commercial")*INPUTS!$U$92*AL64+(INPUTS!$D$93="Commercial")*INPUTS!$U$93*AL70+(INPUTS!$D$94="Commercial")*INPUTS!$U$94*AL76+(INPUTS!$D$95="Commercial")*INPUTS!$U$95*AL82+(INPUTS!$D$96="Commercial")*INPUTS!$U$96*AL88+(INPUTS!$D$97="Commercial")*INPUTS!$U$97*AL94)/SUMIF(INPUTS!$D$88:$D$97,"Commercial",INPUTS!$U$88:$U$97),0)</f>
        <v>0</v>
      </c>
      <c r="AM106" s="118" t="n">
        <f aca="false">IF(SUMIF(INPUTS!$D$88:$D$97,"Commercial",INPUTS!$U$88:$U$97)&gt;0,((INPUTS!$D$88="Commercial")*INPUTS!$U$88*AM40+(INPUTS!$D$89="Commercial")*INPUTS!$U$89*AM46+(INPUTS!$D$90="Commercial")*INPUTS!$U$90*AM52+(INPUTS!$D$91="Commercial")*INPUTS!$U$91*AM58+(INPUTS!$D$92="Commercial")*INPUTS!$U$92*AM64+(INPUTS!$D$93="Commercial")*INPUTS!$U$93*AM70+(INPUTS!$D$94="Commercial")*INPUTS!$U$94*AM76+(INPUTS!$D$95="Commercial")*INPUTS!$U$95*AM82+(INPUTS!$D$96="Commercial")*INPUTS!$U$96*AM88+(INPUTS!$D$97="Commercial")*INPUTS!$U$97*AM94)/SUMIF(INPUTS!$D$88:$D$97,"Commercial",INPUTS!$U$88:$U$97),0)</f>
        <v>0</v>
      </c>
      <c r="AN106" s="118" t="n">
        <f aca="false">IF(SUMIF(INPUTS!$D$88:$D$97,"Commercial",INPUTS!$U$88:$U$97)&gt;0,((INPUTS!$D$88="Commercial")*INPUTS!$U$88*AN40+(INPUTS!$D$89="Commercial")*INPUTS!$U$89*AN46+(INPUTS!$D$90="Commercial")*INPUTS!$U$90*AN52+(INPUTS!$D$91="Commercial")*INPUTS!$U$91*AN58+(INPUTS!$D$92="Commercial")*INPUTS!$U$92*AN64+(INPUTS!$D$93="Commercial")*INPUTS!$U$93*AN70+(INPUTS!$D$94="Commercial")*INPUTS!$U$94*AN76+(INPUTS!$D$95="Commercial")*INPUTS!$U$95*AN82+(INPUTS!$D$96="Commercial")*INPUTS!$U$96*AN88+(INPUTS!$D$97="Commercial")*INPUTS!$U$97*AN94)/SUMIF(INPUTS!$D$88:$D$97,"Commercial",INPUTS!$U$88:$U$97),0)</f>
        <v>0</v>
      </c>
      <c r="AO106" s="118" t="n">
        <f aca="false">IF(SUMIF(INPUTS!$D$88:$D$97,"Commercial",INPUTS!$U$88:$U$97)&gt;0,((INPUTS!$D$88="Commercial")*INPUTS!$U$88*AO40+(INPUTS!$D$89="Commercial")*INPUTS!$U$89*AO46+(INPUTS!$D$90="Commercial")*INPUTS!$U$90*AO52+(INPUTS!$D$91="Commercial")*INPUTS!$U$91*AO58+(INPUTS!$D$92="Commercial")*INPUTS!$U$92*AO64+(INPUTS!$D$93="Commercial")*INPUTS!$U$93*AO70+(INPUTS!$D$94="Commercial")*INPUTS!$U$94*AO76+(INPUTS!$D$95="Commercial")*INPUTS!$U$95*AO82+(INPUTS!$D$96="Commercial")*INPUTS!$U$96*AO88+(INPUTS!$D$97="Commercial")*INPUTS!$U$97*AO94)/SUMIF(INPUTS!$D$88:$D$97,"Commercial",INPUTS!$U$88:$U$97),0)</f>
        <v>0</v>
      </c>
      <c r="AP106" s="118" t="n">
        <f aca="false">IF(SUMIF(INPUTS!$D$88:$D$97,"Commercial",INPUTS!$U$88:$U$97)&gt;0,((INPUTS!$D$88="Commercial")*INPUTS!$U$88*AP40+(INPUTS!$D$89="Commercial")*INPUTS!$U$89*AP46+(INPUTS!$D$90="Commercial")*INPUTS!$U$90*AP52+(INPUTS!$D$91="Commercial")*INPUTS!$U$91*AP58+(INPUTS!$D$92="Commercial")*INPUTS!$U$92*AP64+(INPUTS!$D$93="Commercial")*INPUTS!$U$93*AP70+(INPUTS!$D$94="Commercial")*INPUTS!$U$94*AP76+(INPUTS!$D$95="Commercial")*INPUTS!$U$95*AP82+(INPUTS!$D$96="Commercial")*INPUTS!$U$96*AP88+(INPUTS!$D$97="Commercial")*INPUTS!$U$97*AP94)/SUMIF(INPUTS!$D$88:$D$97,"Commercial",INPUTS!$U$88:$U$97),0)</f>
        <v>0</v>
      </c>
      <c r="AQ106" s="118" t="n">
        <f aca="false">IF(SUMIF(INPUTS!$D$88:$D$97,"Commercial",INPUTS!$U$88:$U$97)&gt;0,((INPUTS!$D$88="Commercial")*INPUTS!$U$88*AQ40+(INPUTS!$D$89="Commercial")*INPUTS!$U$89*AQ46+(INPUTS!$D$90="Commercial")*INPUTS!$U$90*AQ52+(INPUTS!$D$91="Commercial")*INPUTS!$U$91*AQ58+(INPUTS!$D$92="Commercial")*INPUTS!$U$92*AQ64+(INPUTS!$D$93="Commercial")*INPUTS!$U$93*AQ70+(INPUTS!$D$94="Commercial")*INPUTS!$U$94*AQ76+(INPUTS!$D$95="Commercial")*INPUTS!$U$95*AQ82+(INPUTS!$D$96="Commercial")*INPUTS!$U$96*AQ88+(INPUTS!$D$97="Commercial")*INPUTS!$U$97*AQ94)/SUMIF(INPUTS!$D$88:$D$97,"Commercial",INPUTS!$U$88:$U$97),0)</f>
        <v>0</v>
      </c>
    </row>
    <row r="107" customFormat="false" ht="15" hidden="false" customHeight="false" outlineLevel="0" collapsed="false">
      <c r="B107" s="3" t="s">
        <v>684</v>
      </c>
      <c r="C107" s="117" t="n">
        <f aca="false">SUM(D107:AQ107)</f>
        <v>0</v>
      </c>
      <c r="D107" s="118" t="n">
        <f aca="false">IF(SUMIF(INPUTS!$D$88:$D$97,"EWS/LIG",INPUTS!$U$88:$U$97)&gt;0,((INPUTS!$D$88="EWS/LIG")*INPUTS!$U$88*D40+(INPUTS!$D$89="EWS/LIG")*INPUTS!$U$89*D46+(INPUTS!$D$90="EWS/LIG")*INPUTS!$U$90*D52+(INPUTS!$D$91="EWS/LIG")*INPUTS!$U$91*D58+(INPUTS!$D$92="EWS/LIG")*INPUTS!$U$92*D64+(INPUTS!$D$93="EWS/LIG")*INPUTS!$U$93*D70+(INPUTS!$D$94="EWS/LIG")*INPUTS!$U$94*D76+(INPUTS!$D$95="EWS/LIG")*INPUTS!$U$95*D82+(INPUTS!$D$96="EWS/LIG")*INPUTS!$U$96*D88+(INPUTS!$D$97="EWS/LIG")*INPUTS!$U$97*D94)/SUMIF(INPUTS!$D$88:$D$97,"EWS/LIG",INPUTS!$U$88:$U$97),0)</f>
        <v>0</v>
      </c>
      <c r="E107" s="118" t="n">
        <f aca="false">IF(SUMIF(INPUTS!$D$88:$D$97,"EWS/LIG",INPUTS!$U$88:$U$97)&gt;0,((INPUTS!$D$88="EWS/LIG")*INPUTS!$U$88*E40+(INPUTS!$D$89="EWS/LIG")*INPUTS!$U$89*E46+(INPUTS!$D$90="EWS/LIG")*INPUTS!$U$90*E52+(INPUTS!$D$91="EWS/LIG")*INPUTS!$U$91*E58+(INPUTS!$D$92="EWS/LIG")*INPUTS!$U$92*E64+(INPUTS!$D$93="EWS/LIG")*INPUTS!$U$93*E70+(INPUTS!$D$94="EWS/LIG")*INPUTS!$U$94*E76+(INPUTS!$D$95="EWS/LIG")*INPUTS!$U$95*E82+(INPUTS!$D$96="EWS/LIG")*INPUTS!$U$96*E88+(INPUTS!$D$97="EWS/LIG")*INPUTS!$U$97*E94)/SUMIF(INPUTS!$D$88:$D$97,"EWS/LIG",INPUTS!$U$88:$U$97),0)</f>
        <v>0</v>
      </c>
      <c r="F107" s="118" t="n">
        <f aca="false">IF(SUMIF(INPUTS!$D$88:$D$97,"EWS/LIG",INPUTS!$U$88:$U$97)&gt;0,((INPUTS!$D$88="EWS/LIG")*INPUTS!$U$88*F40+(INPUTS!$D$89="EWS/LIG")*INPUTS!$U$89*F46+(INPUTS!$D$90="EWS/LIG")*INPUTS!$U$90*F52+(INPUTS!$D$91="EWS/LIG")*INPUTS!$U$91*F58+(INPUTS!$D$92="EWS/LIG")*INPUTS!$U$92*F64+(INPUTS!$D$93="EWS/LIG")*INPUTS!$U$93*F70+(INPUTS!$D$94="EWS/LIG")*INPUTS!$U$94*F76+(INPUTS!$D$95="EWS/LIG")*INPUTS!$U$95*F82+(INPUTS!$D$96="EWS/LIG")*INPUTS!$U$96*F88+(INPUTS!$D$97="EWS/LIG")*INPUTS!$U$97*F94)/SUMIF(INPUTS!$D$88:$D$97,"EWS/LIG",INPUTS!$U$88:$U$97),0)</f>
        <v>0</v>
      </c>
      <c r="G107" s="118" t="n">
        <f aca="false">IF(SUMIF(INPUTS!$D$88:$D$97,"EWS/LIG",INPUTS!$U$88:$U$97)&gt;0,((INPUTS!$D$88="EWS/LIG")*INPUTS!$U$88*G40+(INPUTS!$D$89="EWS/LIG")*INPUTS!$U$89*G46+(INPUTS!$D$90="EWS/LIG")*INPUTS!$U$90*G52+(INPUTS!$D$91="EWS/LIG")*INPUTS!$U$91*G58+(INPUTS!$D$92="EWS/LIG")*INPUTS!$U$92*G64+(INPUTS!$D$93="EWS/LIG")*INPUTS!$U$93*G70+(INPUTS!$D$94="EWS/LIG")*INPUTS!$U$94*G76+(INPUTS!$D$95="EWS/LIG")*INPUTS!$U$95*G82+(INPUTS!$D$96="EWS/LIG")*INPUTS!$U$96*G88+(INPUTS!$D$97="EWS/LIG")*INPUTS!$U$97*G94)/SUMIF(INPUTS!$D$88:$D$97,"EWS/LIG",INPUTS!$U$88:$U$97),0)</f>
        <v>0</v>
      </c>
      <c r="H107" s="118" t="n">
        <f aca="false">IF(SUMIF(INPUTS!$D$88:$D$97,"EWS/LIG",INPUTS!$U$88:$U$97)&gt;0,((INPUTS!$D$88="EWS/LIG")*INPUTS!$U$88*H40+(INPUTS!$D$89="EWS/LIG")*INPUTS!$U$89*H46+(INPUTS!$D$90="EWS/LIG")*INPUTS!$U$90*H52+(INPUTS!$D$91="EWS/LIG")*INPUTS!$U$91*H58+(INPUTS!$D$92="EWS/LIG")*INPUTS!$U$92*H64+(INPUTS!$D$93="EWS/LIG")*INPUTS!$U$93*H70+(INPUTS!$D$94="EWS/LIG")*INPUTS!$U$94*H76+(INPUTS!$D$95="EWS/LIG")*INPUTS!$U$95*H82+(INPUTS!$D$96="EWS/LIG")*INPUTS!$U$96*H88+(INPUTS!$D$97="EWS/LIG")*INPUTS!$U$97*H94)/SUMIF(INPUTS!$D$88:$D$97,"EWS/LIG",INPUTS!$U$88:$U$97),0)</f>
        <v>0</v>
      </c>
      <c r="I107" s="118" t="n">
        <f aca="false">IF(SUMIF(INPUTS!$D$88:$D$97,"EWS/LIG",INPUTS!$U$88:$U$97)&gt;0,((INPUTS!$D$88="EWS/LIG")*INPUTS!$U$88*I40+(INPUTS!$D$89="EWS/LIG")*INPUTS!$U$89*I46+(INPUTS!$D$90="EWS/LIG")*INPUTS!$U$90*I52+(INPUTS!$D$91="EWS/LIG")*INPUTS!$U$91*I58+(INPUTS!$D$92="EWS/LIG")*INPUTS!$U$92*I64+(INPUTS!$D$93="EWS/LIG")*INPUTS!$U$93*I70+(INPUTS!$D$94="EWS/LIG")*INPUTS!$U$94*I76+(INPUTS!$D$95="EWS/LIG")*INPUTS!$U$95*I82+(INPUTS!$D$96="EWS/LIG")*INPUTS!$U$96*I88+(INPUTS!$D$97="EWS/LIG")*INPUTS!$U$97*I94)/SUMIF(INPUTS!$D$88:$D$97,"EWS/LIG",INPUTS!$U$88:$U$97),0)</f>
        <v>0</v>
      </c>
      <c r="J107" s="118" t="n">
        <f aca="false">IF(SUMIF(INPUTS!$D$88:$D$97,"EWS/LIG",INPUTS!$U$88:$U$97)&gt;0,((INPUTS!$D$88="EWS/LIG")*INPUTS!$U$88*J40+(INPUTS!$D$89="EWS/LIG")*INPUTS!$U$89*J46+(INPUTS!$D$90="EWS/LIG")*INPUTS!$U$90*J52+(INPUTS!$D$91="EWS/LIG")*INPUTS!$U$91*J58+(INPUTS!$D$92="EWS/LIG")*INPUTS!$U$92*J64+(INPUTS!$D$93="EWS/LIG")*INPUTS!$U$93*J70+(INPUTS!$D$94="EWS/LIG")*INPUTS!$U$94*J76+(INPUTS!$D$95="EWS/LIG")*INPUTS!$U$95*J82+(INPUTS!$D$96="EWS/LIG")*INPUTS!$U$96*J88+(INPUTS!$D$97="EWS/LIG")*INPUTS!$U$97*J94)/SUMIF(INPUTS!$D$88:$D$97,"EWS/LIG",INPUTS!$U$88:$U$97),0)</f>
        <v>0</v>
      </c>
      <c r="K107" s="118" t="n">
        <f aca="false">IF(SUMIF(INPUTS!$D$88:$D$97,"EWS/LIG",INPUTS!$U$88:$U$97)&gt;0,((INPUTS!$D$88="EWS/LIG")*INPUTS!$U$88*K40+(INPUTS!$D$89="EWS/LIG")*INPUTS!$U$89*K46+(INPUTS!$D$90="EWS/LIG")*INPUTS!$U$90*K52+(INPUTS!$D$91="EWS/LIG")*INPUTS!$U$91*K58+(INPUTS!$D$92="EWS/LIG")*INPUTS!$U$92*K64+(INPUTS!$D$93="EWS/LIG")*INPUTS!$U$93*K70+(INPUTS!$D$94="EWS/LIG")*INPUTS!$U$94*K76+(INPUTS!$D$95="EWS/LIG")*INPUTS!$U$95*K82+(INPUTS!$D$96="EWS/LIG")*INPUTS!$U$96*K88+(INPUTS!$D$97="EWS/LIG")*INPUTS!$U$97*K94)/SUMIF(INPUTS!$D$88:$D$97,"EWS/LIG",INPUTS!$U$88:$U$97),0)</f>
        <v>0</v>
      </c>
      <c r="L107" s="118" t="n">
        <f aca="false">IF(SUMIF(INPUTS!$D$88:$D$97,"EWS/LIG",INPUTS!$U$88:$U$97)&gt;0,((INPUTS!$D$88="EWS/LIG")*INPUTS!$U$88*L40+(INPUTS!$D$89="EWS/LIG")*INPUTS!$U$89*L46+(INPUTS!$D$90="EWS/LIG")*INPUTS!$U$90*L52+(INPUTS!$D$91="EWS/LIG")*INPUTS!$U$91*L58+(INPUTS!$D$92="EWS/LIG")*INPUTS!$U$92*L64+(INPUTS!$D$93="EWS/LIG")*INPUTS!$U$93*L70+(INPUTS!$D$94="EWS/LIG")*INPUTS!$U$94*L76+(INPUTS!$D$95="EWS/LIG")*INPUTS!$U$95*L82+(INPUTS!$D$96="EWS/LIG")*INPUTS!$U$96*L88+(INPUTS!$D$97="EWS/LIG")*INPUTS!$U$97*L94)/SUMIF(INPUTS!$D$88:$D$97,"EWS/LIG",INPUTS!$U$88:$U$97),0)</f>
        <v>0</v>
      </c>
      <c r="M107" s="118" t="n">
        <f aca="false">IF(SUMIF(INPUTS!$D$88:$D$97,"EWS/LIG",INPUTS!$U$88:$U$97)&gt;0,((INPUTS!$D$88="EWS/LIG")*INPUTS!$U$88*M40+(INPUTS!$D$89="EWS/LIG")*INPUTS!$U$89*M46+(INPUTS!$D$90="EWS/LIG")*INPUTS!$U$90*M52+(INPUTS!$D$91="EWS/LIG")*INPUTS!$U$91*M58+(INPUTS!$D$92="EWS/LIG")*INPUTS!$U$92*M64+(INPUTS!$D$93="EWS/LIG")*INPUTS!$U$93*M70+(INPUTS!$D$94="EWS/LIG")*INPUTS!$U$94*M76+(INPUTS!$D$95="EWS/LIG")*INPUTS!$U$95*M82+(INPUTS!$D$96="EWS/LIG")*INPUTS!$U$96*M88+(INPUTS!$D$97="EWS/LIG")*INPUTS!$U$97*M94)/SUMIF(INPUTS!$D$88:$D$97,"EWS/LIG",INPUTS!$U$88:$U$97),0)</f>
        <v>0</v>
      </c>
      <c r="N107" s="118" t="n">
        <f aca="false">IF(SUMIF(INPUTS!$D$88:$D$97,"EWS/LIG",INPUTS!$U$88:$U$97)&gt;0,((INPUTS!$D$88="EWS/LIG")*INPUTS!$U$88*N40+(INPUTS!$D$89="EWS/LIG")*INPUTS!$U$89*N46+(INPUTS!$D$90="EWS/LIG")*INPUTS!$U$90*N52+(INPUTS!$D$91="EWS/LIG")*INPUTS!$U$91*N58+(INPUTS!$D$92="EWS/LIG")*INPUTS!$U$92*N64+(INPUTS!$D$93="EWS/LIG")*INPUTS!$U$93*N70+(INPUTS!$D$94="EWS/LIG")*INPUTS!$U$94*N76+(INPUTS!$D$95="EWS/LIG")*INPUTS!$U$95*N82+(INPUTS!$D$96="EWS/LIG")*INPUTS!$U$96*N88+(INPUTS!$D$97="EWS/LIG")*INPUTS!$U$97*N94)/SUMIF(INPUTS!$D$88:$D$97,"EWS/LIG",INPUTS!$U$88:$U$97),0)</f>
        <v>0</v>
      </c>
      <c r="O107" s="118" t="n">
        <f aca="false">IF(SUMIF(INPUTS!$D$88:$D$97,"EWS/LIG",INPUTS!$U$88:$U$97)&gt;0,((INPUTS!$D$88="EWS/LIG")*INPUTS!$U$88*O40+(INPUTS!$D$89="EWS/LIG")*INPUTS!$U$89*O46+(INPUTS!$D$90="EWS/LIG")*INPUTS!$U$90*O52+(INPUTS!$D$91="EWS/LIG")*INPUTS!$U$91*O58+(INPUTS!$D$92="EWS/LIG")*INPUTS!$U$92*O64+(INPUTS!$D$93="EWS/LIG")*INPUTS!$U$93*O70+(INPUTS!$D$94="EWS/LIG")*INPUTS!$U$94*O76+(INPUTS!$D$95="EWS/LIG")*INPUTS!$U$95*O82+(INPUTS!$D$96="EWS/LIG")*INPUTS!$U$96*O88+(INPUTS!$D$97="EWS/LIG")*INPUTS!$U$97*O94)/SUMIF(INPUTS!$D$88:$D$97,"EWS/LIG",INPUTS!$U$88:$U$97),0)</f>
        <v>0</v>
      </c>
      <c r="P107" s="118" t="n">
        <f aca="false">IF(SUMIF(INPUTS!$D$88:$D$97,"EWS/LIG",INPUTS!$U$88:$U$97)&gt;0,((INPUTS!$D$88="EWS/LIG")*INPUTS!$U$88*P40+(INPUTS!$D$89="EWS/LIG")*INPUTS!$U$89*P46+(INPUTS!$D$90="EWS/LIG")*INPUTS!$U$90*P52+(INPUTS!$D$91="EWS/LIG")*INPUTS!$U$91*P58+(INPUTS!$D$92="EWS/LIG")*INPUTS!$U$92*P64+(INPUTS!$D$93="EWS/LIG")*INPUTS!$U$93*P70+(INPUTS!$D$94="EWS/LIG")*INPUTS!$U$94*P76+(INPUTS!$D$95="EWS/LIG")*INPUTS!$U$95*P82+(INPUTS!$D$96="EWS/LIG")*INPUTS!$U$96*P88+(INPUTS!$D$97="EWS/LIG")*INPUTS!$U$97*P94)/SUMIF(INPUTS!$D$88:$D$97,"EWS/LIG",INPUTS!$U$88:$U$97),0)</f>
        <v>0</v>
      </c>
      <c r="Q107" s="118" t="n">
        <f aca="false">IF(SUMIF(INPUTS!$D$88:$D$97,"EWS/LIG",INPUTS!$U$88:$U$97)&gt;0,((INPUTS!$D$88="EWS/LIG")*INPUTS!$U$88*Q40+(INPUTS!$D$89="EWS/LIG")*INPUTS!$U$89*Q46+(INPUTS!$D$90="EWS/LIG")*INPUTS!$U$90*Q52+(INPUTS!$D$91="EWS/LIG")*INPUTS!$U$91*Q58+(INPUTS!$D$92="EWS/LIG")*INPUTS!$U$92*Q64+(INPUTS!$D$93="EWS/LIG")*INPUTS!$U$93*Q70+(INPUTS!$D$94="EWS/LIG")*INPUTS!$U$94*Q76+(INPUTS!$D$95="EWS/LIG")*INPUTS!$U$95*Q82+(INPUTS!$D$96="EWS/LIG")*INPUTS!$U$96*Q88+(INPUTS!$D$97="EWS/LIG")*INPUTS!$U$97*Q94)/SUMIF(INPUTS!$D$88:$D$97,"EWS/LIG",INPUTS!$U$88:$U$97),0)</f>
        <v>0</v>
      </c>
      <c r="R107" s="118" t="n">
        <f aca="false">IF(SUMIF(INPUTS!$D$88:$D$97,"EWS/LIG",INPUTS!$U$88:$U$97)&gt;0,((INPUTS!$D$88="EWS/LIG")*INPUTS!$U$88*R40+(INPUTS!$D$89="EWS/LIG")*INPUTS!$U$89*R46+(INPUTS!$D$90="EWS/LIG")*INPUTS!$U$90*R52+(INPUTS!$D$91="EWS/LIG")*INPUTS!$U$91*R58+(INPUTS!$D$92="EWS/LIG")*INPUTS!$U$92*R64+(INPUTS!$D$93="EWS/LIG")*INPUTS!$U$93*R70+(INPUTS!$D$94="EWS/LIG")*INPUTS!$U$94*R76+(INPUTS!$D$95="EWS/LIG")*INPUTS!$U$95*R82+(INPUTS!$D$96="EWS/LIG")*INPUTS!$U$96*R88+(INPUTS!$D$97="EWS/LIG")*INPUTS!$U$97*R94)/SUMIF(INPUTS!$D$88:$D$97,"EWS/LIG",INPUTS!$U$88:$U$97),0)</f>
        <v>0</v>
      </c>
      <c r="S107" s="118" t="n">
        <f aca="false">IF(SUMIF(INPUTS!$D$88:$D$97,"EWS/LIG",INPUTS!$U$88:$U$97)&gt;0,((INPUTS!$D$88="EWS/LIG")*INPUTS!$U$88*S40+(INPUTS!$D$89="EWS/LIG")*INPUTS!$U$89*S46+(INPUTS!$D$90="EWS/LIG")*INPUTS!$U$90*S52+(INPUTS!$D$91="EWS/LIG")*INPUTS!$U$91*S58+(INPUTS!$D$92="EWS/LIG")*INPUTS!$U$92*S64+(INPUTS!$D$93="EWS/LIG")*INPUTS!$U$93*S70+(INPUTS!$D$94="EWS/LIG")*INPUTS!$U$94*S76+(INPUTS!$D$95="EWS/LIG")*INPUTS!$U$95*S82+(INPUTS!$D$96="EWS/LIG")*INPUTS!$U$96*S88+(INPUTS!$D$97="EWS/LIG")*INPUTS!$U$97*S94)/SUMIF(INPUTS!$D$88:$D$97,"EWS/LIG",INPUTS!$U$88:$U$97),0)</f>
        <v>0</v>
      </c>
      <c r="T107" s="118" t="n">
        <f aca="false">IF(SUMIF(INPUTS!$D$88:$D$97,"EWS/LIG",INPUTS!$U$88:$U$97)&gt;0,((INPUTS!$D$88="EWS/LIG")*INPUTS!$U$88*T40+(INPUTS!$D$89="EWS/LIG")*INPUTS!$U$89*T46+(INPUTS!$D$90="EWS/LIG")*INPUTS!$U$90*T52+(INPUTS!$D$91="EWS/LIG")*INPUTS!$U$91*T58+(INPUTS!$D$92="EWS/LIG")*INPUTS!$U$92*T64+(INPUTS!$D$93="EWS/LIG")*INPUTS!$U$93*T70+(INPUTS!$D$94="EWS/LIG")*INPUTS!$U$94*T76+(INPUTS!$D$95="EWS/LIG")*INPUTS!$U$95*T82+(INPUTS!$D$96="EWS/LIG")*INPUTS!$U$96*T88+(INPUTS!$D$97="EWS/LIG")*INPUTS!$U$97*T94)/SUMIF(INPUTS!$D$88:$D$97,"EWS/LIG",INPUTS!$U$88:$U$97),0)</f>
        <v>0</v>
      </c>
      <c r="U107" s="118" t="n">
        <f aca="false">IF(SUMIF(INPUTS!$D$88:$D$97,"EWS/LIG",INPUTS!$U$88:$U$97)&gt;0,((INPUTS!$D$88="EWS/LIG")*INPUTS!$U$88*U40+(INPUTS!$D$89="EWS/LIG")*INPUTS!$U$89*U46+(INPUTS!$D$90="EWS/LIG")*INPUTS!$U$90*U52+(INPUTS!$D$91="EWS/LIG")*INPUTS!$U$91*U58+(INPUTS!$D$92="EWS/LIG")*INPUTS!$U$92*U64+(INPUTS!$D$93="EWS/LIG")*INPUTS!$U$93*U70+(INPUTS!$D$94="EWS/LIG")*INPUTS!$U$94*U76+(INPUTS!$D$95="EWS/LIG")*INPUTS!$U$95*U82+(INPUTS!$D$96="EWS/LIG")*INPUTS!$U$96*U88+(INPUTS!$D$97="EWS/LIG")*INPUTS!$U$97*U94)/SUMIF(INPUTS!$D$88:$D$97,"EWS/LIG",INPUTS!$U$88:$U$97),0)</f>
        <v>0</v>
      </c>
      <c r="V107" s="118" t="n">
        <f aca="false">IF(SUMIF(INPUTS!$D$88:$D$97,"EWS/LIG",INPUTS!$U$88:$U$97)&gt;0,((INPUTS!$D$88="EWS/LIG")*INPUTS!$U$88*V40+(INPUTS!$D$89="EWS/LIG")*INPUTS!$U$89*V46+(INPUTS!$D$90="EWS/LIG")*INPUTS!$U$90*V52+(INPUTS!$D$91="EWS/LIG")*INPUTS!$U$91*V58+(INPUTS!$D$92="EWS/LIG")*INPUTS!$U$92*V64+(INPUTS!$D$93="EWS/LIG")*INPUTS!$U$93*V70+(INPUTS!$D$94="EWS/LIG")*INPUTS!$U$94*V76+(INPUTS!$D$95="EWS/LIG")*INPUTS!$U$95*V82+(INPUTS!$D$96="EWS/LIG")*INPUTS!$U$96*V88+(INPUTS!$D$97="EWS/LIG")*INPUTS!$U$97*V94)/SUMIF(INPUTS!$D$88:$D$97,"EWS/LIG",INPUTS!$U$88:$U$97),0)</f>
        <v>0</v>
      </c>
      <c r="W107" s="118" t="n">
        <f aca="false">IF(SUMIF(INPUTS!$D$88:$D$97,"EWS/LIG",INPUTS!$U$88:$U$97)&gt;0,((INPUTS!$D$88="EWS/LIG")*INPUTS!$U$88*W40+(INPUTS!$D$89="EWS/LIG")*INPUTS!$U$89*W46+(INPUTS!$D$90="EWS/LIG")*INPUTS!$U$90*W52+(INPUTS!$D$91="EWS/LIG")*INPUTS!$U$91*W58+(INPUTS!$D$92="EWS/LIG")*INPUTS!$U$92*W64+(INPUTS!$D$93="EWS/LIG")*INPUTS!$U$93*W70+(INPUTS!$D$94="EWS/LIG")*INPUTS!$U$94*W76+(INPUTS!$D$95="EWS/LIG")*INPUTS!$U$95*W82+(INPUTS!$D$96="EWS/LIG")*INPUTS!$U$96*W88+(INPUTS!$D$97="EWS/LIG")*INPUTS!$U$97*W94)/SUMIF(INPUTS!$D$88:$D$97,"EWS/LIG",INPUTS!$U$88:$U$97),0)</f>
        <v>0</v>
      </c>
      <c r="X107" s="118" t="n">
        <f aca="false">IF(SUMIF(INPUTS!$D$88:$D$97,"EWS/LIG",INPUTS!$U$88:$U$97)&gt;0,((INPUTS!$D$88="EWS/LIG")*INPUTS!$U$88*X40+(INPUTS!$D$89="EWS/LIG")*INPUTS!$U$89*X46+(INPUTS!$D$90="EWS/LIG")*INPUTS!$U$90*X52+(INPUTS!$D$91="EWS/LIG")*INPUTS!$U$91*X58+(INPUTS!$D$92="EWS/LIG")*INPUTS!$U$92*X64+(INPUTS!$D$93="EWS/LIG")*INPUTS!$U$93*X70+(INPUTS!$D$94="EWS/LIG")*INPUTS!$U$94*X76+(INPUTS!$D$95="EWS/LIG")*INPUTS!$U$95*X82+(INPUTS!$D$96="EWS/LIG")*INPUTS!$U$96*X88+(INPUTS!$D$97="EWS/LIG")*INPUTS!$U$97*X94)/SUMIF(INPUTS!$D$88:$D$97,"EWS/LIG",INPUTS!$U$88:$U$97),0)</f>
        <v>0</v>
      </c>
      <c r="Y107" s="118" t="n">
        <f aca="false">IF(SUMIF(INPUTS!$D$88:$D$97,"EWS/LIG",INPUTS!$U$88:$U$97)&gt;0,((INPUTS!$D$88="EWS/LIG")*INPUTS!$U$88*Y40+(INPUTS!$D$89="EWS/LIG")*INPUTS!$U$89*Y46+(INPUTS!$D$90="EWS/LIG")*INPUTS!$U$90*Y52+(INPUTS!$D$91="EWS/LIG")*INPUTS!$U$91*Y58+(INPUTS!$D$92="EWS/LIG")*INPUTS!$U$92*Y64+(INPUTS!$D$93="EWS/LIG")*INPUTS!$U$93*Y70+(INPUTS!$D$94="EWS/LIG")*INPUTS!$U$94*Y76+(INPUTS!$D$95="EWS/LIG")*INPUTS!$U$95*Y82+(INPUTS!$D$96="EWS/LIG")*INPUTS!$U$96*Y88+(INPUTS!$D$97="EWS/LIG")*INPUTS!$U$97*Y94)/SUMIF(INPUTS!$D$88:$D$97,"EWS/LIG",INPUTS!$U$88:$U$97),0)</f>
        <v>0</v>
      </c>
      <c r="Z107" s="118" t="n">
        <f aca="false">IF(SUMIF(INPUTS!$D$88:$D$97,"EWS/LIG",INPUTS!$U$88:$U$97)&gt;0,((INPUTS!$D$88="EWS/LIG")*INPUTS!$U$88*Z40+(INPUTS!$D$89="EWS/LIG")*INPUTS!$U$89*Z46+(INPUTS!$D$90="EWS/LIG")*INPUTS!$U$90*Z52+(INPUTS!$D$91="EWS/LIG")*INPUTS!$U$91*Z58+(INPUTS!$D$92="EWS/LIG")*INPUTS!$U$92*Z64+(INPUTS!$D$93="EWS/LIG")*INPUTS!$U$93*Z70+(INPUTS!$D$94="EWS/LIG")*INPUTS!$U$94*Z76+(INPUTS!$D$95="EWS/LIG")*INPUTS!$U$95*Z82+(INPUTS!$D$96="EWS/LIG")*INPUTS!$U$96*Z88+(INPUTS!$D$97="EWS/LIG")*INPUTS!$U$97*Z94)/SUMIF(INPUTS!$D$88:$D$97,"EWS/LIG",INPUTS!$U$88:$U$97),0)</f>
        <v>0</v>
      </c>
      <c r="AA107" s="118" t="n">
        <f aca="false">IF(SUMIF(INPUTS!$D$88:$D$97,"EWS/LIG",INPUTS!$U$88:$U$97)&gt;0,((INPUTS!$D$88="EWS/LIG")*INPUTS!$U$88*AA40+(INPUTS!$D$89="EWS/LIG")*INPUTS!$U$89*AA46+(INPUTS!$D$90="EWS/LIG")*INPUTS!$U$90*AA52+(INPUTS!$D$91="EWS/LIG")*INPUTS!$U$91*AA58+(INPUTS!$D$92="EWS/LIG")*INPUTS!$U$92*AA64+(INPUTS!$D$93="EWS/LIG")*INPUTS!$U$93*AA70+(INPUTS!$D$94="EWS/LIG")*INPUTS!$U$94*AA76+(INPUTS!$D$95="EWS/LIG")*INPUTS!$U$95*AA82+(INPUTS!$D$96="EWS/LIG")*INPUTS!$U$96*AA88+(INPUTS!$D$97="EWS/LIG")*INPUTS!$U$97*AA94)/SUMIF(INPUTS!$D$88:$D$97,"EWS/LIG",INPUTS!$U$88:$U$97),0)</f>
        <v>0</v>
      </c>
      <c r="AB107" s="118" t="n">
        <f aca="false">IF(SUMIF(INPUTS!$D$88:$D$97,"EWS/LIG",INPUTS!$U$88:$U$97)&gt;0,((INPUTS!$D$88="EWS/LIG")*INPUTS!$U$88*AB40+(INPUTS!$D$89="EWS/LIG")*INPUTS!$U$89*AB46+(INPUTS!$D$90="EWS/LIG")*INPUTS!$U$90*AB52+(INPUTS!$D$91="EWS/LIG")*INPUTS!$U$91*AB58+(INPUTS!$D$92="EWS/LIG")*INPUTS!$U$92*AB64+(INPUTS!$D$93="EWS/LIG")*INPUTS!$U$93*AB70+(INPUTS!$D$94="EWS/LIG")*INPUTS!$U$94*AB76+(INPUTS!$D$95="EWS/LIG")*INPUTS!$U$95*AB82+(INPUTS!$D$96="EWS/LIG")*INPUTS!$U$96*AB88+(INPUTS!$D$97="EWS/LIG")*INPUTS!$U$97*AB94)/SUMIF(INPUTS!$D$88:$D$97,"EWS/LIG",INPUTS!$U$88:$U$97),0)</f>
        <v>0</v>
      </c>
      <c r="AC107" s="118" t="n">
        <f aca="false">IF(SUMIF(INPUTS!$D$88:$D$97,"EWS/LIG",INPUTS!$U$88:$U$97)&gt;0,((INPUTS!$D$88="EWS/LIG")*INPUTS!$U$88*AC40+(INPUTS!$D$89="EWS/LIG")*INPUTS!$U$89*AC46+(INPUTS!$D$90="EWS/LIG")*INPUTS!$U$90*AC52+(INPUTS!$D$91="EWS/LIG")*INPUTS!$U$91*AC58+(INPUTS!$D$92="EWS/LIG")*INPUTS!$U$92*AC64+(INPUTS!$D$93="EWS/LIG")*INPUTS!$U$93*AC70+(INPUTS!$D$94="EWS/LIG")*INPUTS!$U$94*AC76+(INPUTS!$D$95="EWS/LIG")*INPUTS!$U$95*AC82+(INPUTS!$D$96="EWS/LIG")*INPUTS!$U$96*AC88+(INPUTS!$D$97="EWS/LIG")*INPUTS!$U$97*AC94)/SUMIF(INPUTS!$D$88:$D$97,"EWS/LIG",INPUTS!$U$88:$U$97),0)</f>
        <v>0</v>
      </c>
      <c r="AD107" s="118" t="n">
        <f aca="false">IF(SUMIF(INPUTS!$D$88:$D$97,"EWS/LIG",INPUTS!$U$88:$U$97)&gt;0,((INPUTS!$D$88="EWS/LIG")*INPUTS!$U$88*AD40+(INPUTS!$D$89="EWS/LIG")*INPUTS!$U$89*AD46+(INPUTS!$D$90="EWS/LIG")*INPUTS!$U$90*AD52+(INPUTS!$D$91="EWS/LIG")*INPUTS!$U$91*AD58+(INPUTS!$D$92="EWS/LIG")*INPUTS!$U$92*AD64+(INPUTS!$D$93="EWS/LIG")*INPUTS!$U$93*AD70+(INPUTS!$D$94="EWS/LIG")*INPUTS!$U$94*AD76+(INPUTS!$D$95="EWS/LIG")*INPUTS!$U$95*AD82+(INPUTS!$D$96="EWS/LIG")*INPUTS!$U$96*AD88+(INPUTS!$D$97="EWS/LIG")*INPUTS!$U$97*AD94)/SUMIF(INPUTS!$D$88:$D$97,"EWS/LIG",INPUTS!$U$88:$U$97),0)</f>
        <v>0</v>
      </c>
      <c r="AE107" s="118" t="n">
        <f aca="false">IF(SUMIF(INPUTS!$D$88:$D$97,"EWS/LIG",INPUTS!$U$88:$U$97)&gt;0,((INPUTS!$D$88="EWS/LIG")*INPUTS!$U$88*AE40+(INPUTS!$D$89="EWS/LIG")*INPUTS!$U$89*AE46+(INPUTS!$D$90="EWS/LIG")*INPUTS!$U$90*AE52+(INPUTS!$D$91="EWS/LIG")*INPUTS!$U$91*AE58+(INPUTS!$D$92="EWS/LIG")*INPUTS!$U$92*AE64+(INPUTS!$D$93="EWS/LIG")*INPUTS!$U$93*AE70+(INPUTS!$D$94="EWS/LIG")*INPUTS!$U$94*AE76+(INPUTS!$D$95="EWS/LIG")*INPUTS!$U$95*AE82+(INPUTS!$D$96="EWS/LIG")*INPUTS!$U$96*AE88+(INPUTS!$D$97="EWS/LIG")*INPUTS!$U$97*AE94)/SUMIF(INPUTS!$D$88:$D$97,"EWS/LIG",INPUTS!$U$88:$U$97),0)</f>
        <v>0</v>
      </c>
      <c r="AF107" s="118" t="n">
        <f aca="false">IF(SUMIF(INPUTS!$D$88:$D$97,"EWS/LIG",INPUTS!$U$88:$U$97)&gt;0,((INPUTS!$D$88="EWS/LIG")*INPUTS!$U$88*AF40+(INPUTS!$D$89="EWS/LIG")*INPUTS!$U$89*AF46+(INPUTS!$D$90="EWS/LIG")*INPUTS!$U$90*AF52+(INPUTS!$D$91="EWS/LIG")*INPUTS!$U$91*AF58+(INPUTS!$D$92="EWS/LIG")*INPUTS!$U$92*AF64+(INPUTS!$D$93="EWS/LIG")*INPUTS!$U$93*AF70+(INPUTS!$D$94="EWS/LIG")*INPUTS!$U$94*AF76+(INPUTS!$D$95="EWS/LIG")*INPUTS!$U$95*AF82+(INPUTS!$D$96="EWS/LIG")*INPUTS!$U$96*AF88+(INPUTS!$D$97="EWS/LIG")*INPUTS!$U$97*AF94)/SUMIF(INPUTS!$D$88:$D$97,"EWS/LIG",INPUTS!$U$88:$U$97),0)</f>
        <v>0</v>
      </c>
      <c r="AG107" s="118" t="n">
        <f aca="false">IF(SUMIF(INPUTS!$D$88:$D$97,"EWS/LIG",INPUTS!$U$88:$U$97)&gt;0,((INPUTS!$D$88="EWS/LIG")*INPUTS!$U$88*AG40+(INPUTS!$D$89="EWS/LIG")*INPUTS!$U$89*AG46+(INPUTS!$D$90="EWS/LIG")*INPUTS!$U$90*AG52+(INPUTS!$D$91="EWS/LIG")*INPUTS!$U$91*AG58+(INPUTS!$D$92="EWS/LIG")*INPUTS!$U$92*AG64+(INPUTS!$D$93="EWS/LIG")*INPUTS!$U$93*AG70+(INPUTS!$D$94="EWS/LIG")*INPUTS!$U$94*AG76+(INPUTS!$D$95="EWS/LIG")*INPUTS!$U$95*AG82+(INPUTS!$D$96="EWS/LIG")*INPUTS!$U$96*AG88+(INPUTS!$D$97="EWS/LIG")*INPUTS!$U$97*AG94)/SUMIF(INPUTS!$D$88:$D$97,"EWS/LIG",INPUTS!$U$88:$U$97),0)</f>
        <v>0</v>
      </c>
      <c r="AH107" s="118" t="n">
        <f aca="false">IF(SUMIF(INPUTS!$D$88:$D$97,"EWS/LIG",INPUTS!$U$88:$U$97)&gt;0,((INPUTS!$D$88="EWS/LIG")*INPUTS!$U$88*AH40+(INPUTS!$D$89="EWS/LIG")*INPUTS!$U$89*AH46+(INPUTS!$D$90="EWS/LIG")*INPUTS!$U$90*AH52+(INPUTS!$D$91="EWS/LIG")*INPUTS!$U$91*AH58+(INPUTS!$D$92="EWS/LIG")*INPUTS!$U$92*AH64+(INPUTS!$D$93="EWS/LIG")*INPUTS!$U$93*AH70+(INPUTS!$D$94="EWS/LIG")*INPUTS!$U$94*AH76+(INPUTS!$D$95="EWS/LIG")*INPUTS!$U$95*AH82+(INPUTS!$D$96="EWS/LIG")*INPUTS!$U$96*AH88+(INPUTS!$D$97="EWS/LIG")*INPUTS!$U$97*AH94)/SUMIF(INPUTS!$D$88:$D$97,"EWS/LIG",INPUTS!$U$88:$U$97),0)</f>
        <v>0</v>
      </c>
      <c r="AI107" s="118" t="n">
        <f aca="false">IF(SUMIF(INPUTS!$D$88:$D$97,"EWS/LIG",INPUTS!$U$88:$U$97)&gt;0,((INPUTS!$D$88="EWS/LIG")*INPUTS!$U$88*AI40+(INPUTS!$D$89="EWS/LIG")*INPUTS!$U$89*AI46+(INPUTS!$D$90="EWS/LIG")*INPUTS!$U$90*AI52+(INPUTS!$D$91="EWS/LIG")*INPUTS!$U$91*AI58+(INPUTS!$D$92="EWS/LIG")*INPUTS!$U$92*AI64+(INPUTS!$D$93="EWS/LIG")*INPUTS!$U$93*AI70+(INPUTS!$D$94="EWS/LIG")*INPUTS!$U$94*AI76+(INPUTS!$D$95="EWS/LIG")*INPUTS!$U$95*AI82+(INPUTS!$D$96="EWS/LIG")*INPUTS!$U$96*AI88+(INPUTS!$D$97="EWS/LIG")*INPUTS!$U$97*AI94)/SUMIF(INPUTS!$D$88:$D$97,"EWS/LIG",INPUTS!$U$88:$U$97),0)</f>
        <v>0</v>
      </c>
      <c r="AJ107" s="118" t="n">
        <f aca="false">IF(SUMIF(INPUTS!$D$88:$D$97,"EWS/LIG",INPUTS!$U$88:$U$97)&gt;0,((INPUTS!$D$88="EWS/LIG")*INPUTS!$U$88*AJ40+(INPUTS!$D$89="EWS/LIG")*INPUTS!$U$89*AJ46+(INPUTS!$D$90="EWS/LIG")*INPUTS!$U$90*AJ52+(INPUTS!$D$91="EWS/LIG")*INPUTS!$U$91*AJ58+(INPUTS!$D$92="EWS/LIG")*INPUTS!$U$92*AJ64+(INPUTS!$D$93="EWS/LIG")*INPUTS!$U$93*AJ70+(INPUTS!$D$94="EWS/LIG")*INPUTS!$U$94*AJ76+(INPUTS!$D$95="EWS/LIG")*INPUTS!$U$95*AJ82+(INPUTS!$D$96="EWS/LIG")*INPUTS!$U$96*AJ88+(INPUTS!$D$97="EWS/LIG")*INPUTS!$U$97*AJ94)/SUMIF(INPUTS!$D$88:$D$97,"EWS/LIG",INPUTS!$U$88:$U$97),0)</f>
        <v>0</v>
      </c>
      <c r="AK107" s="118" t="n">
        <f aca="false">IF(SUMIF(INPUTS!$D$88:$D$97,"EWS/LIG",INPUTS!$U$88:$U$97)&gt;0,((INPUTS!$D$88="EWS/LIG")*INPUTS!$U$88*AK40+(INPUTS!$D$89="EWS/LIG")*INPUTS!$U$89*AK46+(INPUTS!$D$90="EWS/LIG")*INPUTS!$U$90*AK52+(INPUTS!$D$91="EWS/LIG")*INPUTS!$U$91*AK58+(INPUTS!$D$92="EWS/LIG")*INPUTS!$U$92*AK64+(INPUTS!$D$93="EWS/LIG")*INPUTS!$U$93*AK70+(INPUTS!$D$94="EWS/LIG")*INPUTS!$U$94*AK76+(INPUTS!$D$95="EWS/LIG")*INPUTS!$U$95*AK82+(INPUTS!$D$96="EWS/LIG")*INPUTS!$U$96*AK88+(INPUTS!$D$97="EWS/LIG")*INPUTS!$U$97*AK94)/SUMIF(INPUTS!$D$88:$D$97,"EWS/LIG",INPUTS!$U$88:$U$97),0)</f>
        <v>0</v>
      </c>
      <c r="AL107" s="118" t="n">
        <f aca="false">IF(SUMIF(INPUTS!$D$88:$D$97,"EWS/LIG",INPUTS!$U$88:$U$97)&gt;0,((INPUTS!$D$88="EWS/LIG")*INPUTS!$U$88*AL40+(INPUTS!$D$89="EWS/LIG")*INPUTS!$U$89*AL46+(INPUTS!$D$90="EWS/LIG")*INPUTS!$U$90*AL52+(INPUTS!$D$91="EWS/LIG")*INPUTS!$U$91*AL58+(INPUTS!$D$92="EWS/LIG")*INPUTS!$U$92*AL64+(INPUTS!$D$93="EWS/LIG")*INPUTS!$U$93*AL70+(INPUTS!$D$94="EWS/LIG")*INPUTS!$U$94*AL76+(INPUTS!$D$95="EWS/LIG")*INPUTS!$U$95*AL82+(INPUTS!$D$96="EWS/LIG")*INPUTS!$U$96*AL88+(INPUTS!$D$97="EWS/LIG")*INPUTS!$U$97*AL94)/SUMIF(INPUTS!$D$88:$D$97,"EWS/LIG",INPUTS!$U$88:$U$97),0)</f>
        <v>0</v>
      </c>
      <c r="AM107" s="118" t="n">
        <f aca="false">IF(SUMIF(INPUTS!$D$88:$D$97,"EWS/LIG",INPUTS!$U$88:$U$97)&gt;0,((INPUTS!$D$88="EWS/LIG")*INPUTS!$U$88*AM40+(INPUTS!$D$89="EWS/LIG")*INPUTS!$U$89*AM46+(INPUTS!$D$90="EWS/LIG")*INPUTS!$U$90*AM52+(INPUTS!$D$91="EWS/LIG")*INPUTS!$U$91*AM58+(INPUTS!$D$92="EWS/LIG")*INPUTS!$U$92*AM64+(INPUTS!$D$93="EWS/LIG")*INPUTS!$U$93*AM70+(INPUTS!$D$94="EWS/LIG")*INPUTS!$U$94*AM76+(INPUTS!$D$95="EWS/LIG")*INPUTS!$U$95*AM82+(INPUTS!$D$96="EWS/LIG")*INPUTS!$U$96*AM88+(INPUTS!$D$97="EWS/LIG")*INPUTS!$U$97*AM94)/SUMIF(INPUTS!$D$88:$D$97,"EWS/LIG",INPUTS!$U$88:$U$97),0)</f>
        <v>0</v>
      </c>
      <c r="AN107" s="118" t="n">
        <f aca="false">IF(SUMIF(INPUTS!$D$88:$D$97,"EWS/LIG",INPUTS!$U$88:$U$97)&gt;0,((INPUTS!$D$88="EWS/LIG")*INPUTS!$U$88*AN40+(INPUTS!$D$89="EWS/LIG")*INPUTS!$U$89*AN46+(INPUTS!$D$90="EWS/LIG")*INPUTS!$U$90*AN52+(INPUTS!$D$91="EWS/LIG")*INPUTS!$U$91*AN58+(INPUTS!$D$92="EWS/LIG")*INPUTS!$U$92*AN64+(INPUTS!$D$93="EWS/LIG")*INPUTS!$U$93*AN70+(INPUTS!$D$94="EWS/LIG")*INPUTS!$U$94*AN76+(INPUTS!$D$95="EWS/LIG")*INPUTS!$U$95*AN82+(INPUTS!$D$96="EWS/LIG")*INPUTS!$U$96*AN88+(INPUTS!$D$97="EWS/LIG")*INPUTS!$U$97*AN94)/SUMIF(INPUTS!$D$88:$D$97,"EWS/LIG",INPUTS!$U$88:$U$97),0)</f>
        <v>0</v>
      </c>
      <c r="AO107" s="118" t="n">
        <f aca="false">IF(SUMIF(INPUTS!$D$88:$D$97,"EWS/LIG",INPUTS!$U$88:$U$97)&gt;0,((INPUTS!$D$88="EWS/LIG")*INPUTS!$U$88*AO40+(INPUTS!$D$89="EWS/LIG")*INPUTS!$U$89*AO46+(INPUTS!$D$90="EWS/LIG")*INPUTS!$U$90*AO52+(INPUTS!$D$91="EWS/LIG")*INPUTS!$U$91*AO58+(INPUTS!$D$92="EWS/LIG")*INPUTS!$U$92*AO64+(INPUTS!$D$93="EWS/LIG")*INPUTS!$U$93*AO70+(INPUTS!$D$94="EWS/LIG")*INPUTS!$U$94*AO76+(INPUTS!$D$95="EWS/LIG")*INPUTS!$U$95*AO82+(INPUTS!$D$96="EWS/LIG")*INPUTS!$U$96*AO88+(INPUTS!$D$97="EWS/LIG")*INPUTS!$U$97*AO94)/SUMIF(INPUTS!$D$88:$D$97,"EWS/LIG",INPUTS!$U$88:$U$97),0)</f>
        <v>0</v>
      </c>
      <c r="AP107" s="118" t="n">
        <f aca="false">IF(SUMIF(INPUTS!$D$88:$D$97,"EWS/LIG",INPUTS!$U$88:$U$97)&gt;0,((INPUTS!$D$88="EWS/LIG")*INPUTS!$U$88*AP40+(INPUTS!$D$89="EWS/LIG")*INPUTS!$U$89*AP46+(INPUTS!$D$90="EWS/LIG")*INPUTS!$U$90*AP52+(INPUTS!$D$91="EWS/LIG")*INPUTS!$U$91*AP58+(INPUTS!$D$92="EWS/LIG")*INPUTS!$U$92*AP64+(INPUTS!$D$93="EWS/LIG")*INPUTS!$U$93*AP70+(INPUTS!$D$94="EWS/LIG")*INPUTS!$U$94*AP76+(INPUTS!$D$95="EWS/LIG")*INPUTS!$U$95*AP82+(INPUTS!$D$96="EWS/LIG")*INPUTS!$U$96*AP88+(INPUTS!$D$97="EWS/LIG")*INPUTS!$U$97*AP94)/SUMIF(INPUTS!$D$88:$D$97,"EWS/LIG",INPUTS!$U$88:$U$97),0)</f>
        <v>0</v>
      </c>
      <c r="AQ107" s="118" t="n">
        <f aca="false">IF(SUMIF(INPUTS!$D$88:$D$97,"EWS/LIG",INPUTS!$U$88:$U$97)&gt;0,((INPUTS!$D$88="EWS/LIG")*INPUTS!$U$88*AQ40+(INPUTS!$D$89="EWS/LIG")*INPUTS!$U$89*AQ46+(INPUTS!$D$90="EWS/LIG")*INPUTS!$U$90*AQ52+(INPUTS!$D$91="EWS/LIG")*INPUTS!$U$91*AQ58+(INPUTS!$D$92="EWS/LIG")*INPUTS!$U$92*AQ64+(INPUTS!$D$93="EWS/LIG")*INPUTS!$U$93*AQ70+(INPUTS!$D$94="EWS/LIG")*INPUTS!$U$94*AQ76+(INPUTS!$D$95="EWS/LIG")*INPUTS!$U$95*AQ82+(INPUTS!$D$96="EWS/LIG")*INPUTS!$U$96*AQ88+(INPUTS!$D$97="EWS/LIG")*INPUTS!$U$97*AQ94)/SUMIF(INPUTS!$D$88:$D$97,"EWS/LIG",INPUTS!$U$88:$U$97),0)</f>
        <v>0</v>
      </c>
    </row>
    <row r="108" customFormat="false" ht="15" hidden="false" customHeight="false" outlineLevel="0" collapsed="false">
      <c r="B108" s="3" t="s">
        <v>685</v>
      </c>
      <c r="C108" s="117" t="n">
        <f aca="false">SUM(D108:AQ108)</f>
        <v>1</v>
      </c>
      <c r="D108" s="119" t="n">
        <f aca="false">COLLECTIONS!D454</f>
        <v>0</v>
      </c>
      <c r="E108" s="119" t="n">
        <f aca="false">COLLECTIONS!E454</f>
        <v>0</v>
      </c>
      <c r="F108" s="119" t="n">
        <f aca="false">COLLECTIONS!F454</f>
        <v>0.0076103500761035</v>
      </c>
      <c r="G108" s="119" t="n">
        <f aca="false">COLLECTIONS!G454</f>
        <v>0.0189393939393939</v>
      </c>
      <c r="H108" s="119" t="n">
        <f aca="false">COLLECTIONS!H454</f>
        <v>0.035976200359762</v>
      </c>
      <c r="I108" s="119" t="n">
        <f aca="false">COLLECTIONS!I454</f>
        <v>0.0260723675107237</v>
      </c>
      <c r="J108" s="119" t="n">
        <f aca="false">COLLECTIONS!J454</f>
        <v>0.0485125224851252</v>
      </c>
      <c r="K108" s="119" t="n">
        <f aca="false">COLLECTIONS!K454</f>
        <v>0.0874844333748443</v>
      </c>
      <c r="L108" s="119" t="n">
        <f aca="false">COLLECTIONS!L454</f>
        <v>0.0569202296942023</v>
      </c>
      <c r="M108" s="119" t="n">
        <f aca="false">COLLECTIONS!M454</f>
        <v>0.0853794797287948</v>
      </c>
      <c r="N108" s="119" t="n">
        <f aca="false">COLLECTIONS!N454</f>
        <v>0.118119551681196</v>
      </c>
      <c r="O108" s="119" t="n">
        <f aca="false">COLLECTIONS!O454</f>
        <v>0.069447903694479</v>
      </c>
      <c r="P108" s="119" t="n">
        <f aca="false">COLLECTIONS!P454</f>
        <v>0.0419883769198838</v>
      </c>
      <c r="Q108" s="119" t="n">
        <f aca="false">COLLECTIONS!Q454</f>
        <v>0.107679535076795</v>
      </c>
      <c r="R108" s="119" t="n">
        <f aca="false">COLLECTIONS!R454</f>
        <v>0.0784765462847655</v>
      </c>
      <c r="S108" s="119" t="n">
        <f aca="false">COLLECTIONS!S454</f>
        <v>0.0955998339559984</v>
      </c>
      <c r="T108" s="119" t="n">
        <f aca="false">COLLECTIONS!T454</f>
        <v>0.037733499377335</v>
      </c>
      <c r="U108" s="119" t="n">
        <f aca="false">COLLECTIONS!U454</f>
        <v>0.0280199252801993</v>
      </c>
      <c r="V108" s="119" t="n">
        <f aca="false">COLLECTIONS!V454</f>
        <v>0</v>
      </c>
      <c r="W108" s="119" t="n">
        <f aca="false">COLLECTIONS!W454</f>
        <v>0.0560398505603985</v>
      </c>
      <c r="X108" s="119" t="n">
        <f aca="false">COLLECTIONS!X454</f>
        <v>0</v>
      </c>
      <c r="Y108" s="119" t="n">
        <f aca="false">COLLECTIONS!Y454</f>
        <v>0</v>
      </c>
      <c r="Z108" s="119" t="n">
        <f aca="false">COLLECTIONS!Z454</f>
        <v>0</v>
      </c>
      <c r="AA108" s="119" t="n">
        <f aca="false">COLLECTIONS!AA454</f>
        <v>0</v>
      </c>
      <c r="AB108" s="119" t="n">
        <f aca="false">COLLECTIONS!AB454</f>
        <v>0</v>
      </c>
      <c r="AC108" s="119" t="n">
        <f aca="false">COLLECTIONS!AC454</f>
        <v>0</v>
      </c>
      <c r="AD108" s="119" t="n">
        <f aca="false">COLLECTIONS!AD454</f>
        <v>0</v>
      </c>
      <c r="AE108" s="119" t="n">
        <f aca="false">COLLECTIONS!AE454</f>
        <v>0</v>
      </c>
      <c r="AF108" s="119" t="n">
        <f aca="false">COLLECTIONS!AF454</f>
        <v>0</v>
      </c>
      <c r="AG108" s="119" t="n">
        <f aca="false">COLLECTIONS!AG454</f>
        <v>0</v>
      </c>
      <c r="AH108" s="119" t="n">
        <f aca="false">COLLECTIONS!AH454</f>
        <v>0</v>
      </c>
      <c r="AI108" s="119" t="n">
        <f aca="false">COLLECTIONS!AI454</f>
        <v>0</v>
      </c>
      <c r="AJ108" s="119" t="n">
        <f aca="false">COLLECTIONS!AJ454</f>
        <v>0</v>
      </c>
      <c r="AK108" s="119" t="n">
        <f aca="false">COLLECTIONS!AK454</f>
        <v>0</v>
      </c>
      <c r="AL108" s="119" t="n">
        <f aca="false">COLLECTIONS!AL454</f>
        <v>0</v>
      </c>
      <c r="AM108" s="119" t="n">
        <f aca="false">COLLECTIONS!AM454</f>
        <v>0</v>
      </c>
      <c r="AN108" s="119" t="n">
        <f aca="false">COLLECTIONS!AN454</f>
        <v>0</v>
      </c>
      <c r="AO108" s="119" t="n">
        <f aca="false">COLLECTIONS!AO454</f>
        <v>0</v>
      </c>
      <c r="AP108" s="119" t="n">
        <f aca="false">COLLECTIONS!AP454</f>
        <v>0</v>
      </c>
      <c r="AQ108" s="119" t="n">
        <f aca="false">COLLECTIONS!AQ454</f>
        <v>0</v>
      </c>
    </row>
    <row r="109" customFormat="false" ht="15" hidden="false" customHeight="false" outlineLevel="0" collapsed="false">
      <c r="B109" s="17" t="s">
        <v>686</v>
      </c>
    </row>
    <row r="111" customFormat="false" ht="19.5" hidden="false" customHeight="true" outlineLevel="0" collapsed="false">
      <c r="B111" s="4" t="s">
        <v>687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customFormat="false" ht="15" hidden="false" customHeight="false" outlineLevel="0" collapsed="false">
      <c r="B112" s="110" t="str">
        <f aca="false">IF(INPUTS!$B$128="","Spare cost row",INPUTS!$B$128)</f>
        <v>Land Cost</v>
      </c>
      <c r="C112" s="111" t="str">
        <f aca="false">IF(INPUTS!$J$128="","",INPUTS!$J$128)</f>
        <v>Follow Collections</v>
      </c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</row>
    <row r="113" customFormat="false" ht="15" hidden="false" customHeight="false" outlineLevel="0" collapsed="false">
      <c r="B113" s="3" t="s">
        <v>688</v>
      </c>
      <c r="C113" s="117" t="n">
        <f aca="false">SUM(D113:AQ113)</f>
        <v>1</v>
      </c>
      <c r="D113" s="118" t="n">
        <f aca="false">IF(INPUTS!$F$128&lt;&gt;"Yes",0,IF(INPUTS!$J$128="Follow Construction",D$100,IF(INPUTS!$J$128="Follow Sales",D$99,IF(INPUTS!$J$128="Follow Collections",D$108,IF(OR(TIMELINE!D109=0,TIMELINE!$C$108=0),0,IF(IF(INPUTS!$J$128="Follow Project Life","Even",IF(INPUTS!$J$128="At Project End","Upfront",INPUTS!$J$128))="Upfront",--(TIMELINE!D109=1),IF(IF(INPUTS!$J$128="Follow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End","Upfront",INPUTS!$J$128))="Front-loaded",(TIMELINE!$C$108-TIMELINE!D109+1)*2/(TIMELINE!$C$108*(TIMELINE!$C$108+1)),IF(IF(INPUTS!$J$128="Follow Project Life","Even",IF(INPUTS!$J$128="At Project End","Upfront",INPUTS!$J$128))="Back-loaded",TIMELINE!D109*2/(TIMELINE!$C$108*(TIMELINE!$C$108+1)),IF(IF(INPUTS!$J$128="Follow Project Life","Even",IF(INPUTS!$J$128="At Project End","Upfront",INPUTS!$J$128))="S-curve",SIN(PI()*(TIMELINE!D109-0.5)/TIMELINE!$C$108)*SIN(PI()/(2*TIMELINE!$C$108)),0))))))))))</f>
        <v>0</v>
      </c>
      <c r="E113" s="118" t="n">
        <f aca="false">IF(INPUTS!$F$128&lt;&gt;"Yes",0,IF(INPUTS!$J$128="Follow Construction",E$100,IF(INPUTS!$J$128="Follow Sales",E$99,IF(INPUTS!$J$128="Follow Collections",E$108,IF(OR(TIMELINE!E109=0,TIMELINE!$C$108=0),0,IF(IF(INPUTS!$J$128="Follow Project Life","Even",IF(INPUTS!$J$128="At Project End","Upfront",INPUTS!$J$128))="Upfront",--(TIMELINE!E109=1),IF(IF(INPUTS!$J$128="Follow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End","Upfront",INPUTS!$J$128))="Front-loaded",(TIMELINE!$C$108-TIMELINE!E109+1)*2/(TIMELINE!$C$108*(TIMELINE!$C$108+1)),IF(IF(INPUTS!$J$128="Follow Project Life","Even",IF(INPUTS!$J$128="At Project End","Upfront",INPUTS!$J$128))="Back-loaded",TIMELINE!E109*2/(TIMELINE!$C$108*(TIMELINE!$C$108+1)),IF(IF(INPUTS!$J$128="Follow Project Life","Even",IF(INPUTS!$J$128="At Project End","Upfront",INPUTS!$J$128))="S-curve",SIN(PI()*(TIMELINE!E109-0.5)/TIMELINE!$C$108)*SIN(PI()/(2*TIMELINE!$C$108)),0))))))))))</f>
        <v>0</v>
      </c>
      <c r="F113" s="118" t="n">
        <f aca="false">IF(INPUTS!$F$128&lt;&gt;"Yes",0,IF(INPUTS!$J$128="Follow Construction",F$100,IF(INPUTS!$J$128="Follow Sales",F$99,IF(INPUTS!$J$128="Follow Collections",F$108,IF(OR(TIMELINE!F109=0,TIMELINE!$C$108=0),0,IF(IF(INPUTS!$J$128="Follow Project Life","Even",IF(INPUTS!$J$128="At Project End","Upfront",INPUTS!$J$128))="Upfront",--(TIMELINE!F109=1),IF(IF(INPUTS!$J$128="Follow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End","Upfront",INPUTS!$J$128))="Front-loaded",(TIMELINE!$C$108-TIMELINE!F109+1)*2/(TIMELINE!$C$108*(TIMELINE!$C$108+1)),IF(IF(INPUTS!$J$128="Follow Project Life","Even",IF(INPUTS!$J$128="At Project End","Upfront",INPUTS!$J$128))="Back-loaded",TIMELINE!F109*2/(TIMELINE!$C$108*(TIMELINE!$C$108+1)),IF(IF(INPUTS!$J$128="Follow Project Life","Even",IF(INPUTS!$J$128="At Project End","Upfront",INPUTS!$J$128))="S-curve",SIN(PI()*(TIMELINE!F109-0.5)/TIMELINE!$C$108)*SIN(PI()/(2*TIMELINE!$C$108)),0))))))))))</f>
        <v>0.0076103500761035</v>
      </c>
      <c r="G113" s="118" t="n">
        <f aca="false">IF(INPUTS!$F$128&lt;&gt;"Yes",0,IF(INPUTS!$J$128="Follow Construction",G$100,IF(INPUTS!$J$128="Follow Sales",G$99,IF(INPUTS!$J$128="Follow Collections",G$108,IF(OR(TIMELINE!G109=0,TIMELINE!$C$108=0),0,IF(IF(INPUTS!$J$128="Follow Project Life","Even",IF(INPUTS!$J$128="At Project End","Upfront",INPUTS!$J$128))="Upfront",--(TIMELINE!G109=1),IF(IF(INPUTS!$J$128="Follow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End","Upfront",INPUTS!$J$128))="Front-loaded",(TIMELINE!$C$108-TIMELINE!G109+1)*2/(TIMELINE!$C$108*(TIMELINE!$C$108+1)),IF(IF(INPUTS!$J$128="Follow Project Life","Even",IF(INPUTS!$J$128="At Project End","Upfront",INPUTS!$J$128))="Back-loaded",TIMELINE!G109*2/(TIMELINE!$C$108*(TIMELINE!$C$108+1)),IF(IF(INPUTS!$J$128="Follow Project Life","Even",IF(INPUTS!$J$128="At Project End","Upfront",INPUTS!$J$128))="S-curve",SIN(PI()*(TIMELINE!G109-0.5)/TIMELINE!$C$108)*SIN(PI()/(2*TIMELINE!$C$108)),0))))))))))</f>
        <v>0.0189393939393939</v>
      </c>
      <c r="H113" s="118" t="n">
        <f aca="false">IF(INPUTS!$F$128&lt;&gt;"Yes",0,IF(INPUTS!$J$128="Follow Construction",H$100,IF(INPUTS!$J$128="Follow Sales",H$99,IF(INPUTS!$J$128="Follow Collections",H$108,IF(OR(TIMELINE!H109=0,TIMELINE!$C$108=0),0,IF(IF(INPUTS!$J$128="Follow Project Life","Even",IF(INPUTS!$J$128="At Project End","Upfront",INPUTS!$J$128))="Upfront",--(TIMELINE!H109=1),IF(IF(INPUTS!$J$128="Follow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End","Upfront",INPUTS!$J$128))="Front-loaded",(TIMELINE!$C$108-TIMELINE!H109+1)*2/(TIMELINE!$C$108*(TIMELINE!$C$108+1)),IF(IF(INPUTS!$J$128="Follow Project Life","Even",IF(INPUTS!$J$128="At Project End","Upfront",INPUTS!$J$128))="Back-loaded",TIMELINE!H109*2/(TIMELINE!$C$108*(TIMELINE!$C$108+1)),IF(IF(INPUTS!$J$128="Follow Project Life","Even",IF(INPUTS!$J$128="At Project End","Upfront",INPUTS!$J$128))="S-curve",SIN(PI()*(TIMELINE!H109-0.5)/TIMELINE!$C$108)*SIN(PI()/(2*TIMELINE!$C$108)),0))))))))))</f>
        <v>0.035976200359762</v>
      </c>
      <c r="I113" s="118" t="n">
        <f aca="false">IF(INPUTS!$F$128&lt;&gt;"Yes",0,IF(INPUTS!$J$128="Follow Construction",I$100,IF(INPUTS!$J$128="Follow Sales",I$99,IF(INPUTS!$J$128="Follow Collections",I$108,IF(OR(TIMELINE!I109=0,TIMELINE!$C$108=0),0,IF(IF(INPUTS!$J$128="Follow Project Life","Even",IF(INPUTS!$J$128="At Project End","Upfront",INPUTS!$J$128))="Upfront",--(TIMELINE!I109=1),IF(IF(INPUTS!$J$128="Follow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End","Upfront",INPUTS!$J$128))="Front-loaded",(TIMELINE!$C$108-TIMELINE!I109+1)*2/(TIMELINE!$C$108*(TIMELINE!$C$108+1)),IF(IF(INPUTS!$J$128="Follow Project Life","Even",IF(INPUTS!$J$128="At Project End","Upfront",INPUTS!$J$128))="Back-loaded",TIMELINE!I109*2/(TIMELINE!$C$108*(TIMELINE!$C$108+1)),IF(IF(INPUTS!$J$128="Follow Project Life","Even",IF(INPUTS!$J$128="At Project End","Upfront",INPUTS!$J$128))="S-curve",SIN(PI()*(TIMELINE!I109-0.5)/TIMELINE!$C$108)*SIN(PI()/(2*TIMELINE!$C$108)),0))))))))))</f>
        <v>0.0260723675107237</v>
      </c>
      <c r="J113" s="118" t="n">
        <f aca="false">IF(INPUTS!$F$128&lt;&gt;"Yes",0,IF(INPUTS!$J$128="Follow Construction",J$100,IF(INPUTS!$J$128="Follow Sales",J$99,IF(INPUTS!$J$128="Follow Collections",J$108,IF(OR(TIMELINE!J109=0,TIMELINE!$C$108=0),0,IF(IF(INPUTS!$J$128="Follow Project Life","Even",IF(INPUTS!$J$128="At Project End","Upfront",INPUTS!$J$128))="Upfront",--(TIMELINE!J109=1),IF(IF(INPUTS!$J$128="Follow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End","Upfront",INPUTS!$J$128))="Front-loaded",(TIMELINE!$C$108-TIMELINE!J109+1)*2/(TIMELINE!$C$108*(TIMELINE!$C$108+1)),IF(IF(INPUTS!$J$128="Follow Project Life","Even",IF(INPUTS!$J$128="At Project End","Upfront",INPUTS!$J$128))="Back-loaded",TIMELINE!J109*2/(TIMELINE!$C$108*(TIMELINE!$C$108+1)),IF(IF(INPUTS!$J$128="Follow Project Life","Even",IF(INPUTS!$J$128="At Project End","Upfront",INPUTS!$J$128))="S-curve",SIN(PI()*(TIMELINE!J109-0.5)/TIMELINE!$C$108)*SIN(PI()/(2*TIMELINE!$C$108)),0))))))))))</f>
        <v>0.0485125224851252</v>
      </c>
      <c r="K113" s="118" t="n">
        <f aca="false">IF(INPUTS!$F$128&lt;&gt;"Yes",0,IF(INPUTS!$J$128="Follow Construction",K$100,IF(INPUTS!$J$128="Follow Sales",K$99,IF(INPUTS!$J$128="Follow Collections",K$108,IF(OR(TIMELINE!K109=0,TIMELINE!$C$108=0),0,IF(IF(INPUTS!$J$128="Follow Project Life","Even",IF(INPUTS!$J$128="At Project End","Upfront",INPUTS!$J$128))="Upfront",--(TIMELINE!K109=1),IF(IF(INPUTS!$J$128="Follow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End","Upfront",INPUTS!$J$128))="Front-loaded",(TIMELINE!$C$108-TIMELINE!K109+1)*2/(TIMELINE!$C$108*(TIMELINE!$C$108+1)),IF(IF(INPUTS!$J$128="Follow Project Life","Even",IF(INPUTS!$J$128="At Project End","Upfront",INPUTS!$J$128))="Back-loaded",TIMELINE!K109*2/(TIMELINE!$C$108*(TIMELINE!$C$108+1)),IF(IF(INPUTS!$J$128="Follow Project Life","Even",IF(INPUTS!$J$128="At Project End","Upfront",INPUTS!$J$128))="S-curve",SIN(PI()*(TIMELINE!K109-0.5)/TIMELINE!$C$108)*SIN(PI()/(2*TIMELINE!$C$108)),0))))))))))</f>
        <v>0.0874844333748443</v>
      </c>
      <c r="L113" s="118" t="n">
        <f aca="false">IF(INPUTS!$F$128&lt;&gt;"Yes",0,IF(INPUTS!$J$128="Follow Construction",L$100,IF(INPUTS!$J$128="Follow Sales",L$99,IF(INPUTS!$J$128="Follow Collections",L$108,IF(OR(TIMELINE!L109=0,TIMELINE!$C$108=0),0,IF(IF(INPUTS!$J$128="Follow Project Life","Even",IF(INPUTS!$J$128="At Project End","Upfront",INPUTS!$J$128))="Upfront",--(TIMELINE!L109=1),IF(IF(INPUTS!$J$128="Follow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End","Upfront",INPUTS!$J$128))="Front-loaded",(TIMELINE!$C$108-TIMELINE!L109+1)*2/(TIMELINE!$C$108*(TIMELINE!$C$108+1)),IF(IF(INPUTS!$J$128="Follow Project Life","Even",IF(INPUTS!$J$128="At Project End","Upfront",INPUTS!$J$128))="Back-loaded",TIMELINE!L109*2/(TIMELINE!$C$108*(TIMELINE!$C$108+1)),IF(IF(INPUTS!$J$128="Follow Project Life","Even",IF(INPUTS!$J$128="At Project End","Upfront",INPUTS!$J$128))="S-curve",SIN(PI()*(TIMELINE!L109-0.5)/TIMELINE!$C$108)*SIN(PI()/(2*TIMELINE!$C$108)),0))))))))))</f>
        <v>0.0569202296942023</v>
      </c>
      <c r="M113" s="118" t="n">
        <f aca="false">IF(INPUTS!$F$128&lt;&gt;"Yes",0,IF(INPUTS!$J$128="Follow Construction",M$100,IF(INPUTS!$J$128="Follow Sales",M$99,IF(INPUTS!$J$128="Follow Collections",M$108,IF(OR(TIMELINE!M109=0,TIMELINE!$C$108=0),0,IF(IF(INPUTS!$J$128="Follow Project Life","Even",IF(INPUTS!$J$128="At Project End","Upfront",INPUTS!$J$128))="Upfront",--(TIMELINE!M109=1),IF(IF(INPUTS!$J$128="Follow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End","Upfront",INPUTS!$J$128))="Front-loaded",(TIMELINE!$C$108-TIMELINE!M109+1)*2/(TIMELINE!$C$108*(TIMELINE!$C$108+1)),IF(IF(INPUTS!$J$128="Follow Project Life","Even",IF(INPUTS!$J$128="At Project End","Upfront",INPUTS!$J$128))="Back-loaded",TIMELINE!M109*2/(TIMELINE!$C$108*(TIMELINE!$C$108+1)),IF(IF(INPUTS!$J$128="Follow Project Life","Even",IF(INPUTS!$J$128="At Project End","Upfront",INPUTS!$J$128))="S-curve",SIN(PI()*(TIMELINE!M109-0.5)/TIMELINE!$C$108)*SIN(PI()/(2*TIMELINE!$C$108)),0))))))))))</f>
        <v>0.0853794797287948</v>
      </c>
      <c r="N113" s="118" t="n">
        <f aca="false">IF(INPUTS!$F$128&lt;&gt;"Yes",0,IF(INPUTS!$J$128="Follow Construction",N$100,IF(INPUTS!$J$128="Follow Sales",N$99,IF(INPUTS!$J$128="Follow Collections",N$108,IF(OR(TIMELINE!N109=0,TIMELINE!$C$108=0),0,IF(IF(INPUTS!$J$128="Follow Project Life","Even",IF(INPUTS!$J$128="At Project End","Upfront",INPUTS!$J$128))="Upfront",--(TIMELINE!N109=1),IF(IF(INPUTS!$J$128="Follow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End","Upfront",INPUTS!$J$128))="Front-loaded",(TIMELINE!$C$108-TIMELINE!N109+1)*2/(TIMELINE!$C$108*(TIMELINE!$C$108+1)),IF(IF(INPUTS!$J$128="Follow Project Life","Even",IF(INPUTS!$J$128="At Project End","Upfront",INPUTS!$J$128))="Back-loaded",TIMELINE!N109*2/(TIMELINE!$C$108*(TIMELINE!$C$108+1)),IF(IF(INPUTS!$J$128="Follow Project Life","Even",IF(INPUTS!$J$128="At Project End","Upfront",INPUTS!$J$128))="S-curve",SIN(PI()*(TIMELINE!N109-0.5)/TIMELINE!$C$108)*SIN(PI()/(2*TIMELINE!$C$108)),0))))))))))</f>
        <v>0.118119551681196</v>
      </c>
      <c r="O113" s="118" t="n">
        <f aca="false">IF(INPUTS!$F$128&lt;&gt;"Yes",0,IF(INPUTS!$J$128="Follow Construction",O$100,IF(INPUTS!$J$128="Follow Sales",O$99,IF(INPUTS!$J$128="Follow Collections",O$108,IF(OR(TIMELINE!O109=0,TIMELINE!$C$108=0),0,IF(IF(INPUTS!$J$128="Follow Project Life","Even",IF(INPUTS!$J$128="At Project End","Upfront",INPUTS!$J$128))="Upfront",--(TIMELINE!O109=1),IF(IF(INPUTS!$J$128="Follow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End","Upfront",INPUTS!$J$128))="Front-loaded",(TIMELINE!$C$108-TIMELINE!O109+1)*2/(TIMELINE!$C$108*(TIMELINE!$C$108+1)),IF(IF(INPUTS!$J$128="Follow Project Life","Even",IF(INPUTS!$J$128="At Project End","Upfront",INPUTS!$J$128))="Back-loaded",TIMELINE!O109*2/(TIMELINE!$C$108*(TIMELINE!$C$108+1)),IF(IF(INPUTS!$J$128="Follow Project Life","Even",IF(INPUTS!$J$128="At Project End","Upfront",INPUTS!$J$128))="S-curve",SIN(PI()*(TIMELINE!O109-0.5)/TIMELINE!$C$108)*SIN(PI()/(2*TIMELINE!$C$108)),0))))))))))</f>
        <v>0.069447903694479</v>
      </c>
      <c r="P113" s="118" t="n">
        <f aca="false">IF(INPUTS!$F$128&lt;&gt;"Yes",0,IF(INPUTS!$J$128="Follow Construction",P$100,IF(INPUTS!$J$128="Follow Sales",P$99,IF(INPUTS!$J$128="Follow Collections",P$108,IF(OR(TIMELINE!P109=0,TIMELINE!$C$108=0),0,IF(IF(INPUTS!$J$128="Follow Project Life","Even",IF(INPUTS!$J$128="At Project End","Upfront",INPUTS!$J$128))="Upfront",--(TIMELINE!P109=1),IF(IF(INPUTS!$J$128="Follow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End","Upfront",INPUTS!$J$128))="Front-loaded",(TIMELINE!$C$108-TIMELINE!P109+1)*2/(TIMELINE!$C$108*(TIMELINE!$C$108+1)),IF(IF(INPUTS!$J$128="Follow Project Life","Even",IF(INPUTS!$J$128="At Project End","Upfront",INPUTS!$J$128))="Back-loaded",TIMELINE!P109*2/(TIMELINE!$C$108*(TIMELINE!$C$108+1)),IF(IF(INPUTS!$J$128="Follow Project Life","Even",IF(INPUTS!$J$128="At Project End","Upfront",INPUTS!$J$128))="S-curve",SIN(PI()*(TIMELINE!P109-0.5)/TIMELINE!$C$108)*SIN(PI()/(2*TIMELINE!$C$108)),0))))))))))</f>
        <v>0.0419883769198838</v>
      </c>
      <c r="Q113" s="118" t="n">
        <f aca="false">IF(INPUTS!$F$128&lt;&gt;"Yes",0,IF(INPUTS!$J$128="Follow Construction",Q$100,IF(INPUTS!$J$128="Follow Sales",Q$99,IF(INPUTS!$J$128="Follow Collections",Q$108,IF(OR(TIMELINE!Q109=0,TIMELINE!$C$108=0),0,IF(IF(INPUTS!$J$128="Follow Project Life","Even",IF(INPUTS!$J$128="At Project End","Upfront",INPUTS!$J$128))="Upfront",--(TIMELINE!Q109=1),IF(IF(INPUTS!$J$128="Follow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End","Upfront",INPUTS!$J$128))="Front-loaded",(TIMELINE!$C$108-TIMELINE!Q109+1)*2/(TIMELINE!$C$108*(TIMELINE!$C$108+1)),IF(IF(INPUTS!$J$128="Follow Project Life","Even",IF(INPUTS!$J$128="At Project End","Upfront",INPUTS!$J$128))="Back-loaded",TIMELINE!Q109*2/(TIMELINE!$C$108*(TIMELINE!$C$108+1)),IF(IF(INPUTS!$J$128="Follow Project Life","Even",IF(INPUTS!$J$128="At Project End","Upfront",INPUTS!$J$128))="S-curve",SIN(PI()*(TIMELINE!Q109-0.5)/TIMELINE!$C$108)*SIN(PI()/(2*TIMELINE!$C$108)),0))))))))))</f>
        <v>0.107679535076795</v>
      </c>
      <c r="R113" s="118" t="n">
        <f aca="false">IF(INPUTS!$F$128&lt;&gt;"Yes",0,IF(INPUTS!$J$128="Follow Construction",R$100,IF(INPUTS!$J$128="Follow Sales",R$99,IF(INPUTS!$J$128="Follow Collections",R$108,IF(OR(TIMELINE!R109=0,TIMELINE!$C$108=0),0,IF(IF(INPUTS!$J$128="Follow Project Life","Even",IF(INPUTS!$J$128="At Project End","Upfront",INPUTS!$J$128))="Upfront",--(TIMELINE!R109=1),IF(IF(INPUTS!$J$128="Follow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End","Upfront",INPUTS!$J$128))="Front-loaded",(TIMELINE!$C$108-TIMELINE!R109+1)*2/(TIMELINE!$C$108*(TIMELINE!$C$108+1)),IF(IF(INPUTS!$J$128="Follow Project Life","Even",IF(INPUTS!$J$128="At Project End","Upfront",INPUTS!$J$128))="Back-loaded",TIMELINE!R109*2/(TIMELINE!$C$108*(TIMELINE!$C$108+1)),IF(IF(INPUTS!$J$128="Follow Project Life","Even",IF(INPUTS!$J$128="At Project End","Upfront",INPUTS!$J$128))="S-curve",SIN(PI()*(TIMELINE!R109-0.5)/TIMELINE!$C$108)*SIN(PI()/(2*TIMELINE!$C$108)),0))))))))))</f>
        <v>0.0784765462847655</v>
      </c>
      <c r="S113" s="118" t="n">
        <f aca="false">IF(INPUTS!$F$128&lt;&gt;"Yes",0,IF(INPUTS!$J$128="Follow Construction",S$100,IF(INPUTS!$J$128="Follow Sales",S$99,IF(INPUTS!$J$128="Follow Collections",S$108,IF(OR(TIMELINE!S109=0,TIMELINE!$C$108=0),0,IF(IF(INPUTS!$J$128="Follow Project Life","Even",IF(INPUTS!$J$128="At Project End","Upfront",INPUTS!$J$128))="Upfront",--(TIMELINE!S109=1),IF(IF(INPUTS!$J$128="Follow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End","Upfront",INPUTS!$J$128))="Front-loaded",(TIMELINE!$C$108-TIMELINE!S109+1)*2/(TIMELINE!$C$108*(TIMELINE!$C$108+1)),IF(IF(INPUTS!$J$128="Follow Project Life","Even",IF(INPUTS!$J$128="At Project End","Upfront",INPUTS!$J$128))="Back-loaded",TIMELINE!S109*2/(TIMELINE!$C$108*(TIMELINE!$C$108+1)),IF(IF(INPUTS!$J$128="Follow Project Life","Even",IF(INPUTS!$J$128="At Project End","Upfront",INPUTS!$J$128))="S-curve",SIN(PI()*(TIMELINE!S109-0.5)/TIMELINE!$C$108)*SIN(PI()/(2*TIMELINE!$C$108)),0))))))))))</f>
        <v>0.0955998339559984</v>
      </c>
      <c r="T113" s="118" t="n">
        <f aca="false">IF(INPUTS!$F$128&lt;&gt;"Yes",0,IF(INPUTS!$J$128="Follow Construction",T$100,IF(INPUTS!$J$128="Follow Sales",T$99,IF(INPUTS!$J$128="Follow Collections",T$108,IF(OR(TIMELINE!T109=0,TIMELINE!$C$108=0),0,IF(IF(INPUTS!$J$128="Follow Project Life","Even",IF(INPUTS!$J$128="At Project End","Upfront",INPUTS!$J$128))="Upfront",--(TIMELINE!T109=1),IF(IF(INPUTS!$J$128="Follow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End","Upfront",INPUTS!$J$128))="Front-loaded",(TIMELINE!$C$108-TIMELINE!T109+1)*2/(TIMELINE!$C$108*(TIMELINE!$C$108+1)),IF(IF(INPUTS!$J$128="Follow Project Life","Even",IF(INPUTS!$J$128="At Project End","Upfront",INPUTS!$J$128))="Back-loaded",TIMELINE!T109*2/(TIMELINE!$C$108*(TIMELINE!$C$108+1)),IF(IF(INPUTS!$J$128="Follow Project Life","Even",IF(INPUTS!$J$128="At Project End","Upfront",INPUTS!$J$128))="S-curve",SIN(PI()*(TIMELINE!T109-0.5)/TIMELINE!$C$108)*SIN(PI()/(2*TIMELINE!$C$108)),0))))))))))</f>
        <v>0.037733499377335</v>
      </c>
      <c r="U113" s="118" t="n">
        <f aca="false">IF(INPUTS!$F$128&lt;&gt;"Yes",0,IF(INPUTS!$J$128="Follow Construction",U$100,IF(INPUTS!$J$128="Follow Sales",U$99,IF(INPUTS!$J$128="Follow Collections",U$108,IF(OR(TIMELINE!U109=0,TIMELINE!$C$108=0),0,IF(IF(INPUTS!$J$128="Follow Project Life","Even",IF(INPUTS!$J$128="At Project End","Upfront",INPUTS!$J$128))="Upfront",--(TIMELINE!U109=1),IF(IF(INPUTS!$J$128="Follow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End","Upfront",INPUTS!$J$128))="Front-loaded",(TIMELINE!$C$108-TIMELINE!U109+1)*2/(TIMELINE!$C$108*(TIMELINE!$C$108+1)),IF(IF(INPUTS!$J$128="Follow Project Life","Even",IF(INPUTS!$J$128="At Project End","Upfront",INPUTS!$J$128))="Back-loaded",TIMELINE!U109*2/(TIMELINE!$C$108*(TIMELINE!$C$108+1)),IF(IF(INPUTS!$J$128="Follow Project Life","Even",IF(INPUTS!$J$128="At Project End","Upfront",INPUTS!$J$128))="S-curve",SIN(PI()*(TIMELINE!U109-0.5)/TIMELINE!$C$108)*SIN(PI()/(2*TIMELINE!$C$108)),0))))))))))</f>
        <v>0.0280199252801993</v>
      </c>
      <c r="V113" s="118" t="n">
        <f aca="false">IF(INPUTS!$F$128&lt;&gt;"Yes",0,IF(INPUTS!$J$128="Follow Construction",V$100,IF(INPUTS!$J$128="Follow Sales",V$99,IF(INPUTS!$J$128="Follow Collections",V$108,IF(OR(TIMELINE!V109=0,TIMELINE!$C$108=0),0,IF(IF(INPUTS!$J$128="Follow Project Life","Even",IF(INPUTS!$J$128="At Project End","Upfront",INPUTS!$J$128))="Upfront",--(TIMELINE!V109=1),IF(IF(INPUTS!$J$128="Follow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End","Upfront",INPUTS!$J$128))="Front-loaded",(TIMELINE!$C$108-TIMELINE!V109+1)*2/(TIMELINE!$C$108*(TIMELINE!$C$108+1)),IF(IF(INPUTS!$J$128="Follow Project Life","Even",IF(INPUTS!$J$128="At Project End","Upfront",INPUTS!$J$128))="Back-loaded",TIMELINE!V109*2/(TIMELINE!$C$108*(TIMELINE!$C$108+1)),IF(IF(INPUTS!$J$128="Follow Project Life","Even",IF(INPUTS!$J$128="At Project End","Upfront",INPUTS!$J$128))="S-curve",SIN(PI()*(TIMELINE!V109-0.5)/TIMELINE!$C$108)*SIN(PI()/(2*TIMELINE!$C$108)),0))))))))))</f>
        <v>0</v>
      </c>
      <c r="W113" s="118" t="n">
        <f aca="false">IF(INPUTS!$F$128&lt;&gt;"Yes",0,IF(INPUTS!$J$128="Follow Construction",W$100,IF(INPUTS!$J$128="Follow Sales",W$99,IF(INPUTS!$J$128="Follow Collections",W$108,IF(OR(TIMELINE!W109=0,TIMELINE!$C$108=0),0,IF(IF(INPUTS!$J$128="Follow Project Life","Even",IF(INPUTS!$J$128="At Project End","Upfront",INPUTS!$J$128))="Upfront",--(TIMELINE!W109=1),IF(IF(INPUTS!$J$128="Follow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End","Upfront",INPUTS!$J$128))="Front-loaded",(TIMELINE!$C$108-TIMELINE!W109+1)*2/(TIMELINE!$C$108*(TIMELINE!$C$108+1)),IF(IF(INPUTS!$J$128="Follow Project Life","Even",IF(INPUTS!$J$128="At Project End","Upfront",INPUTS!$J$128))="Back-loaded",TIMELINE!W109*2/(TIMELINE!$C$108*(TIMELINE!$C$108+1)),IF(IF(INPUTS!$J$128="Follow Project Life","Even",IF(INPUTS!$J$128="At Project End","Upfront",INPUTS!$J$128))="S-curve",SIN(PI()*(TIMELINE!W109-0.5)/TIMELINE!$C$108)*SIN(PI()/(2*TIMELINE!$C$108)),0))))))))))</f>
        <v>0.0560398505603985</v>
      </c>
      <c r="X113" s="118" t="n">
        <f aca="false">IF(INPUTS!$F$128&lt;&gt;"Yes",0,IF(INPUTS!$J$128="Follow Construction",X$100,IF(INPUTS!$J$128="Follow Sales",X$99,IF(INPUTS!$J$128="Follow Collections",X$108,IF(OR(TIMELINE!X109=0,TIMELINE!$C$108=0),0,IF(IF(INPUTS!$J$128="Follow Project Life","Even",IF(INPUTS!$J$128="At Project End","Upfront",INPUTS!$J$128))="Upfront",--(TIMELINE!X109=1),IF(IF(INPUTS!$J$128="Follow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End","Upfront",INPUTS!$J$128))="Front-loaded",(TIMELINE!$C$108-TIMELINE!X109+1)*2/(TIMELINE!$C$108*(TIMELINE!$C$108+1)),IF(IF(INPUTS!$J$128="Follow Project Life","Even",IF(INPUTS!$J$128="At Project End","Upfront",INPUTS!$J$128))="Back-loaded",TIMELINE!X109*2/(TIMELINE!$C$108*(TIMELINE!$C$108+1)),IF(IF(INPUTS!$J$128="Follow Project Life","Even",IF(INPUTS!$J$128="At Project End","Upfront",INPUTS!$J$128))="S-curve",SIN(PI()*(TIMELINE!X109-0.5)/TIMELINE!$C$108)*SIN(PI()/(2*TIMELINE!$C$108)),0))))))))))</f>
        <v>0</v>
      </c>
      <c r="Y113" s="118" t="n">
        <f aca="false">IF(INPUTS!$F$128&lt;&gt;"Yes",0,IF(INPUTS!$J$128="Follow Construction",Y$100,IF(INPUTS!$J$128="Follow Sales",Y$99,IF(INPUTS!$J$128="Follow Collections",Y$108,IF(OR(TIMELINE!Y109=0,TIMELINE!$C$108=0),0,IF(IF(INPUTS!$J$128="Follow Project Life","Even",IF(INPUTS!$J$128="At Project End","Upfront",INPUTS!$J$128))="Upfront",--(TIMELINE!Y109=1),IF(IF(INPUTS!$J$128="Follow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End","Upfront",INPUTS!$J$128))="Front-loaded",(TIMELINE!$C$108-TIMELINE!Y109+1)*2/(TIMELINE!$C$108*(TIMELINE!$C$108+1)),IF(IF(INPUTS!$J$128="Follow Project Life","Even",IF(INPUTS!$J$128="At Project End","Upfront",INPUTS!$J$128))="Back-loaded",TIMELINE!Y109*2/(TIMELINE!$C$108*(TIMELINE!$C$108+1)),IF(IF(INPUTS!$J$128="Follow Project Life","Even",IF(INPUTS!$J$128="At Project End","Upfront",INPUTS!$J$128))="S-curve",SIN(PI()*(TIMELINE!Y109-0.5)/TIMELINE!$C$108)*SIN(PI()/(2*TIMELINE!$C$108)),0))))))))))</f>
        <v>0</v>
      </c>
      <c r="Z113" s="118" t="n">
        <f aca="false">IF(INPUTS!$F$128&lt;&gt;"Yes",0,IF(INPUTS!$J$128="Follow Construction",Z$100,IF(INPUTS!$J$128="Follow Sales",Z$99,IF(INPUTS!$J$128="Follow Collections",Z$108,IF(OR(TIMELINE!Z109=0,TIMELINE!$C$108=0),0,IF(IF(INPUTS!$J$128="Follow Project Life","Even",IF(INPUTS!$J$128="At Project End","Upfront",INPUTS!$J$128))="Upfront",--(TIMELINE!Z109=1),IF(IF(INPUTS!$J$128="Follow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End","Upfront",INPUTS!$J$128))="Front-loaded",(TIMELINE!$C$108-TIMELINE!Z109+1)*2/(TIMELINE!$C$108*(TIMELINE!$C$108+1)),IF(IF(INPUTS!$J$128="Follow Project Life","Even",IF(INPUTS!$J$128="At Project End","Upfront",INPUTS!$J$128))="Back-loaded",TIMELINE!Z109*2/(TIMELINE!$C$108*(TIMELINE!$C$108+1)),IF(IF(INPUTS!$J$128="Follow Project Life","Even",IF(INPUTS!$J$128="At Project End","Upfront",INPUTS!$J$128))="S-curve",SIN(PI()*(TIMELINE!Z109-0.5)/TIMELINE!$C$108)*SIN(PI()/(2*TIMELINE!$C$108)),0))))))))))</f>
        <v>0</v>
      </c>
      <c r="AA113" s="118" t="n">
        <f aca="false">IF(INPUTS!$F$128&lt;&gt;"Yes",0,IF(INPUTS!$J$128="Follow Construction",AA$100,IF(INPUTS!$J$128="Follow Sales",AA$99,IF(INPUTS!$J$128="Follow Collections",AA$108,IF(OR(TIMELINE!AA109=0,TIMELINE!$C$108=0),0,IF(IF(INPUTS!$J$128="Follow Project Life","Even",IF(INPUTS!$J$128="At Project End","Upfront",INPUTS!$J$128))="Upfront",--(TIMELINE!AA109=1),IF(IF(INPUTS!$J$128="Follow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End","Upfront",INPUTS!$J$128))="Front-loaded",(TIMELINE!$C$108-TIMELINE!AA109+1)*2/(TIMELINE!$C$108*(TIMELINE!$C$108+1)),IF(IF(INPUTS!$J$128="Follow Project Life","Even",IF(INPUTS!$J$128="At Project End","Upfront",INPUTS!$J$128))="Back-loaded",TIMELINE!AA109*2/(TIMELINE!$C$108*(TIMELINE!$C$108+1)),IF(IF(INPUTS!$J$128="Follow Project Life","Even",IF(INPUTS!$J$128="At Project End","Upfront",INPUTS!$J$128))="S-curve",SIN(PI()*(TIMELINE!AA109-0.5)/TIMELINE!$C$108)*SIN(PI()/(2*TIMELINE!$C$108)),0))))))))))</f>
        <v>0</v>
      </c>
      <c r="AB113" s="118" t="n">
        <f aca="false">IF(INPUTS!$F$128&lt;&gt;"Yes",0,IF(INPUTS!$J$128="Follow Construction",AB$100,IF(INPUTS!$J$128="Follow Sales",AB$99,IF(INPUTS!$J$128="Follow Collections",AB$108,IF(OR(TIMELINE!AB109=0,TIMELINE!$C$108=0),0,IF(IF(INPUTS!$J$128="Follow Project Life","Even",IF(INPUTS!$J$128="At Project End","Upfront",INPUTS!$J$128))="Upfront",--(TIMELINE!AB109=1),IF(IF(INPUTS!$J$128="Follow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End","Upfront",INPUTS!$J$128))="Front-loaded",(TIMELINE!$C$108-TIMELINE!AB109+1)*2/(TIMELINE!$C$108*(TIMELINE!$C$108+1)),IF(IF(INPUTS!$J$128="Follow Project Life","Even",IF(INPUTS!$J$128="At Project End","Upfront",INPUTS!$J$128))="Back-loaded",TIMELINE!AB109*2/(TIMELINE!$C$108*(TIMELINE!$C$108+1)),IF(IF(INPUTS!$J$128="Follow Project Life","Even",IF(INPUTS!$J$128="At Project End","Upfront",INPUTS!$J$128))="S-curve",SIN(PI()*(TIMELINE!AB109-0.5)/TIMELINE!$C$108)*SIN(PI()/(2*TIMELINE!$C$108)),0))))))))))</f>
        <v>0</v>
      </c>
      <c r="AC113" s="118" t="n">
        <f aca="false">IF(INPUTS!$F$128&lt;&gt;"Yes",0,IF(INPUTS!$J$128="Follow Construction",AC$100,IF(INPUTS!$J$128="Follow Sales",AC$99,IF(INPUTS!$J$128="Follow Collections",AC$108,IF(OR(TIMELINE!AC109=0,TIMELINE!$C$108=0),0,IF(IF(INPUTS!$J$128="Follow Project Life","Even",IF(INPUTS!$J$128="At Project End","Upfront",INPUTS!$J$128))="Upfront",--(TIMELINE!AC109=1),IF(IF(INPUTS!$J$128="Follow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End","Upfront",INPUTS!$J$128))="Front-loaded",(TIMELINE!$C$108-TIMELINE!AC109+1)*2/(TIMELINE!$C$108*(TIMELINE!$C$108+1)),IF(IF(INPUTS!$J$128="Follow Project Life","Even",IF(INPUTS!$J$128="At Project End","Upfront",INPUTS!$J$128))="Back-loaded",TIMELINE!AC109*2/(TIMELINE!$C$108*(TIMELINE!$C$108+1)),IF(IF(INPUTS!$J$128="Follow Project Life","Even",IF(INPUTS!$J$128="At Project End","Upfront",INPUTS!$J$128))="S-curve",SIN(PI()*(TIMELINE!AC109-0.5)/TIMELINE!$C$108)*SIN(PI()/(2*TIMELINE!$C$108)),0))))))))))</f>
        <v>0</v>
      </c>
      <c r="AD113" s="118" t="n">
        <f aca="false">IF(INPUTS!$F$128&lt;&gt;"Yes",0,IF(INPUTS!$J$128="Follow Construction",AD$100,IF(INPUTS!$J$128="Follow Sales",AD$99,IF(INPUTS!$J$128="Follow Collections",AD$108,IF(OR(TIMELINE!AD109=0,TIMELINE!$C$108=0),0,IF(IF(INPUTS!$J$128="Follow Project Life","Even",IF(INPUTS!$J$128="At Project End","Upfront",INPUTS!$J$128))="Upfront",--(TIMELINE!AD109=1),IF(IF(INPUTS!$J$128="Follow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End","Upfront",INPUTS!$J$128))="Front-loaded",(TIMELINE!$C$108-TIMELINE!AD109+1)*2/(TIMELINE!$C$108*(TIMELINE!$C$108+1)),IF(IF(INPUTS!$J$128="Follow Project Life","Even",IF(INPUTS!$J$128="At Project End","Upfront",INPUTS!$J$128))="Back-loaded",TIMELINE!AD109*2/(TIMELINE!$C$108*(TIMELINE!$C$108+1)),IF(IF(INPUTS!$J$128="Follow Project Life","Even",IF(INPUTS!$J$128="At Project End","Upfront",INPUTS!$J$128))="S-curve",SIN(PI()*(TIMELINE!AD109-0.5)/TIMELINE!$C$108)*SIN(PI()/(2*TIMELINE!$C$108)),0))))))))))</f>
        <v>0</v>
      </c>
      <c r="AE113" s="118" t="n">
        <f aca="false">IF(INPUTS!$F$128&lt;&gt;"Yes",0,IF(INPUTS!$J$128="Follow Construction",AE$100,IF(INPUTS!$J$128="Follow Sales",AE$99,IF(INPUTS!$J$128="Follow Collections",AE$108,IF(OR(TIMELINE!AE109=0,TIMELINE!$C$108=0),0,IF(IF(INPUTS!$J$128="Follow Project Life","Even",IF(INPUTS!$J$128="At Project End","Upfront",INPUTS!$J$128))="Upfront",--(TIMELINE!AE109=1),IF(IF(INPUTS!$J$128="Follow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End","Upfront",INPUTS!$J$128))="Front-loaded",(TIMELINE!$C$108-TIMELINE!AE109+1)*2/(TIMELINE!$C$108*(TIMELINE!$C$108+1)),IF(IF(INPUTS!$J$128="Follow Project Life","Even",IF(INPUTS!$J$128="At Project End","Upfront",INPUTS!$J$128))="Back-loaded",TIMELINE!AE109*2/(TIMELINE!$C$108*(TIMELINE!$C$108+1)),IF(IF(INPUTS!$J$128="Follow Project Life","Even",IF(INPUTS!$J$128="At Project End","Upfront",INPUTS!$J$128))="S-curve",SIN(PI()*(TIMELINE!AE109-0.5)/TIMELINE!$C$108)*SIN(PI()/(2*TIMELINE!$C$108)),0))))))))))</f>
        <v>0</v>
      </c>
      <c r="AF113" s="118" t="n">
        <f aca="false">IF(INPUTS!$F$128&lt;&gt;"Yes",0,IF(INPUTS!$J$128="Follow Construction",AF$100,IF(INPUTS!$J$128="Follow Sales",AF$99,IF(INPUTS!$J$128="Follow Collections",AF$108,IF(OR(TIMELINE!AF109=0,TIMELINE!$C$108=0),0,IF(IF(INPUTS!$J$128="Follow Project Life","Even",IF(INPUTS!$J$128="At Project End","Upfront",INPUTS!$J$128))="Upfront",--(TIMELINE!AF109=1),IF(IF(INPUTS!$J$128="Follow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End","Upfront",INPUTS!$J$128))="Front-loaded",(TIMELINE!$C$108-TIMELINE!AF109+1)*2/(TIMELINE!$C$108*(TIMELINE!$C$108+1)),IF(IF(INPUTS!$J$128="Follow Project Life","Even",IF(INPUTS!$J$128="At Project End","Upfront",INPUTS!$J$128))="Back-loaded",TIMELINE!AF109*2/(TIMELINE!$C$108*(TIMELINE!$C$108+1)),IF(IF(INPUTS!$J$128="Follow Project Life","Even",IF(INPUTS!$J$128="At Project End","Upfront",INPUTS!$J$128))="S-curve",SIN(PI()*(TIMELINE!AF109-0.5)/TIMELINE!$C$108)*SIN(PI()/(2*TIMELINE!$C$108)),0))))))))))</f>
        <v>0</v>
      </c>
      <c r="AG113" s="118" t="n">
        <f aca="false">IF(INPUTS!$F$128&lt;&gt;"Yes",0,IF(INPUTS!$J$128="Follow Construction",AG$100,IF(INPUTS!$J$128="Follow Sales",AG$99,IF(INPUTS!$J$128="Follow Collections",AG$108,IF(OR(TIMELINE!AG109=0,TIMELINE!$C$108=0),0,IF(IF(INPUTS!$J$128="Follow Project Life","Even",IF(INPUTS!$J$128="At Project End","Upfront",INPUTS!$J$128))="Upfront",--(TIMELINE!AG109=1),IF(IF(INPUTS!$J$128="Follow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End","Upfront",INPUTS!$J$128))="Front-loaded",(TIMELINE!$C$108-TIMELINE!AG109+1)*2/(TIMELINE!$C$108*(TIMELINE!$C$108+1)),IF(IF(INPUTS!$J$128="Follow Project Life","Even",IF(INPUTS!$J$128="At Project End","Upfront",INPUTS!$J$128))="Back-loaded",TIMELINE!AG109*2/(TIMELINE!$C$108*(TIMELINE!$C$108+1)),IF(IF(INPUTS!$J$128="Follow Project Life","Even",IF(INPUTS!$J$128="At Project End","Upfront",INPUTS!$J$128))="S-curve",SIN(PI()*(TIMELINE!AG109-0.5)/TIMELINE!$C$108)*SIN(PI()/(2*TIMELINE!$C$108)),0))))))))))</f>
        <v>0</v>
      </c>
      <c r="AH113" s="118" t="n">
        <f aca="false">IF(INPUTS!$F$128&lt;&gt;"Yes",0,IF(INPUTS!$J$128="Follow Construction",AH$100,IF(INPUTS!$J$128="Follow Sales",AH$99,IF(INPUTS!$J$128="Follow Collections",AH$108,IF(OR(TIMELINE!AH109=0,TIMELINE!$C$108=0),0,IF(IF(INPUTS!$J$128="Follow Project Life","Even",IF(INPUTS!$J$128="At Project End","Upfront",INPUTS!$J$128))="Upfront",--(TIMELINE!AH109=1),IF(IF(INPUTS!$J$128="Follow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End","Upfront",INPUTS!$J$128))="Front-loaded",(TIMELINE!$C$108-TIMELINE!AH109+1)*2/(TIMELINE!$C$108*(TIMELINE!$C$108+1)),IF(IF(INPUTS!$J$128="Follow Project Life","Even",IF(INPUTS!$J$128="At Project End","Upfront",INPUTS!$J$128))="Back-loaded",TIMELINE!AH109*2/(TIMELINE!$C$108*(TIMELINE!$C$108+1)),IF(IF(INPUTS!$J$128="Follow Project Life","Even",IF(INPUTS!$J$128="At Project End","Upfront",INPUTS!$J$128))="S-curve",SIN(PI()*(TIMELINE!AH109-0.5)/TIMELINE!$C$108)*SIN(PI()/(2*TIMELINE!$C$108)),0))))))))))</f>
        <v>0</v>
      </c>
      <c r="AI113" s="118" t="n">
        <f aca="false">IF(INPUTS!$F$128&lt;&gt;"Yes",0,IF(INPUTS!$J$128="Follow Construction",AI$100,IF(INPUTS!$J$128="Follow Sales",AI$99,IF(INPUTS!$J$128="Follow Collections",AI$108,IF(OR(TIMELINE!AI109=0,TIMELINE!$C$108=0),0,IF(IF(INPUTS!$J$128="Follow Project Life","Even",IF(INPUTS!$J$128="At Project End","Upfront",INPUTS!$J$128))="Upfront",--(TIMELINE!AI109=1),IF(IF(INPUTS!$J$128="Follow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End","Upfront",INPUTS!$J$128))="Front-loaded",(TIMELINE!$C$108-TIMELINE!AI109+1)*2/(TIMELINE!$C$108*(TIMELINE!$C$108+1)),IF(IF(INPUTS!$J$128="Follow Project Life","Even",IF(INPUTS!$J$128="At Project End","Upfront",INPUTS!$J$128))="Back-loaded",TIMELINE!AI109*2/(TIMELINE!$C$108*(TIMELINE!$C$108+1)),IF(IF(INPUTS!$J$128="Follow Project Life","Even",IF(INPUTS!$J$128="At Project End","Upfront",INPUTS!$J$128))="S-curve",SIN(PI()*(TIMELINE!AI109-0.5)/TIMELINE!$C$108)*SIN(PI()/(2*TIMELINE!$C$108)),0))))))))))</f>
        <v>0</v>
      </c>
      <c r="AJ113" s="118" t="n">
        <f aca="false">IF(INPUTS!$F$128&lt;&gt;"Yes",0,IF(INPUTS!$J$128="Follow Construction",AJ$100,IF(INPUTS!$J$128="Follow Sales",AJ$99,IF(INPUTS!$J$128="Follow Collections",AJ$108,IF(OR(TIMELINE!AJ109=0,TIMELINE!$C$108=0),0,IF(IF(INPUTS!$J$128="Follow Project Life","Even",IF(INPUTS!$J$128="At Project End","Upfront",INPUTS!$J$128))="Upfront",--(TIMELINE!AJ109=1),IF(IF(INPUTS!$J$128="Follow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End","Upfront",INPUTS!$J$128))="Front-loaded",(TIMELINE!$C$108-TIMELINE!AJ109+1)*2/(TIMELINE!$C$108*(TIMELINE!$C$108+1)),IF(IF(INPUTS!$J$128="Follow Project Life","Even",IF(INPUTS!$J$128="At Project End","Upfront",INPUTS!$J$128))="Back-loaded",TIMELINE!AJ109*2/(TIMELINE!$C$108*(TIMELINE!$C$108+1)),IF(IF(INPUTS!$J$128="Follow Project Life","Even",IF(INPUTS!$J$128="At Project End","Upfront",INPUTS!$J$128))="S-curve",SIN(PI()*(TIMELINE!AJ109-0.5)/TIMELINE!$C$108)*SIN(PI()/(2*TIMELINE!$C$108)),0))))))))))</f>
        <v>0</v>
      </c>
      <c r="AK113" s="118" t="n">
        <f aca="false">IF(INPUTS!$F$128&lt;&gt;"Yes",0,IF(INPUTS!$J$128="Follow Construction",AK$100,IF(INPUTS!$J$128="Follow Sales",AK$99,IF(INPUTS!$J$128="Follow Collections",AK$108,IF(OR(TIMELINE!AK109=0,TIMELINE!$C$108=0),0,IF(IF(INPUTS!$J$128="Follow Project Life","Even",IF(INPUTS!$J$128="At Project End","Upfront",INPUTS!$J$128))="Upfront",--(TIMELINE!AK109=1),IF(IF(INPUTS!$J$128="Follow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End","Upfront",INPUTS!$J$128))="Front-loaded",(TIMELINE!$C$108-TIMELINE!AK109+1)*2/(TIMELINE!$C$108*(TIMELINE!$C$108+1)),IF(IF(INPUTS!$J$128="Follow Project Life","Even",IF(INPUTS!$J$128="At Project End","Upfront",INPUTS!$J$128))="Back-loaded",TIMELINE!AK109*2/(TIMELINE!$C$108*(TIMELINE!$C$108+1)),IF(IF(INPUTS!$J$128="Follow Project Life","Even",IF(INPUTS!$J$128="At Project End","Upfront",INPUTS!$J$128))="S-curve",SIN(PI()*(TIMELINE!AK109-0.5)/TIMELINE!$C$108)*SIN(PI()/(2*TIMELINE!$C$108)),0))))))))))</f>
        <v>0</v>
      </c>
      <c r="AL113" s="118" t="n">
        <f aca="false">IF(INPUTS!$F$128&lt;&gt;"Yes",0,IF(INPUTS!$J$128="Follow Construction",AL$100,IF(INPUTS!$J$128="Follow Sales",AL$99,IF(INPUTS!$J$128="Follow Collections",AL$108,IF(OR(TIMELINE!AL109=0,TIMELINE!$C$108=0),0,IF(IF(INPUTS!$J$128="Follow Project Life","Even",IF(INPUTS!$J$128="At Project End","Upfront",INPUTS!$J$128))="Upfront",--(TIMELINE!AL109=1),IF(IF(INPUTS!$J$128="Follow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End","Upfront",INPUTS!$J$128))="Front-loaded",(TIMELINE!$C$108-TIMELINE!AL109+1)*2/(TIMELINE!$C$108*(TIMELINE!$C$108+1)),IF(IF(INPUTS!$J$128="Follow Project Life","Even",IF(INPUTS!$J$128="At Project End","Upfront",INPUTS!$J$128))="Back-loaded",TIMELINE!AL109*2/(TIMELINE!$C$108*(TIMELINE!$C$108+1)),IF(IF(INPUTS!$J$128="Follow Project Life","Even",IF(INPUTS!$J$128="At Project End","Upfront",INPUTS!$J$128))="S-curve",SIN(PI()*(TIMELINE!AL109-0.5)/TIMELINE!$C$108)*SIN(PI()/(2*TIMELINE!$C$108)),0))))))))))</f>
        <v>0</v>
      </c>
      <c r="AM113" s="118" t="n">
        <f aca="false">IF(INPUTS!$F$128&lt;&gt;"Yes",0,IF(INPUTS!$J$128="Follow Construction",AM$100,IF(INPUTS!$J$128="Follow Sales",AM$99,IF(INPUTS!$J$128="Follow Collections",AM$108,IF(OR(TIMELINE!AM109=0,TIMELINE!$C$108=0),0,IF(IF(INPUTS!$J$128="Follow Project Life","Even",IF(INPUTS!$J$128="At Project End","Upfront",INPUTS!$J$128))="Upfront",--(TIMELINE!AM109=1),IF(IF(INPUTS!$J$128="Follow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End","Upfront",INPUTS!$J$128))="Front-loaded",(TIMELINE!$C$108-TIMELINE!AM109+1)*2/(TIMELINE!$C$108*(TIMELINE!$C$108+1)),IF(IF(INPUTS!$J$128="Follow Project Life","Even",IF(INPUTS!$J$128="At Project End","Upfront",INPUTS!$J$128))="Back-loaded",TIMELINE!AM109*2/(TIMELINE!$C$108*(TIMELINE!$C$108+1)),IF(IF(INPUTS!$J$128="Follow Project Life","Even",IF(INPUTS!$J$128="At Project End","Upfront",INPUTS!$J$128))="S-curve",SIN(PI()*(TIMELINE!AM109-0.5)/TIMELINE!$C$108)*SIN(PI()/(2*TIMELINE!$C$108)),0))))))))))</f>
        <v>0</v>
      </c>
      <c r="AN113" s="118" t="n">
        <f aca="false">IF(INPUTS!$F$128&lt;&gt;"Yes",0,IF(INPUTS!$J$128="Follow Construction",AN$100,IF(INPUTS!$J$128="Follow Sales",AN$99,IF(INPUTS!$J$128="Follow Collections",AN$108,IF(OR(TIMELINE!AN109=0,TIMELINE!$C$108=0),0,IF(IF(INPUTS!$J$128="Follow Project Life","Even",IF(INPUTS!$J$128="At Project End","Upfront",INPUTS!$J$128))="Upfront",--(TIMELINE!AN109=1),IF(IF(INPUTS!$J$128="Follow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End","Upfront",INPUTS!$J$128))="Front-loaded",(TIMELINE!$C$108-TIMELINE!AN109+1)*2/(TIMELINE!$C$108*(TIMELINE!$C$108+1)),IF(IF(INPUTS!$J$128="Follow Project Life","Even",IF(INPUTS!$J$128="At Project End","Upfront",INPUTS!$J$128))="Back-loaded",TIMELINE!AN109*2/(TIMELINE!$C$108*(TIMELINE!$C$108+1)),IF(IF(INPUTS!$J$128="Follow Project Life","Even",IF(INPUTS!$J$128="At Project End","Upfront",INPUTS!$J$128))="S-curve",SIN(PI()*(TIMELINE!AN109-0.5)/TIMELINE!$C$108)*SIN(PI()/(2*TIMELINE!$C$108)),0))))))))))</f>
        <v>0</v>
      </c>
      <c r="AO113" s="118" t="n">
        <f aca="false">IF(INPUTS!$F$128&lt;&gt;"Yes",0,IF(INPUTS!$J$128="Follow Construction",AO$100,IF(INPUTS!$J$128="Follow Sales",AO$99,IF(INPUTS!$J$128="Follow Collections",AO$108,IF(OR(TIMELINE!AO109=0,TIMELINE!$C$108=0),0,IF(IF(INPUTS!$J$128="Follow Project Life","Even",IF(INPUTS!$J$128="At Project End","Upfront",INPUTS!$J$128))="Upfront",--(TIMELINE!AO109=1),IF(IF(INPUTS!$J$128="Follow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End","Upfront",INPUTS!$J$128))="Front-loaded",(TIMELINE!$C$108-TIMELINE!AO109+1)*2/(TIMELINE!$C$108*(TIMELINE!$C$108+1)),IF(IF(INPUTS!$J$128="Follow Project Life","Even",IF(INPUTS!$J$128="At Project End","Upfront",INPUTS!$J$128))="Back-loaded",TIMELINE!AO109*2/(TIMELINE!$C$108*(TIMELINE!$C$108+1)),IF(IF(INPUTS!$J$128="Follow Project Life","Even",IF(INPUTS!$J$128="At Project End","Upfront",INPUTS!$J$128))="S-curve",SIN(PI()*(TIMELINE!AO109-0.5)/TIMELINE!$C$108)*SIN(PI()/(2*TIMELINE!$C$108)),0))))))))))</f>
        <v>0</v>
      </c>
      <c r="AP113" s="118" t="n">
        <f aca="false">IF(INPUTS!$F$128&lt;&gt;"Yes",0,IF(INPUTS!$J$128="Follow Construction",AP$100,IF(INPUTS!$J$128="Follow Sales",AP$99,IF(INPUTS!$J$128="Follow Collections",AP$108,IF(OR(TIMELINE!AP109=0,TIMELINE!$C$108=0),0,IF(IF(INPUTS!$J$128="Follow Project Life","Even",IF(INPUTS!$J$128="At Project End","Upfront",INPUTS!$J$128))="Upfront",--(TIMELINE!AP109=1),IF(IF(INPUTS!$J$128="Follow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End","Upfront",INPUTS!$J$128))="Front-loaded",(TIMELINE!$C$108-TIMELINE!AP109+1)*2/(TIMELINE!$C$108*(TIMELINE!$C$108+1)),IF(IF(INPUTS!$J$128="Follow Project Life","Even",IF(INPUTS!$J$128="At Project End","Upfront",INPUTS!$J$128))="Back-loaded",TIMELINE!AP109*2/(TIMELINE!$C$108*(TIMELINE!$C$108+1)),IF(IF(INPUTS!$J$128="Follow Project Life","Even",IF(INPUTS!$J$128="At Project End","Upfront",INPUTS!$J$128))="S-curve",SIN(PI()*(TIMELINE!AP109-0.5)/TIMELINE!$C$108)*SIN(PI()/(2*TIMELINE!$C$108)),0))))))))))</f>
        <v>0</v>
      </c>
      <c r="AQ113" s="118" t="n">
        <f aca="false">IF(INPUTS!$F$128&lt;&gt;"Yes",0,IF(INPUTS!$J$128="Follow Construction",AQ$100,IF(INPUTS!$J$128="Follow Sales",AQ$99,IF(INPUTS!$J$128="Follow Collections",AQ$108,IF(OR(TIMELINE!AQ109=0,TIMELINE!$C$108=0),0,IF(IF(INPUTS!$J$128="Follow Project Life","Even",IF(INPUTS!$J$128="At Project End","Upfront",INPUTS!$J$128))="Upfront",--(TIMELINE!AQ109=1),IF(IF(INPUTS!$J$128="Follow Project Life","Even",IF(INPUTS!$J$128="At Project End","Upfront",INPUTS!$J$128))="Even",1/TIMELINE!$C$108,IF(IF(INPUTS!$J$128="Follow Project Life","Even",IF(INPUTS!$J$128="At Project End","Upfront",INPUTS!$J$128))="Front-loaded",(TIMELINE!$C$108-TIMELINE!AQ109+1)*2/(TIMELINE!$C$108*(TIMELINE!$C$108+1)),IF(IF(INPUTS!$J$128="Follow Project Life","Even",IF(INPUTS!$J$128="At Project End","Upfront",INPUTS!$J$128))="Back-loaded",TIMELINE!AQ109*2/(TIMELINE!$C$108*(TIMELINE!$C$108+1)),IF(IF(INPUTS!$J$128="Follow Project Life","Even",IF(INPUTS!$J$128="At Project End","Upfront",INPUTS!$J$128))="S-curve",SIN(PI()*(TIMELINE!AQ109-0.5)/TIMELINE!$C$108)*SIN(PI()/(2*TIMELINE!$C$108)),0))))))))))</f>
        <v>0</v>
      </c>
    </row>
    <row r="114" customFormat="false" ht="15" hidden="false" customHeight="false" outlineLevel="0" collapsed="false">
      <c r="B114" s="17" t="s">
        <v>689</v>
      </c>
      <c r="C114" s="105" t="str">
        <f aca="false">IF(INPUTS!$B$128="","",IF(INPUTS!$F$128&lt;&gt;"Yes","Off",IF(INPUTS!$M$128&lt;&gt;"OK","ERROR",IF(ABS(C113-1)&lt;0.000000001,"OK",IF(AND(C113=0,INPUTS!$G$128=0),"Zero","ERROR")))))</f>
        <v>OK</v>
      </c>
    </row>
    <row r="115" customFormat="false" ht="15" hidden="false" customHeight="false" outlineLevel="0" collapsed="false">
      <c r="B115" s="110" t="str">
        <f aca="false">IF(INPUTS!$B$129="","Spare cost row",INPUTS!$B$129)</f>
        <v>Stamp Duty</v>
      </c>
      <c r="C115" s="111" t="str">
        <f aca="false">IF(INPUTS!$J$129="","",INPUTS!$J$129)</f>
        <v>Upfront</v>
      </c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</row>
    <row r="116" customFormat="false" ht="15" hidden="false" customHeight="false" outlineLevel="0" collapsed="false">
      <c r="B116" s="3" t="s">
        <v>688</v>
      </c>
      <c r="C116" s="117" t="n">
        <f aca="false">SUM(D116:AQ116)</f>
        <v>1</v>
      </c>
      <c r="D116" s="118" t="n">
        <f aca="false">IF(INPUTS!$F$129&lt;&gt;"Yes",0,IF(INPUTS!$J$129="Follow Construction",D$100,IF(INPUTS!$J$129="Follow Sales",D$99,IF(INPUTS!$J$129="Follow Collections",D$108,IF(OR(TIMELINE!D113=0,TIMELINE!$C$112=0),0,IF(IF(INPUTS!$J$129="Follow Project Life","Even",IF(INPUTS!$J$129="At Project End","Upfront",INPUTS!$J$129))="Upfront",--(TIMELINE!D113=1),IF(IF(INPUTS!$J$129="Follow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End","Upfront",INPUTS!$J$129))="Front-loaded",(TIMELINE!$C$112-TIMELINE!D113+1)*2/(TIMELINE!$C$112*(TIMELINE!$C$112+1)),IF(IF(INPUTS!$J$129="Follow Project Life","Even",IF(INPUTS!$J$129="At Project End","Upfront",INPUTS!$J$129))="Back-loaded",TIMELINE!D113*2/(TIMELINE!$C$112*(TIMELINE!$C$112+1)),IF(IF(INPUTS!$J$129="Follow Project Life","Even",IF(INPUTS!$J$129="At Project End","Upfront",INPUTS!$J$129))="S-curve",SIN(PI()*(TIMELINE!D113-0.5)/TIMELINE!$C$112)*SIN(PI()/(2*TIMELINE!$C$112)),0))))))))))</f>
        <v>1</v>
      </c>
      <c r="E116" s="118" t="n">
        <f aca="false">IF(INPUTS!$F$129&lt;&gt;"Yes",0,IF(INPUTS!$J$129="Follow Construction",E$100,IF(INPUTS!$J$129="Follow Sales",E$99,IF(INPUTS!$J$129="Follow Collections",E$108,IF(OR(TIMELINE!E113=0,TIMELINE!$C$112=0),0,IF(IF(INPUTS!$J$129="Follow Project Life","Even",IF(INPUTS!$J$129="At Project End","Upfront",INPUTS!$J$129))="Upfront",--(TIMELINE!E113=1),IF(IF(INPUTS!$J$129="Follow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End","Upfront",INPUTS!$J$129))="Front-loaded",(TIMELINE!$C$112-TIMELINE!E113+1)*2/(TIMELINE!$C$112*(TIMELINE!$C$112+1)),IF(IF(INPUTS!$J$129="Follow Project Life","Even",IF(INPUTS!$J$129="At Project End","Upfront",INPUTS!$J$129))="Back-loaded",TIMELINE!E113*2/(TIMELINE!$C$112*(TIMELINE!$C$112+1)),IF(IF(INPUTS!$J$129="Follow Project Life","Even",IF(INPUTS!$J$129="At Project End","Upfront",INPUTS!$J$129))="S-curve",SIN(PI()*(TIMELINE!E113-0.5)/TIMELINE!$C$112)*SIN(PI()/(2*TIMELINE!$C$112)),0))))))))))</f>
        <v>0</v>
      </c>
      <c r="F116" s="118" t="n">
        <f aca="false">IF(INPUTS!$F$129&lt;&gt;"Yes",0,IF(INPUTS!$J$129="Follow Construction",F$100,IF(INPUTS!$J$129="Follow Sales",F$99,IF(INPUTS!$J$129="Follow Collections",F$108,IF(OR(TIMELINE!F113=0,TIMELINE!$C$112=0),0,IF(IF(INPUTS!$J$129="Follow Project Life","Even",IF(INPUTS!$J$129="At Project End","Upfront",INPUTS!$J$129))="Upfront",--(TIMELINE!F113=1),IF(IF(INPUTS!$J$129="Follow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End","Upfront",INPUTS!$J$129))="Front-loaded",(TIMELINE!$C$112-TIMELINE!F113+1)*2/(TIMELINE!$C$112*(TIMELINE!$C$112+1)),IF(IF(INPUTS!$J$129="Follow Project Life","Even",IF(INPUTS!$J$129="At Project End","Upfront",INPUTS!$J$129))="Back-loaded",TIMELINE!F113*2/(TIMELINE!$C$112*(TIMELINE!$C$112+1)),IF(IF(INPUTS!$J$129="Follow Project Life","Even",IF(INPUTS!$J$129="At Project End","Upfront",INPUTS!$J$129))="S-curve",SIN(PI()*(TIMELINE!F113-0.5)/TIMELINE!$C$112)*SIN(PI()/(2*TIMELINE!$C$112)),0))))))))))</f>
        <v>0</v>
      </c>
      <c r="G116" s="118" t="n">
        <f aca="false">IF(INPUTS!$F$129&lt;&gt;"Yes",0,IF(INPUTS!$J$129="Follow Construction",G$100,IF(INPUTS!$J$129="Follow Sales",G$99,IF(INPUTS!$J$129="Follow Collections",G$108,IF(OR(TIMELINE!G113=0,TIMELINE!$C$112=0),0,IF(IF(INPUTS!$J$129="Follow Project Life","Even",IF(INPUTS!$J$129="At Project End","Upfront",INPUTS!$J$129))="Upfront",--(TIMELINE!G113=1),IF(IF(INPUTS!$J$129="Follow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End","Upfront",INPUTS!$J$129))="Front-loaded",(TIMELINE!$C$112-TIMELINE!G113+1)*2/(TIMELINE!$C$112*(TIMELINE!$C$112+1)),IF(IF(INPUTS!$J$129="Follow Project Life","Even",IF(INPUTS!$J$129="At Project End","Upfront",INPUTS!$J$129))="Back-loaded",TIMELINE!G113*2/(TIMELINE!$C$112*(TIMELINE!$C$112+1)),IF(IF(INPUTS!$J$129="Follow Project Life","Even",IF(INPUTS!$J$129="At Project End","Upfront",INPUTS!$J$129))="S-curve",SIN(PI()*(TIMELINE!G113-0.5)/TIMELINE!$C$112)*SIN(PI()/(2*TIMELINE!$C$112)),0))))))))))</f>
        <v>0</v>
      </c>
      <c r="H116" s="118" t="n">
        <f aca="false">IF(INPUTS!$F$129&lt;&gt;"Yes",0,IF(INPUTS!$J$129="Follow Construction",H$100,IF(INPUTS!$J$129="Follow Sales",H$99,IF(INPUTS!$J$129="Follow Collections",H$108,IF(OR(TIMELINE!H113=0,TIMELINE!$C$112=0),0,IF(IF(INPUTS!$J$129="Follow Project Life","Even",IF(INPUTS!$J$129="At Project End","Upfront",INPUTS!$J$129))="Upfront",--(TIMELINE!H113=1),IF(IF(INPUTS!$J$129="Follow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End","Upfront",INPUTS!$J$129))="Front-loaded",(TIMELINE!$C$112-TIMELINE!H113+1)*2/(TIMELINE!$C$112*(TIMELINE!$C$112+1)),IF(IF(INPUTS!$J$129="Follow Project Life","Even",IF(INPUTS!$J$129="At Project End","Upfront",INPUTS!$J$129))="Back-loaded",TIMELINE!H113*2/(TIMELINE!$C$112*(TIMELINE!$C$112+1)),IF(IF(INPUTS!$J$129="Follow Project Life","Even",IF(INPUTS!$J$129="At Project End","Upfront",INPUTS!$J$129))="S-curve",SIN(PI()*(TIMELINE!H113-0.5)/TIMELINE!$C$112)*SIN(PI()/(2*TIMELINE!$C$112)),0))))))))))</f>
        <v>0</v>
      </c>
      <c r="I116" s="118" t="n">
        <f aca="false">IF(INPUTS!$F$129&lt;&gt;"Yes",0,IF(INPUTS!$J$129="Follow Construction",I$100,IF(INPUTS!$J$129="Follow Sales",I$99,IF(INPUTS!$J$129="Follow Collections",I$108,IF(OR(TIMELINE!I113=0,TIMELINE!$C$112=0),0,IF(IF(INPUTS!$J$129="Follow Project Life","Even",IF(INPUTS!$J$129="At Project End","Upfront",INPUTS!$J$129))="Upfront",--(TIMELINE!I113=1),IF(IF(INPUTS!$J$129="Follow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End","Upfront",INPUTS!$J$129))="Front-loaded",(TIMELINE!$C$112-TIMELINE!I113+1)*2/(TIMELINE!$C$112*(TIMELINE!$C$112+1)),IF(IF(INPUTS!$J$129="Follow Project Life","Even",IF(INPUTS!$J$129="At Project End","Upfront",INPUTS!$J$129))="Back-loaded",TIMELINE!I113*2/(TIMELINE!$C$112*(TIMELINE!$C$112+1)),IF(IF(INPUTS!$J$129="Follow Project Life","Even",IF(INPUTS!$J$129="At Project End","Upfront",INPUTS!$J$129))="S-curve",SIN(PI()*(TIMELINE!I113-0.5)/TIMELINE!$C$112)*SIN(PI()/(2*TIMELINE!$C$112)),0))))))))))</f>
        <v>0</v>
      </c>
      <c r="J116" s="118" t="n">
        <f aca="false">IF(INPUTS!$F$129&lt;&gt;"Yes",0,IF(INPUTS!$J$129="Follow Construction",J$100,IF(INPUTS!$J$129="Follow Sales",J$99,IF(INPUTS!$J$129="Follow Collections",J$108,IF(OR(TIMELINE!J113=0,TIMELINE!$C$112=0),0,IF(IF(INPUTS!$J$129="Follow Project Life","Even",IF(INPUTS!$J$129="At Project End","Upfront",INPUTS!$J$129))="Upfront",--(TIMELINE!J113=1),IF(IF(INPUTS!$J$129="Follow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End","Upfront",INPUTS!$J$129))="Front-loaded",(TIMELINE!$C$112-TIMELINE!J113+1)*2/(TIMELINE!$C$112*(TIMELINE!$C$112+1)),IF(IF(INPUTS!$J$129="Follow Project Life","Even",IF(INPUTS!$J$129="At Project End","Upfront",INPUTS!$J$129))="Back-loaded",TIMELINE!J113*2/(TIMELINE!$C$112*(TIMELINE!$C$112+1)),IF(IF(INPUTS!$J$129="Follow Project Life","Even",IF(INPUTS!$J$129="At Project End","Upfront",INPUTS!$J$129))="S-curve",SIN(PI()*(TIMELINE!J113-0.5)/TIMELINE!$C$112)*SIN(PI()/(2*TIMELINE!$C$112)),0))))))))))</f>
        <v>0</v>
      </c>
      <c r="K116" s="118" t="n">
        <f aca="false">IF(INPUTS!$F$129&lt;&gt;"Yes",0,IF(INPUTS!$J$129="Follow Construction",K$100,IF(INPUTS!$J$129="Follow Sales",K$99,IF(INPUTS!$J$129="Follow Collections",K$108,IF(OR(TIMELINE!K113=0,TIMELINE!$C$112=0),0,IF(IF(INPUTS!$J$129="Follow Project Life","Even",IF(INPUTS!$J$129="At Project End","Upfront",INPUTS!$J$129))="Upfront",--(TIMELINE!K113=1),IF(IF(INPUTS!$J$129="Follow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End","Upfront",INPUTS!$J$129))="Front-loaded",(TIMELINE!$C$112-TIMELINE!K113+1)*2/(TIMELINE!$C$112*(TIMELINE!$C$112+1)),IF(IF(INPUTS!$J$129="Follow Project Life","Even",IF(INPUTS!$J$129="At Project End","Upfront",INPUTS!$J$129))="Back-loaded",TIMELINE!K113*2/(TIMELINE!$C$112*(TIMELINE!$C$112+1)),IF(IF(INPUTS!$J$129="Follow Project Life","Even",IF(INPUTS!$J$129="At Project End","Upfront",INPUTS!$J$129))="S-curve",SIN(PI()*(TIMELINE!K113-0.5)/TIMELINE!$C$112)*SIN(PI()/(2*TIMELINE!$C$112)),0))))))))))</f>
        <v>0</v>
      </c>
      <c r="L116" s="118" t="n">
        <f aca="false">IF(INPUTS!$F$129&lt;&gt;"Yes",0,IF(INPUTS!$J$129="Follow Construction",L$100,IF(INPUTS!$J$129="Follow Sales",L$99,IF(INPUTS!$J$129="Follow Collections",L$108,IF(OR(TIMELINE!L113=0,TIMELINE!$C$112=0),0,IF(IF(INPUTS!$J$129="Follow Project Life","Even",IF(INPUTS!$J$129="At Project End","Upfront",INPUTS!$J$129))="Upfront",--(TIMELINE!L113=1),IF(IF(INPUTS!$J$129="Follow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End","Upfront",INPUTS!$J$129))="Front-loaded",(TIMELINE!$C$112-TIMELINE!L113+1)*2/(TIMELINE!$C$112*(TIMELINE!$C$112+1)),IF(IF(INPUTS!$J$129="Follow Project Life","Even",IF(INPUTS!$J$129="At Project End","Upfront",INPUTS!$J$129))="Back-loaded",TIMELINE!L113*2/(TIMELINE!$C$112*(TIMELINE!$C$112+1)),IF(IF(INPUTS!$J$129="Follow Project Life","Even",IF(INPUTS!$J$129="At Project End","Upfront",INPUTS!$J$129))="S-curve",SIN(PI()*(TIMELINE!L113-0.5)/TIMELINE!$C$112)*SIN(PI()/(2*TIMELINE!$C$112)),0))))))))))</f>
        <v>0</v>
      </c>
      <c r="M116" s="118" t="n">
        <f aca="false">IF(INPUTS!$F$129&lt;&gt;"Yes",0,IF(INPUTS!$J$129="Follow Construction",M$100,IF(INPUTS!$J$129="Follow Sales",M$99,IF(INPUTS!$J$129="Follow Collections",M$108,IF(OR(TIMELINE!M113=0,TIMELINE!$C$112=0),0,IF(IF(INPUTS!$J$129="Follow Project Life","Even",IF(INPUTS!$J$129="At Project End","Upfront",INPUTS!$J$129))="Upfront",--(TIMELINE!M113=1),IF(IF(INPUTS!$J$129="Follow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End","Upfront",INPUTS!$J$129))="Front-loaded",(TIMELINE!$C$112-TIMELINE!M113+1)*2/(TIMELINE!$C$112*(TIMELINE!$C$112+1)),IF(IF(INPUTS!$J$129="Follow Project Life","Even",IF(INPUTS!$J$129="At Project End","Upfront",INPUTS!$J$129))="Back-loaded",TIMELINE!M113*2/(TIMELINE!$C$112*(TIMELINE!$C$112+1)),IF(IF(INPUTS!$J$129="Follow Project Life","Even",IF(INPUTS!$J$129="At Project End","Upfront",INPUTS!$J$129))="S-curve",SIN(PI()*(TIMELINE!M113-0.5)/TIMELINE!$C$112)*SIN(PI()/(2*TIMELINE!$C$112)),0))))))))))</f>
        <v>0</v>
      </c>
      <c r="N116" s="118" t="n">
        <f aca="false">IF(INPUTS!$F$129&lt;&gt;"Yes",0,IF(INPUTS!$J$129="Follow Construction",N$100,IF(INPUTS!$J$129="Follow Sales",N$99,IF(INPUTS!$J$129="Follow Collections",N$108,IF(OR(TIMELINE!N113=0,TIMELINE!$C$112=0),0,IF(IF(INPUTS!$J$129="Follow Project Life","Even",IF(INPUTS!$J$129="At Project End","Upfront",INPUTS!$J$129))="Upfront",--(TIMELINE!N113=1),IF(IF(INPUTS!$J$129="Follow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End","Upfront",INPUTS!$J$129))="Front-loaded",(TIMELINE!$C$112-TIMELINE!N113+1)*2/(TIMELINE!$C$112*(TIMELINE!$C$112+1)),IF(IF(INPUTS!$J$129="Follow Project Life","Even",IF(INPUTS!$J$129="At Project End","Upfront",INPUTS!$J$129))="Back-loaded",TIMELINE!N113*2/(TIMELINE!$C$112*(TIMELINE!$C$112+1)),IF(IF(INPUTS!$J$129="Follow Project Life","Even",IF(INPUTS!$J$129="At Project End","Upfront",INPUTS!$J$129))="S-curve",SIN(PI()*(TIMELINE!N113-0.5)/TIMELINE!$C$112)*SIN(PI()/(2*TIMELINE!$C$112)),0))))))))))</f>
        <v>0</v>
      </c>
      <c r="O116" s="118" t="n">
        <f aca="false">IF(INPUTS!$F$129&lt;&gt;"Yes",0,IF(INPUTS!$J$129="Follow Construction",O$100,IF(INPUTS!$J$129="Follow Sales",O$99,IF(INPUTS!$J$129="Follow Collections",O$108,IF(OR(TIMELINE!O113=0,TIMELINE!$C$112=0),0,IF(IF(INPUTS!$J$129="Follow Project Life","Even",IF(INPUTS!$J$129="At Project End","Upfront",INPUTS!$J$129))="Upfront",--(TIMELINE!O113=1),IF(IF(INPUTS!$J$129="Follow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End","Upfront",INPUTS!$J$129))="Front-loaded",(TIMELINE!$C$112-TIMELINE!O113+1)*2/(TIMELINE!$C$112*(TIMELINE!$C$112+1)),IF(IF(INPUTS!$J$129="Follow Project Life","Even",IF(INPUTS!$J$129="At Project End","Upfront",INPUTS!$J$129))="Back-loaded",TIMELINE!O113*2/(TIMELINE!$C$112*(TIMELINE!$C$112+1)),IF(IF(INPUTS!$J$129="Follow Project Life","Even",IF(INPUTS!$J$129="At Project End","Upfront",INPUTS!$J$129))="S-curve",SIN(PI()*(TIMELINE!O113-0.5)/TIMELINE!$C$112)*SIN(PI()/(2*TIMELINE!$C$112)),0))))))))))</f>
        <v>0</v>
      </c>
      <c r="P116" s="118" t="n">
        <f aca="false">IF(INPUTS!$F$129&lt;&gt;"Yes",0,IF(INPUTS!$J$129="Follow Construction",P$100,IF(INPUTS!$J$129="Follow Sales",P$99,IF(INPUTS!$J$129="Follow Collections",P$108,IF(OR(TIMELINE!P113=0,TIMELINE!$C$112=0),0,IF(IF(INPUTS!$J$129="Follow Project Life","Even",IF(INPUTS!$J$129="At Project End","Upfront",INPUTS!$J$129))="Upfront",--(TIMELINE!P113=1),IF(IF(INPUTS!$J$129="Follow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End","Upfront",INPUTS!$J$129))="Front-loaded",(TIMELINE!$C$112-TIMELINE!P113+1)*2/(TIMELINE!$C$112*(TIMELINE!$C$112+1)),IF(IF(INPUTS!$J$129="Follow Project Life","Even",IF(INPUTS!$J$129="At Project End","Upfront",INPUTS!$J$129))="Back-loaded",TIMELINE!P113*2/(TIMELINE!$C$112*(TIMELINE!$C$112+1)),IF(IF(INPUTS!$J$129="Follow Project Life","Even",IF(INPUTS!$J$129="At Project End","Upfront",INPUTS!$J$129))="S-curve",SIN(PI()*(TIMELINE!P113-0.5)/TIMELINE!$C$112)*SIN(PI()/(2*TIMELINE!$C$112)),0))))))))))</f>
        <v>0</v>
      </c>
      <c r="Q116" s="118" t="n">
        <f aca="false">IF(INPUTS!$F$129&lt;&gt;"Yes",0,IF(INPUTS!$J$129="Follow Construction",Q$100,IF(INPUTS!$J$129="Follow Sales",Q$99,IF(INPUTS!$J$129="Follow Collections",Q$108,IF(OR(TIMELINE!Q113=0,TIMELINE!$C$112=0),0,IF(IF(INPUTS!$J$129="Follow Project Life","Even",IF(INPUTS!$J$129="At Project End","Upfront",INPUTS!$J$129))="Upfront",--(TIMELINE!Q113=1),IF(IF(INPUTS!$J$129="Follow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End","Upfront",INPUTS!$J$129))="Front-loaded",(TIMELINE!$C$112-TIMELINE!Q113+1)*2/(TIMELINE!$C$112*(TIMELINE!$C$112+1)),IF(IF(INPUTS!$J$129="Follow Project Life","Even",IF(INPUTS!$J$129="At Project End","Upfront",INPUTS!$J$129))="Back-loaded",TIMELINE!Q113*2/(TIMELINE!$C$112*(TIMELINE!$C$112+1)),IF(IF(INPUTS!$J$129="Follow Project Life","Even",IF(INPUTS!$J$129="At Project End","Upfront",INPUTS!$J$129))="S-curve",SIN(PI()*(TIMELINE!Q113-0.5)/TIMELINE!$C$112)*SIN(PI()/(2*TIMELINE!$C$112)),0))))))))))</f>
        <v>0</v>
      </c>
      <c r="R116" s="118" t="n">
        <f aca="false">IF(INPUTS!$F$129&lt;&gt;"Yes",0,IF(INPUTS!$J$129="Follow Construction",R$100,IF(INPUTS!$J$129="Follow Sales",R$99,IF(INPUTS!$J$129="Follow Collections",R$108,IF(OR(TIMELINE!R113=0,TIMELINE!$C$112=0),0,IF(IF(INPUTS!$J$129="Follow Project Life","Even",IF(INPUTS!$J$129="At Project End","Upfront",INPUTS!$J$129))="Upfront",--(TIMELINE!R113=1),IF(IF(INPUTS!$J$129="Follow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End","Upfront",INPUTS!$J$129))="Front-loaded",(TIMELINE!$C$112-TIMELINE!R113+1)*2/(TIMELINE!$C$112*(TIMELINE!$C$112+1)),IF(IF(INPUTS!$J$129="Follow Project Life","Even",IF(INPUTS!$J$129="At Project End","Upfront",INPUTS!$J$129))="Back-loaded",TIMELINE!R113*2/(TIMELINE!$C$112*(TIMELINE!$C$112+1)),IF(IF(INPUTS!$J$129="Follow Project Life","Even",IF(INPUTS!$J$129="At Project End","Upfront",INPUTS!$J$129))="S-curve",SIN(PI()*(TIMELINE!R113-0.5)/TIMELINE!$C$112)*SIN(PI()/(2*TIMELINE!$C$112)),0))))))))))</f>
        <v>0</v>
      </c>
      <c r="S116" s="118" t="n">
        <f aca="false">IF(INPUTS!$F$129&lt;&gt;"Yes",0,IF(INPUTS!$J$129="Follow Construction",S$100,IF(INPUTS!$J$129="Follow Sales",S$99,IF(INPUTS!$J$129="Follow Collections",S$108,IF(OR(TIMELINE!S113=0,TIMELINE!$C$112=0),0,IF(IF(INPUTS!$J$129="Follow Project Life","Even",IF(INPUTS!$J$129="At Project End","Upfront",INPUTS!$J$129))="Upfront",--(TIMELINE!S113=1),IF(IF(INPUTS!$J$129="Follow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End","Upfront",INPUTS!$J$129))="Front-loaded",(TIMELINE!$C$112-TIMELINE!S113+1)*2/(TIMELINE!$C$112*(TIMELINE!$C$112+1)),IF(IF(INPUTS!$J$129="Follow Project Life","Even",IF(INPUTS!$J$129="At Project End","Upfront",INPUTS!$J$129))="Back-loaded",TIMELINE!S113*2/(TIMELINE!$C$112*(TIMELINE!$C$112+1)),IF(IF(INPUTS!$J$129="Follow Project Life","Even",IF(INPUTS!$J$129="At Project End","Upfront",INPUTS!$J$129))="S-curve",SIN(PI()*(TIMELINE!S113-0.5)/TIMELINE!$C$112)*SIN(PI()/(2*TIMELINE!$C$112)),0))))))))))</f>
        <v>0</v>
      </c>
      <c r="T116" s="118" t="n">
        <f aca="false">IF(INPUTS!$F$129&lt;&gt;"Yes",0,IF(INPUTS!$J$129="Follow Construction",T$100,IF(INPUTS!$J$129="Follow Sales",T$99,IF(INPUTS!$J$129="Follow Collections",T$108,IF(OR(TIMELINE!T113=0,TIMELINE!$C$112=0),0,IF(IF(INPUTS!$J$129="Follow Project Life","Even",IF(INPUTS!$J$129="At Project End","Upfront",INPUTS!$J$129))="Upfront",--(TIMELINE!T113=1),IF(IF(INPUTS!$J$129="Follow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End","Upfront",INPUTS!$J$129))="Front-loaded",(TIMELINE!$C$112-TIMELINE!T113+1)*2/(TIMELINE!$C$112*(TIMELINE!$C$112+1)),IF(IF(INPUTS!$J$129="Follow Project Life","Even",IF(INPUTS!$J$129="At Project End","Upfront",INPUTS!$J$129))="Back-loaded",TIMELINE!T113*2/(TIMELINE!$C$112*(TIMELINE!$C$112+1)),IF(IF(INPUTS!$J$129="Follow Project Life","Even",IF(INPUTS!$J$129="At Project End","Upfront",INPUTS!$J$129))="S-curve",SIN(PI()*(TIMELINE!T113-0.5)/TIMELINE!$C$112)*SIN(PI()/(2*TIMELINE!$C$112)),0))))))))))</f>
        <v>0</v>
      </c>
      <c r="U116" s="118" t="n">
        <f aca="false">IF(INPUTS!$F$129&lt;&gt;"Yes",0,IF(INPUTS!$J$129="Follow Construction",U$100,IF(INPUTS!$J$129="Follow Sales",U$99,IF(INPUTS!$J$129="Follow Collections",U$108,IF(OR(TIMELINE!U113=0,TIMELINE!$C$112=0),0,IF(IF(INPUTS!$J$129="Follow Project Life","Even",IF(INPUTS!$J$129="At Project End","Upfront",INPUTS!$J$129))="Upfront",--(TIMELINE!U113=1),IF(IF(INPUTS!$J$129="Follow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End","Upfront",INPUTS!$J$129))="Front-loaded",(TIMELINE!$C$112-TIMELINE!U113+1)*2/(TIMELINE!$C$112*(TIMELINE!$C$112+1)),IF(IF(INPUTS!$J$129="Follow Project Life","Even",IF(INPUTS!$J$129="At Project End","Upfront",INPUTS!$J$129))="Back-loaded",TIMELINE!U113*2/(TIMELINE!$C$112*(TIMELINE!$C$112+1)),IF(IF(INPUTS!$J$129="Follow Project Life","Even",IF(INPUTS!$J$129="At Project End","Upfront",INPUTS!$J$129))="S-curve",SIN(PI()*(TIMELINE!U113-0.5)/TIMELINE!$C$112)*SIN(PI()/(2*TIMELINE!$C$112)),0))))))))))</f>
        <v>0</v>
      </c>
      <c r="V116" s="118" t="n">
        <f aca="false">IF(INPUTS!$F$129&lt;&gt;"Yes",0,IF(INPUTS!$J$129="Follow Construction",V$100,IF(INPUTS!$J$129="Follow Sales",V$99,IF(INPUTS!$J$129="Follow Collections",V$108,IF(OR(TIMELINE!V113=0,TIMELINE!$C$112=0),0,IF(IF(INPUTS!$J$129="Follow Project Life","Even",IF(INPUTS!$J$129="At Project End","Upfront",INPUTS!$J$129))="Upfront",--(TIMELINE!V113=1),IF(IF(INPUTS!$J$129="Follow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End","Upfront",INPUTS!$J$129))="Front-loaded",(TIMELINE!$C$112-TIMELINE!V113+1)*2/(TIMELINE!$C$112*(TIMELINE!$C$112+1)),IF(IF(INPUTS!$J$129="Follow Project Life","Even",IF(INPUTS!$J$129="At Project End","Upfront",INPUTS!$J$129))="Back-loaded",TIMELINE!V113*2/(TIMELINE!$C$112*(TIMELINE!$C$112+1)),IF(IF(INPUTS!$J$129="Follow Project Life","Even",IF(INPUTS!$J$129="At Project End","Upfront",INPUTS!$J$129))="S-curve",SIN(PI()*(TIMELINE!V113-0.5)/TIMELINE!$C$112)*SIN(PI()/(2*TIMELINE!$C$112)),0))))))))))</f>
        <v>0</v>
      </c>
      <c r="W116" s="118" t="n">
        <f aca="false">IF(INPUTS!$F$129&lt;&gt;"Yes",0,IF(INPUTS!$J$129="Follow Construction",W$100,IF(INPUTS!$J$129="Follow Sales",W$99,IF(INPUTS!$J$129="Follow Collections",W$108,IF(OR(TIMELINE!W113=0,TIMELINE!$C$112=0),0,IF(IF(INPUTS!$J$129="Follow Project Life","Even",IF(INPUTS!$J$129="At Project End","Upfront",INPUTS!$J$129))="Upfront",--(TIMELINE!W113=1),IF(IF(INPUTS!$J$129="Follow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End","Upfront",INPUTS!$J$129))="Front-loaded",(TIMELINE!$C$112-TIMELINE!W113+1)*2/(TIMELINE!$C$112*(TIMELINE!$C$112+1)),IF(IF(INPUTS!$J$129="Follow Project Life","Even",IF(INPUTS!$J$129="At Project End","Upfront",INPUTS!$J$129))="Back-loaded",TIMELINE!W113*2/(TIMELINE!$C$112*(TIMELINE!$C$112+1)),IF(IF(INPUTS!$J$129="Follow Project Life","Even",IF(INPUTS!$J$129="At Project End","Upfront",INPUTS!$J$129))="S-curve",SIN(PI()*(TIMELINE!W113-0.5)/TIMELINE!$C$112)*SIN(PI()/(2*TIMELINE!$C$112)),0))))))))))</f>
        <v>0</v>
      </c>
      <c r="X116" s="118" t="n">
        <f aca="false">IF(INPUTS!$F$129&lt;&gt;"Yes",0,IF(INPUTS!$J$129="Follow Construction",X$100,IF(INPUTS!$J$129="Follow Sales",X$99,IF(INPUTS!$J$129="Follow Collections",X$108,IF(OR(TIMELINE!X113=0,TIMELINE!$C$112=0),0,IF(IF(INPUTS!$J$129="Follow Project Life","Even",IF(INPUTS!$J$129="At Project End","Upfront",INPUTS!$J$129))="Upfront",--(TIMELINE!X113=1),IF(IF(INPUTS!$J$129="Follow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End","Upfront",INPUTS!$J$129))="Front-loaded",(TIMELINE!$C$112-TIMELINE!X113+1)*2/(TIMELINE!$C$112*(TIMELINE!$C$112+1)),IF(IF(INPUTS!$J$129="Follow Project Life","Even",IF(INPUTS!$J$129="At Project End","Upfront",INPUTS!$J$129))="Back-loaded",TIMELINE!X113*2/(TIMELINE!$C$112*(TIMELINE!$C$112+1)),IF(IF(INPUTS!$J$129="Follow Project Life","Even",IF(INPUTS!$J$129="At Project End","Upfront",INPUTS!$J$129))="S-curve",SIN(PI()*(TIMELINE!X113-0.5)/TIMELINE!$C$112)*SIN(PI()/(2*TIMELINE!$C$112)),0))))))))))</f>
        <v>0</v>
      </c>
      <c r="Y116" s="118" t="n">
        <f aca="false">IF(INPUTS!$F$129&lt;&gt;"Yes",0,IF(INPUTS!$J$129="Follow Construction",Y$100,IF(INPUTS!$J$129="Follow Sales",Y$99,IF(INPUTS!$J$129="Follow Collections",Y$108,IF(OR(TIMELINE!Y113=0,TIMELINE!$C$112=0),0,IF(IF(INPUTS!$J$129="Follow Project Life","Even",IF(INPUTS!$J$129="At Project End","Upfront",INPUTS!$J$129))="Upfront",--(TIMELINE!Y113=1),IF(IF(INPUTS!$J$129="Follow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End","Upfront",INPUTS!$J$129))="Front-loaded",(TIMELINE!$C$112-TIMELINE!Y113+1)*2/(TIMELINE!$C$112*(TIMELINE!$C$112+1)),IF(IF(INPUTS!$J$129="Follow Project Life","Even",IF(INPUTS!$J$129="At Project End","Upfront",INPUTS!$J$129))="Back-loaded",TIMELINE!Y113*2/(TIMELINE!$C$112*(TIMELINE!$C$112+1)),IF(IF(INPUTS!$J$129="Follow Project Life","Even",IF(INPUTS!$J$129="At Project End","Upfront",INPUTS!$J$129))="S-curve",SIN(PI()*(TIMELINE!Y113-0.5)/TIMELINE!$C$112)*SIN(PI()/(2*TIMELINE!$C$112)),0))))))))))</f>
        <v>0</v>
      </c>
      <c r="Z116" s="118" t="n">
        <f aca="false">IF(INPUTS!$F$129&lt;&gt;"Yes",0,IF(INPUTS!$J$129="Follow Construction",Z$100,IF(INPUTS!$J$129="Follow Sales",Z$99,IF(INPUTS!$J$129="Follow Collections",Z$108,IF(OR(TIMELINE!Z113=0,TIMELINE!$C$112=0),0,IF(IF(INPUTS!$J$129="Follow Project Life","Even",IF(INPUTS!$J$129="At Project End","Upfront",INPUTS!$J$129))="Upfront",--(TIMELINE!Z113=1),IF(IF(INPUTS!$J$129="Follow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End","Upfront",INPUTS!$J$129))="Front-loaded",(TIMELINE!$C$112-TIMELINE!Z113+1)*2/(TIMELINE!$C$112*(TIMELINE!$C$112+1)),IF(IF(INPUTS!$J$129="Follow Project Life","Even",IF(INPUTS!$J$129="At Project End","Upfront",INPUTS!$J$129))="Back-loaded",TIMELINE!Z113*2/(TIMELINE!$C$112*(TIMELINE!$C$112+1)),IF(IF(INPUTS!$J$129="Follow Project Life","Even",IF(INPUTS!$J$129="At Project End","Upfront",INPUTS!$J$129))="S-curve",SIN(PI()*(TIMELINE!Z113-0.5)/TIMELINE!$C$112)*SIN(PI()/(2*TIMELINE!$C$112)),0))))))))))</f>
        <v>0</v>
      </c>
      <c r="AA116" s="118" t="n">
        <f aca="false">IF(INPUTS!$F$129&lt;&gt;"Yes",0,IF(INPUTS!$J$129="Follow Construction",AA$100,IF(INPUTS!$J$129="Follow Sales",AA$99,IF(INPUTS!$J$129="Follow Collections",AA$108,IF(OR(TIMELINE!AA113=0,TIMELINE!$C$112=0),0,IF(IF(INPUTS!$J$129="Follow Project Life","Even",IF(INPUTS!$J$129="At Project End","Upfront",INPUTS!$J$129))="Upfront",--(TIMELINE!AA113=1),IF(IF(INPUTS!$J$129="Follow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End","Upfront",INPUTS!$J$129))="Front-loaded",(TIMELINE!$C$112-TIMELINE!AA113+1)*2/(TIMELINE!$C$112*(TIMELINE!$C$112+1)),IF(IF(INPUTS!$J$129="Follow Project Life","Even",IF(INPUTS!$J$129="At Project End","Upfront",INPUTS!$J$129))="Back-loaded",TIMELINE!AA113*2/(TIMELINE!$C$112*(TIMELINE!$C$112+1)),IF(IF(INPUTS!$J$129="Follow Project Life","Even",IF(INPUTS!$J$129="At Project End","Upfront",INPUTS!$J$129))="S-curve",SIN(PI()*(TIMELINE!AA113-0.5)/TIMELINE!$C$112)*SIN(PI()/(2*TIMELINE!$C$112)),0))))))))))</f>
        <v>0</v>
      </c>
      <c r="AB116" s="118" t="n">
        <f aca="false">IF(INPUTS!$F$129&lt;&gt;"Yes",0,IF(INPUTS!$J$129="Follow Construction",AB$100,IF(INPUTS!$J$129="Follow Sales",AB$99,IF(INPUTS!$J$129="Follow Collections",AB$108,IF(OR(TIMELINE!AB113=0,TIMELINE!$C$112=0),0,IF(IF(INPUTS!$J$129="Follow Project Life","Even",IF(INPUTS!$J$129="At Project End","Upfront",INPUTS!$J$129))="Upfront",--(TIMELINE!AB113=1),IF(IF(INPUTS!$J$129="Follow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End","Upfront",INPUTS!$J$129))="Front-loaded",(TIMELINE!$C$112-TIMELINE!AB113+1)*2/(TIMELINE!$C$112*(TIMELINE!$C$112+1)),IF(IF(INPUTS!$J$129="Follow Project Life","Even",IF(INPUTS!$J$129="At Project End","Upfront",INPUTS!$J$129))="Back-loaded",TIMELINE!AB113*2/(TIMELINE!$C$112*(TIMELINE!$C$112+1)),IF(IF(INPUTS!$J$129="Follow Project Life","Even",IF(INPUTS!$J$129="At Project End","Upfront",INPUTS!$J$129))="S-curve",SIN(PI()*(TIMELINE!AB113-0.5)/TIMELINE!$C$112)*SIN(PI()/(2*TIMELINE!$C$112)),0))))))))))</f>
        <v>0</v>
      </c>
      <c r="AC116" s="118" t="n">
        <f aca="false">IF(INPUTS!$F$129&lt;&gt;"Yes",0,IF(INPUTS!$J$129="Follow Construction",AC$100,IF(INPUTS!$J$129="Follow Sales",AC$99,IF(INPUTS!$J$129="Follow Collections",AC$108,IF(OR(TIMELINE!AC113=0,TIMELINE!$C$112=0),0,IF(IF(INPUTS!$J$129="Follow Project Life","Even",IF(INPUTS!$J$129="At Project End","Upfront",INPUTS!$J$129))="Upfront",--(TIMELINE!AC113=1),IF(IF(INPUTS!$J$129="Follow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End","Upfront",INPUTS!$J$129))="Front-loaded",(TIMELINE!$C$112-TIMELINE!AC113+1)*2/(TIMELINE!$C$112*(TIMELINE!$C$112+1)),IF(IF(INPUTS!$J$129="Follow Project Life","Even",IF(INPUTS!$J$129="At Project End","Upfront",INPUTS!$J$129))="Back-loaded",TIMELINE!AC113*2/(TIMELINE!$C$112*(TIMELINE!$C$112+1)),IF(IF(INPUTS!$J$129="Follow Project Life","Even",IF(INPUTS!$J$129="At Project End","Upfront",INPUTS!$J$129))="S-curve",SIN(PI()*(TIMELINE!AC113-0.5)/TIMELINE!$C$112)*SIN(PI()/(2*TIMELINE!$C$112)),0))))))))))</f>
        <v>0</v>
      </c>
      <c r="AD116" s="118" t="n">
        <f aca="false">IF(INPUTS!$F$129&lt;&gt;"Yes",0,IF(INPUTS!$J$129="Follow Construction",AD$100,IF(INPUTS!$J$129="Follow Sales",AD$99,IF(INPUTS!$J$129="Follow Collections",AD$108,IF(OR(TIMELINE!AD113=0,TIMELINE!$C$112=0),0,IF(IF(INPUTS!$J$129="Follow Project Life","Even",IF(INPUTS!$J$129="At Project End","Upfront",INPUTS!$J$129))="Upfront",--(TIMELINE!AD113=1),IF(IF(INPUTS!$J$129="Follow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End","Upfront",INPUTS!$J$129))="Front-loaded",(TIMELINE!$C$112-TIMELINE!AD113+1)*2/(TIMELINE!$C$112*(TIMELINE!$C$112+1)),IF(IF(INPUTS!$J$129="Follow Project Life","Even",IF(INPUTS!$J$129="At Project End","Upfront",INPUTS!$J$129))="Back-loaded",TIMELINE!AD113*2/(TIMELINE!$C$112*(TIMELINE!$C$112+1)),IF(IF(INPUTS!$J$129="Follow Project Life","Even",IF(INPUTS!$J$129="At Project End","Upfront",INPUTS!$J$129))="S-curve",SIN(PI()*(TIMELINE!AD113-0.5)/TIMELINE!$C$112)*SIN(PI()/(2*TIMELINE!$C$112)),0))))))))))</f>
        <v>0</v>
      </c>
      <c r="AE116" s="118" t="n">
        <f aca="false">IF(INPUTS!$F$129&lt;&gt;"Yes",0,IF(INPUTS!$J$129="Follow Construction",AE$100,IF(INPUTS!$J$129="Follow Sales",AE$99,IF(INPUTS!$J$129="Follow Collections",AE$108,IF(OR(TIMELINE!AE113=0,TIMELINE!$C$112=0),0,IF(IF(INPUTS!$J$129="Follow Project Life","Even",IF(INPUTS!$J$129="At Project End","Upfront",INPUTS!$J$129))="Upfront",--(TIMELINE!AE113=1),IF(IF(INPUTS!$J$129="Follow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End","Upfront",INPUTS!$J$129))="Front-loaded",(TIMELINE!$C$112-TIMELINE!AE113+1)*2/(TIMELINE!$C$112*(TIMELINE!$C$112+1)),IF(IF(INPUTS!$J$129="Follow Project Life","Even",IF(INPUTS!$J$129="At Project End","Upfront",INPUTS!$J$129))="Back-loaded",TIMELINE!AE113*2/(TIMELINE!$C$112*(TIMELINE!$C$112+1)),IF(IF(INPUTS!$J$129="Follow Project Life","Even",IF(INPUTS!$J$129="At Project End","Upfront",INPUTS!$J$129))="S-curve",SIN(PI()*(TIMELINE!AE113-0.5)/TIMELINE!$C$112)*SIN(PI()/(2*TIMELINE!$C$112)),0))))))))))</f>
        <v>0</v>
      </c>
      <c r="AF116" s="118" t="n">
        <f aca="false">IF(INPUTS!$F$129&lt;&gt;"Yes",0,IF(INPUTS!$J$129="Follow Construction",AF$100,IF(INPUTS!$J$129="Follow Sales",AF$99,IF(INPUTS!$J$129="Follow Collections",AF$108,IF(OR(TIMELINE!AF113=0,TIMELINE!$C$112=0),0,IF(IF(INPUTS!$J$129="Follow Project Life","Even",IF(INPUTS!$J$129="At Project End","Upfront",INPUTS!$J$129))="Upfront",--(TIMELINE!AF113=1),IF(IF(INPUTS!$J$129="Follow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End","Upfront",INPUTS!$J$129))="Front-loaded",(TIMELINE!$C$112-TIMELINE!AF113+1)*2/(TIMELINE!$C$112*(TIMELINE!$C$112+1)),IF(IF(INPUTS!$J$129="Follow Project Life","Even",IF(INPUTS!$J$129="At Project End","Upfront",INPUTS!$J$129))="Back-loaded",TIMELINE!AF113*2/(TIMELINE!$C$112*(TIMELINE!$C$112+1)),IF(IF(INPUTS!$J$129="Follow Project Life","Even",IF(INPUTS!$J$129="At Project End","Upfront",INPUTS!$J$129))="S-curve",SIN(PI()*(TIMELINE!AF113-0.5)/TIMELINE!$C$112)*SIN(PI()/(2*TIMELINE!$C$112)),0))))))))))</f>
        <v>0</v>
      </c>
      <c r="AG116" s="118" t="n">
        <f aca="false">IF(INPUTS!$F$129&lt;&gt;"Yes",0,IF(INPUTS!$J$129="Follow Construction",AG$100,IF(INPUTS!$J$129="Follow Sales",AG$99,IF(INPUTS!$J$129="Follow Collections",AG$108,IF(OR(TIMELINE!AG113=0,TIMELINE!$C$112=0),0,IF(IF(INPUTS!$J$129="Follow Project Life","Even",IF(INPUTS!$J$129="At Project End","Upfront",INPUTS!$J$129))="Upfront",--(TIMELINE!AG113=1),IF(IF(INPUTS!$J$129="Follow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End","Upfront",INPUTS!$J$129))="Front-loaded",(TIMELINE!$C$112-TIMELINE!AG113+1)*2/(TIMELINE!$C$112*(TIMELINE!$C$112+1)),IF(IF(INPUTS!$J$129="Follow Project Life","Even",IF(INPUTS!$J$129="At Project End","Upfront",INPUTS!$J$129))="Back-loaded",TIMELINE!AG113*2/(TIMELINE!$C$112*(TIMELINE!$C$112+1)),IF(IF(INPUTS!$J$129="Follow Project Life","Even",IF(INPUTS!$J$129="At Project End","Upfront",INPUTS!$J$129))="S-curve",SIN(PI()*(TIMELINE!AG113-0.5)/TIMELINE!$C$112)*SIN(PI()/(2*TIMELINE!$C$112)),0))))))))))</f>
        <v>0</v>
      </c>
      <c r="AH116" s="118" t="n">
        <f aca="false">IF(INPUTS!$F$129&lt;&gt;"Yes",0,IF(INPUTS!$J$129="Follow Construction",AH$100,IF(INPUTS!$J$129="Follow Sales",AH$99,IF(INPUTS!$J$129="Follow Collections",AH$108,IF(OR(TIMELINE!AH113=0,TIMELINE!$C$112=0),0,IF(IF(INPUTS!$J$129="Follow Project Life","Even",IF(INPUTS!$J$129="At Project End","Upfront",INPUTS!$J$129))="Upfront",--(TIMELINE!AH113=1),IF(IF(INPUTS!$J$129="Follow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End","Upfront",INPUTS!$J$129))="Front-loaded",(TIMELINE!$C$112-TIMELINE!AH113+1)*2/(TIMELINE!$C$112*(TIMELINE!$C$112+1)),IF(IF(INPUTS!$J$129="Follow Project Life","Even",IF(INPUTS!$J$129="At Project End","Upfront",INPUTS!$J$129))="Back-loaded",TIMELINE!AH113*2/(TIMELINE!$C$112*(TIMELINE!$C$112+1)),IF(IF(INPUTS!$J$129="Follow Project Life","Even",IF(INPUTS!$J$129="At Project End","Upfront",INPUTS!$J$129))="S-curve",SIN(PI()*(TIMELINE!AH113-0.5)/TIMELINE!$C$112)*SIN(PI()/(2*TIMELINE!$C$112)),0))))))))))</f>
        <v>0</v>
      </c>
      <c r="AI116" s="118" t="n">
        <f aca="false">IF(INPUTS!$F$129&lt;&gt;"Yes",0,IF(INPUTS!$J$129="Follow Construction",AI$100,IF(INPUTS!$J$129="Follow Sales",AI$99,IF(INPUTS!$J$129="Follow Collections",AI$108,IF(OR(TIMELINE!AI113=0,TIMELINE!$C$112=0),0,IF(IF(INPUTS!$J$129="Follow Project Life","Even",IF(INPUTS!$J$129="At Project End","Upfront",INPUTS!$J$129))="Upfront",--(TIMELINE!AI113=1),IF(IF(INPUTS!$J$129="Follow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End","Upfront",INPUTS!$J$129))="Front-loaded",(TIMELINE!$C$112-TIMELINE!AI113+1)*2/(TIMELINE!$C$112*(TIMELINE!$C$112+1)),IF(IF(INPUTS!$J$129="Follow Project Life","Even",IF(INPUTS!$J$129="At Project End","Upfront",INPUTS!$J$129))="Back-loaded",TIMELINE!AI113*2/(TIMELINE!$C$112*(TIMELINE!$C$112+1)),IF(IF(INPUTS!$J$129="Follow Project Life","Even",IF(INPUTS!$J$129="At Project End","Upfront",INPUTS!$J$129))="S-curve",SIN(PI()*(TIMELINE!AI113-0.5)/TIMELINE!$C$112)*SIN(PI()/(2*TIMELINE!$C$112)),0))))))))))</f>
        <v>0</v>
      </c>
      <c r="AJ116" s="118" t="n">
        <f aca="false">IF(INPUTS!$F$129&lt;&gt;"Yes",0,IF(INPUTS!$J$129="Follow Construction",AJ$100,IF(INPUTS!$J$129="Follow Sales",AJ$99,IF(INPUTS!$J$129="Follow Collections",AJ$108,IF(OR(TIMELINE!AJ113=0,TIMELINE!$C$112=0),0,IF(IF(INPUTS!$J$129="Follow Project Life","Even",IF(INPUTS!$J$129="At Project End","Upfront",INPUTS!$J$129))="Upfront",--(TIMELINE!AJ113=1),IF(IF(INPUTS!$J$129="Follow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End","Upfront",INPUTS!$J$129))="Front-loaded",(TIMELINE!$C$112-TIMELINE!AJ113+1)*2/(TIMELINE!$C$112*(TIMELINE!$C$112+1)),IF(IF(INPUTS!$J$129="Follow Project Life","Even",IF(INPUTS!$J$129="At Project End","Upfront",INPUTS!$J$129))="Back-loaded",TIMELINE!AJ113*2/(TIMELINE!$C$112*(TIMELINE!$C$112+1)),IF(IF(INPUTS!$J$129="Follow Project Life","Even",IF(INPUTS!$J$129="At Project End","Upfront",INPUTS!$J$129))="S-curve",SIN(PI()*(TIMELINE!AJ113-0.5)/TIMELINE!$C$112)*SIN(PI()/(2*TIMELINE!$C$112)),0))))))))))</f>
        <v>0</v>
      </c>
      <c r="AK116" s="118" t="n">
        <f aca="false">IF(INPUTS!$F$129&lt;&gt;"Yes",0,IF(INPUTS!$J$129="Follow Construction",AK$100,IF(INPUTS!$J$129="Follow Sales",AK$99,IF(INPUTS!$J$129="Follow Collections",AK$108,IF(OR(TIMELINE!AK113=0,TIMELINE!$C$112=0),0,IF(IF(INPUTS!$J$129="Follow Project Life","Even",IF(INPUTS!$J$129="At Project End","Upfront",INPUTS!$J$129))="Upfront",--(TIMELINE!AK113=1),IF(IF(INPUTS!$J$129="Follow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End","Upfront",INPUTS!$J$129))="Front-loaded",(TIMELINE!$C$112-TIMELINE!AK113+1)*2/(TIMELINE!$C$112*(TIMELINE!$C$112+1)),IF(IF(INPUTS!$J$129="Follow Project Life","Even",IF(INPUTS!$J$129="At Project End","Upfront",INPUTS!$J$129))="Back-loaded",TIMELINE!AK113*2/(TIMELINE!$C$112*(TIMELINE!$C$112+1)),IF(IF(INPUTS!$J$129="Follow Project Life","Even",IF(INPUTS!$J$129="At Project End","Upfront",INPUTS!$J$129))="S-curve",SIN(PI()*(TIMELINE!AK113-0.5)/TIMELINE!$C$112)*SIN(PI()/(2*TIMELINE!$C$112)),0))))))))))</f>
        <v>0</v>
      </c>
      <c r="AL116" s="118" t="n">
        <f aca="false">IF(INPUTS!$F$129&lt;&gt;"Yes",0,IF(INPUTS!$J$129="Follow Construction",AL$100,IF(INPUTS!$J$129="Follow Sales",AL$99,IF(INPUTS!$J$129="Follow Collections",AL$108,IF(OR(TIMELINE!AL113=0,TIMELINE!$C$112=0),0,IF(IF(INPUTS!$J$129="Follow Project Life","Even",IF(INPUTS!$J$129="At Project End","Upfront",INPUTS!$J$129))="Upfront",--(TIMELINE!AL113=1),IF(IF(INPUTS!$J$129="Follow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End","Upfront",INPUTS!$J$129))="Front-loaded",(TIMELINE!$C$112-TIMELINE!AL113+1)*2/(TIMELINE!$C$112*(TIMELINE!$C$112+1)),IF(IF(INPUTS!$J$129="Follow Project Life","Even",IF(INPUTS!$J$129="At Project End","Upfront",INPUTS!$J$129))="Back-loaded",TIMELINE!AL113*2/(TIMELINE!$C$112*(TIMELINE!$C$112+1)),IF(IF(INPUTS!$J$129="Follow Project Life","Even",IF(INPUTS!$J$129="At Project End","Upfront",INPUTS!$J$129))="S-curve",SIN(PI()*(TIMELINE!AL113-0.5)/TIMELINE!$C$112)*SIN(PI()/(2*TIMELINE!$C$112)),0))))))))))</f>
        <v>0</v>
      </c>
      <c r="AM116" s="118" t="n">
        <f aca="false">IF(INPUTS!$F$129&lt;&gt;"Yes",0,IF(INPUTS!$J$129="Follow Construction",AM$100,IF(INPUTS!$J$129="Follow Sales",AM$99,IF(INPUTS!$J$129="Follow Collections",AM$108,IF(OR(TIMELINE!AM113=0,TIMELINE!$C$112=0),0,IF(IF(INPUTS!$J$129="Follow Project Life","Even",IF(INPUTS!$J$129="At Project End","Upfront",INPUTS!$J$129))="Upfront",--(TIMELINE!AM113=1),IF(IF(INPUTS!$J$129="Follow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End","Upfront",INPUTS!$J$129))="Front-loaded",(TIMELINE!$C$112-TIMELINE!AM113+1)*2/(TIMELINE!$C$112*(TIMELINE!$C$112+1)),IF(IF(INPUTS!$J$129="Follow Project Life","Even",IF(INPUTS!$J$129="At Project End","Upfront",INPUTS!$J$129))="Back-loaded",TIMELINE!AM113*2/(TIMELINE!$C$112*(TIMELINE!$C$112+1)),IF(IF(INPUTS!$J$129="Follow Project Life","Even",IF(INPUTS!$J$129="At Project End","Upfront",INPUTS!$J$129))="S-curve",SIN(PI()*(TIMELINE!AM113-0.5)/TIMELINE!$C$112)*SIN(PI()/(2*TIMELINE!$C$112)),0))))))))))</f>
        <v>0</v>
      </c>
      <c r="AN116" s="118" t="n">
        <f aca="false">IF(INPUTS!$F$129&lt;&gt;"Yes",0,IF(INPUTS!$J$129="Follow Construction",AN$100,IF(INPUTS!$J$129="Follow Sales",AN$99,IF(INPUTS!$J$129="Follow Collections",AN$108,IF(OR(TIMELINE!AN113=0,TIMELINE!$C$112=0),0,IF(IF(INPUTS!$J$129="Follow Project Life","Even",IF(INPUTS!$J$129="At Project End","Upfront",INPUTS!$J$129))="Upfront",--(TIMELINE!AN113=1),IF(IF(INPUTS!$J$129="Follow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End","Upfront",INPUTS!$J$129))="Front-loaded",(TIMELINE!$C$112-TIMELINE!AN113+1)*2/(TIMELINE!$C$112*(TIMELINE!$C$112+1)),IF(IF(INPUTS!$J$129="Follow Project Life","Even",IF(INPUTS!$J$129="At Project End","Upfront",INPUTS!$J$129))="Back-loaded",TIMELINE!AN113*2/(TIMELINE!$C$112*(TIMELINE!$C$112+1)),IF(IF(INPUTS!$J$129="Follow Project Life","Even",IF(INPUTS!$J$129="At Project End","Upfront",INPUTS!$J$129))="S-curve",SIN(PI()*(TIMELINE!AN113-0.5)/TIMELINE!$C$112)*SIN(PI()/(2*TIMELINE!$C$112)),0))))))))))</f>
        <v>0</v>
      </c>
      <c r="AO116" s="118" t="n">
        <f aca="false">IF(INPUTS!$F$129&lt;&gt;"Yes",0,IF(INPUTS!$J$129="Follow Construction",AO$100,IF(INPUTS!$J$129="Follow Sales",AO$99,IF(INPUTS!$J$129="Follow Collections",AO$108,IF(OR(TIMELINE!AO113=0,TIMELINE!$C$112=0),0,IF(IF(INPUTS!$J$129="Follow Project Life","Even",IF(INPUTS!$J$129="At Project End","Upfront",INPUTS!$J$129))="Upfront",--(TIMELINE!AO113=1),IF(IF(INPUTS!$J$129="Follow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End","Upfront",INPUTS!$J$129))="Front-loaded",(TIMELINE!$C$112-TIMELINE!AO113+1)*2/(TIMELINE!$C$112*(TIMELINE!$C$112+1)),IF(IF(INPUTS!$J$129="Follow Project Life","Even",IF(INPUTS!$J$129="At Project End","Upfront",INPUTS!$J$129))="Back-loaded",TIMELINE!AO113*2/(TIMELINE!$C$112*(TIMELINE!$C$112+1)),IF(IF(INPUTS!$J$129="Follow Project Life","Even",IF(INPUTS!$J$129="At Project End","Upfront",INPUTS!$J$129))="S-curve",SIN(PI()*(TIMELINE!AO113-0.5)/TIMELINE!$C$112)*SIN(PI()/(2*TIMELINE!$C$112)),0))))))))))</f>
        <v>0</v>
      </c>
      <c r="AP116" s="118" t="n">
        <f aca="false">IF(INPUTS!$F$129&lt;&gt;"Yes",0,IF(INPUTS!$J$129="Follow Construction",AP$100,IF(INPUTS!$J$129="Follow Sales",AP$99,IF(INPUTS!$J$129="Follow Collections",AP$108,IF(OR(TIMELINE!AP113=0,TIMELINE!$C$112=0),0,IF(IF(INPUTS!$J$129="Follow Project Life","Even",IF(INPUTS!$J$129="At Project End","Upfront",INPUTS!$J$129))="Upfront",--(TIMELINE!AP113=1),IF(IF(INPUTS!$J$129="Follow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End","Upfront",INPUTS!$J$129))="Front-loaded",(TIMELINE!$C$112-TIMELINE!AP113+1)*2/(TIMELINE!$C$112*(TIMELINE!$C$112+1)),IF(IF(INPUTS!$J$129="Follow Project Life","Even",IF(INPUTS!$J$129="At Project End","Upfront",INPUTS!$J$129))="Back-loaded",TIMELINE!AP113*2/(TIMELINE!$C$112*(TIMELINE!$C$112+1)),IF(IF(INPUTS!$J$129="Follow Project Life","Even",IF(INPUTS!$J$129="At Project End","Upfront",INPUTS!$J$129))="S-curve",SIN(PI()*(TIMELINE!AP113-0.5)/TIMELINE!$C$112)*SIN(PI()/(2*TIMELINE!$C$112)),0))))))))))</f>
        <v>0</v>
      </c>
      <c r="AQ116" s="118" t="n">
        <f aca="false">IF(INPUTS!$F$129&lt;&gt;"Yes",0,IF(INPUTS!$J$129="Follow Construction",AQ$100,IF(INPUTS!$J$129="Follow Sales",AQ$99,IF(INPUTS!$J$129="Follow Collections",AQ$108,IF(OR(TIMELINE!AQ113=0,TIMELINE!$C$112=0),0,IF(IF(INPUTS!$J$129="Follow Project Life","Even",IF(INPUTS!$J$129="At Project End","Upfront",INPUTS!$J$129))="Upfront",--(TIMELINE!AQ113=1),IF(IF(INPUTS!$J$129="Follow Project Life","Even",IF(INPUTS!$J$129="At Project End","Upfront",INPUTS!$J$129))="Even",1/TIMELINE!$C$112,IF(IF(INPUTS!$J$129="Follow Project Life","Even",IF(INPUTS!$J$129="At Project End","Upfront",INPUTS!$J$129))="Front-loaded",(TIMELINE!$C$112-TIMELINE!AQ113+1)*2/(TIMELINE!$C$112*(TIMELINE!$C$112+1)),IF(IF(INPUTS!$J$129="Follow Project Life","Even",IF(INPUTS!$J$129="At Project End","Upfront",INPUTS!$J$129))="Back-loaded",TIMELINE!AQ113*2/(TIMELINE!$C$112*(TIMELINE!$C$112+1)),IF(IF(INPUTS!$J$129="Follow Project Life","Even",IF(INPUTS!$J$129="At Project End","Upfront",INPUTS!$J$129))="S-curve",SIN(PI()*(TIMELINE!AQ113-0.5)/TIMELINE!$C$112)*SIN(PI()/(2*TIMELINE!$C$112)),0))))))))))</f>
        <v>0</v>
      </c>
    </row>
    <row r="117" customFormat="false" ht="15" hidden="false" customHeight="false" outlineLevel="0" collapsed="false">
      <c r="B117" s="17" t="s">
        <v>689</v>
      </c>
      <c r="C117" s="105" t="str">
        <f aca="false">IF(INPUTS!$B$129="","",IF(INPUTS!$F$129&lt;&gt;"Yes","Off",IF(INPUTS!$M$129&lt;&gt;"OK","ERROR",IF(ABS(C116-1)&lt;0.000000001,"OK",IF(AND(C116=0,INPUTS!$G$129=0),"Zero","ERROR")))))</f>
        <v>OK</v>
      </c>
    </row>
    <row r="118" customFormat="false" ht="15" hidden="false" customHeight="false" outlineLevel="0" collapsed="false">
      <c r="B118" s="110" t="str">
        <f aca="false">IF(INPUTS!$B$130="","Spare cost row",INPUTS!$B$130)</f>
        <v>Brokerage</v>
      </c>
      <c r="C118" s="111" t="str">
        <f aca="false">IF(INPUTS!$J$130="","",INPUTS!$J$130)</f>
        <v>Upfront</v>
      </c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</row>
    <row r="119" customFormat="false" ht="15" hidden="false" customHeight="false" outlineLevel="0" collapsed="false">
      <c r="B119" s="3" t="s">
        <v>688</v>
      </c>
      <c r="C119" s="117" t="n">
        <f aca="false">SUM(D119:AQ119)</f>
        <v>1</v>
      </c>
      <c r="D119" s="118" t="n">
        <f aca="false">IF(INPUTS!$F$130&lt;&gt;"Yes",0,IF(INPUTS!$J$130="Follow Construction",D$100,IF(INPUTS!$J$130="Follow Sales",D$99,IF(INPUTS!$J$130="Follow Collections",D$108,IF(OR(TIMELINE!D117=0,TIMELINE!$C$116=0),0,IF(IF(INPUTS!$J$130="Follow Project Life","Even",IF(INPUTS!$J$130="At Project End","Upfront",INPUTS!$J$130))="Upfront",--(TIMELINE!D117=1),IF(IF(INPUTS!$J$130="Follow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End","Upfront",INPUTS!$J$130))="Front-loaded",(TIMELINE!$C$116-TIMELINE!D117+1)*2/(TIMELINE!$C$116*(TIMELINE!$C$116+1)),IF(IF(INPUTS!$J$130="Follow Project Life","Even",IF(INPUTS!$J$130="At Project End","Upfront",INPUTS!$J$130))="Back-loaded",TIMELINE!D117*2/(TIMELINE!$C$116*(TIMELINE!$C$116+1)),IF(IF(INPUTS!$J$130="Follow Project Life","Even",IF(INPUTS!$J$130="At Project End","Upfront",INPUTS!$J$130))="S-curve",SIN(PI()*(TIMELINE!D117-0.5)/TIMELINE!$C$116)*SIN(PI()/(2*TIMELINE!$C$116)),0))))))))))</f>
        <v>1</v>
      </c>
      <c r="E119" s="118" t="n">
        <f aca="false">IF(INPUTS!$F$130&lt;&gt;"Yes",0,IF(INPUTS!$J$130="Follow Construction",E$100,IF(INPUTS!$J$130="Follow Sales",E$99,IF(INPUTS!$J$130="Follow Collections",E$108,IF(OR(TIMELINE!E117=0,TIMELINE!$C$116=0),0,IF(IF(INPUTS!$J$130="Follow Project Life","Even",IF(INPUTS!$J$130="At Project End","Upfront",INPUTS!$J$130))="Upfront",--(TIMELINE!E117=1),IF(IF(INPUTS!$J$130="Follow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End","Upfront",INPUTS!$J$130))="Front-loaded",(TIMELINE!$C$116-TIMELINE!E117+1)*2/(TIMELINE!$C$116*(TIMELINE!$C$116+1)),IF(IF(INPUTS!$J$130="Follow Project Life","Even",IF(INPUTS!$J$130="At Project End","Upfront",INPUTS!$J$130))="Back-loaded",TIMELINE!E117*2/(TIMELINE!$C$116*(TIMELINE!$C$116+1)),IF(IF(INPUTS!$J$130="Follow Project Life","Even",IF(INPUTS!$J$130="At Project End","Upfront",INPUTS!$J$130))="S-curve",SIN(PI()*(TIMELINE!E117-0.5)/TIMELINE!$C$116)*SIN(PI()/(2*TIMELINE!$C$116)),0))))))))))</f>
        <v>0</v>
      </c>
      <c r="F119" s="118" t="n">
        <f aca="false">IF(INPUTS!$F$130&lt;&gt;"Yes",0,IF(INPUTS!$J$130="Follow Construction",F$100,IF(INPUTS!$J$130="Follow Sales",F$99,IF(INPUTS!$J$130="Follow Collections",F$108,IF(OR(TIMELINE!F117=0,TIMELINE!$C$116=0),0,IF(IF(INPUTS!$J$130="Follow Project Life","Even",IF(INPUTS!$J$130="At Project End","Upfront",INPUTS!$J$130))="Upfront",--(TIMELINE!F117=1),IF(IF(INPUTS!$J$130="Follow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End","Upfront",INPUTS!$J$130))="Front-loaded",(TIMELINE!$C$116-TIMELINE!F117+1)*2/(TIMELINE!$C$116*(TIMELINE!$C$116+1)),IF(IF(INPUTS!$J$130="Follow Project Life","Even",IF(INPUTS!$J$130="At Project End","Upfront",INPUTS!$J$130))="Back-loaded",TIMELINE!F117*2/(TIMELINE!$C$116*(TIMELINE!$C$116+1)),IF(IF(INPUTS!$J$130="Follow Project Life","Even",IF(INPUTS!$J$130="At Project End","Upfront",INPUTS!$J$130))="S-curve",SIN(PI()*(TIMELINE!F117-0.5)/TIMELINE!$C$116)*SIN(PI()/(2*TIMELINE!$C$116)),0))))))))))</f>
        <v>0</v>
      </c>
      <c r="G119" s="118" t="n">
        <f aca="false">IF(INPUTS!$F$130&lt;&gt;"Yes",0,IF(INPUTS!$J$130="Follow Construction",G$100,IF(INPUTS!$J$130="Follow Sales",G$99,IF(INPUTS!$J$130="Follow Collections",G$108,IF(OR(TIMELINE!G117=0,TIMELINE!$C$116=0),0,IF(IF(INPUTS!$J$130="Follow Project Life","Even",IF(INPUTS!$J$130="At Project End","Upfront",INPUTS!$J$130))="Upfront",--(TIMELINE!G117=1),IF(IF(INPUTS!$J$130="Follow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End","Upfront",INPUTS!$J$130))="Front-loaded",(TIMELINE!$C$116-TIMELINE!G117+1)*2/(TIMELINE!$C$116*(TIMELINE!$C$116+1)),IF(IF(INPUTS!$J$130="Follow Project Life","Even",IF(INPUTS!$J$130="At Project End","Upfront",INPUTS!$J$130))="Back-loaded",TIMELINE!G117*2/(TIMELINE!$C$116*(TIMELINE!$C$116+1)),IF(IF(INPUTS!$J$130="Follow Project Life","Even",IF(INPUTS!$J$130="At Project End","Upfront",INPUTS!$J$130))="S-curve",SIN(PI()*(TIMELINE!G117-0.5)/TIMELINE!$C$116)*SIN(PI()/(2*TIMELINE!$C$116)),0))))))))))</f>
        <v>0</v>
      </c>
      <c r="H119" s="118" t="n">
        <f aca="false">IF(INPUTS!$F$130&lt;&gt;"Yes",0,IF(INPUTS!$J$130="Follow Construction",H$100,IF(INPUTS!$J$130="Follow Sales",H$99,IF(INPUTS!$J$130="Follow Collections",H$108,IF(OR(TIMELINE!H117=0,TIMELINE!$C$116=0),0,IF(IF(INPUTS!$J$130="Follow Project Life","Even",IF(INPUTS!$J$130="At Project End","Upfront",INPUTS!$J$130))="Upfront",--(TIMELINE!H117=1),IF(IF(INPUTS!$J$130="Follow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End","Upfront",INPUTS!$J$130))="Front-loaded",(TIMELINE!$C$116-TIMELINE!H117+1)*2/(TIMELINE!$C$116*(TIMELINE!$C$116+1)),IF(IF(INPUTS!$J$130="Follow Project Life","Even",IF(INPUTS!$J$130="At Project End","Upfront",INPUTS!$J$130))="Back-loaded",TIMELINE!H117*2/(TIMELINE!$C$116*(TIMELINE!$C$116+1)),IF(IF(INPUTS!$J$130="Follow Project Life","Even",IF(INPUTS!$J$130="At Project End","Upfront",INPUTS!$J$130))="S-curve",SIN(PI()*(TIMELINE!H117-0.5)/TIMELINE!$C$116)*SIN(PI()/(2*TIMELINE!$C$116)),0))))))))))</f>
        <v>0</v>
      </c>
      <c r="I119" s="118" t="n">
        <f aca="false">IF(INPUTS!$F$130&lt;&gt;"Yes",0,IF(INPUTS!$J$130="Follow Construction",I$100,IF(INPUTS!$J$130="Follow Sales",I$99,IF(INPUTS!$J$130="Follow Collections",I$108,IF(OR(TIMELINE!I117=0,TIMELINE!$C$116=0),0,IF(IF(INPUTS!$J$130="Follow Project Life","Even",IF(INPUTS!$J$130="At Project End","Upfront",INPUTS!$J$130))="Upfront",--(TIMELINE!I117=1),IF(IF(INPUTS!$J$130="Follow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End","Upfront",INPUTS!$J$130))="Front-loaded",(TIMELINE!$C$116-TIMELINE!I117+1)*2/(TIMELINE!$C$116*(TIMELINE!$C$116+1)),IF(IF(INPUTS!$J$130="Follow Project Life","Even",IF(INPUTS!$J$130="At Project End","Upfront",INPUTS!$J$130))="Back-loaded",TIMELINE!I117*2/(TIMELINE!$C$116*(TIMELINE!$C$116+1)),IF(IF(INPUTS!$J$130="Follow Project Life","Even",IF(INPUTS!$J$130="At Project End","Upfront",INPUTS!$J$130))="S-curve",SIN(PI()*(TIMELINE!I117-0.5)/TIMELINE!$C$116)*SIN(PI()/(2*TIMELINE!$C$116)),0))))))))))</f>
        <v>0</v>
      </c>
      <c r="J119" s="118" t="n">
        <f aca="false">IF(INPUTS!$F$130&lt;&gt;"Yes",0,IF(INPUTS!$J$130="Follow Construction",J$100,IF(INPUTS!$J$130="Follow Sales",J$99,IF(INPUTS!$J$130="Follow Collections",J$108,IF(OR(TIMELINE!J117=0,TIMELINE!$C$116=0),0,IF(IF(INPUTS!$J$130="Follow Project Life","Even",IF(INPUTS!$J$130="At Project End","Upfront",INPUTS!$J$130))="Upfront",--(TIMELINE!J117=1),IF(IF(INPUTS!$J$130="Follow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End","Upfront",INPUTS!$J$130))="Front-loaded",(TIMELINE!$C$116-TIMELINE!J117+1)*2/(TIMELINE!$C$116*(TIMELINE!$C$116+1)),IF(IF(INPUTS!$J$130="Follow Project Life","Even",IF(INPUTS!$J$130="At Project End","Upfront",INPUTS!$J$130))="Back-loaded",TIMELINE!J117*2/(TIMELINE!$C$116*(TIMELINE!$C$116+1)),IF(IF(INPUTS!$J$130="Follow Project Life","Even",IF(INPUTS!$J$130="At Project End","Upfront",INPUTS!$J$130))="S-curve",SIN(PI()*(TIMELINE!J117-0.5)/TIMELINE!$C$116)*SIN(PI()/(2*TIMELINE!$C$116)),0))))))))))</f>
        <v>0</v>
      </c>
      <c r="K119" s="118" t="n">
        <f aca="false">IF(INPUTS!$F$130&lt;&gt;"Yes",0,IF(INPUTS!$J$130="Follow Construction",K$100,IF(INPUTS!$J$130="Follow Sales",K$99,IF(INPUTS!$J$130="Follow Collections",K$108,IF(OR(TIMELINE!K117=0,TIMELINE!$C$116=0),0,IF(IF(INPUTS!$J$130="Follow Project Life","Even",IF(INPUTS!$J$130="At Project End","Upfront",INPUTS!$J$130))="Upfront",--(TIMELINE!K117=1),IF(IF(INPUTS!$J$130="Follow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End","Upfront",INPUTS!$J$130))="Front-loaded",(TIMELINE!$C$116-TIMELINE!K117+1)*2/(TIMELINE!$C$116*(TIMELINE!$C$116+1)),IF(IF(INPUTS!$J$130="Follow Project Life","Even",IF(INPUTS!$J$130="At Project End","Upfront",INPUTS!$J$130))="Back-loaded",TIMELINE!K117*2/(TIMELINE!$C$116*(TIMELINE!$C$116+1)),IF(IF(INPUTS!$J$130="Follow Project Life","Even",IF(INPUTS!$J$130="At Project End","Upfront",INPUTS!$J$130))="S-curve",SIN(PI()*(TIMELINE!K117-0.5)/TIMELINE!$C$116)*SIN(PI()/(2*TIMELINE!$C$116)),0))))))))))</f>
        <v>0</v>
      </c>
      <c r="L119" s="118" t="n">
        <f aca="false">IF(INPUTS!$F$130&lt;&gt;"Yes",0,IF(INPUTS!$J$130="Follow Construction",L$100,IF(INPUTS!$J$130="Follow Sales",L$99,IF(INPUTS!$J$130="Follow Collections",L$108,IF(OR(TIMELINE!L117=0,TIMELINE!$C$116=0),0,IF(IF(INPUTS!$J$130="Follow Project Life","Even",IF(INPUTS!$J$130="At Project End","Upfront",INPUTS!$J$130))="Upfront",--(TIMELINE!L117=1),IF(IF(INPUTS!$J$130="Follow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End","Upfront",INPUTS!$J$130))="Front-loaded",(TIMELINE!$C$116-TIMELINE!L117+1)*2/(TIMELINE!$C$116*(TIMELINE!$C$116+1)),IF(IF(INPUTS!$J$130="Follow Project Life","Even",IF(INPUTS!$J$130="At Project End","Upfront",INPUTS!$J$130))="Back-loaded",TIMELINE!L117*2/(TIMELINE!$C$116*(TIMELINE!$C$116+1)),IF(IF(INPUTS!$J$130="Follow Project Life","Even",IF(INPUTS!$J$130="At Project End","Upfront",INPUTS!$J$130))="S-curve",SIN(PI()*(TIMELINE!L117-0.5)/TIMELINE!$C$116)*SIN(PI()/(2*TIMELINE!$C$116)),0))))))))))</f>
        <v>0</v>
      </c>
      <c r="M119" s="118" t="n">
        <f aca="false">IF(INPUTS!$F$130&lt;&gt;"Yes",0,IF(INPUTS!$J$130="Follow Construction",M$100,IF(INPUTS!$J$130="Follow Sales",M$99,IF(INPUTS!$J$130="Follow Collections",M$108,IF(OR(TIMELINE!M117=0,TIMELINE!$C$116=0),0,IF(IF(INPUTS!$J$130="Follow Project Life","Even",IF(INPUTS!$J$130="At Project End","Upfront",INPUTS!$J$130))="Upfront",--(TIMELINE!M117=1),IF(IF(INPUTS!$J$130="Follow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End","Upfront",INPUTS!$J$130))="Front-loaded",(TIMELINE!$C$116-TIMELINE!M117+1)*2/(TIMELINE!$C$116*(TIMELINE!$C$116+1)),IF(IF(INPUTS!$J$130="Follow Project Life","Even",IF(INPUTS!$J$130="At Project End","Upfront",INPUTS!$J$130))="Back-loaded",TIMELINE!M117*2/(TIMELINE!$C$116*(TIMELINE!$C$116+1)),IF(IF(INPUTS!$J$130="Follow Project Life","Even",IF(INPUTS!$J$130="At Project End","Upfront",INPUTS!$J$130))="S-curve",SIN(PI()*(TIMELINE!M117-0.5)/TIMELINE!$C$116)*SIN(PI()/(2*TIMELINE!$C$116)),0))))))))))</f>
        <v>0</v>
      </c>
      <c r="N119" s="118" t="n">
        <f aca="false">IF(INPUTS!$F$130&lt;&gt;"Yes",0,IF(INPUTS!$J$130="Follow Construction",N$100,IF(INPUTS!$J$130="Follow Sales",N$99,IF(INPUTS!$J$130="Follow Collections",N$108,IF(OR(TIMELINE!N117=0,TIMELINE!$C$116=0),0,IF(IF(INPUTS!$J$130="Follow Project Life","Even",IF(INPUTS!$J$130="At Project End","Upfront",INPUTS!$J$130))="Upfront",--(TIMELINE!N117=1),IF(IF(INPUTS!$J$130="Follow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End","Upfront",INPUTS!$J$130))="Front-loaded",(TIMELINE!$C$116-TIMELINE!N117+1)*2/(TIMELINE!$C$116*(TIMELINE!$C$116+1)),IF(IF(INPUTS!$J$130="Follow Project Life","Even",IF(INPUTS!$J$130="At Project End","Upfront",INPUTS!$J$130))="Back-loaded",TIMELINE!N117*2/(TIMELINE!$C$116*(TIMELINE!$C$116+1)),IF(IF(INPUTS!$J$130="Follow Project Life","Even",IF(INPUTS!$J$130="At Project End","Upfront",INPUTS!$J$130))="S-curve",SIN(PI()*(TIMELINE!N117-0.5)/TIMELINE!$C$116)*SIN(PI()/(2*TIMELINE!$C$116)),0))))))))))</f>
        <v>0</v>
      </c>
      <c r="O119" s="118" t="n">
        <f aca="false">IF(INPUTS!$F$130&lt;&gt;"Yes",0,IF(INPUTS!$J$130="Follow Construction",O$100,IF(INPUTS!$J$130="Follow Sales",O$99,IF(INPUTS!$J$130="Follow Collections",O$108,IF(OR(TIMELINE!O117=0,TIMELINE!$C$116=0),0,IF(IF(INPUTS!$J$130="Follow Project Life","Even",IF(INPUTS!$J$130="At Project End","Upfront",INPUTS!$J$130))="Upfront",--(TIMELINE!O117=1),IF(IF(INPUTS!$J$130="Follow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End","Upfront",INPUTS!$J$130))="Front-loaded",(TIMELINE!$C$116-TIMELINE!O117+1)*2/(TIMELINE!$C$116*(TIMELINE!$C$116+1)),IF(IF(INPUTS!$J$130="Follow Project Life","Even",IF(INPUTS!$J$130="At Project End","Upfront",INPUTS!$J$130))="Back-loaded",TIMELINE!O117*2/(TIMELINE!$C$116*(TIMELINE!$C$116+1)),IF(IF(INPUTS!$J$130="Follow Project Life","Even",IF(INPUTS!$J$130="At Project End","Upfront",INPUTS!$J$130))="S-curve",SIN(PI()*(TIMELINE!O117-0.5)/TIMELINE!$C$116)*SIN(PI()/(2*TIMELINE!$C$116)),0))))))))))</f>
        <v>0</v>
      </c>
      <c r="P119" s="118" t="n">
        <f aca="false">IF(INPUTS!$F$130&lt;&gt;"Yes",0,IF(INPUTS!$J$130="Follow Construction",P$100,IF(INPUTS!$J$130="Follow Sales",P$99,IF(INPUTS!$J$130="Follow Collections",P$108,IF(OR(TIMELINE!P117=0,TIMELINE!$C$116=0),0,IF(IF(INPUTS!$J$130="Follow Project Life","Even",IF(INPUTS!$J$130="At Project End","Upfront",INPUTS!$J$130))="Upfront",--(TIMELINE!P117=1),IF(IF(INPUTS!$J$130="Follow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End","Upfront",INPUTS!$J$130))="Front-loaded",(TIMELINE!$C$116-TIMELINE!P117+1)*2/(TIMELINE!$C$116*(TIMELINE!$C$116+1)),IF(IF(INPUTS!$J$130="Follow Project Life","Even",IF(INPUTS!$J$130="At Project End","Upfront",INPUTS!$J$130))="Back-loaded",TIMELINE!P117*2/(TIMELINE!$C$116*(TIMELINE!$C$116+1)),IF(IF(INPUTS!$J$130="Follow Project Life","Even",IF(INPUTS!$J$130="At Project End","Upfront",INPUTS!$J$130))="S-curve",SIN(PI()*(TIMELINE!P117-0.5)/TIMELINE!$C$116)*SIN(PI()/(2*TIMELINE!$C$116)),0))))))))))</f>
        <v>0</v>
      </c>
      <c r="Q119" s="118" t="n">
        <f aca="false">IF(INPUTS!$F$130&lt;&gt;"Yes",0,IF(INPUTS!$J$130="Follow Construction",Q$100,IF(INPUTS!$J$130="Follow Sales",Q$99,IF(INPUTS!$J$130="Follow Collections",Q$108,IF(OR(TIMELINE!Q117=0,TIMELINE!$C$116=0),0,IF(IF(INPUTS!$J$130="Follow Project Life","Even",IF(INPUTS!$J$130="At Project End","Upfront",INPUTS!$J$130))="Upfront",--(TIMELINE!Q117=1),IF(IF(INPUTS!$J$130="Follow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End","Upfront",INPUTS!$J$130))="Front-loaded",(TIMELINE!$C$116-TIMELINE!Q117+1)*2/(TIMELINE!$C$116*(TIMELINE!$C$116+1)),IF(IF(INPUTS!$J$130="Follow Project Life","Even",IF(INPUTS!$J$130="At Project End","Upfront",INPUTS!$J$130))="Back-loaded",TIMELINE!Q117*2/(TIMELINE!$C$116*(TIMELINE!$C$116+1)),IF(IF(INPUTS!$J$130="Follow Project Life","Even",IF(INPUTS!$J$130="At Project End","Upfront",INPUTS!$J$130))="S-curve",SIN(PI()*(TIMELINE!Q117-0.5)/TIMELINE!$C$116)*SIN(PI()/(2*TIMELINE!$C$116)),0))))))))))</f>
        <v>0</v>
      </c>
      <c r="R119" s="118" t="n">
        <f aca="false">IF(INPUTS!$F$130&lt;&gt;"Yes",0,IF(INPUTS!$J$130="Follow Construction",R$100,IF(INPUTS!$J$130="Follow Sales",R$99,IF(INPUTS!$J$130="Follow Collections",R$108,IF(OR(TIMELINE!R117=0,TIMELINE!$C$116=0),0,IF(IF(INPUTS!$J$130="Follow Project Life","Even",IF(INPUTS!$J$130="At Project End","Upfront",INPUTS!$J$130))="Upfront",--(TIMELINE!R117=1),IF(IF(INPUTS!$J$130="Follow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End","Upfront",INPUTS!$J$130))="Front-loaded",(TIMELINE!$C$116-TIMELINE!R117+1)*2/(TIMELINE!$C$116*(TIMELINE!$C$116+1)),IF(IF(INPUTS!$J$130="Follow Project Life","Even",IF(INPUTS!$J$130="At Project End","Upfront",INPUTS!$J$130))="Back-loaded",TIMELINE!R117*2/(TIMELINE!$C$116*(TIMELINE!$C$116+1)),IF(IF(INPUTS!$J$130="Follow Project Life","Even",IF(INPUTS!$J$130="At Project End","Upfront",INPUTS!$J$130))="S-curve",SIN(PI()*(TIMELINE!R117-0.5)/TIMELINE!$C$116)*SIN(PI()/(2*TIMELINE!$C$116)),0))))))))))</f>
        <v>0</v>
      </c>
      <c r="S119" s="118" t="n">
        <f aca="false">IF(INPUTS!$F$130&lt;&gt;"Yes",0,IF(INPUTS!$J$130="Follow Construction",S$100,IF(INPUTS!$J$130="Follow Sales",S$99,IF(INPUTS!$J$130="Follow Collections",S$108,IF(OR(TIMELINE!S117=0,TIMELINE!$C$116=0),0,IF(IF(INPUTS!$J$130="Follow Project Life","Even",IF(INPUTS!$J$130="At Project End","Upfront",INPUTS!$J$130))="Upfront",--(TIMELINE!S117=1),IF(IF(INPUTS!$J$130="Follow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End","Upfront",INPUTS!$J$130))="Front-loaded",(TIMELINE!$C$116-TIMELINE!S117+1)*2/(TIMELINE!$C$116*(TIMELINE!$C$116+1)),IF(IF(INPUTS!$J$130="Follow Project Life","Even",IF(INPUTS!$J$130="At Project End","Upfront",INPUTS!$J$130))="Back-loaded",TIMELINE!S117*2/(TIMELINE!$C$116*(TIMELINE!$C$116+1)),IF(IF(INPUTS!$J$130="Follow Project Life","Even",IF(INPUTS!$J$130="At Project End","Upfront",INPUTS!$J$130))="S-curve",SIN(PI()*(TIMELINE!S117-0.5)/TIMELINE!$C$116)*SIN(PI()/(2*TIMELINE!$C$116)),0))))))))))</f>
        <v>0</v>
      </c>
      <c r="T119" s="118" t="n">
        <f aca="false">IF(INPUTS!$F$130&lt;&gt;"Yes",0,IF(INPUTS!$J$130="Follow Construction",T$100,IF(INPUTS!$J$130="Follow Sales",T$99,IF(INPUTS!$J$130="Follow Collections",T$108,IF(OR(TIMELINE!T117=0,TIMELINE!$C$116=0),0,IF(IF(INPUTS!$J$130="Follow Project Life","Even",IF(INPUTS!$J$130="At Project End","Upfront",INPUTS!$J$130))="Upfront",--(TIMELINE!T117=1),IF(IF(INPUTS!$J$130="Follow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End","Upfront",INPUTS!$J$130))="Front-loaded",(TIMELINE!$C$116-TIMELINE!T117+1)*2/(TIMELINE!$C$116*(TIMELINE!$C$116+1)),IF(IF(INPUTS!$J$130="Follow Project Life","Even",IF(INPUTS!$J$130="At Project End","Upfront",INPUTS!$J$130))="Back-loaded",TIMELINE!T117*2/(TIMELINE!$C$116*(TIMELINE!$C$116+1)),IF(IF(INPUTS!$J$130="Follow Project Life","Even",IF(INPUTS!$J$130="At Project End","Upfront",INPUTS!$J$130))="S-curve",SIN(PI()*(TIMELINE!T117-0.5)/TIMELINE!$C$116)*SIN(PI()/(2*TIMELINE!$C$116)),0))))))))))</f>
        <v>0</v>
      </c>
      <c r="U119" s="118" t="n">
        <f aca="false">IF(INPUTS!$F$130&lt;&gt;"Yes",0,IF(INPUTS!$J$130="Follow Construction",U$100,IF(INPUTS!$J$130="Follow Sales",U$99,IF(INPUTS!$J$130="Follow Collections",U$108,IF(OR(TIMELINE!U117=0,TIMELINE!$C$116=0),0,IF(IF(INPUTS!$J$130="Follow Project Life","Even",IF(INPUTS!$J$130="At Project End","Upfront",INPUTS!$J$130))="Upfront",--(TIMELINE!U117=1),IF(IF(INPUTS!$J$130="Follow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End","Upfront",INPUTS!$J$130))="Front-loaded",(TIMELINE!$C$116-TIMELINE!U117+1)*2/(TIMELINE!$C$116*(TIMELINE!$C$116+1)),IF(IF(INPUTS!$J$130="Follow Project Life","Even",IF(INPUTS!$J$130="At Project End","Upfront",INPUTS!$J$130))="Back-loaded",TIMELINE!U117*2/(TIMELINE!$C$116*(TIMELINE!$C$116+1)),IF(IF(INPUTS!$J$130="Follow Project Life","Even",IF(INPUTS!$J$130="At Project End","Upfront",INPUTS!$J$130))="S-curve",SIN(PI()*(TIMELINE!U117-0.5)/TIMELINE!$C$116)*SIN(PI()/(2*TIMELINE!$C$116)),0))))))))))</f>
        <v>0</v>
      </c>
      <c r="V119" s="118" t="n">
        <f aca="false">IF(INPUTS!$F$130&lt;&gt;"Yes",0,IF(INPUTS!$J$130="Follow Construction",V$100,IF(INPUTS!$J$130="Follow Sales",V$99,IF(INPUTS!$J$130="Follow Collections",V$108,IF(OR(TIMELINE!V117=0,TIMELINE!$C$116=0),0,IF(IF(INPUTS!$J$130="Follow Project Life","Even",IF(INPUTS!$J$130="At Project End","Upfront",INPUTS!$J$130))="Upfront",--(TIMELINE!V117=1),IF(IF(INPUTS!$J$130="Follow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End","Upfront",INPUTS!$J$130))="Front-loaded",(TIMELINE!$C$116-TIMELINE!V117+1)*2/(TIMELINE!$C$116*(TIMELINE!$C$116+1)),IF(IF(INPUTS!$J$130="Follow Project Life","Even",IF(INPUTS!$J$130="At Project End","Upfront",INPUTS!$J$130))="Back-loaded",TIMELINE!V117*2/(TIMELINE!$C$116*(TIMELINE!$C$116+1)),IF(IF(INPUTS!$J$130="Follow Project Life","Even",IF(INPUTS!$J$130="At Project End","Upfront",INPUTS!$J$130))="S-curve",SIN(PI()*(TIMELINE!V117-0.5)/TIMELINE!$C$116)*SIN(PI()/(2*TIMELINE!$C$116)),0))))))))))</f>
        <v>0</v>
      </c>
      <c r="W119" s="118" t="n">
        <f aca="false">IF(INPUTS!$F$130&lt;&gt;"Yes",0,IF(INPUTS!$J$130="Follow Construction",W$100,IF(INPUTS!$J$130="Follow Sales",W$99,IF(INPUTS!$J$130="Follow Collections",W$108,IF(OR(TIMELINE!W117=0,TIMELINE!$C$116=0),0,IF(IF(INPUTS!$J$130="Follow Project Life","Even",IF(INPUTS!$J$130="At Project End","Upfront",INPUTS!$J$130))="Upfront",--(TIMELINE!W117=1),IF(IF(INPUTS!$J$130="Follow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End","Upfront",INPUTS!$J$130))="Front-loaded",(TIMELINE!$C$116-TIMELINE!W117+1)*2/(TIMELINE!$C$116*(TIMELINE!$C$116+1)),IF(IF(INPUTS!$J$130="Follow Project Life","Even",IF(INPUTS!$J$130="At Project End","Upfront",INPUTS!$J$130))="Back-loaded",TIMELINE!W117*2/(TIMELINE!$C$116*(TIMELINE!$C$116+1)),IF(IF(INPUTS!$J$130="Follow Project Life","Even",IF(INPUTS!$J$130="At Project End","Upfront",INPUTS!$J$130))="S-curve",SIN(PI()*(TIMELINE!W117-0.5)/TIMELINE!$C$116)*SIN(PI()/(2*TIMELINE!$C$116)),0))))))))))</f>
        <v>0</v>
      </c>
      <c r="X119" s="118" t="n">
        <f aca="false">IF(INPUTS!$F$130&lt;&gt;"Yes",0,IF(INPUTS!$J$130="Follow Construction",X$100,IF(INPUTS!$J$130="Follow Sales",X$99,IF(INPUTS!$J$130="Follow Collections",X$108,IF(OR(TIMELINE!X117=0,TIMELINE!$C$116=0),0,IF(IF(INPUTS!$J$130="Follow Project Life","Even",IF(INPUTS!$J$130="At Project End","Upfront",INPUTS!$J$130))="Upfront",--(TIMELINE!X117=1),IF(IF(INPUTS!$J$130="Follow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End","Upfront",INPUTS!$J$130))="Front-loaded",(TIMELINE!$C$116-TIMELINE!X117+1)*2/(TIMELINE!$C$116*(TIMELINE!$C$116+1)),IF(IF(INPUTS!$J$130="Follow Project Life","Even",IF(INPUTS!$J$130="At Project End","Upfront",INPUTS!$J$130))="Back-loaded",TIMELINE!X117*2/(TIMELINE!$C$116*(TIMELINE!$C$116+1)),IF(IF(INPUTS!$J$130="Follow Project Life","Even",IF(INPUTS!$J$130="At Project End","Upfront",INPUTS!$J$130))="S-curve",SIN(PI()*(TIMELINE!X117-0.5)/TIMELINE!$C$116)*SIN(PI()/(2*TIMELINE!$C$116)),0))))))))))</f>
        <v>0</v>
      </c>
      <c r="Y119" s="118" t="n">
        <f aca="false">IF(INPUTS!$F$130&lt;&gt;"Yes",0,IF(INPUTS!$J$130="Follow Construction",Y$100,IF(INPUTS!$J$130="Follow Sales",Y$99,IF(INPUTS!$J$130="Follow Collections",Y$108,IF(OR(TIMELINE!Y117=0,TIMELINE!$C$116=0),0,IF(IF(INPUTS!$J$130="Follow Project Life","Even",IF(INPUTS!$J$130="At Project End","Upfront",INPUTS!$J$130))="Upfront",--(TIMELINE!Y117=1),IF(IF(INPUTS!$J$130="Follow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End","Upfront",INPUTS!$J$130))="Front-loaded",(TIMELINE!$C$116-TIMELINE!Y117+1)*2/(TIMELINE!$C$116*(TIMELINE!$C$116+1)),IF(IF(INPUTS!$J$130="Follow Project Life","Even",IF(INPUTS!$J$130="At Project End","Upfront",INPUTS!$J$130))="Back-loaded",TIMELINE!Y117*2/(TIMELINE!$C$116*(TIMELINE!$C$116+1)),IF(IF(INPUTS!$J$130="Follow Project Life","Even",IF(INPUTS!$J$130="At Project End","Upfront",INPUTS!$J$130))="S-curve",SIN(PI()*(TIMELINE!Y117-0.5)/TIMELINE!$C$116)*SIN(PI()/(2*TIMELINE!$C$116)),0))))))))))</f>
        <v>0</v>
      </c>
      <c r="Z119" s="118" t="n">
        <f aca="false">IF(INPUTS!$F$130&lt;&gt;"Yes",0,IF(INPUTS!$J$130="Follow Construction",Z$100,IF(INPUTS!$J$130="Follow Sales",Z$99,IF(INPUTS!$J$130="Follow Collections",Z$108,IF(OR(TIMELINE!Z117=0,TIMELINE!$C$116=0),0,IF(IF(INPUTS!$J$130="Follow Project Life","Even",IF(INPUTS!$J$130="At Project End","Upfront",INPUTS!$J$130))="Upfront",--(TIMELINE!Z117=1),IF(IF(INPUTS!$J$130="Follow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End","Upfront",INPUTS!$J$130))="Front-loaded",(TIMELINE!$C$116-TIMELINE!Z117+1)*2/(TIMELINE!$C$116*(TIMELINE!$C$116+1)),IF(IF(INPUTS!$J$130="Follow Project Life","Even",IF(INPUTS!$J$130="At Project End","Upfront",INPUTS!$J$130))="Back-loaded",TIMELINE!Z117*2/(TIMELINE!$C$116*(TIMELINE!$C$116+1)),IF(IF(INPUTS!$J$130="Follow Project Life","Even",IF(INPUTS!$J$130="At Project End","Upfront",INPUTS!$J$130))="S-curve",SIN(PI()*(TIMELINE!Z117-0.5)/TIMELINE!$C$116)*SIN(PI()/(2*TIMELINE!$C$116)),0))))))))))</f>
        <v>0</v>
      </c>
      <c r="AA119" s="118" t="n">
        <f aca="false">IF(INPUTS!$F$130&lt;&gt;"Yes",0,IF(INPUTS!$J$130="Follow Construction",AA$100,IF(INPUTS!$J$130="Follow Sales",AA$99,IF(INPUTS!$J$130="Follow Collections",AA$108,IF(OR(TIMELINE!AA117=0,TIMELINE!$C$116=0),0,IF(IF(INPUTS!$J$130="Follow Project Life","Even",IF(INPUTS!$J$130="At Project End","Upfront",INPUTS!$J$130))="Upfront",--(TIMELINE!AA117=1),IF(IF(INPUTS!$J$130="Follow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End","Upfront",INPUTS!$J$130))="Front-loaded",(TIMELINE!$C$116-TIMELINE!AA117+1)*2/(TIMELINE!$C$116*(TIMELINE!$C$116+1)),IF(IF(INPUTS!$J$130="Follow Project Life","Even",IF(INPUTS!$J$130="At Project End","Upfront",INPUTS!$J$130))="Back-loaded",TIMELINE!AA117*2/(TIMELINE!$C$116*(TIMELINE!$C$116+1)),IF(IF(INPUTS!$J$130="Follow Project Life","Even",IF(INPUTS!$J$130="At Project End","Upfront",INPUTS!$J$130))="S-curve",SIN(PI()*(TIMELINE!AA117-0.5)/TIMELINE!$C$116)*SIN(PI()/(2*TIMELINE!$C$116)),0))))))))))</f>
        <v>0</v>
      </c>
      <c r="AB119" s="118" t="n">
        <f aca="false">IF(INPUTS!$F$130&lt;&gt;"Yes",0,IF(INPUTS!$J$130="Follow Construction",AB$100,IF(INPUTS!$J$130="Follow Sales",AB$99,IF(INPUTS!$J$130="Follow Collections",AB$108,IF(OR(TIMELINE!AB117=0,TIMELINE!$C$116=0),0,IF(IF(INPUTS!$J$130="Follow Project Life","Even",IF(INPUTS!$J$130="At Project End","Upfront",INPUTS!$J$130))="Upfront",--(TIMELINE!AB117=1),IF(IF(INPUTS!$J$130="Follow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End","Upfront",INPUTS!$J$130))="Front-loaded",(TIMELINE!$C$116-TIMELINE!AB117+1)*2/(TIMELINE!$C$116*(TIMELINE!$C$116+1)),IF(IF(INPUTS!$J$130="Follow Project Life","Even",IF(INPUTS!$J$130="At Project End","Upfront",INPUTS!$J$130))="Back-loaded",TIMELINE!AB117*2/(TIMELINE!$C$116*(TIMELINE!$C$116+1)),IF(IF(INPUTS!$J$130="Follow Project Life","Even",IF(INPUTS!$J$130="At Project End","Upfront",INPUTS!$J$130))="S-curve",SIN(PI()*(TIMELINE!AB117-0.5)/TIMELINE!$C$116)*SIN(PI()/(2*TIMELINE!$C$116)),0))))))))))</f>
        <v>0</v>
      </c>
      <c r="AC119" s="118" t="n">
        <f aca="false">IF(INPUTS!$F$130&lt;&gt;"Yes",0,IF(INPUTS!$J$130="Follow Construction",AC$100,IF(INPUTS!$J$130="Follow Sales",AC$99,IF(INPUTS!$J$130="Follow Collections",AC$108,IF(OR(TIMELINE!AC117=0,TIMELINE!$C$116=0),0,IF(IF(INPUTS!$J$130="Follow Project Life","Even",IF(INPUTS!$J$130="At Project End","Upfront",INPUTS!$J$130))="Upfront",--(TIMELINE!AC117=1),IF(IF(INPUTS!$J$130="Follow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End","Upfront",INPUTS!$J$130))="Front-loaded",(TIMELINE!$C$116-TIMELINE!AC117+1)*2/(TIMELINE!$C$116*(TIMELINE!$C$116+1)),IF(IF(INPUTS!$J$130="Follow Project Life","Even",IF(INPUTS!$J$130="At Project End","Upfront",INPUTS!$J$130))="Back-loaded",TIMELINE!AC117*2/(TIMELINE!$C$116*(TIMELINE!$C$116+1)),IF(IF(INPUTS!$J$130="Follow Project Life","Even",IF(INPUTS!$J$130="At Project End","Upfront",INPUTS!$J$130))="S-curve",SIN(PI()*(TIMELINE!AC117-0.5)/TIMELINE!$C$116)*SIN(PI()/(2*TIMELINE!$C$116)),0))))))))))</f>
        <v>0</v>
      </c>
      <c r="AD119" s="118" t="n">
        <f aca="false">IF(INPUTS!$F$130&lt;&gt;"Yes",0,IF(INPUTS!$J$130="Follow Construction",AD$100,IF(INPUTS!$J$130="Follow Sales",AD$99,IF(INPUTS!$J$130="Follow Collections",AD$108,IF(OR(TIMELINE!AD117=0,TIMELINE!$C$116=0),0,IF(IF(INPUTS!$J$130="Follow Project Life","Even",IF(INPUTS!$J$130="At Project End","Upfront",INPUTS!$J$130))="Upfront",--(TIMELINE!AD117=1),IF(IF(INPUTS!$J$130="Follow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End","Upfront",INPUTS!$J$130))="Front-loaded",(TIMELINE!$C$116-TIMELINE!AD117+1)*2/(TIMELINE!$C$116*(TIMELINE!$C$116+1)),IF(IF(INPUTS!$J$130="Follow Project Life","Even",IF(INPUTS!$J$130="At Project End","Upfront",INPUTS!$J$130))="Back-loaded",TIMELINE!AD117*2/(TIMELINE!$C$116*(TIMELINE!$C$116+1)),IF(IF(INPUTS!$J$130="Follow Project Life","Even",IF(INPUTS!$J$130="At Project End","Upfront",INPUTS!$J$130))="S-curve",SIN(PI()*(TIMELINE!AD117-0.5)/TIMELINE!$C$116)*SIN(PI()/(2*TIMELINE!$C$116)),0))))))))))</f>
        <v>0</v>
      </c>
      <c r="AE119" s="118" t="n">
        <f aca="false">IF(INPUTS!$F$130&lt;&gt;"Yes",0,IF(INPUTS!$J$130="Follow Construction",AE$100,IF(INPUTS!$J$130="Follow Sales",AE$99,IF(INPUTS!$J$130="Follow Collections",AE$108,IF(OR(TIMELINE!AE117=0,TIMELINE!$C$116=0),0,IF(IF(INPUTS!$J$130="Follow Project Life","Even",IF(INPUTS!$J$130="At Project End","Upfront",INPUTS!$J$130))="Upfront",--(TIMELINE!AE117=1),IF(IF(INPUTS!$J$130="Follow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End","Upfront",INPUTS!$J$130))="Front-loaded",(TIMELINE!$C$116-TIMELINE!AE117+1)*2/(TIMELINE!$C$116*(TIMELINE!$C$116+1)),IF(IF(INPUTS!$J$130="Follow Project Life","Even",IF(INPUTS!$J$130="At Project End","Upfront",INPUTS!$J$130))="Back-loaded",TIMELINE!AE117*2/(TIMELINE!$C$116*(TIMELINE!$C$116+1)),IF(IF(INPUTS!$J$130="Follow Project Life","Even",IF(INPUTS!$J$130="At Project End","Upfront",INPUTS!$J$130))="S-curve",SIN(PI()*(TIMELINE!AE117-0.5)/TIMELINE!$C$116)*SIN(PI()/(2*TIMELINE!$C$116)),0))))))))))</f>
        <v>0</v>
      </c>
      <c r="AF119" s="118" t="n">
        <f aca="false">IF(INPUTS!$F$130&lt;&gt;"Yes",0,IF(INPUTS!$J$130="Follow Construction",AF$100,IF(INPUTS!$J$130="Follow Sales",AF$99,IF(INPUTS!$J$130="Follow Collections",AF$108,IF(OR(TIMELINE!AF117=0,TIMELINE!$C$116=0),0,IF(IF(INPUTS!$J$130="Follow Project Life","Even",IF(INPUTS!$J$130="At Project End","Upfront",INPUTS!$J$130))="Upfront",--(TIMELINE!AF117=1),IF(IF(INPUTS!$J$130="Follow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End","Upfront",INPUTS!$J$130))="Front-loaded",(TIMELINE!$C$116-TIMELINE!AF117+1)*2/(TIMELINE!$C$116*(TIMELINE!$C$116+1)),IF(IF(INPUTS!$J$130="Follow Project Life","Even",IF(INPUTS!$J$130="At Project End","Upfront",INPUTS!$J$130))="Back-loaded",TIMELINE!AF117*2/(TIMELINE!$C$116*(TIMELINE!$C$116+1)),IF(IF(INPUTS!$J$130="Follow Project Life","Even",IF(INPUTS!$J$130="At Project End","Upfront",INPUTS!$J$130))="S-curve",SIN(PI()*(TIMELINE!AF117-0.5)/TIMELINE!$C$116)*SIN(PI()/(2*TIMELINE!$C$116)),0))))))))))</f>
        <v>0</v>
      </c>
      <c r="AG119" s="118" t="n">
        <f aca="false">IF(INPUTS!$F$130&lt;&gt;"Yes",0,IF(INPUTS!$J$130="Follow Construction",AG$100,IF(INPUTS!$J$130="Follow Sales",AG$99,IF(INPUTS!$J$130="Follow Collections",AG$108,IF(OR(TIMELINE!AG117=0,TIMELINE!$C$116=0),0,IF(IF(INPUTS!$J$130="Follow Project Life","Even",IF(INPUTS!$J$130="At Project End","Upfront",INPUTS!$J$130))="Upfront",--(TIMELINE!AG117=1),IF(IF(INPUTS!$J$130="Follow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End","Upfront",INPUTS!$J$130))="Front-loaded",(TIMELINE!$C$116-TIMELINE!AG117+1)*2/(TIMELINE!$C$116*(TIMELINE!$C$116+1)),IF(IF(INPUTS!$J$130="Follow Project Life","Even",IF(INPUTS!$J$130="At Project End","Upfront",INPUTS!$J$130))="Back-loaded",TIMELINE!AG117*2/(TIMELINE!$C$116*(TIMELINE!$C$116+1)),IF(IF(INPUTS!$J$130="Follow Project Life","Even",IF(INPUTS!$J$130="At Project End","Upfront",INPUTS!$J$130))="S-curve",SIN(PI()*(TIMELINE!AG117-0.5)/TIMELINE!$C$116)*SIN(PI()/(2*TIMELINE!$C$116)),0))))))))))</f>
        <v>0</v>
      </c>
      <c r="AH119" s="118" t="n">
        <f aca="false">IF(INPUTS!$F$130&lt;&gt;"Yes",0,IF(INPUTS!$J$130="Follow Construction",AH$100,IF(INPUTS!$J$130="Follow Sales",AH$99,IF(INPUTS!$J$130="Follow Collections",AH$108,IF(OR(TIMELINE!AH117=0,TIMELINE!$C$116=0),0,IF(IF(INPUTS!$J$130="Follow Project Life","Even",IF(INPUTS!$J$130="At Project End","Upfront",INPUTS!$J$130))="Upfront",--(TIMELINE!AH117=1),IF(IF(INPUTS!$J$130="Follow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End","Upfront",INPUTS!$J$130))="Front-loaded",(TIMELINE!$C$116-TIMELINE!AH117+1)*2/(TIMELINE!$C$116*(TIMELINE!$C$116+1)),IF(IF(INPUTS!$J$130="Follow Project Life","Even",IF(INPUTS!$J$130="At Project End","Upfront",INPUTS!$J$130))="Back-loaded",TIMELINE!AH117*2/(TIMELINE!$C$116*(TIMELINE!$C$116+1)),IF(IF(INPUTS!$J$130="Follow Project Life","Even",IF(INPUTS!$J$130="At Project End","Upfront",INPUTS!$J$130))="S-curve",SIN(PI()*(TIMELINE!AH117-0.5)/TIMELINE!$C$116)*SIN(PI()/(2*TIMELINE!$C$116)),0))))))))))</f>
        <v>0</v>
      </c>
      <c r="AI119" s="118" t="n">
        <f aca="false">IF(INPUTS!$F$130&lt;&gt;"Yes",0,IF(INPUTS!$J$130="Follow Construction",AI$100,IF(INPUTS!$J$130="Follow Sales",AI$99,IF(INPUTS!$J$130="Follow Collections",AI$108,IF(OR(TIMELINE!AI117=0,TIMELINE!$C$116=0),0,IF(IF(INPUTS!$J$130="Follow Project Life","Even",IF(INPUTS!$J$130="At Project End","Upfront",INPUTS!$J$130))="Upfront",--(TIMELINE!AI117=1),IF(IF(INPUTS!$J$130="Follow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End","Upfront",INPUTS!$J$130))="Front-loaded",(TIMELINE!$C$116-TIMELINE!AI117+1)*2/(TIMELINE!$C$116*(TIMELINE!$C$116+1)),IF(IF(INPUTS!$J$130="Follow Project Life","Even",IF(INPUTS!$J$130="At Project End","Upfront",INPUTS!$J$130))="Back-loaded",TIMELINE!AI117*2/(TIMELINE!$C$116*(TIMELINE!$C$116+1)),IF(IF(INPUTS!$J$130="Follow Project Life","Even",IF(INPUTS!$J$130="At Project End","Upfront",INPUTS!$J$130))="S-curve",SIN(PI()*(TIMELINE!AI117-0.5)/TIMELINE!$C$116)*SIN(PI()/(2*TIMELINE!$C$116)),0))))))))))</f>
        <v>0</v>
      </c>
      <c r="AJ119" s="118" t="n">
        <f aca="false">IF(INPUTS!$F$130&lt;&gt;"Yes",0,IF(INPUTS!$J$130="Follow Construction",AJ$100,IF(INPUTS!$J$130="Follow Sales",AJ$99,IF(INPUTS!$J$130="Follow Collections",AJ$108,IF(OR(TIMELINE!AJ117=0,TIMELINE!$C$116=0),0,IF(IF(INPUTS!$J$130="Follow Project Life","Even",IF(INPUTS!$J$130="At Project End","Upfront",INPUTS!$J$130))="Upfront",--(TIMELINE!AJ117=1),IF(IF(INPUTS!$J$130="Follow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End","Upfront",INPUTS!$J$130))="Front-loaded",(TIMELINE!$C$116-TIMELINE!AJ117+1)*2/(TIMELINE!$C$116*(TIMELINE!$C$116+1)),IF(IF(INPUTS!$J$130="Follow Project Life","Even",IF(INPUTS!$J$130="At Project End","Upfront",INPUTS!$J$130))="Back-loaded",TIMELINE!AJ117*2/(TIMELINE!$C$116*(TIMELINE!$C$116+1)),IF(IF(INPUTS!$J$130="Follow Project Life","Even",IF(INPUTS!$J$130="At Project End","Upfront",INPUTS!$J$130))="S-curve",SIN(PI()*(TIMELINE!AJ117-0.5)/TIMELINE!$C$116)*SIN(PI()/(2*TIMELINE!$C$116)),0))))))))))</f>
        <v>0</v>
      </c>
      <c r="AK119" s="118" t="n">
        <f aca="false">IF(INPUTS!$F$130&lt;&gt;"Yes",0,IF(INPUTS!$J$130="Follow Construction",AK$100,IF(INPUTS!$J$130="Follow Sales",AK$99,IF(INPUTS!$J$130="Follow Collections",AK$108,IF(OR(TIMELINE!AK117=0,TIMELINE!$C$116=0),0,IF(IF(INPUTS!$J$130="Follow Project Life","Even",IF(INPUTS!$J$130="At Project End","Upfront",INPUTS!$J$130))="Upfront",--(TIMELINE!AK117=1),IF(IF(INPUTS!$J$130="Follow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End","Upfront",INPUTS!$J$130))="Front-loaded",(TIMELINE!$C$116-TIMELINE!AK117+1)*2/(TIMELINE!$C$116*(TIMELINE!$C$116+1)),IF(IF(INPUTS!$J$130="Follow Project Life","Even",IF(INPUTS!$J$130="At Project End","Upfront",INPUTS!$J$130))="Back-loaded",TIMELINE!AK117*2/(TIMELINE!$C$116*(TIMELINE!$C$116+1)),IF(IF(INPUTS!$J$130="Follow Project Life","Even",IF(INPUTS!$J$130="At Project End","Upfront",INPUTS!$J$130))="S-curve",SIN(PI()*(TIMELINE!AK117-0.5)/TIMELINE!$C$116)*SIN(PI()/(2*TIMELINE!$C$116)),0))))))))))</f>
        <v>0</v>
      </c>
      <c r="AL119" s="118" t="n">
        <f aca="false">IF(INPUTS!$F$130&lt;&gt;"Yes",0,IF(INPUTS!$J$130="Follow Construction",AL$100,IF(INPUTS!$J$130="Follow Sales",AL$99,IF(INPUTS!$J$130="Follow Collections",AL$108,IF(OR(TIMELINE!AL117=0,TIMELINE!$C$116=0),0,IF(IF(INPUTS!$J$130="Follow Project Life","Even",IF(INPUTS!$J$130="At Project End","Upfront",INPUTS!$J$130))="Upfront",--(TIMELINE!AL117=1),IF(IF(INPUTS!$J$130="Follow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End","Upfront",INPUTS!$J$130))="Front-loaded",(TIMELINE!$C$116-TIMELINE!AL117+1)*2/(TIMELINE!$C$116*(TIMELINE!$C$116+1)),IF(IF(INPUTS!$J$130="Follow Project Life","Even",IF(INPUTS!$J$130="At Project End","Upfront",INPUTS!$J$130))="Back-loaded",TIMELINE!AL117*2/(TIMELINE!$C$116*(TIMELINE!$C$116+1)),IF(IF(INPUTS!$J$130="Follow Project Life","Even",IF(INPUTS!$J$130="At Project End","Upfront",INPUTS!$J$130))="S-curve",SIN(PI()*(TIMELINE!AL117-0.5)/TIMELINE!$C$116)*SIN(PI()/(2*TIMELINE!$C$116)),0))))))))))</f>
        <v>0</v>
      </c>
      <c r="AM119" s="118" t="n">
        <f aca="false">IF(INPUTS!$F$130&lt;&gt;"Yes",0,IF(INPUTS!$J$130="Follow Construction",AM$100,IF(INPUTS!$J$130="Follow Sales",AM$99,IF(INPUTS!$J$130="Follow Collections",AM$108,IF(OR(TIMELINE!AM117=0,TIMELINE!$C$116=0),0,IF(IF(INPUTS!$J$130="Follow Project Life","Even",IF(INPUTS!$J$130="At Project End","Upfront",INPUTS!$J$130))="Upfront",--(TIMELINE!AM117=1),IF(IF(INPUTS!$J$130="Follow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End","Upfront",INPUTS!$J$130))="Front-loaded",(TIMELINE!$C$116-TIMELINE!AM117+1)*2/(TIMELINE!$C$116*(TIMELINE!$C$116+1)),IF(IF(INPUTS!$J$130="Follow Project Life","Even",IF(INPUTS!$J$130="At Project End","Upfront",INPUTS!$J$130))="Back-loaded",TIMELINE!AM117*2/(TIMELINE!$C$116*(TIMELINE!$C$116+1)),IF(IF(INPUTS!$J$130="Follow Project Life","Even",IF(INPUTS!$J$130="At Project End","Upfront",INPUTS!$J$130))="S-curve",SIN(PI()*(TIMELINE!AM117-0.5)/TIMELINE!$C$116)*SIN(PI()/(2*TIMELINE!$C$116)),0))))))))))</f>
        <v>0</v>
      </c>
      <c r="AN119" s="118" t="n">
        <f aca="false">IF(INPUTS!$F$130&lt;&gt;"Yes",0,IF(INPUTS!$J$130="Follow Construction",AN$100,IF(INPUTS!$J$130="Follow Sales",AN$99,IF(INPUTS!$J$130="Follow Collections",AN$108,IF(OR(TIMELINE!AN117=0,TIMELINE!$C$116=0),0,IF(IF(INPUTS!$J$130="Follow Project Life","Even",IF(INPUTS!$J$130="At Project End","Upfront",INPUTS!$J$130))="Upfront",--(TIMELINE!AN117=1),IF(IF(INPUTS!$J$130="Follow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End","Upfront",INPUTS!$J$130))="Front-loaded",(TIMELINE!$C$116-TIMELINE!AN117+1)*2/(TIMELINE!$C$116*(TIMELINE!$C$116+1)),IF(IF(INPUTS!$J$130="Follow Project Life","Even",IF(INPUTS!$J$130="At Project End","Upfront",INPUTS!$J$130))="Back-loaded",TIMELINE!AN117*2/(TIMELINE!$C$116*(TIMELINE!$C$116+1)),IF(IF(INPUTS!$J$130="Follow Project Life","Even",IF(INPUTS!$J$130="At Project End","Upfront",INPUTS!$J$130))="S-curve",SIN(PI()*(TIMELINE!AN117-0.5)/TIMELINE!$C$116)*SIN(PI()/(2*TIMELINE!$C$116)),0))))))))))</f>
        <v>0</v>
      </c>
      <c r="AO119" s="118" t="n">
        <f aca="false">IF(INPUTS!$F$130&lt;&gt;"Yes",0,IF(INPUTS!$J$130="Follow Construction",AO$100,IF(INPUTS!$J$130="Follow Sales",AO$99,IF(INPUTS!$J$130="Follow Collections",AO$108,IF(OR(TIMELINE!AO117=0,TIMELINE!$C$116=0),0,IF(IF(INPUTS!$J$130="Follow Project Life","Even",IF(INPUTS!$J$130="At Project End","Upfront",INPUTS!$J$130))="Upfront",--(TIMELINE!AO117=1),IF(IF(INPUTS!$J$130="Follow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End","Upfront",INPUTS!$J$130))="Front-loaded",(TIMELINE!$C$116-TIMELINE!AO117+1)*2/(TIMELINE!$C$116*(TIMELINE!$C$116+1)),IF(IF(INPUTS!$J$130="Follow Project Life","Even",IF(INPUTS!$J$130="At Project End","Upfront",INPUTS!$J$130))="Back-loaded",TIMELINE!AO117*2/(TIMELINE!$C$116*(TIMELINE!$C$116+1)),IF(IF(INPUTS!$J$130="Follow Project Life","Even",IF(INPUTS!$J$130="At Project End","Upfront",INPUTS!$J$130))="S-curve",SIN(PI()*(TIMELINE!AO117-0.5)/TIMELINE!$C$116)*SIN(PI()/(2*TIMELINE!$C$116)),0))))))))))</f>
        <v>0</v>
      </c>
      <c r="AP119" s="118" t="n">
        <f aca="false">IF(INPUTS!$F$130&lt;&gt;"Yes",0,IF(INPUTS!$J$130="Follow Construction",AP$100,IF(INPUTS!$J$130="Follow Sales",AP$99,IF(INPUTS!$J$130="Follow Collections",AP$108,IF(OR(TIMELINE!AP117=0,TIMELINE!$C$116=0),0,IF(IF(INPUTS!$J$130="Follow Project Life","Even",IF(INPUTS!$J$130="At Project End","Upfront",INPUTS!$J$130))="Upfront",--(TIMELINE!AP117=1),IF(IF(INPUTS!$J$130="Follow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End","Upfront",INPUTS!$J$130))="Front-loaded",(TIMELINE!$C$116-TIMELINE!AP117+1)*2/(TIMELINE!$C$116*(TIMELINE!$C$116+1)),IF(IF(INPUTS!$J$130="Follow Project Life","Even",IF(INPUTS!$J$130="At Project End","Upfront",INPUTS!$J$130))="Back-loaded",TIMELINE!AP117*2/(TIMELINE!$C$116*(TIMELINE!$C$116+1)),IF(IF(INPUTS!$J$130="Follow Project Life","Even",IF(INPUTS!$J$130="At Project End","Upfront",INPUTS!$J$130))="S-curve",SIN(PI()*(TIMELINE!AP117-0.5)/TIMELINE!$C$116)*SIN(PI()/(2*TIMELINE!$C$116)),0))))))))))</f>
        <v>0</v>
      </c>
      <c r="AQ119" s="118" t="n">
        <f aca="false">IF(INPUTS!$F$130&lt;&gt;"Yes",0,IF(INPUTS!$J$130="Follow Construction",AQ$100,IF(INPUTS!$J$130="Follow Sales",AQ$99,IF(INPUTS!$J$130="Follow Collections",AQ$108,IF(OR(TIMELINE!AQ117=0,TIMELINE!$C$116=0),0,IF(IF(INPUTS!$J$130="Follow Project Life","Even",IF(INPUTS!$J$130="At Project End","Upfront",INPUTS!$J$130))="Upfront",--(TIMELINE!AQ117=1),IF(IF(INPUTS!$J$130="Follow Project Life","Even",IF(INPUTS!$J$130="At Project End","Upfront",INPUTS!$J$130))="Even",1/TIMELINE!$C$116,IF(IF(INPUTS!$J$130="Follow Project Life","Even",IF(INPUTS!$J$130="At Project End","Upfront",INPUTS!$J$130))="Front-loaded",(TIMELINE!$C$116-TIMELINE!AQ117+1)*2/(TIMELINE!$C$116*(TIMELINE!$C$116+1)),IF(IF(INPUTS!$J$130="Follow Project Life","Even",IF(INPUTS!$J$130="At Project End","Upfront",INPUTS!$J$130))="Back-loaded",TIMELINE!AQ117*2/(TIMELINE!$C$116*(TIMELINE!$C$116+1)),IF(IF(INPUTS!$J$130="Follow Project Life","Even",IF(INPUTS!$J$130="At Project End","Upfront",INPUTS!$J$130))="S-curve",SIN(PI()*(TIMELINE!AQ117-0.5)/TIMELINE!$C$116)*SIN(PI()/(2*TIMELINE!$C$116)),0))))))))))</f>
        <v>0</v>
      </c>
    </row>
    <row r="120" customFormat="false" ht="15" hidden="false" customHeight="false" outlineLevel="0" collapsed="false">
      <c r="B120" s="17" t="s">
        <v>689</v>
      </c>
      <c r="C120" s="105" t="str">
        <f aca="false">IF(INPUTS!$B$130="","",IF(INPUTS!$F$130&lt;&gt;"Yes","Off",IF(INPUTS!$M$130&lt;&gt;"OK","ERROR",IF(ABS(C119-1)&lt;0.000000001,"OK",IF(AND(C119=0,INPUTS!$G$130=0),"Zero","ERROR")))))</f>
        <v>OK</v>
      </c>
    </row>
    <row r="121" customFormat="false" ht="15" hidden="false" customHeight="false" outlineLevel="0" collapsed="false">
      <c r="B121" s="110" t="str">
        <f aca="false">IF(INPUTS!$B$131="","Spare cost row",INPUTS!$B$131)</f>
        <v>Villa Construction Cost</v>
      </c>
      <c r="C121" s="111" t="str">
        <f aca="false">IF(INPUTS!$J$131="","",INPUTS!$J$131)</f>
        <v>Follow Construction</v>
      </c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</row>
    <row r="122" customFormat="false" ht="15" hidden="false" customHeight="false" outlineLevel="0" collapsed="false">
      <c r="B122" s="3" t="s">
        <v>688</v>
      </c>
      <c r="C122" s="117" t="n">
        <f aca="false">SUM(D122:AQ122)</f>
        <v>1</v>
      </c>
      <c r="D122" s="118" t="n">
        <f aca="false">IF(INPUTS!$F$131&lt;&gt;"Yes",0,IF(INPUTS!$J$131="Follow Construction",D$101,IF(INPUTS!$J$131="Follow Sales",D$99,IF(INPUTS!$J$131="Follow Collections",D$108,IF(OR(TIMELINE!D121=0,TIMELINE!$C$120=0),0,IF(IF(INPUTS!$J$131="Follow Project Life","Even",IF(INPUTS!$J$131="At Project End","Upfront",INPUTS!$J$131))="Upfront",--(TIMELINE!D121=1),IF(IF(INPUTS!$J$131="Follow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End","Upfront",INPUTS!$J$131))="Front-loaded",(TIMELINE!$C$120-TIMELINE!D121+1)*2/(TIMELINE!$C$120*(TIMELINE!$C$120+1)),IF(IF(INPUTS!$J$131="Follow Project Life","Even",IF(INPUTS!$J$131="At Project End","Upfront",INPUTS!$J$131))="Back-loaded",TIMELINE!D121*2/(TIMELINE!$C$120*(TIMELINE!$C$120+1)),IF(IF(INPUTS!$J$131="Follow Project Life","Even",IF(INPUTS!$J$131="At Project End","Upfront",INPUTS!$J$131))="S-curve",SIN(PI()*(TIMELINE!D121-0.5)/TIMELINE!$C$120)*SIN(PI()/(2*TIMELINE!$C$120)),0))))))))))</f>
        <v>0</v>
      </c>
      <c r="E122" s="118" t="n">
        <f aca="false">IF(INPUTS!$F$131&lt;&gt;"Yes",0,IF(INPUTS!$J$131="Follow Construction",E$101,IF(INPUTS!$J$131="Follow Sales",E$99,IF(INPUTS!$J$131="Follow Collections",E$108,IF(OR(TIMELINE!E121=0,TIMELINE!$C$120=0),0,IF(IF(INPUTS!$J$131="Follow Project Life","Even",IF(INPUTS!$J$131="At Project End","Upfront",INPUTS!$J$131))="Upfront",--(TIMELINE!E121=1),IF(IF(INPUTS!$J$131="Follow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End","Upfront",INPUTS!$J$131))="Front-loaded",(TIMELINE!$C$120-TIMELINE!E121+1)*2/(TIMELINE!$C$120*(TIMELINE!$C$120+1)),IF(IF(INPUTS!$J$131="Follow Project Life","Even",IF(INPUTS!$J$131="At Project End","Upfront",INPUTS!$J$131))="Back-loaded",TIMELINE!E121*2/(TIMELINE!$C$120*(TIMELINE!$C$120+1)),IF(IF(INPUTS!$J$131="Follow Project Life","Even",IF(INPUTS!$J$131="At Project End","Upfront",INPUTS!$J$131))="S-curve",SIN(PI()*(TIMELINE!E121-0.5)/TIMELINE!$C$120)*SIN(PI()/(2*TIMELINE!$C$120)),0))))))))))</f>
        <v>0</v>
      </c>
      <c r="F122" s="118" t="n">
        <f aca="false">IF(INPUTS!$F$131&lt;&gt;"Yes",0,IF(INPUTS!$J$131="Follow Construction",F$101,IF(INPUTS!$J$131="Follow Sales",F$99,IF(INPUTS!$J$131="Follow Collections",F$108,IF(OR(TIMELINE!F121=0,TIMELINE!$C$120=0),0,IF(IF(INPUTS!$J$131="Follow Project Life","Even",IF(INPUTS!$J$131="At Project End","Upfront",INPUTS!$J$131))="Upfront",--(TIMELINE!F121=1),IF(IF(INPUTS!$J$131="Follow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End","Upfront",INPUTS!$J$131))="Front-loaded",(TIMELINE!$C$120-TIMELINE!F121+1)*2/(TIMELINE!$C$120*(TIMELINE!$C$120+1)),IF(IF(INPUTS!$J$131="Follow Project Life","Even",IF(INPUTS!$J$131="At Project End","Upfront",INPUTS!$J$131))="Back-loaded",TIMELINE!F121*2/(TIMELINE!$C$120*(TIMELINE!$C$120+1)),IF(IF(INPUTS!$J$131="Follow Project Life","Even",IF(INPUTS!$J$131="At Project End","Upfront",INPUTS!$J$131))="S-curve",SIN(PI()*(TIMELINE!F121-0.5)/TIMELINE!$C$120)*SIN(PI()/(2*TIMELINE!$C$120)),0))))))))))</f>
        <v>0</v>
      </c>
      <c r="G122" s="118" t="n">
        <f aca="false">IF(INPUTS!$F$131&lt;&gt;"Yes",0,IF(INPUTS!$J$131="Follow Construction",G$101,IF(INPUTS!$J$131="Follow Sales",G$99,IF(INPUTS!$J$131="Follow Collections",G$108,IF(OR(TIMELINE!G121=0,TIMELINE!$C$120=0),0,IF(IF(INPUTS!$J$131="Follow Project Life","Even",IF(INPUTS!$J$131="At Project End","Upfront",INPUTS!$J$131))="Upfront",--(TIMELINE!G121=1),IF(IF(INPUTS!$J$131="Follow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End","Upfront",INPUTS!$J$131))="Front-loaded",(TIMELINE!$C$120-TIMELINE!G121+1)*2/(TIMELINE!$C$120*(TIMELINE!$C$120+1)),IF(IF(INPUTS!$J$131="Follow Project Life","Even",IF(INPUTS!$J$131="At Project End","Upfront",INPUTS!$J$131))="Back-loaded",TIMELINE!G121*2/(TIMELINE!$C$120*(TIMELINE!$C$120+1)),IF(IF(INPUTS!$J$131="Follow Project Life","Even",IF(INPUTS!$J$131="At Project End","Upfront",INPUTS!$J$131))="S-curve",SIN(PI()*(TIMELINE!G121-0.5)/TIMELINE!$C$120)*SIN(PI()/(2*TIMELINE!$C$120)),0))))))))))</f>
        <v>0.0170370868554659</v>
      </c>
      <c r="H122" s="118" t="n">
        <f aca="false">IF(INPUTS!$F$131&lt;&gt;"Yes",0,IF(INPUTS!$J$131="Follow Construction",H$101,IF(INPUTS!$J$131="Follow Sales",H$99,IF(INPUTS!$J$131="Follow Collections",H$108,IF(OR(TIMELINE!H121=0,TIMELINE!$C$120=0),0,IF(IF(INPUTS!$J$131="Follow Project Life","Even",IF(INPUTS!$J$131="At Project End","Upfront",INPUTS!$J$131))="Upfront",--(TIMELINE!H121=1),IF(IF(INPUTS!$J$131="Follow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End","Upfront",INPUTS!$J$131))="Front-loaded",(TIMELINE!$C$120-TIMELINE!H121+1)*2/(TIMELINE!$C$120*(TIMELINE!$C$120+1)),IF(IF(INPUTS!$J$131="Follow Project Life","Even",IF(INPUTS!$J$131="At Project End","Upfront",INPUTS!$J$131))="Back-loaded",TIMELINE!H121*2/(TIMELINE!$C$120*(TIMELINE!$C$120+1)),IF(IF(INPUTS!$J$131="Follow Project Life","Even",IF(INPUTS!$J$131="At Project End","Upfront",INPUTS!$J$131))="S-curve",SIN(PI()*(TIMELINE!H121-0.5)/TIMELINE!$C$120)*SIN(PI()/(2*TIMELINE!$C$120)),0))))))))))</f>
        <v>0.0499502112523148</v>
      </c>
      <c r="I122" s="118" t="n">
        <f aca="false">IF(INPUTS!$F$131&lt;&gt;"Yes",0,IF(INPUTS!$J$131="Follow Construction",I$101,IF(INPUTS!$J$131="Follow Sales",I$99,IF(INPUTS!$J$131="Follow Collections",I$108,IF(OR(TIMELINE!I121=0,TIMELINE!$C$120=0),0,IF(IF(INPUTS!$J$131="Follow Project Life","Even",IF(INPUTS!$J$131="At Project End","Upfront",INPUTS!$J$131))="Upfront",--(TIMELINE!I121=1),IF(IF(INPUTS!$J$131="Follow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End","Upfront",INPUTS!$J$131))="Front-loaded",(TIMELINE!$C$120-TIMELINE!I121+1)*2/(TIMELINE!$C$120*(TIMELINE!$C$120+1)),IF(IF(INPUTS!$J$131="Follow Project Life","Even",IF(INPUTS!$J$131="At Project End","Upfront",INPUTS!$J$131))="Back-loaded",TIMELINE!I121*2/(TIMELINE!$C$120*(TIMELINE!$C$120+1)),IF(IF(INPUTS!$J$131="Follow Project Life","Even",IF(INPUTS!$J$131="At Project End","Upfront",INPUTS!$J$131))="S-curve",SIN(PI()*(TIMELINE!I121-0.5)/TIMELINE!$C$120)*SIN(PI()/(2*TIMELINE!$C$120)),0))))))))))</f>
        <v>0.0794593112989456</v>
      </c>
      <c r="J122" s="118" t="n">
        <f aca="false">IF(INPUTS!$F$131&lt;&gt;"Yes",0,IF(INPUTS!$J$131="Follow Construction",J$101,IF(INPUTS!$J$131="Follow Sales",J$99,IF(INPUTS!$J$131="Follow Collections",J$108,IF(OR(TIMELINE!J121=0,TIMELINE!$C$120=0),0,IF(IF(INPUTS!$J$131="Follow Project Life","Even",IF(INPUTS!$J$131="At Project End","Upfront",INPUTS!$J$131))="Upfront",--(TIMELINE!J121=1),IF(IF(INPUTS!$J$131="Follow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End","Upfront",INPUTS!$J$131))="Front-loaded",(TIMELINE!$C$120-TIMELINE!J121+1)*2/(TIMELINE!$C$120*(TIMELINE!$C$120+1)),IF(IF(INPUTS!$J$131="Follow Project Life","Even",IF(INPUTS!$J$131="At Project End","Upfront",INPUTS!$J$131))="Back-loaded",TIMELINE!J121*2/(TIMELINE!$C$120*(TIMELINE!$C$120+1)),IF(IF(INPUTS!$J$131="Follow Project Life","Even",IF(INPUTS!$J$131="At Project End","Upfront",INPUTS!$J$131))="S-curve",SIN(PI()*(TIMELINE!J121-0.5)/TIMELINE!$C$120)*SIN(PI()/(2*TIMELINE!$C$120)),0))))))))))</f>
        <v>0.103553390593274</v>
      </c>
      <c r="K122" s="118" t="n">
        <f aca="false">IF(INPUTS!$F$131&lt;&gt;"Yes",0,IF(INPUTS!$J$131="Follow Construction",K$101,IF(INPUTS!$J$131="Follow Sales",K$99,IF(INPUTS!$J$131="Follow Collections",K$108,IF(OR(TIMELINE!K121=0,TIMELINE!$C$120=0),0,IF(IF(INPUTS!$J$131="Follow Project Life","Even",IF(INPUTS!$J$131="At Project End","Upfront",INPUTS!$J$131))="Upfront",--(TIMELINE!K121=1),IF(IF(INPUTS!$J$131="Follow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End","Upfront",INPUTS!$J$131))="Front-loaded",(TIMELINE!$C$120-TIMELINE!K121+1)*2/(TIMELINE!$C$120*(TIMELINE!$C$120+1)),IF(IF(INPUTS!$J$131="Follow Project Life","Even",IF(INPUTS!$J$131="At Project End","Upfront",INPUTS!$J$131))="Back-loaded",TIMELINE!K121*2/(TIMELINE!$C$120*(TIMELINE!$C$120+1)),IF(IF(INPUTS!$J$131="Follow Project Life","Even",IF(INPUTS!$J$131="At Project End","Upfront",INPUTS!$J$131))="S-curve",SIN(PI()*(TIMELINE!K121-0.5)/TIMELINE!$C$120)*SIN(PI()/(2*TIMELINE!$C$120)),0))))))))))</f>
        <v>0.12059047744874</v>
      </c>
      <c r="L122" s="118" t="n">
        <f aca="false">IF(INPUTS!$F$131&lt;&gt;"Yes",0,IF(INPUTS!$J$131="Follow Construction",L$101,IF(INPUTS!$J$131="Follow Sales",L$99,IF(INPUTS!$J$131="Follow Collections",L$108,IF(OR(TIMELINE!L121=0,TIMELINE!$C$120=0),0,IF(IF(INPUTS!$J$131="Follow Project Life","Even",IF(INPUTS!$J$131="At Project End","Upfront",INPUTS!$J$131))="Upfront",--(TIMELINE!L121=1),IF(IF(INPUTS!$J$131="Follow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End","Upfront",INPUTS!$J$131))="Front-loaded",(TIMELINE!$C$120-TIMELINE!L121+1)*2/(TIMELINE!$C$120*(TIMELINE!$C$120+1)),IF(IF(INPUTS!$J$131="Follow Project Life","Even",IF(INPUTS!$J$131="At Project End","Upfront",INPUTS!$J$131))="Back-loaded",TIMELINE!L121*2/(TIMELINE!$C$120*(TIMELINE!$C$120+1)),IF(IF(INPUTS!$J$131="Follow Project Life","Even",IF(INPUTS!$J$131="At Project End","Upfront",INPUTS!$J$131))="S-curve",SIN(PI()*(TIMELINE!L121-0.5)/TIMELINE!$C$120)*SIN(PI()/(2*TIMELINE!$C$120)),0))))))))))</f>
        <v>0.12940952255126</v>
      </c>
      <c r="M122" s="118" t="n">
        <f aca="false">IF(INPUTS!$F$131&lt;&gt;"Yes",0,IF(INPUTS!$J$131="Follow Construction",M$101,IF(INPUTS!$J$131="Follow Sales",M$99,IF(INPUTS!$J$131="Follow Collections",M$108,IF(OR(TIMELINE!M121=0,TIMELINE!$C$120=0),0,IF(IF(INPUTS!$J$131="Follow Project Life","Even",IF(INPUTS!$J$131="At Project End","Upfront",INPUTS!$J$131))="Upfront",--(TIMELINE!M121=1),IF(IF(INPUTS!$J$131="Follow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End","Upfront",INPUTS!$J$131))="Front-loaded",(TIMELINE!$C$120-TIMELINE!M121+1)*2/(TIMELINE!$C$120*(TIMELINE!$C$120+1)),IF(IF(INPUTS!$J$131="Follow Project Life","Even",IF(INPUTS!$J$131="At Project End","Upfront",INPUTS!$J$131))="Back-loaded",TIMELINE!M121*2/(TIMELINE!$C$120*(TIMELINE!$C$120+1)),IF(IF(INPUTS!$J$131="Follow Project Life","Even",IF(INPUTS!$J$131="At Project End","Upfront",INPUTS!$J$131))="S-curve",SIN(PI()*(TIMELINE!M121-0.5)/TIMELINE!$C$120)*SIN(PI()/(2*TIMELINE!$C$120)),0))))))))))</f>
        <v>0.12940952255126</v>
      </c>
      <c r="N122" s="118" t="n">
        <f aca="false">IF(INPUTS!$F$131&lt;&gt;"Yes",0,IF(INPUTS!$J$131="Follow Construction",N$101,IF(INPUTS!$J$131="Follow Sales",N$99,IF(INPUTS!$J$131="Follow Collections",N$108,IF(OR(TIMELINE!N121=0,TIMELINE!$C$120=0),0,IF(IF(INPUTS!$J$131="Follow Project Life","Even",IF(INPUTS!$J$131="At Project End","Upfront",INPUTS!$J$131))="Upfront",--(TIMELINE!N121=1),IF(IF(INPUTS!$J$131="Follow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End","Upfront",INPUTS!$J$131))="Front-loaded",(TIMELINE!$C$120-TIMELINE!N121+1)*2/(TIMELINE!$C$120*(TIMELINE!$C$120+1)),IF(IF(INPUTS!$J$131="Follow Project Life","Even",IF(INPUTS!$J$131="At Project End","Upfront",INPUTS!$J$131))="Back-loaded",TIMELINE!N121*2/(TIMELINE!$C$120*(TIMELINE!$C$120+1)),IF(IF(INPUTS!$J$131="Follow Project Life","Even",IF(INPUTS!$J$131="At Project End","Upfront",INPUTS!$J$131))="S-curve",SIN(PI()*(TIMELINE!N121-0.5)/TIMELINE!$C$120)*SIN(PI()/(2*TIMELINE!$C$120)),0))))))))))</f>
        <v>0.12059047744874</v>
      </c>
      <c r="O122" s="118" t="n">
        <f aca="false">IF(INPUTS!$F$131&lt;&gt;"Yes",0,IF(INPUTS!$J$131="Follow Construction",O$101,IF(INPUTS!$J$131="Follow Sales",O$99,IF(INPUTS!$J$131="Follow Collections",O$108,IF(OR(TIMELINE!O121=0,TIMELINE!$C$120=0),0,IF(IF(INPUTS!$J$131="Follow Project Life","Even",IF(INPUTS!$J$131="At Project End","Upfront",INPUTS!$J$131))="Upfront",--(TIMELINE!O121=1),IF(IF(INPUTS!$J$131="Follow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End","Upfront",INPUTS!$J$131))="Front-loaded",(TIMELINE!$C$120-TIMELINE!O121+1)*2/(TIMELINE!$C$120*(TIMELINE!$C$120+1)),IF(IF(INPUTS!$J$131="Follow Project Life","Even",IF(INPUTS!$J$131="At Project End","Upfront",INPUTS!$J$131))="Back-loaded",TIMELINE!O121*2/(TIMELINE!$C$120*(TIMELINE!$C$120+1)),IF(IF(INPUTS!$J$131="Follow Project Life","Even",IF(INPUTS!$J$131="At Project End","Upfront",INPUTS!$J$131))="S-curve",SIN(PI()*(TIMELINE!O121-0.5)/TIMELINE!$C$120)*SIN(PI()/(2*TIMELINE!$C$120)),0))))))))))</f>
        <v>0.103553390593274</v>
      </c>
      <c r="P122" s="118" t="n">
        <f aca="false">IF(INPUTS!$F$131&lt;&gt;"Yes",0,IF(INPUTS!$J$131="Follow Construction",P$101,IF(INPUTS!$J$131="Follow Sales",P$99,IF(INPUTS!$J$131="Follow Collections",P$108,IF(OR(TIMELINE!P121=0,TIMELINE!$C$120=0),0,IF(IF(INPUTS!$J$131="Follow Project Life","Even",IF(INPUTS!$J$131="At Project End","Upfront",INPUTS!$J$131))="Upfront",--(TIMELINE!P121=1),IF(IF(INPUTS!$J$131="Follow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End","Upfront",INPUTS!$J$131))="Front-loaded",(TIMELINE!$C$120-TIMELINE!P121+1)*2/(TIMELINE!$C$120*(TIMELINE!$C$120+1)),IF(IF(INPUTS!$J$131="Follow Project Life","Even",IF(INPUTS!$J$131="At Project End","Upfront",INPUTS!$J$131))="Back-loaded",TIMELINE!P121*2/(TIMELINE!$C$120*(TIMELINE!$C$120+1)),IF(IF(INPUTS!$J$131="Follow Project Life","Even",IF(INPUTS!$J$131="At Project End","Upfront",INPUTS!$J$131))="S-curve",SIN(PI()*(TIMELINE!P121-0.5)/TIMELINE!$C$120)*SIN(PI()/(2*TIMELINE!$C$120)),0))))))))))</f>
        <v>0.0794593112989456</v>
      </c>
      <c r="Q122" s="118" t="n">
        <f aca="false">IF(INPUTS!$F$131&lt;&gt;"Yes",0,IF(INPUTS!$J$131="Follow Construction",Q$101,IF(INPUTS!$J$131="Follow Sales",Q$99,IF(INPUTS!$J$131="Follow Collections",Q$108,IF(OR(TIMELINE!Q121=0,TIMELINE!$C$120=0),0,IF(IF(INPUTS!$J$131="Follow Project Life","Even",IF(INPUTS!$J$131="At Project End","Upfront",INPUTS!$J$131))="Upfront",--(TIMELINE!Q121=1),IF(IF(INPUTS!$J$131="Follow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End","Upfront",INPUTS!$J$131))="Front-loaded",(TIMELINE!$C$120-TIMELINE!Q121+1)*2/(TIMELINE!$C$120*(TIMELINE!$C$120+1)),IF(IF(INPUTS!$J$131="Follow Project Life","Even",IF(INPUTS!$J$131="At Project End","Upfront",INPUTS!$J$131))="Back-loaded",TIMELINE!Q121*2/(TIMELINE!$C$120*(TIMELINE!$C$120+1)),IF(IF(INPUTS!$J$131="Follow Project Life","Even",IF(INPUTS!$J$131="At Project End","Upfront",INPUTS!$J$131))="S-curve",SIN(PI()*(TIMELINE!Q121-0.5)/TIMELINE!$C$120)*SIN(PI()/(2*TIMELINE!$C$120)),0))))))))))</f>
        <v>0.0499502112523148</v>
      </c>
      <c r="R122" s="118" t="n">
        <f aca="false">IF(INPUTS!$F$131&lt;&gt;"Yes",0,IF(INPUTS!$J$131="Follow Construction",R$101,IF(INPUTS!$J$131="Follow Sales",R$99,IF(INPUTS!$J$131="Follow Collections",R$108,IF(OR(TIMELINE!R121=0,TIMELINE!$C$120=0),0,IF(IF(INPUTS!$J$131="Follow Project Life","Even",IF(INPUTS!$J$131="At Project End","Upfront",INPUTS!$J$131))="Upfront",--(TIMELINE!R121=1),IF(IF(INPUTS!$J$131="Follow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End","Upfront",INPUTS!$J$131))="Front-loaded",(TIMELINE!$C$120-TIMELINE!R121+1)*2/(TIMELINE!$C$120*(TIMELINE!$C$120+1)),IF(IF(INPUTS!$J$131="Follow Project Life","Even",IF(INPUTS!$J$131="At Project End","Upfront",INPUTS!$J$131))="Back-loaded",TIMELINE!R121*2/(TIMELINE!$C$120*(TIMELINE!$C$120+1)),IF(IF(INPUTS!$J$131="Follow Project Life","Even",IF(INPUTS!$J$131="At Project End","Upfront",INPUTS!$J$131))="S-curve",SIN(PI()*(TIMELINE!R121-0.5)/TIMELINE!$C$120)*SIN(PI()/(2*TIMELINE!$C$120)),0))))))))))</f>
        <v>0.0170370868554659</v>
      </c>
      <c r="S122" s="118" t="n">
        <f aca="false">IF(INPUTS!$F$131&lt;&gt;"Yes",0,IF(INPUTS!$J$131="Follow Construction",S$101,IF(INPUTS!$J$131="Follow Sales",S$99,IF(INPUTS!$J$131="Follow Collections",S$108,IF(OR(TIMELINE!S121=0,TIMELINE!$C$120=0),0,IF(IF(INPUTS!$J$131="Follow Project Life","Even",IF(INPUTS!$J$131="At Project End","Upfront",INPUTS!$J$131))="Upfront",--(TIMELINE!S121=1),IF(IF(INPUTS!$J$131="Follow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End","Upfront",INPUTS!$J$131))="Front-loaded",(TIMELINE!$C$120-TIMELINE!S121+1)*2/(TIMELINE!$C$120*(TIMELINE!$C$120+1)),IF(IF(INPUTS!$J$131="Follow Project Life","Even",IF(INPUTS!$J$131="At Project End","Upfront",INPUTS!$J$131))="Back-loaded",TIMELINE!S121*2/(TIMELINE!$C$120*(TIMELINE!$C$120+1)),IF(IF(INPUTS!$J$131="Follow Project Life","Even",IF(INPUTS!$J$131="At Project End","Upfront",INPUTS!$J$131))="S-curve",SIN(PI()*(TIMELINE!S121-0.5)/TIMELINE!$C$120)*SIN(PI()/(2*TIMELINE!$C$120)),0))))))))))</f>
        <v>0</v>
      </c>
      <c r="T122" s="118" t="n">
        <f aca="false">IF(INPUTS!$F$131&lt;&gt;"Yes",0,IF(INPUTS!$J$131="Follow Construction",T$101,IF(INPUTS!$J$131="Follow Sales",T$99,IF(INPUTS!$J$131="Follow Collections",T$108,IF(OR(TIMELINE!T121=0,TIMELINE!$C$120=0),0,IF(IF(INPUTS!$J$131="Follow Project Life","Even",IF(INPUTS!$J$131="At Project End","Upfront",INPUTS!$J$131))="Upfront",--(TIMELINE!T121=1),IF(IF(INPUTS!$J$131="Follow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End","Upfront",INPUTS!$J$131))="Front-loaded",(TIMELINE!$C$120-TIMELINE!T121+1)*2/(TIMELINE!$C$120*(TIMELINE!$C$120+1)),IF(IF(INPUTS!$J$131="Follow Project Life","Even",IF(INPUTS!$J$131="At Project End","Upfront",INPUTS!$J$131))="Back-loaded",TIMELINE!T121*2/(TIMELINE!$C$120*(TIMELINE!$C$120+1)),IF(IF(INPUTS!$J$131="Follow Project Life","Even",IF(INPUTS!$J$131="At Project End","Upfront",INPUTS!$J$131))="S-curve",SIN(PI()*(TIMELINE!T121-0.5)/TIMELINE!$C$120)*SIN(PI()/(2*TIMELINE!$C$120)),0))))))))))</f>
        <v>0</v>
      </c>
      <c r="U122" s="118" t="n">
        <f aca="false">IF(INPUTS!$F$131&lt;&gt;"Yes",0,IF(INPUTS!$J$131="Follow Construction",U$101,IF(INPUTS!$J$131="Follow Sales",U$99,IF(INPUTS!$J$131="Follow Collections",U$108,IF(OR(TIMELINE!U121=0,TIMELINE!$C$120=0),0,IF(IF(INPUTS!$J$131="Follow Project Life","Even",IF(INPUTS!$J$131="At Project End","Upfront",INPUTS!$J$131))="Upfront",--(TIMELINE!U121=1),IF(IF(INPUTS!$J$131="Follow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End","Upfront",INPUTS!$J$131))="Front-loaded",(TIMELINE!$C$120-TIMELINE!U121+1)*2/(TIMELINE!$C$120*(TIMELINE!$C$120+1)),IF(IF(INPUTS!$J$131="Follow Project Life","Even",IF(INPUTS!$J$131="At Project End","Upfront",INPUTS!$J$131))="Back-loaded",TIMELINE!U121*2/(TIMELINE!$C$120*(TIMELINE!$C$120+1)),IF(IF(INPUTS!$J$131="Follow Project Life","Even",IF(INPUTS!$J$131="At Project End","Upfront",INPUTS!$J$131))="S-curve",SIN(PI()*(TIMELINE!U121-0.5)/TIMELINE!$C$120)*SIN(PI()/(2*TIMELINE!$C$120)),0))))))))))</f>
        <v>0</v>
      </c>
      <c r="V122" s="118" t="n">
        <f aca="false">IF(INPUTS!$F$131&lt;&gt;"Yes",0,IF(INPUTS!$J$131="Follow Construction",V$101,IF(INPUTS!$J$131="Follow Sales",V$99,IF(INPUTS!$J$131="Follow Collections",V$108,IF(OR(TIMELINE!V121=0,TIMELINE!$C$120=0),0,IF(IF(INPUTS!$J$131="Follow Project Life","Even",IF(INPUTS!$J$131="At Project End","Upfront",INPUTS!$J$131))="Upfront",--(TIMELINE!V121=1),IF(IF(INPUTS!$J$131="Follow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End","Upfront",INPUTS!$J$131))="Front-loaded",(TIMELINE!$C$120-TIMELINE!V121+1)*2/(TIMELINE!$C$120*(TIMELINE!$C$120+1)),IF(IF(INPUTS!$J$131="Follow Project Life","Even",IF(INPUTS!$J$131="At Project End","Upfront",INPUTS!$J$131))="Back-loaded",TIMELINE!V121*2/(TIMELINE!$C$120*(TIMELINE!$C$120+1)),IF(IF(INPUTS!$J$131="Follow Project Life","Even",IF(INPUTS!$J$131="At Project End","Upfront",INPUTS!$J$131))="S-curve",SIN(PI()*(TIMELINE!V121-0.5)/TIMELINE!$C$120)*SIN(PI()/(2*TIMELINE!$C$120)),0))))))))))</f>
        <v>0</v>
      </c>
      <c r="W122" s="118" t="n">
        <f aca="false">IF(INPUTS!$F$131&lt;&gt;"Yes",0,IF(INPUTS!$J$131="Follow Construction",W$101,IF(INPUTS!$J$131="Follow Sales",W$99,IF(INPUTS!$J$131="Follow Collections",W$108,IF(OR(TIMELINE!W121=0,TIMELINE!$C$120=0),0,IF(IF(INPUTS!$J$131="Follow Project Life","Even",IF(INPUTS!$J$131="At Project End","Upfront",INPUTS!$J$131))="Upfront",--(TIMELINE!W121=1),IF(IF(INPUTS!$J$131="Follow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End","Upfront",INPUTS!$J$131))="Front-loaded",(TIMELINE!$C$120-TIMELINE!W121+1)*2/(TIMELINE!$C$120*(TIMELINE!$C$120+1)),IF(IF(INPUTS!$J$131="Follow Project Life","Even",IF(INPUTS!$J$131="At Project End","Upfront",INPUTS!$J$131))="Back-loaded",TIMELINE!W121*2/(TIMELINE!$C$120*(TIMELINE!$C$120+1)),IF(IF(INPUTS!$J$131="Follow Project Life","Even",IF(INPUTS!$J$131="At Project End","Upfront",INPUTS!$J$131))="S-curve",SIN(PI()*(TIMELINE!W121-0.5)/TIMELINE!$C$120)*SIN(PI()/(2*TIMELINE!$C$120)),0))))))))))</f>
        <v>0</v>
      </c>
      <c r="X122" s="118" t="n">
        <f aca="false">IF(INPUTS!$F$131&lt;&gt;"Yes",0,IF(INPUTS!$J$131="Follow Construction",X$101,IF(INPUTS!$J$131="Follow Sales",X$99,IF(INPUTS!$J$131="Follow Collections",X$108,IF(OR(TIMELINE!X121=0,TIMELINE!$C$120=0),0,IF(IF(INPUTS!$J$131="Follow Project Life","Even",IF(INPUTS!$J$131="At Project End","Upfront",INPUTS!$J$131))="Upfront",--(TIMELINE!X121=1),IF(IF(INPUTS!$J$131="Follow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End","Upfront",INPUTS!$J$131))="Front-loaded",(TIMELINE!$C$120-TIMELINE!X121+1)*2/(TIMELINE!$C$120*(TIMELINE!$C$120+1)),IF(IF(INPUTS!$J$131="Follow Project Life","Even",IF(INPUTS!$J$131="At Project End","Upfront",INPUTS!$J$131))="Back-loaded",TIMELINE!X121*2/(TIMELINE!$C$120*(TIMELINE!$C$120+1)),IF(IF(INPUTS!$J$131="Follow Project Life","Even",IF(INPUTS!$J$131="At Project End","Upfront",INPUTS!$J$131))="S-curve",SIN(PI()*(TIMELINE!X121-0.5)/TIMELINE!$C$120)*SIN(PI()/(2*TIMELINE!$C$120)),0))))))))))</f>
        <v>0</v>
      </c>
      <c r="Y122" s="118" t="n">
        <f aca="false">IF(INPUTS!$F$131&lt;&gt;"Yes",0,IF(INPUTS!$J$131="Follow Construction",Y$101,IF(INPUTS!$J$131="Follow Sales",Y$99,IF(INPUTS!$J$131="Follow Collections",Y$108,IF(OR(TIMELINE!Y121=0,TIMELINE!$C$120=0),0,IF(IF(INPUTS!$J$131="Follow Project Life","Even",IF(INPUTS!$J$131="At Project End","Upfront",INPUTS!$J$131))="Upfront",--(TIMELINE!Y121=1),IF(IF(INPUTS!$J$131="Follow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End","Upfront",INPUTS!$J$131))="Front-loaded",(TIMELINE!$C$120-TIMELINE!Y121+1)*2/(TIMELINE!$C$120*(TIMELINE!$C$120+1)),IF(IF(INPUTS!$J$131="Follow Project Life","Even",IF(INPUTS!$J$131="At Project End","Upfront",INPUTS!$J$131))="Back-loaded",TIMELINE!Y121*2/(TIMELINE!$C$120*(TIMELINE!$C$120+1)),IF(IF(INPUTS!$J$131="Follow Project Life","Even",IF(INPUTS!$J$131="At Project End","Upfront",INPUTS!$J$131))="S-curve",SIN(PI()*(TIMELINE!Y121-0.5)/TIMELINE!$C$120)*SIN(PI()/(2*TIMELINE!$C$120)),0))))))))))</f>
        <v>0</v>
      </c>
      <c r="Z122" s="118" t="n">
        <f aca="false">IF(INPUTS!$F$131&lt;&gt;"Yes",0,IF(INPUTS!$J$131="Follow Construction",Z$101,IF(INPUTS!$J$131="Follow Sales",Z$99,IF(INPUTS!$J$131="Follow Collections",Z$108,IF(OR(TIMELINE!Z121=0,TIMELINE!$C$120=0),0,IF(IF(INPUTS!$J$131="Follow Project Life","Even",IF(INPUTS!$J$131="At Project End","Upfront",INPUTS!$J$131))="Upfront",--(TIMELINE!Z121=1),IF(IF(INPUTS!$J$131="Follow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End","Upfront",INPUTS!$J$131))="Front-loaded",(TIMELINE!$C$120-TIMELINE!Z121+1)*2/(TIMELINE!$C$120*(TIMELINE!$C$120+1)),IF(IF(INPUTS!$J$131="Follow Project Life","Even",IF(INPUTS!$J$131="At Project End","Upfront",INPUTS!$J$131))="Back-loaded",TIMELINE!Z121*2/(TIMELINE!$C$120*(TIMELINE!$C$120+1)),IF(IF(INPUTS!$J$131="Follow Project Life","Even",IF(INPUTS!$J$131="At Project End","Upfront",INPUTS!$J$131))="S-curve",SIN(PI()*(TIMELINE!Z121-0.5)/TIMELINE!$C$120)*SIN(PI()/(2*TIMELINE!$C$120)),0))))))))))</f>
        <v>0</v>
      </c>
      <c r="AA122" s="118" t="n">
        <f aca="false">IF(INPUTS!$F$131&lt;&gt;"Yes",0,IF(INPUTS!$J$131="Follow Construction",AA$101,IF(INPUTS!$J$131="Follow Sales",AA$99,IF(INPUTS!$J$131="Follow Collections",AA$108,IF(OR(TIMELINE!AA121=0,TIMELINE!$C$120=0),0,IF(IF(INPUTS!$J$131="Follow Project Life","Even",IF(INPUTS!$J$131="At Project End","Upfront",INPUTS!$J$131))="Upfront",--(TIMELINE!AA121=1),IF(IF(INPUTS!$J$131="Follow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End","Upfront",INPUTS!$J$131))="Front-loaded",(TIMELINE!$C$120-TIMELINE!AA121+1)*2/(TIMELINE!$C$120*(TIMELINE!$C$120+1)),IF(IF(INPUTS!$J$131="Follow Project Life","Even",IF(INPUTS!$J$131="At Project End","Upfront",INPUTS!$J$131))="Back-loaded",TIMELINE!AA121*2/(TIMELINE!$C$120*(TIMELINE!$C$120+1)),IF(IF(INPUTS!$J$131="Follow Project Life","Even",IF(INPUTS!$J$131="At Project End","Upfront",INPUTS!$J$131))="S-curve",SIN(PI()*(TIMELINE!AA121-0.5)/TIMELINE!$C$120)*SIN(PI()/(2*TIMELINE!$C$120)),0))))))))))</f>
        <v>0</v>
      </c>
      <c r="AB122" s="118" t="n">
        <f aca="false">IF(INPUTS!$F$131&lt;&gt;"Yes",0,IF(INPUTS!$J$131="Follow Construction",AB$101,IF(INPUTS!$J$131="Follow Sales",AB$99,IF(INPUTS!$J$131="Follow Collections",AB$108,IF(OR(TIMELINE!AB121=0,TIMELINE!$C$120=0),0,IF(IF(INPUTS!$J$131="Follow Project Life","Even",IF(INPUTS!$J$131="At Project End","Upfront",INPUTS!$J$131))="Upfront",--(TIMELINE!AB121=1),IF(IF(INPUTS!$J$131="Follow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End","Upfront",INPUTS!$J$131))="Front-loaded",(TIMELINE!$C$120-TIMELINE!AB121+1)*2/(TIMELINE!$C$120*(TIMELINE!$C$120+1)),IF(IF(INPUTS!$J$131="Follow Project Life","Even",IF(INPUTS!$J$131="At Project End","Upfront",INPUTS!$J$131))="Back-loaded",TIMELINE!AB121*2/(TIMELINE!$C$120*(TIMELINE!$C$120+1)),IF(IF(INPUTS!$J$131="Follow Project Life","Even",IF(INPUTS!$J$131="At Project End","Upfront",INPUTS!$J$131))="S-curve",SIN(PI()*(TIMELINE!AB121-0.5)/TIMELINE!$C$120)*SIN(PI()/(2*TIMELINE!$C$120)),0))))))))))</f>
        <v>0</v>
      </c>
      <c r="AC122" s="118" t="n">
        <f aca="false">IF(INPUTS!$F$131&lt;&gt;"Yes",0,IF(INPUTS!$J$131="Follow Construction",AC$101,IF(INPUTS!$J$131="Follow Sales",AC$99,IF(INPUTS!$J$131="Follow Collections",AC$108,IF(OR(TIMELINE!AC121=0,TIMELINE!$C$120=0),0,IF(IF(INPUTS!$J$131="Follow Project Life","Even",IF(INPUTS!$J$131="At Project End","Upfront",INPUTS!$J$131))="Upfront",--(TIMELINE!AC121=1),IF(IF(INPUTS!$J$131="Follow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End","Upfront",INPUTS!$J$131))="Front-loaded",(TIMELINE!$C$120-TIMELINE!AC121+1)*2/(TIMELINE!$C$120*(TIMELINE!$C$120+1)),IF(IF(INPUTS!$J$131="Follow Project Life","Even",IF(INPUTS!$J$131="At Project End","Upfront",INPUTS!$J$131))="Back-loaded",TIMELINE!AC121*2/(TIMELINE!$C$120*(TIMELINE!$C$120+1)),IF(IF(INPUTS!$J$131="Follow Project Life","Even",IF(INPUTS!$J$131="At Project End","Upfront",INPUTS!$J$131))="S-curve",SIN(PI()*(TIMELINE!AC121-0.5)/TIMELINE!$C$120)*SIN(PI()/(2*TIMELINE!$C$120)),0))))))))))</f>
        <v>0</v>
      </c>
      <c r="AD122" s="118" t="n">
        <f aca="false">IF(INPUTS!$F$131&lt;&gt;"Yes",0,IF(INPUTS!$J$131="Follow Construction",AD$101,IF(INPUTS!$J$131="Follow Sales",AD$99,IF(INPUTS!$J$131="Follow Collections",AD$108,IF(OR(TIMELINE!AD121=0,TIMELINE!$C$120=0),0,IF(IF(INPUTS!$J$131="Follow Project Life","Even",IF(INPUTS!$J$131="At Project End","Upfront",INPUTS!$J$131))="Upfront",--(TIMELINE!AD121=1),IF(IF(INPUTS!$J$131="Follow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End","Upfront",INPUTS!$J$131))="Front-loaded",(TIMELINE!$C$120-TIMELINE!AD121+1)*2/(TIMELINE!$C$120*(TIMELINE!$C$120+1)),IF(IF(INPUTS!$J$131="Follow Project Life","Even",IF(INPUTS!$J$131="At Project End","Upfront",INPUTS!$J$131))="Back-loaded",TIMELINE!AD121*2/(TIMELINE!$C$120*(TIMELINE!$C$120+1)),IF(IF(INPUTS!$J$131="Follow Project Life","Even",IF(INPUTS!$J$131="At Project End","Upfront",INPUTS!$J$131))="S-curve",SIN(PI()*(TIMELINE!AD121-0.5)/TIMELINE!$C$120)*SIN(PI()/(2*TIMELINE!$C$120)),0))))))))))</f>
        <v>0</v>
      </c>
      <c r="AE122" s="118" t="n">
        <f aca="false">IF(INPUTS!$F$131&lt;&gt;"Yes",0,IF(INPUTS!$J$131="Follow Construction",AE$101,IF(INPUTS!$J$131="Follow Sales",AE$99,IF(INPUTS!$J$131="Follow Collections",AE$108,IF(OR(TIMELINE!AE121=0,TIMELINE!$C$120=0),0,IF(IF(INPUTS!$J$131="Follow Project Life","Even",IF(INPUTS!$J$131="At Project End","Upfront",INPUTS!$J$131))="Upfront",--(TIMELINE!AE121=1),IF(IF(INPUTS!$J$131="Follow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End","Upfront",INPUTS!$J$131))="Front-loaded",(TIMELINE!$C$120-TIMELINE!AE121+1)*2/(TIMELINE!$C$120*(TIMELINE!$C$120+1)),IF(IF(INPUTS!$J$131="Follow Project Life","Even",IF(INPUTS!$J$131="At Project End","Upfront",INPUTS!$J$131))="Back-loaded",TIMELINE!AE121*2/(TIMELINE!$C$120*(TIMELINE!$C$120+1)),IF(IF(INPUTS!$J$131="Follow Project Life","Even",IF(INPUTS!$J$131="At Project End","Upfront",INPUTS!$J$131))="S-curve",SIN(PI()*(TIMELINE!AE121-0.5)/TIMELINE!$C$120)*SIN(PI()/(2*TIMELINE!$C$120)),0))))))))))</f>
        <v>0</v>
      </c>
      <c r="AF122" s="118" t="n">
        <f aca="false">IF(INPUTS!$F$131&lt;&gt;"Yes",0,IF(INPUTS!$J$131="Follow Construction",AF$101,IF(INPUTS!$J$131="Follow Sales",AF$99,IF(INPUTS!$J$131="Follow Collections",AF$108,IF(OR(TIMELINE!AF121=0,TIMELINE!$C$120=0),0,IF(IF(INPUTS!$J$131="Follow Project Life","Even",IF(INPUTS!$J$131="At Project End","Upfront",INPUTS!$J$131))="Upfront",--(TIMELINE!AF121=1),IF(IF(INPUTS!$J$131="Follow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End","Upfront",INPUTS!$J$131))="Front-loaded",(TIMELINE!$C$120-TIMELINE!AF121+1)*2/(TIMELINE!$C$120*(TIMELINE!$C$120+1)),IF(IF(INPUTS!$J$131="Follow Project Life","Even",IF(INPUTS!$J$131="At Project End","Upfront",INPUTS!$J$131))="Back-loaded",TIMELINE!AF121*2/(TIMELINE!$C$120*(TIMELINE!$C$120+1)),IF(IF(INPUTS!$J$131="Follow Project Life","Even",IF(INPUTS!$J$131="At Project End","Upfront",INPUTS!$J$131))="S-curve",SIN(PI()*(TIMELINE!AF121-0.5)/TIMELINE!$C$120)*SIN(PI()/(2*TIMELINE!$C$120)),0))))))))))</f>
        <v>0</v>
      </c>
      <c r="AG122" s="118" t="n">
        <f aca="false">IF(INPUTS!$F$131&lt;&gt;"Yes",0,IF(INPUTS!$J$131="Follow Construction",AG$101,IF(INPUTS!$J$131="Follow Sales",AG$99,IF(INPUTS!$J$131="Follow Collections",AG$108,IF(OR(TIMELINE!AG121=0,TIMELINE!$C$120=0),0,IF(IF(INPUTS!$J$131="Follow Project Life","Even",IF(INPUTS!$J$131="At Project End","Upfront",INPUTS!$J$131))="Upfront",--(TIMELINE!AG121=1),IF(IF(INPUTS!$J$131="Follow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End","Upfront",INPUTS!$J$131))="Front-loaded",(TIMELINE!$C$120-TIMELINE!AG121+1)*2/(TIMELINE!$C$120*(TIMELINE!$C$120+1)),IF(IF(INPUTS!$J$131="Follow Project Life","Even",IF(INPUTS!$J$131="At Project End","Upfront",INPUTS!$J$131))="Back-loaded",TIMELINE!AG121*2/(TIMELINE!$C$120*(TIMELINE!$C$120+1)),IF(IF(INPUTS!$J$131="Follow Project Life","Even",IF(INPUTS!$J$131="At Project End","Upfront",INPUTS!$J$131))="S-curve",SIN(PI()*(TIMELINE!AG121-0.5)/TIMELINE!$C$120)*SIN(PI()/(2*TIMELINE!$C$120)),0))))))))))</f>
        <v>0</v>
      </c>
      <c r="AH122" s="118" t="n">
        <f aca="false">IF(INPUTS!$F$131&lt;&gt;"Yes",0,IF(INPUTS!$J$131="Follow Construction",AH$101,IF(INPUTS!$J$131="Follow Sales",AH$99,IF(INPUTS!$J$131="Follow Collections",AH$108,IF(OR(TIMELINE!AH121=0,TIMELINE!$C$120=0),0,IF(IF(INPUTS!$J$131="Follow Project Life","Even",IF(INPUTS!$J$131="At Project End","Upfront",INPUTS!$J$131))="Upfront",--(TIMELINE!AH121=1),IF(IF(INPUTS!$J$131="Follow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End","Upfront",INPUTS!$J$131))="Front-loaded",(TIMELINE!$C$120-TIMELINE!AH121+1)*2/(TIMELINE!$C$120*(TIMELINE!$C$120+1)),IF(IF(INPUTS!$J$131="Follow Project Life","Even",IF(INPUTS!$J$131="At Project End","Upfront",INPUTS!$J$131))="Back-loaded",TIMELINE!AH121*2/(TIMELINE!$C$120*(TIMELINE!$C$120+1)),IF(IF(INPUTS!$J$131="Follow Project Life","Even",IF(INPUTS!$J$131="At Project End","Upfront",INPUTS!$J$131))="S-curve",SIN(PI()*(TIMELINE!AH121-0.5)/TIMELINE!$C$120)*SIN(PI()/(2*TIMELINE!$C$120)),0))))))))))</f>
        <v>0</v>
      </c>
      <c r="AI122" s="118" t="n">
        <f aca="false">IF(INPUTS!$F$131&lt;&gt;"Yes",0,IF(INPUTS!$J$131="Follow Construction",AI$101,IF(INPUTS!$J$131="Follow Sales",AI$99,IF(INPUTS!$J$131="Follow Collections",AI$108,IF(OR(TIMELINE!AI121=0,TIMELINE!$C$120=0),0,IF(IF(INPUTS!$J$131="Follow Project Life","Even",IF(INPUTS!$J$131="At Project End","Upfront",INPUTS!$J$131))="Upfront",--(TIMELINE!AI121=1),IF(IF(INPUTS!$J$131="Follow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End","Upfront",INPUTS!$J$131))="Front-loaded",(TIMELINE!$C$120-TIMELINE!AI121+1)*2/(TIMELINE!$C$120*(TIMELINE!$C$120+1)),IF(IF(INPUTS!$J$131="Follow Project Life","Even",IF(INPUTS!$J$131="At Project End","Upfront",INPUTS!$J$131))="Back-loaded",TIMELINE!AI121*2/(TIMELINE!$C$120*(TIMELINE!$C$120+1)),IF(IF(INPUTS!$J$131="Follow Project Life","Even",IF(INPUTS!$J$131="At Project End","Upfront",INPUTS!$J$131))="S-curve",SIN(PI()*(TIMELINE!AI121-0.5)/TIMELINE!$C$120)*SIN(PI()/(2*TIMELINE!$C$120)),0))))))))))</f>
        <v>0</v>
      </c>
      <c r="AJ122" s="118" t="n">
        <f aca="false">IF(INPUTS!$F$131&lt;&gt;"Yes",0,IF(INPUTS!$J$131="Follow Construction",AJ$101,IF(INPUTS!$J$131="Follow Sales",AJ$99,IF(INPUTS!$J$131="Follow Collections",AJ$108,IF(OR(TIMELINE!AJ121=0,TIMELINE!$C$120=0),0,IF(IF(INPUTS!$J$131="Follow Project Life","Even",IF(INPUTS!$J$131="At Project End","Upfront",INPUTS!$J$131))="Upfront",--(TIMELINE!AJ121=1),IF(IF(INPUTS!$J$131="Follow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End","Upfront",INPUTS!$J$131))="Front-loaded",(TIMELINE!$C$120-TIMELINE!AJ121+1)*2/(TIMELINE!$C$120*(TIMELINE!$C$120+1)),IF(IF(INPUTS!$J$131="Follow Project Life","Even",IF(INPUTS!$J$131="At Project End","Upfront",INPUTS!$J$131))="Back-loaded",TIMELINE!AJ121*2/(TIMELINE!$C$120*(TIMELINE!$C$120+1)),IF(IF(INPUTS!$J$131="Follow Project Life","Even",IF(INPUTS!$J$131="At Project End","Upfront",INPUTS!$J$131))="S-curve",SIN(PI()*(TIMELINE!AJ121-0.5)/TIMELINE!$C$120)*SIN(PI()/(2*TIMELINE!$C$120)),0))))))))))</f>
        <v>0</v>
      </c>
      <c r="AK122" s="118" t="n">
        <f aca="false">IF(INPUTS!$F$131&lt;&gt;"Yes",0,IF(INPUTS!$J$131="Follow Construction",AK$101,IF(INPUTS!$J$131="Follow Sales",AK$99,IF(INPUTS!$J$131="Follow Collections",AK$108,IF(OR(TIMELINE!AK121=0,TIMELINE!$C$120=0),0,IF(IF(INPUTS!$J$131="Follow Project Life","Even",IF(INPUTS!$J$131="At Project End","Upfront",INPUTS!$J$131))="Upfront",--(TIMELINE!AK121=1),IF(IF(INPUTS!$J$131="Follow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End","Upfront",INPUTS!$J$131))="Front-loaded",(TIMELINE!$C$120-TIMELINE!AK121+1)*2/(TIMELINE!$C$120*(TIMELINE!$C$120+1)),IF(IF(INPUTS!$J$131="Follow Project Life","Even",IF(INPUTS!$J$131="At Project End","Upfront",INPUTS!$J$131))="Back-loaded",TIMELINE!AK121*2/(TIMELINE!$C$120*(TIMELINE!$C$120+1)),IF(IF(INPUTS!$J$131="Follow Project Life","Even",IF(INPUTS!$J$131="At Project End","Upfront",INPUTS!$J$131))="S-curve",SIN(PI()*(TIMELINE!AK121-0.5)/TIMELINE!$C$120)*SIN(PI()/(2*TIMELINE!$C$120)),0))))))))))</f>
        <v>0</v>
      </c>
      <c r="AL122" s="118" t="n">
        <f aca="false">IF(INPUTS!$F$131&lt;&gt;"Yes",0,IF(INPUTS!$J$131="Follow Construction",AL$101,IF(INPUTS!$J$131="Follow Sales",AL$99,IF(INPUTS!$J$131="Follow Collections",AL$108,IF(OR(TIMELINE!AL121=0,TIMELINE!$C$120=0),0,IF(IF(INPUTS!$J$131="Follow Project Life","Even",IF(INPUTS!$J$131="At Project End","Upfront",INPUTS!$J$131))="Upfront",--(TIMELINE!AL121=1),IF(IF(INPUTS!$J$131="Follow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End","Upfront",INPUTS!$J$131))="Front-loaded",(TIMELINE!$C$120-TIMELINE!AL121+1)*2/(TIMELINE!$C$120*(TIMELINE!$C$120+1)),IF(IF(INPUTS!$J$131="Follow Project Life","Even",IF(INPUTS!$J$131="At Project End","Upfront",INPUTS!$J$131))="Back-loaded",TIMELINE!AL121*2/(TIMELINE!$C$120*(TIMELINE!$C$120+1)),IF(IF(INPUTS!$J$131="Follow Project Life","Even",IF(INPUTS!$J$131="At Project End","Upfront",INPUTS!$J$131))="S-curve",SIN(PI()*(TIMELINE!AL121-0.5)/TIMELINE!$C$120)*SIN(PI()/(2*TIMELINE!$C$120)),0))))))))))</f>
        <v>0</v>
      </c>
      <c r="AM122" s="118" t="n">
        <f aca="false">IF(INPUTS!$F$131&lt;&gt;"Yes",0,IF(INPUTS!$J$131="Follow Construction",AM$101,IF(INPUTS!$J$131="Follow Sales",AM$99,IF(INPUTS!$J$131="Follow Collections",AM$108,IF(OR(TIMELINE!AM121=0,TIMELINE!$C$120=0),0,IF(IF(INPUTS!$J$131="Follow Project Life","Even",IF(INPUTS!$J$131="At Project End","Upfront",INPUTS!$J$131))="Upfront",--(TIMELINE!AM121=1),IF(IF(INPUTS!$J$131="Follow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End","Upfront",INPUTS!$J$131))="Front-loaded",(TIMELINE!$C$120-TIMELINE!AM121+1)*2/(TIMELINE!$C$120*(TIMELINE!$C$120+1)),IF(IF(INPUTS!$J$131="Follow Project Life","Even",IF(INPUTS!$J$131="At Project End","Upfront",INPUTS!$J$131))="Back-loaded",TIMELINE!AM121*2/(TIMELINE!$C$120*(TIMELINE!$C$120+1)),IF(IF(INPUTS!$J$131="Follow Project Life","Even",IF(INPUTS!$J$131="At Project End","Upfront",INPUTS!$J$131))="S-curve",SIN(PI()*(TIMELINE!AM121-0.5)/TIMELINE!$C$120)*SIN(PI()/(2*TIMELINE!$C$120)),0))))))))))</f>
        <v>0</v>
      </c>
      <c r="AN122" s="118" t="n">
        <f aca="false">IF(INPUTS!$F$131&lt;&gt;"Yes",0,IF(INPUTS!$J$131="Follow Construction",AN$101,IF(INPUTS!$J$131="Follow Sales",AN$99,IF(INPUTS!$J$131="Follow Collections",AN$108,IF(OR(TIMELINE!AN121=0,TIMELINE!$C$120=0),0,IF(IF(INPUTS!$J$131="Follow Project Life","Even",IF(INPUTS!$J$131="At Project End","Upfront",INPUTS!$J$131))="Upfront",--(TIMELINE!AN121=1),IF(IF(INPUTS!$J$131="Follow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End","Upfront",INPUTS!$J$131))="Front-loaded",(TIMELINE!$C$120-TIMELINE!AN121+1)*2/(TIMELINE!$C$120*(TIMELINE!$C$120+1)),IF(IF(INPUTS!$J$131="Follow Project Life","Even",IF(INPUTS!$J$131="At Project End","Upfront",INPUTS!$J$131))="Back-loaded",TIMELINE!AN121*2/(TIMELINE!$C$120*(TIMELINE!$C$120+1)),IF(IF(INPUTS!$J$131="Follow Project Life","Even",IF(INPUTS!$J$131="At Project End","Upfront",INPUTS!$J$131))="S-curve",SIN(PI()*(TIMELINE!AN121-0.5)/TIMELINE!$C$120)*SIN(PI()/(2*TIMELINE!$C$120)),0))))))))))</f>
        <v>0</v>
      </c>
      <c r="AO122" s="118" t="n">
        <f aca="false">IF(INPUTS!$F$131&lt;&gt;"Yes",0,IF(INPUTS!$J$131="Follow Construction",AO$101,IF(INPUTS!$J$131="Follow Sales",AO$99,IF(INPUTS!$J$131="Follow Collections",AO$108,IF(OR(TIMELINE!AO121=0,TIMELINE!$C$120=0),0,IF(IF(INPUTS!$J$131="Follow Project Life","Even",IF(INPUTS!$J$131="At Project End","Upfront",INPUTS!$J$131))="Upfront",--(TIMELINE!AO121=1),IF(IF(INPUTS!$J$131="Follow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End","Upfront",INPUTS!$J$131))="Front-loaded",(TIMELINE!$C$120-TIMELINE!AO121+1)*2/(TIMELINE!$C$120*(TIMELINE!$C$120+1)),IF(IF(INPUTS!$J$131="Follow Project Life","Even",IF(INPUTS!$J$131="At Project End","Upfront",INPUTS!$J$131))="Back-loaded",TIMELINE!AO121*2/(TIMELINE!$C$120*(TIMELINE!$C$120+1)),IF(IF(INPUTS!$J$131="Follow Project Life","Even",IF(INPUTS!$J$131="At Project End","Upfront",INPUTS!$J$131))="S-curve",SIN(PI()*(TIMELINE!AO121-0.5)/TIMELINE!$C$120)*SIN(PI()/(2*TIMELINE!$C$120)),0))))))))))</f>
        <v>0</v>
      </c>
      <c r="AP122" s="118" t="n">
        <f aca="false">IF(INPUTS!$F$131&lt;&gt;"Yes",0,IF(INPUTS!$J$131="Follow Construction",AP$101,IF(INPUTS!$J$131="Follow Sales",AP$99,IF(INPUTS!$J$131="Follow Collections",AP$108,IF(OR(TIMELINE!AP121=0,TIMELINE!$C$120=0),0,IF(IF(INPUTS!$J$131="Follow Project Life","Even",IF(INPUTS!$J$131="At Project End","Upfront",INPUTS!$J$131))="Upfront",--(TIMELINE!AP121=1),IF(IF(INPUTS!$J$131="Follow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End","Upfront",INPUTS!$J$131))="Front-loaded",(TIMELINE!$C$120-TIMELINE!AP121+1)*2/(TIMELINE!$C$120*(TIMELINE!$C$120+1)),IF(IF(INPUTS!$J$131="Follow Project Life","Even",IF(INPUTS!$J$131="At Project End","Upfront",INPUTS!$J$131))="Back-loaded",TIMELINE!AP121*2/(TIMELINE!$C$120*(TIMELINE!$C$120+1)),IF(IF(INPUTS!$J$131="Follow Project Life","Even",IF(INPUTS!$J$131="At Project End","Upfront",INPUTS!$J$131))="S-curve",SIN(PI()*(TIMELINE!AP121-0.5)/TIMELINE!$C$120)*SIN(PI()/(2*TIMELINE!$C$120)),0))))))))))</f>
        <v>0</v>
      </c>
      <c r="AQ122" s="118" t="n">
        <f aca="false">IF(INPUTS!$F$131&lt;&gt;"Yes",0,IF(INPUTS!$J$131="Follow Construction",AQ$101,IF(INPUTS!$J$131="Follow Sales",AQ$99,IF(INPUTS!$J$131="Follow Collections",AQ$108,IF(OR(TIMELINE!AQ121=0,TIMELINE!$C$120=0),0,IF(IF(INPUTS!$J$131="Follow Project Life","Even",IF(INPUTS!$J$131="At Project End","Upfront",INPUTS!$J$131))="Upfront",--(TIMELINE!AQ121=1),IF(IF(INPUTS!$J$131="Follow Project Life","Even",IF(INPUTS!$J$131="At Project End","Upfront",INPUTS!$J$131))="Even",1/TIMELINE!$C$120,IF(IF(INPUTS!$J$131="Follow Project Life","Even",IF(INPUTS!$J$131="At Project End","Upfront",INPUTS!$J$131))="Front-loaded",(TIMELINE!$C$120-TIMELINE!AQ121+1)*2/(TIMELINE!$C$120*(TIMELINE!$C$120+1)),IF(IF(INPUTS!$J$131="Follow Project Life","Even",IF(INPUTS!$J$131="At Project End","Upfront",INPUTS!$J$131))="Back-loaded",TIMELINE!AQ121*2/(TIMELINE!$C$120*(TIMELINE!$C$120+1)),IF(IF(INPUTS!$J$131="Follow Project Life","Even",IF(INPUTS!$J$131="At Project End","Upfront",INPUTS!$J$131))="S-curve",SIN(PI()*(TIMELINE!AQ121-0.5)/TIMELINE!$C$120)*SIN(PI()/(2*TIMELINE!$C$120)),0))))))))))</f>
        <v>0</v>
      </c>
    </row>
    <row r="123" customFormat="false" ht="15" hidden="false" customHeight="false" outlineLevel="0" collapsed="false">
      <c r="B123" s="17" t="s">
        <v>689</v>
      </c>
      <c r="C123" s="105" t="str">
        <f aca="false">IF(INPUTS!$B$131="","",IF(INPUTS!$F$131&lt;&gt;"Yes","Off",IF(INPUTS!$M$131&lt;&gt;"OK","ERROR",IF(ABS(C122-1)&lt;0.000000001,"OK",IF(AND(C122=0,INPUTS!$G$131=0),"Zero","ERROR")))))</f>
        <v>OK</v>
      </c>
    </row>
    <row r="124" customFormat="false" ht="15" hidden="false" customHeight="false" outlineLevel="0" collapsed="false">
      <c r="B124" s="110" t="str">
        <f aca="false">IF(INPUTS!$B$132="","Spare cost row",INPUTS!$B$132)</f>
        <v>APT Construction Cost</v>
      </c>
      <c r="C124" s="111" t="str">
        <f aca="false">IF(INPUTS!$J$132="","",INPUTS!$J$132)</f>
        <v>Follow Construction</v>
      </c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</row>
    <row r="125" customFormat="false" ht="15" hidden="false" customHeight="false" outlineLevel="0" collapsed="false">
      <c r="B125" s="3" t="s">
        <v>688</v>
      </c>
      <c r="C125" s="117" t="n">
        <f aca="false">SUM(D125:AQ125)</f>
        <v>1</v>
      </c>
      <c r="D125" s="118" t="n">
        <f aca="false">IF(INPUTS!$F$132&lt;&gt;"Yes",0,IF(INPUTS!$J$132="Follow Construction",D$102,IF(INPUTS!$J$132="Follow Sales",D$99,IF(INPUTS!$J$132="Follow Collections",D$108,IF(OR(TIMELINE!D125=0,TIMELINE!$C$124=0),0,IF(IF(INPUTS!$J$132="Follow Project Life","Even",IF(INPUTS!$J$132="At Project End","Upfront",INPUTS!$J$132))="Upfront",--(TIMELINE!D125=1),IF(IF(INPUTS!$J$132="Follow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End","Upfront",INPUTS!$J$132))="Front-loaded",(TIMELINE!$C$124-TIMELINE!D125+1)*2/(TIMELINE!$C$124*(TIMELINE!$C$124+1)),IF(IF(INPUTS!$J$132="Follow Project Life","Even",IF(INPUTS!$J$132="At Project End","Upfront",INPUTS!$J$132))="Back-loaded",TIMELINE!D125*2/(TIMELINE!$C$124*(TIMELINE!$C$124+1)),IF(IF(INPUTS!$J$132="Follow Project Life","Even",IF(INPUTS!$J$132="At Project End","Upfront",INPUTS!$J$132))="S-curve",SIN(PI()*(TIMELINE!D125-0.5)/TIMELINE!$C$124)*SIN(PI()/(2*TIMELINE!$C$124)),0))))))))))</f>
        <v>0</v>
      </c>
      <c r="E125" s="118" t="n">
        <f aca="false">IF(INPUTS!$F$132&lt;&gt;"Yes",0,IF(INPUTS!$J$132="Follow Construction",E$102,IF(INPUTS!$J$132="Follow Sales",E$99,IF(INPUTS!$J$132="Follow Collections",E$108,IF(OR(TIMELINE!E125=0,TIMELINE!$C$124=0),0,IF(IF(INPUTS!$J$132="Follow Project Life","Even",IF(INPUTS!$J$132="At Project End","Upfront",INPUTS!$J$132))="Upfront",--(TIMELINE!E125=1),IF(IF(INPUTS!$J$132="Follow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End","Upfront",INPUTS!$J$132))="Front-loaded",(TIMELINE!$C$124-TIMELINE!E125+1)*2/(TIMELINE!$C$124*(TIMELINE!$C$124+1)),IF(IF(INPUTS!$J$132="Follow Project Life","Even",IF(INPUTS!$J$132="At Project End","Upfront",INPUTS!$J$132))="Back-loaded",TIMELINE!E125*2/(TIMELINE!$C$124*(TIMELINE!$C$124+1)),IF(IF(INPUTS!$J$132="Follow Project Life","Even",IF(INPUTS!$J$132="At Project End","Upfront",INPUTS!$J$132))="S-curve",SIN(PI()*(TIMELINE!E125-0.5)/TIMELINE!$C$124)*SIN(PI()/(2*TIMELINE!$C$124)),0))))))))))</f>
        <v>0</v>
      </c>
      <c r="F125" s="118" t="n">
        <f aca="false">IF(INPUTS!$F$132&lt;&gt;"Yes",0,IF(INPUTS!$J$132="Follow Construction",F$102,IF(INPUTS!$J$132="Follow Sales",F$99,IF(INPUTS!$J$132="Follow Collections",F$108,IF(OR(TIMELINE!F125=0,TIMELINE!$C$124=0),0,IF(IF(INPUTS!$J$132="Follow Project Life","Even",IF(INPUTS!$J$132="At Project End","Upfront",INPUTS!$J$132))="Upfront",--(TIMELINE!F125=1),IF(IF(INPUTS!$J$132="Follow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End","Upfront",INPUTS!$J$132))="Front-loaded",(TIMELINE!$C$124-TIMELINE!F125+1)*2/(TIMELINE!$C$124*(TIMELINE!$C$124+1)),IF(IF(INPUTS!$J$132="Follow Project Life","Even",IF(INPUTS!$J$132="At Project End","Upfront",INPUTS!$J$132))="Back-loaded",TIMELINE!F125*2/(TIMELINE!$C$124*(TIMELINE!$C$124+1)),IF(IF(INPUTS!$J$132="Follow Project Life","Even",IF(INPUTS!$J$132="At Project End","Upfront",INPUTS!$J$132))="S-curve",SIN(PI()*(TIMELINE!F125-0.5)/TIMELINE!$C$124)*SIN(PI()/(2*TIMELINE!$C$124)),0))))))))))</f>
        <v>0</v>
      </c>
      <c r="G125" s="118" t="n">
        <f aca="false">IF(INPUTS!$F$132&lt;&gt;"Yes",0,IF(INPUTS!$J$132="Follow Construction",G$102,IF(INPUTS!$J$132="Follow Sales",G$99,IF(INPUTS!$J$132="Follow Collections",G$108,IF(OR(TIMELINE!G125=0,TIMELINE!$C$124=0),0,IF(IF(INPUTS!$J$132="Follow Project Life","Even",IF(INPUTS!$J$132="At Project End","Upfront",INPUTS!$J$132))="Upfront",--(TIMELINE!G125=1),IF(IF(INPUTS!$J$132="Follow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End","Upfront",INPUTS!$J$132))="Front-loaded",(TIMELINE!$C$124-TIMELINE!G125+1)*2/(TIMELINE!$C$124*(TIMELINE!$C$124+1)),IF(IF(INPUTS!$J$132="Follow Project Life","Even",IF(INPUTS!$J$132="At Project End","Upfront",INPUTS!$J$132))="Back-loaded",TIMELINE!G125*2/(TIMELINE!$C$124*(TIMELINE!$C$124+1)),IF(IF(INPUTS!$J$132="Follow Project Life","Even",IF(INPUTS!$J$132="At Project End","Upfront",INPUTS!$J$132))="S-curve",SIN(PI()*(TIMELINE!G125-0.5)/TIMELINE!$C$124)*SIN(PI()/(2*TIMELINE!$C$124)),0))))))))))</f>
        <v>0</v>
      </c>
      <c r="H125" s="118" t="n">
        <f aca="false">IF(INPUTS!$F$132&lt;&gt;"Yes",0,IF(INPUTS!$J$132="Follow Construction",H$102,IF(INPUTS!$J$132="Follow Sales",H$99,IF(INPUTS!$J$132="Follow Collections",H$108,IF(OR(TIMELINE!H125=0,TIMELINE!$C$124=0),0,IF(IF(INPUTS!$J$132="Follow Project Life","Even",IF(INPUTS!$J$132="At Project End","Upfront",INPUTS!$J$132))="Upfront",--(TIMELINE!H125=1),IF(IF(INPUTS!$J$132="Follow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End","Upfront",INPUTS!$J$132))="Front-loaded",(TIMELINE!$C$124-TIMELINE!H125+1)*2/(TIMELINE!$C$124*(TIMELINE!$C$124+1)),IF(IF(INPUTS!$J$132="Follow Project Life","Even",IF(INPUTS!$J$132="At Project End","Upfront",INPUTS!$J$132))="Back-loaded",TIMELINE!H125*2/(TIMELINE!$C$124*(TIMELINE!$C$124+1)),IF(IF(INPUTS!$J$132="Follow Project Life","Even",IF(INPUTS!$J$132="At Project End","Upfront",INPUTS!$J$132))="S-curve",SIN(PI()*(TIMELINE!H125-0.5)/TIMELINE!$C$124)*SIN(PI()/(2*TIMELINE!$C$124)),0))))))))))</f>
        <v>0.00960735979838478</v>
      </c>
      <c r="I125" s="118" t="n">
        <f aca="false">IF(INPUTS!$F$132&lt;&gt;"Yes",0,IF(INPUTS!$J$132="Follow Construction",I$102,IF(INPUTS!$J$132="Follow Sales",I$99,IF(INPUTS!$J$132="Follow Collections",I$108,IF(OR(TIMELINE!I125=0,TIMELINE!$C$124=0),0,IF(IF(INPUTS!$J$132="Follow Project Life","Even",IF(INPUTS!$J$132="At Project End","Upfront",INPUTS!$J$132))="Upfront",--(TIMELINE!I125=1),IF(IF(INPUTS!$J$132="Follow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End","Upfront",INPUTS!$J$132))="Front-loaded",(TIMELINE!$C$124-TIMELINE!I125+1)*2/(TIMELINE!$C$124*(TIMELINE!$C$124+1)),IF(IF(INPUTS!$J$132="Follow Project Life","Even",IF(INPUTS!$J$132="At Project End","Upfront",INPUTS!$J$132))="Back-loaded",TIMELINE!I125*2/(TIMELINE!$C$124*(TIMELINE!$C$124+1)),IF(IF(INPUTS!$J$132="Follow Project Life","Even",IF(INPUTS!$J$132="At Project End","Upfront",INPUTS!$J$132))="S-curve",SIN(PI()*(TIMELINE!I125-0.5)/TIMELINE!$C$124)*SIN(PI()/(2*TIMELINE!$C$124)),0))))))))))</f>
        <v>0.0284528739459718</v>
      </c>
      <c r="J125" s="118" t="n">
        <f aca="false">IF(INPUTS!$F$132&lt;&gt;"Yes",0,IF(INPUTS!$J$132="Follow Construction",J$102,IF(INPUTS!$J$132="Follow Sales",J$99,IF(INPUTS!$J$132="Follow Collections",J$108,IF(OR(TIMELINE!J125=0,TIMELINE!$C$124=0),0,IF(IF(INPUTS!$J$132="Follow Project Life","Even",IF(INPUTS!$J$132="At Project End","Upfront",INPUTS!$J$132))="Upfront",--(TIMELINE!J125=1),IF(IF(INPUTS!$J$132="Follow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End","Upfront",INPUTS!$J$132))="Front-loaded",(TIMELINE!$C$124-TIMELINE!J125+1)*2/(TIMELINE!$C$124*(TIMELINE!$C$124+1)),IF(IF(INPUTS!$J$132="Follow Project Life","Even",IF(INPUTS!$J$132="At Project End","Upfront",INPUTS!$J$132))="Back-loaded",TIMELINE!J125*2/(TIMELINE!$C$124*(TIMELINE!$C$124+1)),IF(IF(INPUTS!$J$132="Follow Project Life","Even",IF(INPUTS!$J$132="At Project End","Upfront",INPUTS!$J$132))="S-curve",SIN(PI()*(TIMELINE!J125-0.5)/TIMELINE!$C$124)*SIN(PI()/(2*TIMELINE!$C$124)),0))))))))))</f>
        <v>0.0462049601043708</v>
      </c>
      <c r="K125" s="118" t="n">
        <f aca="false">IF(INPUTS!$F$132&lt;&gt;"Yes",0,IF(INPUTS!$J$132="Follow Construction",K$102,IF(INPUTS!$J$132="Follow Sales",K$99,IF(INPUTS!$J$132="Follow Collections",K$108,IF(OR(TIMELINE!K125=0,TIMELINE!$C$124=0),0,IF(IF(INPUTS!$J$132="Follow Project Life","Even",IF(INPUTS!$J$132="At Project End","Upfront",INPUTS!$J$132))="Upfront",--(TIMELINE!K125=1),IF(IF(INPUTS!$J$132="Follow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End","Upfront",INPUTS!$J$132))="Front-loaded",(TIMELINE!$C$124-TIMELINE!K125+1)*2/(TIMELINE!$C$124*(TIMELINE!$C$124+1)),IF(IF(INPUTS!$J$132="Follow Project Life","Even",IF(INPUTS!$J$132="At Project End","Upfront",INPUTS!$J$132))="Back-loaded",TIMELINE!K125*2/(TIMELINE!$C$124*(TIMELINE!$C$124+1)),IF(IF(INPUTS!$J$132="Follow Project Life","Even",IF(INPUTS!$J$132="At Project End","Upfront",INPUTS!$J$132))="S-curve",SIN(PI()*(TIMELINE!K125-0.5)/TIMELINE!$C$124)*SIN(PI()/(2*TIMELINE!$C$124)),0))))))))))</f>
        <v>0.0621814155579989</v>
      </c>
      <c r="L125" s="118" t="n">
        <f aca="false">IF(INPUTS!$F$132&lt;&gt;"Yes",0,IF(INPUTS!$J$132="Follow Construction",L$102,IF(INPUTS!$J$132="Follow Sales",L$99,IF(INPUTS!$J$132="Follow Collections",L$108,IF(OR(TIMELINE!L125=0,TIMELINE!$C$124=0),0,IF(IF(INPUTS!$J$132="Follow Project Life","Even",IF(INPUTS!$J$132="At Project End","Upfront",INPUTS!$J$132))="Upfront",--(TIMELINE!L125=1),IF(IF(INPUTS!$J$132="Follow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End","Upfront",INPUTS!$J$132))="Front-loaded",(TIMELINE!$C$124-TIMELINE!L125+1)*2/(TIMELINE!$C$124*(TIMELINE!$C$124+1)),IF(IF(INPUTS!$J$132="Follow Project Life","Even",IF(INPUTS!$J$132="At Project End","Upfront",INPUTS!$J$132))="Back-loaded",TIMELINE!L125*2/(TIMELINE!$C$124*(TIMELINE!$C$124+1)),IF(IF(INPUTS!$J$132="Follow Project Life","Even",IF(INPUTS!$J$132="At Project End","Upfront",INPUTS!$J$132))="S-curve",SIN(PI()*(TIMELINE!L125-0.5)/TIMELINE!$C$124)*SIN(PI()/(2*TIMELINE!$C$124)),0))))))))))</f>
        <v>0.0757682740834727</v>
      </c>
      <c r="M125" s="118" t="n">
        <f aca="false">IF(INPUTS!$F$132&lt;&gt;"Yes",0,IF(INPUTS!$J$132="Follow Construction",M$102,IF(INPUTS!$J$132="Follow Sales",M$99,IF(INPUTS!$J$132="Follow Collections",M$108,IF(OR(TIMELINE!M125=0,TIMELINE!$C$124=0),0,IF(IF(INPUTS!$J$132="Follow Project Life","Even",IF(INPUTS!$J$132="At Project End","Upfront",INPUTS!$J$132))="Upfront",--(TIMELINE!M125=1),IF(IF(INPUTS!$J$132="Follow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End","Upfront",INPUTS!$J$132))="Front-loaded",(TIMELINE!$C$124-TIMELINE!M125+1)*2/(TIMELINE!$C$124*(TIMELINE!$C$124+1)),IF(IF(INPUTS!$J$132="Follow Project Life","Even",IF(INPUTS!$J$132="At Project End","Upfront",INPUTS!$J$132))="Back-loaded",TIMELINE!M125*2/(TIMELINE!$C$124*(TIMELINE!$C$124+1)),IF(IF(INPUTS!$J$132="Follow Project Life","Even",IF(INPUTS!$J$132="At Project End","Upfront",INPUTS!$J$132))="S-curve",SIN(PI()*(TIMELINE!M125-0.5)/TIMELINE!$C$124)*SIN(PI()/(2*TIMELINE!$C$124)),0))))))))))</f>
        <v>0.0864434003272562</v>
      </c>
      <c r="N125" s="118" t="n">
        <f aca="false">IF(INPUTS!$F$132&lt;&gt;"Yes",0,IF(INPUTS!$J$132="Follow Construction",N$102,IF(INPUTS!$J$132="Follow Sales",N$99,IF(INPUTS!$J$132="Follow Collections",N$108,IF(OR(TIMELINE!N125=0,TIMELINE!$C$124=0),0,IF(IF(INPUTS!$J$132="Follow Project Life","Even",IF(INPUTS!$J$132="At Project End","Upfront",INPUTS!$J$132))="Upfront",--(TIMELINE!N125=1),IF(IF(INPUTS!$J$132="Follow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End","Upfront",INPUTS!$J$132))="Front-loaded",(TIMELINE!$C$124-TIMELINE!N125+1)*2/(TIMELINE!$C$124*(TIMELINE!$C$124+1)),IF(IF(INPUTS!$J$132="Follow Project Life","Even",IF(INPUTS!$J$132="At Project End","Upfront",INPUTS!$J$132))="Back-loaded",TIMELINE!N125*2/(TIMELINE!$C$124*(TIMELINE!$C$124+1)),IF(IF(INPUTS!$J$132="Follow Project Life","Even",IF(INPUTS!$J$132="At Project End","Upfront",INPUTS!$J$132))="S-curve",SIN(PI()*(TIMELINE!N125-0.5)/TIMELINE!$C$124)*SIN(PI()/(2*TIMELINE!$C$124)),0))))))))))</f>
        <v>0.0937965551744808</v>
      </c>
      <c r="O125" s="118" t="n">
        <f aca="false">IF(INPUTS!$F$132&lt;&gt;"Yes",0,IF(INPUTS!$J$132="Follow Construction",O$102,IF(INPUTS!$J$132="Follow Sales",O$99,IF(INPUTS!$J$132="Follow Collections",O$108,IF(OR(TIMELINE!O125=0,TIMELINE!$C$124=0),0,IF(IF(INPUTS!$J$132="Follow Project Life","Even",IF(INPUTS!$J$132="At Project End","Upfront",INPUTS!$J$132))="Upfront",--(TIMELINE!O125=1),IF(IF(INPUTS!$J$132="Follow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End","Upfront",INPUTS!$J$132))="Front-loaded",(TIMELINE!$C$124-TIMELINE!O125+1)*2/(TIMELINE!$C$124*(TIMELINE!$C$124+1)),IF(IF(INPUTS!$J$132="Follow Project Life","Even",IF(INPUTS!$J$132="At Project End","Upfront",INPUTS!$J$132))="Back-loaded",TIMELINE!O125*2/(TIMELINE!$C$124*(TIMELINE!$C$124+1)),IF(IF(INPUTS!$J$132="Follow Project Life","Even",IF(INPUTS!$J$132="At Project End","Upfront",INPUTS!$J$132))="S-curve",SIN(PI()*(TIMELINE!O125-0.5)/TIMELINE!$C$124)*SIN(PI()/(2*TIMELINE!$C$124)),0))))))))))</f>
        <v>0.0975451610080641</v>
      </c>
      <c r="P125" s="118" t="n">
        <f aca="false">IF(INPUTS!$F$132&lt;&gt;"Yes",0,IF(INPUTS!$J$132="Follow Construction",P$102,IF(INPUTS!$J$132="Follow Sales",P$99,IF(INPUTS!$J$132="Follow Collections",P$108,IF(OR(TIMELINE!P125=0,TIMELINE!$C$124=0),0,IF(IF(INPUTS!$J$132="Follow Project Life","Even",IF(INPUTS!$J$132="At Project End","Upfront",INPUTS!$J$132))="Upfront",--(TIMELINE!P125=1),IF(IF(INPUTS!$J$132="Follow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End","Upfront",INPUTS!$J$132))="Front-loaded",(TIMELINE!$C$124-TIMELINE!P125+1)*2/(TIMELINE!$C$124*(TIMELINE!$C$124+1)),IF(IF(INPUTS!$J$132="Follow Project Life","Even",IF(INPUTS!$J$132="At Project End","Upfront",INPUTS!$J$132))="Back-loaded",TIMELINE!P125*2/(TIMELINE!$C$124*(TIMELINE!$C$124+1)),IF(IF(INPUTS!$J$132="Follow Project Life","Even",IF(INPUTS!$J$132="At Project End","Upfront",INPUTS!$J$132))="S-curve",SIN(PI()*(TIMELINE!P125-0.5)/TIMELINE!$C$124)*SIN(PI()/(2*TIMELINE!$C$124)),0))))))))))</f>
        <v>0.0975451610080641</v>
      </c>
      <c r="Q125" s="118" t="n">
        <f aca="false">IF(INPUTS!$F$132&lt;&gt;"Yes",0,IF(INPUTS!$J$132="Follow Construction",Q$102,IF(INPUTS!$J$132="Follow Sales",Q$99,IF(INPUTS!$J$132="Follow Collections",Q$108,IF(OR(TIMELINE!Q125=0,TIMELINE!$C$124=0),0,IF(IF(INPUTS!$J$132="Follow Project Life","Even",IF(INPUTS!$J$132="At Project End","Upfront",INPUTS!$J$132))="Upfront",--(TIMELINE!Q125=1),IF(IF(INPUTS!$J$132="Follow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End","Upfront",INPUTS!$J$132))="Front-loaded",(TIMELINE!$C$124-TIMELINE!Q125+1)*2/(TIMELINE!$C$124*(TIMELINE!$C$124+1)),IF(IF(INPUTS!$J$132="Follow Project Life","Even",IF(INPUTS!$J$132="At Project End","Upfront",INPUTS!$J$132))="Back-loaded",TIMELINE!Q125*2/(TIMELINE!$C$124*(TIMELINE!$C$124+1)),IF(IF(INPUTS!$J$132="Follow Project Life","Even",IF(INPUTS!$J$132="At Project End","Upfront",INPUTS!$J$132))="S-curve",SIN(PI()*(TIMELINE!Q125-0.5)/TIMELINE!$C$124)*SIN(PI()/(2*TIMELINE!$C$124)),0))))))))))</f>
        <v>0.0937965551744808</v>
      </c>
      <c r="R125" s="118" t="n">
        <f aca="false">IF(INPUTS!$F$132&lt;&gt;"Yes",0,IF(INPUTS!$J$132="Follow Construction",R$102,IF(INPUTS!$J$132="Follow Sales",R$99,IF(INPUTS!$J$132="Follow Collections",R$108,IF(OR(TIMELINE!R125=0,TIMELINE!$C$124=0),0,IF(IF(INPUTS!$J$132="Follow Project Life","Even",IF(INPUTS!$J$132="At Project End","Upfront",INPUTS!$J$132))="Upfront",--(TIMELINE!R125=1),IF(IF(INPUTS!$J$132="Follow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End","Upfront",INPUTS!$J$132))="Front-loaded",(TIMELINE!$C$124-TIMELINE!R125+1)*2/(TIMELINE!$C$124*(TIMELINE!$C$124+1)),IF(IF(INPUTS!$J$132="Follow Project Life","Even",IF(INPUTS!$J$132="At Project End","Upfront",INPUTS!$J$132))="Back-loaded",TIMELINE!R125*2/(TIMELINE!$C$124*(TIMELINE!$C$124+1)),IF(IF(INPUTS!$J$132="Follow Project Life","Even",IF(INPUTS!$J$132="At Project End","Upfront",INPUTS!$J$132))="S-curve",SIN(PI()*(TIMELINE!R125-0.5)/TIMELINE!$C$124)*SIN(PI()/(2*TIMELINE!$C$124)),0))))))))))</f>
        <v>0.0864434003272562</v>
      </c>
      <c r="S125" s="118" t="n">
        <f aca="false">IF(INPUTS!$F$132&lt;&gt;"Yes",0,IF(INPUTS!$J$132="Follow Construction",S$102,IF(INPUTS!$J$132="Follow Sales",S$99,IF(INPUTS!$J$132="Follow Collections",S$108,IF(OR(TIMELINE!S125=0,TIMELINE!$C$124=0),0,IF(IF(INPUTS!$J$132="Follow Project Life","Even",IF(INPUTS!$J$132="At Project End","Upfront",INPUTS!$J$132))="Upfront",--(TIMELINE!S125=1),IF(IF(INPUTS!$J$132="Follow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End","Upfront",INPUTS!$J$132))="Front-loaded",(TIMELINE!$C$124-TIMELINE!S125+1)*2/(TIMELINE!$C$124*(TIMELINE!$C$124+1)),IF(IF(INPUTS!$J$132="Follow Project Life","Even",IF(INPUTS!$J$132="At Project End","Upfront",INPUTS!$J$132))="Back-loaded",TIMELINE!S125*2/(TIMELINE!$C$124*(TIMELINE!$C$124+1)),IF(IF(INPUTS!$J$132="Follow Project Life","Even",IF(INPUTS!$J$132="At Project End","Upfront",INPUTS!$J$132))="S-curve",SIN(PI()*(TIMELINE!S125-0.5)/TIMELINE!$C$124)*SIN(PI()/(2*TIMELINE!$C$124)),0))))))))))</f>
        <v>0.0757682740834727</v>
      </c>
      <c r="T125" s="118" t="n">
        <f aca="false">IF(INPUTS!$F$132&lt;&gt;"Yes",0,IF(INPUTS!$J$132="Follow Construction",T$102,IF(INPUTS!$J$132="Follow Sales",T$99,IF(INPUTS!$J$132="Follow Collections",T$108,IF(OR(TIMELINE!T125=0,TIMELINE!$C$124=0),0,IF(IF(INPUTS!$J$132="Follow Project Life","Even",IF(INPUTS!$J$132="At Project End","Upfront",INPUTS!$J$132))="Upfront",--(TIMELINE!T125=1),IF(IF(INPUTS!$J$132="Follow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End","Upfront",INPUTS!$J$132))="Front-loaded",(TIMELINE!$C$124-TIMELINE!T125+1)*2/(TIMELINE!$C$124*(TIMELINE!$C$124+1)),IF(IF(INPUTS!$J$132="Follow Project Life","Even",IF(INPUTS!$J$132="At Project End","Upfront",INPUTS!$J$132))="Back-loaded",TIMELINE!T125*2/(TIMELINE!$C$124*(TIMELINE!$C$124+1)),IF(IF(INPUTS!$J$132="Follow Project Life","Even",IF(INPUTS!$J$132="At Project End","Upfront",INPUTS!$J$132))="S-curve",SIN(PI()*(TIMELINE!T125-0.5)/TIMELINE!$C$124)*SIN(PI()/(2*TIMELINE!$C$124)),0))))))))))</f>
        <v>0.0621814155579989</v>
      </c>
      <c r="U125" s="118" t="n">
        <f aca="false">IF(INPUTS!$F$132&lt;&gt;"Yes",0,IF(INPUTS!$J$132="Follow Construction",U$102,IF(INPUTS!$J$132="Follow Sales",U$99,IF(INPUTS!$J$132="Follow Collections",U$108,IF(OR(TIMELINE!U125=0,TIMELINE!$C$124=0),0,IF(IF(INPUTS!$J$132="Follow Project Life","Even",IF(INPUTS!$J$132="At Project End","Upfront",INPUTS!$J$132))="Upfront",--(TIMELINE!U125=1),IF(IF(INPUTS!$J$132="Follow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End","Upfront",INPUTS!$J$132))="Front-loaded",(TIMELINE!$C$124-TIMELINE!U125+1)*2/(TIMELINE!$C$124*(TIMELINE!$C$124+1)),IF(IF(INPUTS!$J$132="Follow Project Life","Even",IF(INPUTS!$J$132="At Project End","Upfront",INPUTS!$J$132))="Back-loaded",TIMELINE!U125*2/(TIMELINE!$C$124*(TIMELINE!$C$124+1)),IF(IF(INPUTS!$J$132="Follow Project Life","Even",IF(INPUTS!$J$132="At Project End","Upfront",INPUTS!$J$132))="S-curve",SIN(PI()*(TIMELINE!U125-0.5)/TIMELINE!$C$124)*SIN(PI()/(2*TIMELINE!$C$124)),0))))))))))</f>
        <v>0.0462049601043708</v>
      </c>
      <c r="V125" s="118" t="n">
        <f aca="false">IF(INPUTS!$F$132&lt;&gt;"Yes",0,IF(INPUTS!$J$132="Follow Construction",V$102,IF(INPUTS!$J$132="Follow Sales",V$99,IF(INPUTS!$J$132="Follow Collections",V$108,IF(OR(TIMELINE!V125=0,TIMELINE!$C$124=0),0,IF(IF(INPUTS!$J$132="Follow Project Life","Even",IF(INPUTS!$J$132="At Project End","Upfront",INPUTS!$J$132))="Upfront",--(TIMELINE!V125=1),IF(IF(INPUTS!$J$132="Follow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End","Upfront",INPUTS!$J$132))="Front-loaded",(TIMELINE!$C$124-TIMELINE!V125+1)*2/(TIMELINE!$C$124*(TIMELINE!$C$124+1)),IF(IF(INPUTS!$J$132="Follow Project Life","Even",IF(INPUTS!$J$132="At Project End","Upfront",INPUTS!$J$132))="Back-loaded",TIMELINE!V125*2/(TIMELINE!$C$124*(TIMELINE!$C$124+1)),IF(IF(INPUTS!$J$132="Follow Project Life","Even",IF(INPUTS!$J$132="At Project End","Upfront",INPUTS!$J$132))="S-curve",SIN(PI()*(TIMELINE!V125-0.5)/TIMELINE!$C$124)*SIN(PI()/(2*TIMELINE!$C$124)),0))))))))))</f>
        <v>0.0284528739459718</v>
      </c>
      <c r="W125" s="118" t="n">
        <f aca="false">IF(INPUTS!$F$132&lt;&gt;"Yes",0,IF(INPUTS!$J$132="Follow Construction",W$102,IF(INPUTS!$J$132="Follow Sales",W$99,IF(INPUTS!$J$132="Follow Collections",W$108,IF(OR(TIMELINE!W125=0,TIMELINE!$C$124=0),0,IF(IF(INPUTS!$J$132="Follow Project Life","Even",IF(INPUTS!$J$132="At Project End","Upfront",INPUTS!$J$132))="Upfront",--(TIMELINE!W125=1),IF(IF(INPUTS!$J$132="Follow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End","Upfront",INPUTS!$J$132))="Front-loaded",(TIMELINE!$C$124-TIMELINE!W125+1)*2/(TIMELINE!$C$124*(TIMELINE!$C$124+1)),IF(IF(INPUTS!$J$132="Follow Project Life","Even",IF(INPUTS!$J$132="At Project End","Upfront",INPUTS!$J$132))="Back-loaded",TIMELINE!W125*2/(TIMELINE!$C$124*(TIMELINE!$C$124+1)),IF(IF(INPUTS!$J$132="Follow Project Life","Even",IF(INPUTS!$J$132="At Project End","Upfront",INPUTS!$J$132))="S-curve",SIN(PI()*(TIMELINE!W125-0.5)/TIMELINE!$C$124)*SIN(PI()/(2*TIMELINE!$C$124)),0))))))))))</f>
        <v>0.0096073597983848</v>
      </c>
      <c r="X125" s="118" t="n">
        <f aca="false">IF(INPUTS!$F$132&lt;&gt;"Yes",0,IF(INPUTS!$J$132="Follow Construction",X$102,IF(INPUTS!$J$132="Follow Sales",X$99,IF(INPUTS!$J$132="Follow Collections",X$108,IF(OR(TIMELINE!X125=0,TIMELINE!$C$124=0),0,IF(IF(INPUTS!$J$132="Follow Project Life","Even",IF(INPUTS!$J$132="At Project End","Upfront",INPUTS!$J$132))="Upfront",--(TIMELINE!X125=1),IF(IF(INPUTS!$J$132="Follow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End","Upfront",INPUTS!$J$132))="Front-loaded",(TIMELINE!$C$124-TIMELINE!X125+1)*2/(TIMELINE!$C$124*(TIMELINE!$C$124+1)),IF(IF(INPUTS!$J$132="Follow Project Life","Even",IF(INPUTS!$J$132="At Project End","Upfront",INPUTS!$J$132))="Back-loaded",TIMELINE!X125*2/(TIMELINE!$C$124*(TIMELINE!$C$124+1)),IF(IF(INPUTS!$J$132="Follow Project Life","Even",IF(INPUTS!$J$132="At Project End","Upfront",INPUTS!$J$132))="S-curve",SIN(PI()*(TIMELINE!X125-0.5)/TIMELINE!$C$124)*SIN(PI()/(2*TIMELINE!$C$124)),0))))))))))</f>
        <v>0</v>
      </c>
      <c r="Y125" s="118" t="n">
        <f aca="false">IF(INPUTS!$F$132&lt;&gt;"Yes",0,IF(INPUTS!$J$132="Follow Construction",Y$102,IF(INPUTS!$J$132="Follow Sales",Y$99,IF(INPUTS!$J$132="Follow Collections",Y$108,IF(OR(TIMELINE!Y125=0,TIMELINE!$C$124=0),0,IF(IF(INPUTS!$J$132="Follow Project Life","Even",IF(INPUTS!$J$132="At Project End","Upfront",INPUTS!$J$132))="Upfront",--(TIMELINE!Y125=1),IF(IF(INPUTS!$J$132="Follow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End","Upfront",INPUTS!$J$132))="Front-loaded",(TIMELINE!$C$124-TIMELINE!Y125+1)*2/(TIMELINE!$C$124*(TIMELINE!$C$124+1)),IF(IF(INPUTS!$J$132="Follow Project Life","Even",IF(INPUTS!$J$132="At Project End","Upfront",INPUTS!$J$132))="Back-loaded",TIMELINE!Y125*2/(TIMELINE!$C$124*(TIMELINE!$C$124+1)),IF(IF(INPUTS!$J$132="Follow Project Life","Even",IF(INPUTS!$J$132="At Project End","Upfront",INPUTS!$J$132))="S-curve",SIN(PI()*(TIMELINE!Y125-0.5)/TIMELINE!$C$124)*SIN(PI()/(2*TIMELINE!$C$124)),0))))))))))</f>
        <v>0</v>
      </c>
      <c r="Z125" s="118" t="n">
        <f aca="false">IF(INPUTS!$F$132&lt;&gt;"Yes",0,IF(INPUTS!$J$132="Follow Construction",Z$102,IF(INPUTS!$J$132="Follow Sales",Z$99,IF(INPUTS!$J$132="Follow Collections",Z$108,IF(OR(TIMELINE!Z125=0,TIMELINE!$C$124=0),0,IF(IF(INPUTS!$J$132="Follow Project Life","Even",IF(INPUTS!$J$132="At Project End","Upfront",INPUTS!$J$132))="Upfront",--(TIMELINE!Z125=1),IF(IF(INPUTS!$J$132="Follow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End","Upfront",INPUTS!$J$132))="Front-loaded",(TIMELINE!$C$124-TIMELINE!Z125+1)*2/(TIMELINE!$C$124*(TIMELINE!$C$124+1)),IF(IF(INPUTS!$J$132="Follow Project Life","Even",IF(INPUTS!$J$132="At Project End","Upfront",INPUTS!$J$132))="Back-loaded",TIMELINE!Z125*2/(TIMELINE!$C$124*(TIMELINE!$C$124+1)),IF(IF(INPUTS!$J$132="Follow Project Life","Even",IF(INPUTS!$J$132="At Project End","Upfront",INPUTS!$J$132))="S-curve",SIN(PI()*(TIMELINE!Z125-0.5)/TIMELINE!$C$124)*SIN(PI()/(2*TIMELINE!$C$124)),0))))))))))</f>
        <v>0</v>
      </c>
      <c r="AA125" s="118" t="n">
        <f aca="false">IF(INPUTS!$F$132&lt;&gt;"Yes",0,IF(INPUTS!$J$132="Follow Construction",AA$102,IF(INPUTS!$J$132="Follow Sales",AA$99,IF(INPUTS!$J$132="Follow Collections",AA$108,IF(OR(TIMELINE!AA125=0,TIMELINE!$C$124=0),0,IF(IF(INPUTS!$J$132="Follow Project Life","Even",IF(INPUTS!$J$132="At Project End","Upfront",INPUTS!$J$132))="Upfront",--(TIMELINE!AA125=1),IF(IF(INPUTS!$J$132="Follow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End","Upfront",INPUTS!$J$132))="Front-loaded",(TIMELINE!$C$124-TIMELINE!AA125+1)*2/(TIMELINE!$C$124*(TIMELINE!$C$124+1)),IF(IF(INPUTS!$J$132="Follow Project Life","Even",IF(INPUTS!$J$132="At Project End","Upfront",INPUTS!$J$132))="Back-loaded",TIMELINE!AA125*2/(TIMELINE!$C$124*(TIMELINE!$C$124+1)),IF(IF(INPUTS!$J$132="Follow Project Life","Even",IF(INPUTS!$J$132="At Project End","Upfront",INPUTS!$J$132))="S-curve",SIN(PI()*(TIMELINE!AA125-0.5)/TIMELINE!$C$124)*SIN(PI()/(2*TIMELINE!$C$124)),0))))))))))</f>
        <v>0</v>
      </c>
      <c r="AB125" s="118" t="n">
        <f aca="false">IF(INPUTS!$F$132&lt;&gt;"Yes",0,IF(INPUTS!$J$132="Follow Construction",AB$102,IF(INPUTS!$J$132="Follow Sales",AB$99,IF(INPUTS!$J$132="Follow Collections",AB$108,IF(OR(TIMELINE!AB125=0,TIMELINE!$C$124=0),0,IF(IF(INPUTS!$J$132="Follow Project Life","Even",IF(INPUTS!$J$132="At Project End","Upfront",INPUTS!$J$132))="Upfront",--(TIMELINE!AB125=1),IF(IF(INPUTS!$J$132="Follow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End","Upfront",INPUTS!$J$132))="Front-loaded",(TIMELINE!$C$124-TIMELINE!AB125+1)*2/(TIMELINE!$C$124*(TIMELINE!$C$124+1)),IF(IF(INPUTS!$J$132="Follow Project Life","Even",IF(INPUTS!$J$132="At Project End","Upfront",INPUTS!$J$132))="Back-loaded",TIMELINE!AB125*2/(TIMELINE!$C$124*(TIMELINE!$C$124+1)),IF(IF(INPUTS!$J$132="Follow Project Life","Even",IF(INPUTS!$J$132="At Project End","Upfront",INPUTS!$J$132))="S-curve",SIN(PI()*(TIMELINE!AB125-0.5)/TIMELINE!$C$124)*SIN(PI()/(2*TIMELINE!$C$124)),0))))))))))</f>
        <v>0</v>
      </c>
      <c r="AC125" s="118" t="n">
        <f aca="false">IF(INPUTS!$F$132&lt;&gt;"Yes",0,IF(INPUTS!$J$132="Follow Construction",AC$102,IF(INPUTS!$J$132="Follow Sales",AC$99,IF(INPUTS!$J$132="Follow Collections",AC$108,IF(OR(TIMELINE!AC125=0,TIMELINE!$C$124=0),0,IF(IF(INPUTS!$J$132="Follow Project Life","Even",IF(INPUTS!$J$132="At Project End","Upfront",INPUTS!$J$132))="Upfront",--(TIMELINE!AC125=1),IF(IF(INPUTS!$J$132="Follow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End","Upfront",INPUTS!$J$132))="Front-loaded",(TIMELINE!$C$124-TIMELINE!AC125+1)*2/(TIMELINE!$C$124*(TIMELINE!$C$124+1)),IF(IF(INPUTS!$J$132="Follow Project Life","Even",IF(INPUTS!$J$132="At Project End","Upfront",INPUTS!$J$132))="Back-loaded",TIMELINE!AC125*2/(TIMELINE!$C$124*(TIMELINE!$C$124+1)),IF(IF(INPUTS!$J$132="Follow Project Life","Even",IF(INPUTS!$J$132="At Project End","Upfront",INPUTS!$J$132))="S-curve",SIN(PI()*(TIMELINE!AC125-0.5)/TIMELINE!$C$124)*SIN(PI()/(2*TIMELINE!$C$124)),0))))))))))</f>
        <v>0</v>
      </c>
      <c r="AD125" s="118" t="n">
        <f aca="false">IF(INPUTS!$F$132&lt;&gt;"Yes",0,IF(INPUTS!$J$132="Follow Construction",AD$102,IF(INPUTS!$J$132="Follow Sales",AD$99,IF(INPUTS!$J$132="Follow Collections",AD$108,IF(OR(TIMELINE!AD125=0,TIMELINE!$C$124=0),0,IF(IF(INPUTS!$J$132="Follow Project Life","Even",IF(INPUTS!$J$132="At Project End","Upfront",INPUTS!$J$132))="Upfront",--(TIMELINE!AD125=1),IF(IF(INPUTS!$J$132="Follow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End","Upfront",INPUTS!$J$132))="Front-loaded",(TIMELINE!$C$124-TIMELINE!AD125+1)*2/(TIMELINE!$C$124*(TIMELINE!$C$124+1)),IF(IF(INPUTS!$J$132="Follow Project Life","Even",IF(INPUTS!$J$132="At Project End","Upfront",INPUTS!$J$132))="Back-loaded",TIMELINE!AD125*2/(TIMELINE!$C$124*(TIMELINE!$C$124+1)),IF(IF(INPUTS!$J$132="Follow Project Life","Even",IF(INPUTS!$J$132="At Project End","Upfront",INPUTS!$J$132))="S-curve",SIN(PI()*(TIMELINE!AD125-0.5)/TIMELINE!$C$124)*SIN(PI()/(2*TIMELINE!$C$124)),0))))))))))</f>
        <v>0</v>
      </c>
      <c r="AE125" s="118" t="n">
        <f aca="false">IF(INPUTS!$F$132&lt;&gt;"Yes",0,IF(INPUTS!$J$132="Follow Construction",AE$102,IF(INPUTS!$J$132="Follow Sales",AE$99,IF(INPUTS!$J$132="Follow Collections",AE$108,IF(OR(TIMELINE!AE125=0,TIMELINE!$C$124=0),0,IF(IF(INPUTS!$J$132="Follow Project Life","Even",IF(INPUTS!$J$132="At Project End","Upfront",INPUTS!$J$132))="Upfront",--(TIMELINE!AE125=1),IF(IF(INPUTS!$J$132="Follow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End","Upfront",INPUTS!$J$132))="Front-loaded",(TIMELINE!$C$124-TIMELINE!AE125+1)*2/(TIMELINE!$C$124*(TIMELINE!$C$124+1)),IF(IF(INPUTS!$J$132="Follow Project Life","Even",IF(INPUTS!$J$132="At Project End","Upfront",INPUTS!$J$132))="Back-loaded",TIMELINE!AE125*2/(TIMELINE!$C$124*(TIMELINE!$C$124+1)),IF(IF(INPUTS!$J$132="Follow Project Life","Even",IF(INPUTS!$J$132="At Project End","Upfront",INPUTS!$J$132))="S-curve",SIN(PI()*(TIMELINE!AE125-0.5)/TIMELINE!$C$124)*SIN(PI()/(2*TIMELINE!$C$124)),0))))))))))</f>
        <v>0</v>
      </c>
      <c r="AF125" s="118" t="n">
        <f aca="false">IF(INPUTS!$F$132&lt;&gt;"Yes",0,IF(INPUTS!$J$132="Follow Construction",AF$102,IF(INPUTS!$J$132="Follow Sales",AF$99,IF(INPUTS!$J$132="Follow Collections",AF$108,IF(OR(TIMELINE!AF125=0,TIMELINE!$C$124=0),0,IF(IF(INPUTS!$J$132="Follow Project Life","Even",IF(INPUTS!$J$132="At Project End","Upfront",INPUTS!$J$132))="Upfront",--(TIMELINE!AF125=1),IF(IF(INPUTS!$J$132="Follow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End","Upfront",INPUTS!$J$132))="Front-loaded",(TIMELINE!$C$124-TIMELINE!AF125+1)*2/(TIMELINE!$C$124*(TIMELINE!$C$124+1)),IF(IF(INPUTS!$J$132="Follow Project Life","Even",IF(INPUTS!$J$132="At Project End","Upfront",INPUTS!$J$132))="Back-loaded",TIMELINE!AF125*2/(TIMELINE!$C$124*(TIMELINE!$C$124+1)),IF(IF(INPUTS!$J$132="Follow Project Life","Even",IF(INPUTS!$J$132="At Project End","Upfront",INPUTS!$J$132))="S-curve",SIN(PI()*(TIMELINE!AF125-0.5)/TIMELINE!$C$124)*SIN(PI()/(2*TIMELINE!$C$124)),0))))))))))</f>
        <v>0</v>
      </c>
      <c r="AG125" s="118" t="n">
        <f aca="false">IF(INPUTS!$F$132&lt;&gt;"Yes",0,IF(INPUTS!$J$132="Follow Construction",AG$102,IF(INPUTS!$J$132="Follow Sales",AG$99,IF(INPUTS!$J$132="Follow Collections",AG$108,IF(OR(TIMELINE!AG125=0,TIMELINE!$C$124=0),0,IF(IF(INPUTS!$J$132="Follow Project Life","Even",IF(INPUTS!$J$132="At Project End","Upfront",INPUTS!$J$132))="Upfront",--(TIMELINE!AG125=1),IF(IF(INPUTS!$J$132="Follow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End","Upfront",INPUTS!$J$132))="Front-loaded",(TIMELINE!$C$124-TIMELINE!AG125+1)*2/(TIMELINE!$C$124*(TIMELINE!$C$124+1)),IF(IF(INPUTS!$J$132="Follow Project Life","Even",IF(INPUTS!$J$132="At Project End","Upfront",INPUTS!$J$132))="Back-loaded",TIMELINE!AG125*2/(TIMELINE!$C$124*(TIMELINE!$C$124+1)),IF(IF(INPUTS!$J$132="Follow Project Life","Even",IF(INPUTS!$J$132="At Project End","Upfront",INPUTS!$J$132))="S-curve",SIN(PI()*(TIMELINE!AG125-0.5)/TIMELINE!$C$124)*SIN(PI()/(2*TIMELINE!$C$124)),0))))))))))</f>
        <v>0</v>
      </c>
      <c r="AH125" s="118" t="n">
        <f aca="false">IF(INPUTS!$F$132&lt;&gt;"Yes",0,IF(INPUTS!$J$132="Follow Construction",AH$102,IF(INPUTS!$J$132="Follow Sales",AH$99,IF(INPUTS!$J$132="Follow Collections",AH$108,IF(OR(TIMELINE!AH125=0,TIMELINE!$C$124=0),0,IF(IF(INPUTS!$J$132="Follow Project Life","Even",IF(INPUTS!$J$132="At Project End","Upfront",INPUTS!$J$132))="Upfront",--(TIMELINE!AH125=1),IF(IF(INPUTS!$J$132="Follow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End","Upfront",INPUTS!$J$132))="Front-loaded",(TIMELINE!$C$124-TIMELINE!AH125+1)*2/(TIMELINE!$C$124*(TIMELINE!$C$124+1)),IF(IF(INPUTS!$J$132="Follow Project Life","Even",IF(INPUTS!$J$132="At Project End","Upfront",INPUTS!$J$132))="Back-loaded",TIMELINE!AH125*2/(TIMELINE!$C$124*(TIMELINE!$C$124+1)),IF(IF(INPUTS!$J$132="Follow Project Life","Even",IF(INPUTS!$J$132="At Project End","Upfront",INPUTS!$J$132))="S-curve",SIN(PI()*(TIMELINE!AH125-0.5)/TIMELINE!$C$124)*SIN(PI()/(2*TIMELINE!$C$124)),0))))))))))</f>
        <v>0</v>
      </c>
      <c r="AI125" s="118" t="n">
        <f aca="false">IF(INPUTS!$F$132&lt;&gt;"Yes",0,IF(INPUTS!$J$132="Follow Construction",AI$102,IF(INPUTS!$J$132="Follow Sales",AI$99,IF(INPUTS!$J$132="Follow Collections",AI$108,IF(OR(TIMELINE!AI125=0,TIMELINE!$C$124=0),0,IF(IF(INPUTS!$J$132="Follow Project Life","Even",IF(INPUTS!$J$132="At Project End","Upfront",INPUTS!$J$132))="Upfront",--(TIMELINE!AI125=1),IF(IF(INPUTS!$J$132="Follow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End","Upfront",INPUTS!$J$132))="Front-loaded",(TIMELINE!$C$124-TIMELINE!AI125+1)*2/(TIMELINE!$C$124*(TIMELINE!$C$124+1)),IF(IF(INPUTS!$J$132="Follow Project Life","Even",IF(INPUTS!$J$132="At Project End","Upfront",INPUTS!$J$132))="Back-loaded",TIMELINE!AI125*2/(TIMELINE!$C$124*(TIMELINE!$C$124+1)),IF(IF(INPUTS!$J$132="Follow Project Life","Even",IF(INPUTS!$J$132="At Project End","Upfront",INPUTS!$J$132))="S-curve",SIN(PI()*(TIMELINE!AI125-0.5)/TIMELINE!$C$124)*SIN(PI()/(2*TIMELINE!$C$124)),0))))))))))</f>
        <v>0</v>
      </c>
      <c r="AJ125" s="118" t="n">
        <f aca="false">IF(INPUTS!$F$132&lt;&gt;"Yes",0,IF(INPUTS!$J$132="Follow Construction",AJ$102,IF(INPUTS!$J$132="Follow Sales",AJ$99,IF(INPUTS!$J$132="Follow Collections",AJ$108,IF(OR(TIMELINE!AJ125=0,TIMELINE!$C$124=0),0,IF(IF(INPUTS!$J$132="Follow Project Life","Even",IF(INPUTS!$J$132="At Project End","Upfront",INPUTS!$J$132))="Upfront",--(TIMELINE!AJ125=1),IF(IF(INPUTS!$J$132="Follow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End","Upfront",INPUTS!$J$132))="Front-loaded",(TIMELINE!$C$124-TIMELINE!AJ125+1)*2/(TIMELINE!$C$124*(TIMELINE!$C$124+1)),IF(IF(INPUTS!$J$132="Follow Project Life","Even",IF(INPUTS!$J$132="At Project End","Upfront",INPUTS!$J$132))="Back-loaded",TIMELINE!AJ125*2/(TIMELINE!$C$124*(TIMELINE!$C$124+1)),IF(IF(INPUTS!$J$132="Follow Project Life","Even",IF(INPUTS!$J$132="At Project End","Upfront",INPUTS!$J$132))="S-curve",SIN(PI()*(TIMELINE!AJ125-0.5)/TIMELINE!$C$124)*SIN(PI()/(2*TIMELINE!$C$124)),0))))))))))</f>
        <v>0</v>
      </c>
      <c r="AK125" s="118" t="n">
        <f aca="false">IF(INPUTS!$F$132&lt;&gt;"Yes",0,IF(INPUTS!$J$132="Follow Construction",AK$102,IF(INPUTS!$J$132="Follow Sales",AK$99,IF(INPUTS!$J$132="Follow Collections",AK$108,IF(OR(TIMELINE!AK125=0,TIMELINE!$C$124=0),0,IF(IF(INPUTS!$J$132="Follow Project Life","Even",IF(INPUTS!$J$132="At Project End","Upfront",INPUTS!$J$132))="Upfront",--(TIMELINE!AK125=1),IF(IF(INPUTS!$J$132="Follow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End","Upfront",INPUTS!$J$132))="Front-loaded",(TIMELINE!$C$124-TIMELINE!AK125+1)*2/(TIMELINE!$C$124*(TIMELINE!$C$124+1)),IF(IF(INPUTS!$J$132="Follow Project Life","Even",IF(INPUTS!$J$132="At Project End","Upfront",INPUTS!$J$132))="Back-loaded",TIMELINE!AK125*2/(TIMELINE!$C$124*(TIMELINE!$C$124+1)),IF(IF(INPUTS!$J$132="Follow Project Life","Even",IF(INPUTS!$J$132="At Project End","Upfront",INPUTS!$J$132))="S-curve",SIN(PI()*(TIMELINE!AK125-0.5)/TIMELINE!$C$124)*SIN(PI()/(2*TIMELINE!$C$124)),0))))))))))</f>
        <v>0</v>
      </c>
      <c r="AL125" s="118" t="n">
        <f aca="false">IF(INPUTS!$F$132&lt;&gt;"Yes",0,IF(INPUTS!$J$132="Follow Construction",AL$102,IF(INPUTS!$J$132="Follow Sales",AL$99,IF(INPUTS!$J$132="Follow Collections",AL$108,IF(OR(TIMELINE!AL125=0,TIMELINE!$C$124=0),0,IF(IF(INPUTS!$J$132="Follow Project Life","Even",IF(INPUTS!$J$132="At Project End","Upfront",INPUTS!$J$132))="Upfront",--(TIMELINE!AL125=1),IF(IF(INPUTS!$J$132="Follow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End","Upfront",INPUTS!$J$132))="Front-loaded",(TIMELINE!$C$124-TIMELINE!AL125+1)*2/(TIMELINE!$C$124*(TIMELINE!$C$124+1)),IF(IF(INPUTS!$J$132="Follow Project Life","Even",IF(INPUTS!$J$132="At Project End","Upfront",INPUTS!$J$132))="Back-loaded",TIMELINE!AL125*2/(TIMELINE!$C$124*(TIMELINE!$C$124+1)),IF(IF(INPUTS!$J$132="Follow Project Life","Even",IF(INPUTS!$J$132="At Project End","Upfront",INPUTS!$J$132))="S-curve",SIN(PI()*(TIMELINE!AL125-0.5)/TIMELINE!$C$124)*SIN(PI()/(2*TIMELINE!$C$124)),0))))))))))</f>
        <v>0</v>
      </c>
      <c r="AM125" s="118" t="n">
        <f aca="false">IF(INPUTS!$F$132&lt;&gt;"Yes",0,IF(INPUTS!$J$132="Follow Construction",AM$102,IF(INPUTS!$J$132="Follow Sales",AM$99,IF(INPUTS!$J$132="Follow Collections",AM$108,IF(OR(TIMELINE!AM125=0,TIMELINE!$C$124=0),0,IF(IF(INPUTS!$J$132="Follow Project Life","Even",IF(INPUTS!$J$132="At Project End","Upfront",INPUTS!$J$132))="Upfront",--(TIMELINE!AM125=1),IF(IF(INPUTS!$J$132="Follow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End","Upfront",INPUTS!$J$132))="Front-loaded",(TIMELINE!$C$124-TIMELINE!AM125+1)*2/(TIMELINE!$C$124*(TIMELINE!$C$124+1)),IF(IF(INPUTS!$J$132="Follow Project Life","Even",IF(INPUTS!$J$132="At Project End","Upfront",INPUTS!$J$132))="Back-loaded",TIMELINE!AM125*2/(TIMELINE!$C$124*(TIMELINE!$C$124+1)),IF(IF(INPUTS!$J$132="Follow Project Life","Even",IF(INPUTS!$J$132="At Project End","Upfront",INPUTS!$J$132))="S-curve",SIN(PI()*(TIMELINE!AM125-0.5)/TIMELINE!$C$124)*SIN(PI()/(2*TIMELINE!$C$124)),0))))))))))</f>
        <v>0</v>
      </c>
      <c r="AN125" s="118" t="n">
        <f aca="false">IF(INPUTS!$F$132&lt;&gt;"Yes",0,IF(INPUTS!$J$132="Follow Construction",AN$102,IF(INPUTS!$J$132="Follow Sales",AN$99,IF(INPUTS!$J$132="Follow Collections",AN$108,IF(OR(TIMELINE!AN125=0,TIMELINE!$C$124=0),0,IF(IF(INPUTS!$J$132="Follow Project Life","Even",IF(INPUTS!$J$132="At Project End","Upfront",INPUTS!$J$132))="Upfront",--(TIMELINE!AN125=1),IF(IF(INPUTS!$J$132="Follow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End","Upfront",INPUTS!$J$132))="Front-loaded",(TIMELINE!$C$124-TIMELINE!AN125+1)*2/(TIMELINE!$C$124*(TIMELINE!$C$124+1)),IF(IF(INPUTS!$J$132="Follow Project Life","Even",IF(INPUTS!$J$132="At Project End","Upfront",INPUTS!$J$132))="Back-loaded",TIMELINE!AN125*2/(TIMELINE!$C$124*(TIMELINE!$C$124+1)),IF(IF(INPUTS!$J$132="Follow Project Life","Even",IF(INPUTS!$J$132="At Project End","Upfront",INPUTS!$J$132))="S-curve",SIN(PI()*(TIMELINE!AN125-0.5)/TIMELINE!$C$124)*SIN(PI()/(2*TIMELINE!$C$124)),0))))))))))</f>
        <v>0</v>
      </c>
      <c r="AO125" s="118" t="n">
        <f aca="false">IF(INPUTS!$F$132&lt;&gt;"Yes",0,IF(INPUTS!$J$132="Follow Construction",AO$102,IF(INPUTS!$J$132="Follow Sales",AO$99,IF(INPUTS!$J$132="Follow Collections",AO$108,IF(OR(TIMELINE!AO125=0,TIMELINE!$C$124=0),0,IF(IF(INPUTS!$J$132="Follow Project Life","Even",IF(INPUTS!$J$132="At Project End","Upfront",INPUTS!$J$132))="Upfront",--(TIMELINE!AO125=1),IF(IF(INPUTS!$J$132="Follow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End","Upfront",INPUTS!$J$132))="Front-loaded",(TIMELINE!$C$124-TIMELINE!AO125+1)*2/(TIMELINE!$C$124*(TIMELINE!$C$124+1)),IF(IF(INPUTS!$J$132="Follow Project Life","Even",IF(INPUTS!$J$132="At Project End","Upfront",INPUTS!$J$132))="Back-loaded",TIMELINE!AO125*2/(TIMELINE!$C$124*(TIMELINE!$C$124+1)),IF(IF(INPUTS!$J$132="Follow Project Life","Even",IF(INPUTS!$J$132="At Project End","Upfront",INPUTS!$J$132))="S-curve",SIN(PI()*(TIMELINE!AO125-0.5)/TIMELINE!$C$124)*SIN(PI()/(2*TIMELINE!$C$124)),0))))))))))</f>
        <v>0</v>
      </c>
      <c r="AP125" s="118" t="n">
        <f aca="false">IF(INPUTS!$F$132&lt;&gt;"Yes",0,IF(INPUTS!$J$132="Follow Construction",AP$102,IF(INPUTS!$J$132="Follow Sales",AP$99,IF(INPUTS!$J$132="Follow Collections",AP$108,IF(OR(TIMELINE!AP125=0,TIMELINE!$C$124=0),0,IF(IF(INPUTS!$J$132="Follow Project Life","Even",IF(INPUTS!$J$132="At Project End","Upfront",INPUTS!$J$132))="Upfront",--(TIMELINE!AP125=1),IF(IF(INPUTS!$J$132="Follow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End","Upfront",INPUTS!$J$132))="Front-loaded",(TIMELINE!$C$124-TIMELINE!AP125+1)*2/(TIMELINE!$C$124*(TIMELINE!$C$124+1)),IF(IF(INPUTS!$J$132="Follow Project Life","Even",IF(INPUTS!$J$132="At Project End","Upfront",INPUTS!$J$132))="Back-loaded",TIMELINE!AP125*2/(TIMELINE!$C$124*(TIMELINE!$C$124+1)),IF(IF(INPUTS!$J$132="Follow Project Life","Even",IF(INPUTS!$J$132="At Project End","Upfront",INPUTS!$J$132))="S-curve",SIN(PI()*(TIMELINE!AP125-0.5)/TIMELINE!$C$124)*SIN(PI()/(2*TIMELINE!$C$124)),0))))))))))</f>
        <v>0</v>
      </c>
      <c r="AQ125" s="118" t="n">
        <f aca="false">IF(INPUTS!$F$132&lt;&gt;"Yes",0,IF(INPUTS!$J$132="Follow Construction",AQ$102,IF(INPUTS!$J$132="Follow Sales",AQ$99,IF(INPUTS!$J$132="Follow Collections",AQ$108,IF(OR(TIMELINE!AQ125=0,TIMELINE!$C$124=0),0,IF(IF(INPUTS!$J$132="Follow Project Life","Even",IF(INPUTS!$J$132="At Project End","Upfront",INPUTS!$J$132))="Upfront",--(TIMELINE!AQ125=1),IF(IF(INPUTS!$J$132="Follow Project Life","Even",IF(INPUTS!$J$132="At Project End","Upfront",INPUTS!$J$132))="Even",1/TIMELINE!$C$124,IF(IF(INPUTS!$J$132="Follow Project Life","Even",IF(INPUTS!$J$132="At Project End","Upfront",INPUTS!$J$132))="Front-loaded",(TIMELINE!$C$124-TIMELINE!AQ125+1)*2/(TIMELINE!$C$124*(TIMELINE!$C$124+1)),IF(IF(INPUTS!$J$132="Follow Project Life","Even",IF(INPUTS!$J$132="At Project End","Upfront",INPUTS!$J$132))="Back-loaded",TIMELINE!AQ125*2/(TIMELINE!$C$124*(TIMELINE!$C$124+1)),IF(IF(INPUTS!$J$132="Follow Project Life","Even",IF(INPUTS!$J$132="At Project End","Upfront",INPUTS!$J$132))="S-curve",SIN(PI()*(TIMELINE!AQ125-0.5)/TIMELINE!$C$124)*SIN(PI()/(2*TIMELINE!$C$124)),0))))))))))</f>
        <v>0</v>
      </c>
    </row>
    <row r="126" customFormat="false" ht="15" hidden="false" customHeight="false" outlineLevel="0" collapsed="false">
      <c r="B126" s="17" t="s">
        <v>689</v>
      </c>
      <c r="C126" s="105" t="str">
        <f aca="false">IF(INPUTS!$B$132="","",IF(INPUTS!$F$132&lt;&gt;"Yes","Off",IF(INPUTS!$M$132&lt;&gt;"OK","ERROR",IF(ABS(C125-1)&lt;0.000000001,"OK",IF(AND(C125=0,INPUTS!$G$132=0),"Zero","ERROR")))))</f>
        <v>OK</v>
      </c>
    </row>
    <row r="127" customFormat="false" ht="15" hidden="false" customHeight="false" outlineLevel="0" collapsed="false">
      <c r="B127" s="110" t="str">
        <f aca="false">IF(INPUTS!$B$133="","Spare cost row",INPUTS!$B$133)</f>
        <v>Studio Construction cost with furnishing</v>
      </c>
      <c r="C127" s="111" t="str">
        <f aca="false">IF(INPUTS!$J$133="","",INPUTS!$J$133)</f>
        <v>Follow Construction</v>
      </c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</row>
    <row r="128" customFormat="false" ht="15" hidden="false" customHeight="false" outlineLevel="0" collapsed="false">
      <c r="B128" s="3" t="s">
        <v>688</v>
      </c>
      <c r="C128" s="117" t="n">
        <f aca="false">SUM(D128:AQ128)</f>
        <v>1</v>
      </c>
      <c r="D128" s="118" t="n">
        <f aca="false">IF(INPUTS!$F$133&lt;&gt;"Yes",0,IF(INPUTS!$J$133="Follow Construction",D$103,IF(INPUTS!$J$133="Follow Sales",D$99,IF(INPUTS!$J$133="Follow Collections",D$108,IF(OR(TIMELINE!D129=0,TIMELINE!$C$128=0),0,IF(IF(INPUTS!$J$133="Follow Project Life","Even",IF(INPUTS!$J$133="At Project End","Upfront",INPUTS!$J$133))="Upfront",--(TIMELINE!D129=1),IF(IF(INPUTS!$J$133="Follow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End","Upfront",INPUTS!$J$133))="Front-loaded",(TIMELINE!$C$128-TIMELINE!D129+1)*2/(TIMELINE!$C$128*(TIMELINE!$C$128+1)),IF(IF(INPUTS!$J$133="Follow Project Life","Even",IF(INPUTS!$J$133="At Project End","Upfront",INPUTS!$J$133))="Back-loaded",TIMELINE!D129*2/(TIMELINE!$C$128*(TIMELINE!$C$128+1)),IF(IF(INPUTS!$J$133="Follow Project Life","Even",IF(INPUTS!$J$133="At Project End","Upfront",INPUTS!$J$133))="S-curve",SIN(PI()*(TIMELINE!D129-0.5)/TIMELINE!$C$128)*SIN(PI()/(2*TIMELINE!$C$128)),0))))))))))</f>
        <v>0</v>
      </c>
      <c r="E128" s="118" t="n">
        <f aca="false">IF(INPUTS!$F$133&lt;&gt;"Yes",0,IF(INPUTS!$J$133="Follow Construction",E$103,IF(INPUTS!$J$133="Follow Sales",E$99,IF(INPUTS!$J$133="Follow Collections",E$108,IF(OR(TIMELINE!E129=0,TIMELINE!$C$128=0),0,IF(IF(INPUTS!$J$133="Follow Project Life","Even",IF(INPUTS!$J$133="At Project End","Upfront",INPUTS!$J$133))="Upfront",--(TIMELINE!E129=1),IF(IF(INPUTS!$J$133="Follow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End","Upfront",INPUTS!$J$133))="Front-loaded",(TIMELINE!$C$128-TIMELINE!E129+1)*2/(TIMELINE!$C$128*(TIMELINE!$C$128+1)),IF(IF(INPUTS!$J$133="Follow Project Life","Even",IF(INPUTS!$J$133="At Project End","Upfront",INPUTS!$J$133))="Back-loaded",TIMELINE!E129*2/(TIMELINE!$C$128*(TIMELINE!$C$128+1)),IF(IF(INPUTS!$J$133="Follow Project Life","Even",IF(INPUTS!$J$133="At Project End","Upfront",INPUTS!$J$133))="S-curve",SIN(PI()*(TIMELINE!E129-0.5)/TIMELINE!$C$128)*SIN(PI()/(2*TIMELINE!$C$128)),0))))))))))</f>
        <v>0</v>
      </c>
      <c r="F128" s="118" t="n">
        <f aca="false">IF(INPUTS!$F$133&lt;&gt;"Yes",0,IF(INPUTS!$J$133="Follow Construction",F$103,IF(INPUTS!$J$133="Follow Sales",F$99,IF(INPUTS!$J$133="Follow Collections",F$108,IF(OR(TIMELINE!F129=0,TIMELINE!$C$128=0),0,IF(IF(INPUTS!$J$133="Follow Project Life","Even",IF(INPUTS!$J$133="At Project End","Upfront",INPUTS!$J$133))="Upfront",--(TIMELINE!F129=1),IF(IF(INPUTS!$J$133="Follow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End","Upfront",INPUTS!$J$133))="Front-loaded",(TIMELINE!$C$128-TIMELINE!F129+1)*2/(TIMELINE!$C$128*(TIMELINE!$C$128+1)),IF(IF(INPUTS!$J$133="Follow Project Life","Even",IF(INPUTS!$J$133="At Project End","Upfront",INPUTS!$J$133))="Back-loaded",TIMELINE!F129*2/(TIMELINE!$C$128*(TIMELINE!$C$128+1)),IF(IF(INPUTS!$J$133="Follow Project Life","Even",IF(INPUTS!$J$133="At Project End","Upfront",INPUTS!$J$133))="S-curve",SIN(PI()*(TIMELINE!F129-0.5)/TIMELINE!$C$128)*SIN(PI()/(2*TIMELINE!$C$128)),0))))))))))</f>
        <v>0</v>
      </c>
      <c r="G128" s="118" t="n">
        <f aca="false">IF(INPUTS!$F$133&lt;&gt;"Yes",0,IF(INPUTS!$J$133="Follow Construction",G$103,IF(INPUTS!$J$133="Follow Sales",G$99,IF(INPUTS!$J$133="Follow Collections",G$108,IF(OR(TIMELINE!G129=0,TIMELINE!$C$128=0),0,IF(IF(INPUTS!$J$133="Follow Project Life","Even",IF(INPUTS!$J$133="At Project End","Upfront",INPUTS!$J$133))="Upfront",--(TIMELINE!G129=1),IF(IF(INPUTS!$J$133="Follow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End","Upfront",INPUTS!$J$133))="Front-loaded",(TIMELINE!$C$128-TIMELINE!G129+1)*2/(TIMELINE!$C$128*(TIMELINE!$C$128+1)),IF(IF(INPUTS!$J$133="Follow Project Life","Even",IF(INPUTS!$J$133="At Project End","Upfront",INPUTS!$J$133))="Back-loaded",TIMELINE!G129*2/(TIMELINE!$C$128*(TIMELINE!$C$128+1)),IF(IF(INPUTS!$J$133="Follow Project Life","Even",IF(INPUTS!$J$133="At Project End","Upfront",INPUTS!$J$133))="S-curve",SIN(PI()*(TIMELINE!G129-0.5)/TIMELINE!$C$128)*SIN(PI()/(2*TIMELINE!$C$128)),0))))))))))</f>
        <v>0</v>
      </c>
      <c r="H128" s="118" t="n">
        <f aca="false">IF(INPUTS!$F$133&lt;&gt;"Yes",0,IF(INPUTS!$J$133="Follow Construction",H$103,IF(INPUTS!$J$133="Follow Sales",H$99,IF(INPUTS!$J$133="Follow Collections",H$108,IF(OR(TIMELINE!H129=0,TIMELINE!$C$128=0),0,IF(IF(INPUTS!$J$133="Follow Project Life","Even",IF(INPUTS!$J$133="At Project End","Upfront",INPUTS!$J$133))="Upfront",--(TIMELINE!H129=1),IF(IF(INPUTS!$J$133="Follow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End","Upfront",INPUTS!$J$133))="Front-loaded",(TIMELINE!$C$128-TIMELINE!H129+1)*2/(TIMELINE!$C$128*(TIMELINE!$C$128+1)),IF(IF(INPUTS!$J$133="Follow Project Life","Even",IF(INPUTS!$J$133="At Project End","Upfront",INPUTS!$J$133))="Back-loaded",TIMELINE!H129*2/(TIMELINE!$C$128*(TIMELINE!$C$128+1)),IF(IF(INPUTS!$J$133="Follow Project Life","Even",IF(INPUTS!$J$133="At Project End","Upfront",INPUTS!$J$133))="S-curve",SIN(PI()*(TIMELINE!H129-0.5)/TIMELINE!$C$128)*SIN(PI()/(2*TIMELINE!$C$128)),0))))))))))</f>
        <v>0</v>
      </c>
      <c r="I128" s="118" t="n">
        <f aca="false">IF(INPUTS!$F$133&lt;&gt;"Yes",0,IF(INPUTS!$J$133="Follow Construction",I$103,IF(INPUTS!$J$133="Follow Sales",I$99,IF(INPUTS!$J$133="Follow Collections",I$108,IF(OR(TIMELINE!I129=0,TIMELINE!$C$128=0),0,IF(IF(INPUTS!$J$133="Follow Project Life","Even",IF(INPUTS!$J$133="At Project End","Upfront",INPUTS!$J$133))="Upfront",--(TIMELINE!I129=1),IF(IF(INPUTS!$J$133="Follow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End","Upfront",INPUTS!$J$133))="Front-loaded",(TIMELINE!$C$128-TIMELINE!I129+1)*2/(TIMELINE!$C$128*(TIMELINE!$C$128+1)),IF(IF(INPUTS!$J$133="Follow Project Life","Even",IF(INPUTS!$J$133="At Project End","Upfront",INPUTS!$J$133))="Back-loaded",TIMELINE!I129*2/(TIMELINE!$C$128*(TIMELINE!$C$128+1)),IF(IF(INPUTS!$J$133="Follow Project Life","Even",IF(INPUTS!$J$133="At Project End","Upfront",INPUTS!$J$133))="S-curve",SIN(PI()*(TIMELINE!I129-0.5)/TIMELINE!$C$128)*SIN(PI()/(2*TIMELINE!$C$128)),0))))))))))</f>
        <v>0.0170370868554658</v>
      </c>
      <c r="J128" s="118" t="n">
        <f aca="false">IF(INPUTS!$F$133&lt;&gt;"Yes",0,IF(INPUTS!$J$133="Follow Construction",J$103,IF(INPUTS!$J$133="Follow Sales",J$99,IF(INPUTS!$J$133="Follow Collections",J$108,IF(OR(TIMELINE!J129=0,TIMELINE!$C$128=0),0,IF(IF(INPUTS!$J$133="Follow Project Life","Even",IF(INPUTS!$J$133="At Project End","Upfront",INPUTS!$J$133))="Upfront",--(TIMELINE!J129=1),IF(IF(INPUTS!$J$133="Follow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End","Upfront",INPUTS!$J$133))="Front-loaded",(TIMELINE!$C$128-TIMELINE!J129+1)*2/(TIMELINE!$C$128*(TIMELINE!$C$128+1)),IF(IF(INPUTS!$J$133="Follow Project Life","Even",IF(INPUTS!$J$133="At Project End","Upfront",INPUTS!$J$133))="Back-loaded",TIMELINE!J129*2/(TIMELINE!$C$128*(TIMELINE!$C$128+1)),IF(IF(INPUTS!$J$133="Follow Project Life","Even",IF(INPUTS!$J$133="At Project End","Upfront",INPUTS!$J$133))="S-curve",SIN(PI()*(TIMELINE!J129-0.5)/TIMELINE!$C$128)*SIN(PI()/(2*TIMELINE!$C$128)),0))))))))))</f>
        <v>0.0499502112523148</v>
      </c>
      <c r="K128" s="118" t="n">
        <f aca="false">IF(INPUTS!$F$133&lt;&gt;"Yes",0,IF(INPUTS!$J$133="Follow Construction",K$103,IF(INPUTS!$J$133="Follow Sales",K$99,IF(INPUTS!$J$133="Follow Collections",K$108,IF(OR(TIMELINE!K129=0,TIMELINE!$C$128=0),0,IF(IF(INPUTS!$J$133="Follow Project Life","Even",IF(INPUTS!$J$133="At Project End","Upfront",INPUTS!$J$133))="Upfront",--(TIMELINE!K129=1),IF(IF(INPUTS!$J$133="Follow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End","Upfront",INPUTS!$J$133))="Front-loaded",(TIMELINE!$C$128-TIMELINE!K129+1)*2/(TIMELINE!$C$128*(TIMELINE!$C$128+1)),IF(IF(INPUTS!$J$133="Follow Project Life","Even",IF(INPUTS!$J$133="At Project End","Upfront",INPUTS!$J$133))="Back-loaded",TIMELINE!K129*2/(TIMELINE!$C$128*(TIMELINE!$C$128+1)),IF(IF(INPUTS!$J$133="Follow Project Life","Even",IF(INPUTS!$J$133="At Project End","Upfront",INPUTS!$J$133))="S-curve",SIN(PI()*(TIMELINE!K129-0.5)/TIMELINE!$C$128)*SIN(PI()/(2*TIMELINE!$C$128)),0))))))))))</f>
        <v>0.0794593112989456</v>
      </c>
      <c r="L128" s="118" t="n">
        <f aca="false">IF(INPUTS!$F$133&lt;&gt;"Yes",0,IF(INPUTS!$J$133="Follow Construction",L$103,IF(INPUTS!$J$133="Follow Sales",L$99,IF(INPUTS!$J$133="Follow Collections",L$108,IF(OR(TIMELINE!L129=0,TIMELINE!$C$128=0),0,IF(IF(INPUTS!$J$133="Follow Project Life","Even",IF(INPUTS!$J$133="At Project End","Upfront",INPUTS!$J$133))="Upfront",--(TIMELINE!L129=1),IF(IF(INPUTS!$J$133="Follow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End","Upfront",INPUTS!$J$133))="Front-loaded",(TIMELINE!$C$128-TIMELINE!L129+1)*2/(TIMELINE!$C$128*(TIMELINE!$C$128+1)),IF(IF(INPUTS!$J$133="Follow Project Life","Even",IF(INPUTS!$J$133="At Project End","Upfront",INPUTS!$J$133))="Back-loaded",TIMELINE!L129*2/(TIMELINE!$C$128*(TIMELINE!$C$128+1)),IF(IF(INPUTS!$J$133="Follow Project Life","Even",IF(INPUTS!$J$133="At Project End","Upfront",INPUTS!$J$133))="S-curve",SIN(PI()*(TIMELINE!L129-0.5)/TIMELINE!$C$128)*SIN(PI()/(2*TIMELINE!$C$128)),0))))))))))</f>
        <v>0.103553390593274</v>
      </c>
      <c r="M128" s="118" t="n">
        <f aca="false">IF(INPUTS!$F$133&lt;&gt;"Yes",0,IF(INPUTS!$J$133="Follow Construction",M$103,IF(INPUTS!$J$133="Follow Sales",M$99,IF(INPUTS!$J$133="Follow Collections",M$108,IF(OR(TIMELINE!M129=0,TIMELINE!$C$128=0),0,IF(IF(INPUTS!$J$133="Follow Project Life","Even",IF(INPUTS!$J$133="At Project End","Upfront",INPUTS!$J$133))="Upfront",--(TIMELINE!M129=1),IF(IF(INPUTS!$J$133="Follow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End","Upfront",INPUTS!$J$133))="Front-loaded",(TIMELINE!$C$128-TIMELINE!M129+1)*2/(TIMELINE!$C$128*(TIMELINE!$C$128+1)),IF(IF(INPUTS!$J$133="Follow Project Life","Even",IF(INPUTS!$J$133="At Project End","Upfront",INPUTS!$J$133))="Back-loaded",TIMELINE!M129*2/(TIMELINE!$C$128*(TIMELINE!$C$128+1)),IF(IF(INPUTS!$J$133="Follow Project Life","Even",IF(INPUTS!$J$133="At Project End","Upfront",INPUTS!$J$133))="S-curve",SIN(PI()*(TIMELINE!M129-0.5)/TIMELINE!$C$128)*SIN(PI()/(2*TIMELINE!$C$128)),0))))))))))</f>
        <v>0.12059047744874</v>
      </c>
      <c r="N128" s="118" t="n">
        <f aca="false">IF(INPUTS!$F$133&lt;&gt;"Yes",0,IF(INPUTS!$J$133="Follow Construction",N$103,IF(INPUTS!$J$133="Follow Sales",N$99,IF(INPUTS!$J$133="Follow Collections",N$108,IF(OR(TIMELINE!N129=0,TIMELINE!$C$128=0),0,IF(IF(INPUTS!$J$133="Follow Project Life","Even",IF(INPUTS!$J$133="At Project End","Upfront",INPUTS!$J$133))="Upfront",--(TIMELINE!N129=1),IF(IF(INPUTS!$J$133="Follow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End","Upfront",INPUTS!$J$133))="Front-loaded",(TIMELINE!$C$128-TIMELINE!N129+1)*2/(TIMELINE!$C$128*(TIMELINE!$C$128+1)),IF(IF(INPUTS!$J$133="Follow Project Life","Even",IF(INPUTS!$J$133="At Project End","Upfront",INPUTS!$J$133))="Back-loaded",TIMELINE!N129*2/(TIMELINE!$C$128*(TIMELINE!$C$128+1)),IF(IF(INPUTS!$J$133="Follow Project Life","Even",IF(INPUTS!$J$133="At Project End","Upfront",INPUTS!$J$133))="S-curve",SIN(PI()*(TIMELINE!N129-0.5)/TIMELINE!$C$128)*SIN(PI()/(2*TIMELINE!$C$128)),0))))))))))</f>
        <v>0.12940952255126</v>
      </c>
      <c r="O128" s="118" t="n">
        <f aca="false">IF(INPUTS!$F$133&lt;&gt;"Yes",0,IF(INPUTS!$J$133="Follow Construction",O$103,IF(INPUTS!$J$133="Follow Sales",O$99,IF(INPUTS!$J$133="Follow Collections",O$108,IF(OR(TIMELINE!O129=0,TIMELINE!$C$128=0),0,IF(IF(INPUTS!$J$133="Follow Project Life","Even",IF(INPUTS!$J$133="At Project End","Upfront",INPUTS!$J$133))="Upfront",--(TIMELINE!O129=1),IF(IF(INPUTS!$J$133="Follow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End","Upfront",INPUTS!$J$133))="Front-loaded",(TIMELINE!$C$128-TIMELINE!O129+1)*2/(TIMELINE!$C$128*(TIMELINE!$C$128+1)),IF(IF(INPUTS!$J$133="Follow Project Life","Even",IF(INPUTS!$J$133="At Project End","Upfront",INPUTS!$J$133))="Back-loaded",TIMELINE!O129*2/(TIMELINE!$C$128*(TIMELINE!$C$128+1)),IF(IF(INPUTS!$J$133="Follow Project Life","Even",IF(INPUTS!$J$133="At Project End","Upfront",INPUTS!$J$133))="S-curve",SIN(PI()*(TIMELINE!O129-0.5)/TIMELINE!$C$128)*SIN(PI()/(2*TIMELINE!$C$128)),0))))))))))</f>
        <v>0.12940952255126</v>
      </c>
      <c r="P128" s="118" t="n">
        <f aca="false">IF(INPUTS!$F$133&lt;&gt;"Yes",0,IF(INPUTS!$J$133="Follow Construction",P$103,IF(INPUTS!$J$133="Follow Sales",P$99,IF(INPUTS!$J$133="Follow Collections",P$108,IF(OR(TIMELINE!P129=0,TIMELINE!$C$128=0),0,IF(IF(INPUTS!$J$133="Follow Project Life","Even",IF(INPUTS!$J$133="At Project End","Upfront",INPUTS!$J$133))="Upfront",--(TIMELINE!P129=1),IF(IF(INPUTS!$J$133="Follow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End","Upfront",INPUTS!$J$133))="Front-loaded",(TIMELINE!$C$128-TIMELINE!P129+1)*2/(TIMELINE!$C$128*(TIMELINE!$C$128+1)),IF(IF(INPUTS!$J$133="Follow Project Life","Even",IF(INPUTS!$J$133="At Project End","Upfront",INPUTS!$J$133))="Back-loaded",TIMELINE!P129*2/(TIMELINE!$C$128*(TIMELINE!$C$128+1)),IF(IF(INPUTS!$J$133="Follow Project Life","Even",IF(INPUTS!$J$133="At Project End","Upfront",INPUTS!$J$133))="S-curve",SIN(PI()*(TIMELINE!P129-0.5)/TIMELINE!$C$128)*SIN(PI()/(2*TIMELINE!$C$128)),0))))))))))</f>
        <v>0.12059047744874</v>
      </c>
      <c r="Q128" s="118" t="n">
        <f aca="false">IF(INPUTS!$F$133&lt;&gt;"Yes",0,IF(INPUTS!$J$133="Follow Construction",Q$103,IF(INPUTS!$J$133="Follow Sales",Q$99,IF(INPUTS!$J$133="Follow Collections",Q$108,IF(OR(TIMELINE!Q129=0,TIMELINE!$C$128=0),0,IF(IF(INPUTS!$J$133="Follow Project Life","Even",IF(INPUTS!$J$133="At Project End","Upfront",INPUTS!$J$133))="Upfront",--(TIMELINE!Q129=1),IF(IF(INPUTS!$J$133="Follow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End","Upfront",INPUTS!$J$133))="Front-loaded",(TIMELINE!$C$128-TIMELINE!Q129+1)*2/(TIMELINE!$C$128*(TIMELINE!$C$128+1)),IF(IF(INPUTS!$J$133="Follow Project Life","Even",IF(INPUTS!$J$133="At Project End","Upfront",INPUTS!$J$133))="Back-loaded",TIMELINE!Q129*2/(TIMELINE!$C$128*(TIMELINE!$C$128+1)),IF(IF(INPUTS!$J$133="Follow Project Life","Even",IF(INPUTS!$J$133="At Project End","Upfront",INPUTS!$J$133))="S-curve",SIN(PI()*(TIMELINE!Q129-0.5)/TIMELINE!$C$128)*SIN(PI()/(2*TIMELINE!$C$128)),0))))))))))</f>
        <v>0.103553390593274</v>
      </c>
      <c r="R128" s="118" t="n">
        <f aca="false">IF(INPUTS!$F$133&lt;&gt;"Yes",0,IF(INPUTS!$J$133="Follow Construction",R$103,IF(INPUTS!$J$133="Follow Sales",R$99,IF(INPUTS!$J$133="Follow Collections",R$108,IF(OR(TIMELINE!R129=0,TIMELINE!$C$128=0),0,IF(IF(INPUTS!$J$133="Follow Project Life","Even",IF(INPUTS!$J$133="At Project End","Upfront",INPUTS!$J$133))="Upfront",--(TIMELINE!R129=1),IF(IF(INPUTS!$J$133="Follow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End","Upfront",INPUTS!$J$133))="Front-loaded",(TIMELINE!$C$128-TIMELINE!R129+1)*2/(TIMELINE!$C$128*(TIMELINE!$C$128+1)),IF(IF(INPUTS!$J$133="Follow Project Life","Even",IF(INPUTS!$J$133="At Project End","Upfront",INPUTS!$J$133))="Back-loaded",TIMELINE!R129*2/(TIMELINE!$C$128*(TIMELINE!$C$128+1)),IF(IF(INPUTS!$J$133="Follow Project Life","Even",IF(INPUTS!$J$133="At Project End","Upfront",INPUTS!$J$133))="S-curve",SIN(PI()*(TIMELINE!R129-0.5)/TIMELINE!$C$128)*SIN(PI()/(2*TIMELINE!$C$128)),0))))))))))</f>
        <v>0.0794593112989456</v>
      </c>
      <c r="S128" s="118" t="n">
        <f aca="false">IF(INPUTS!$F$133&lt;&gt;"Yes",0,IF(INPUTS!$J$133="Follow Construction",S$103,IF(INPUTS!$J$133="Follow Sales",S$99,IF(INPUTS!$J$133="Follow Collections",S$108,IF(OR(TIMELINE!S129=0,TIMELINE!$C$128=0),0,IF(IF(INPUTS!$J$133="Follow Project Life","Even",IF(INPUTS!$J$133="At Project End","Upfront",INPUTS!$J$133))="Upfront",--(TIMELINE!S129=1),IF(IF(INPUTS!$J$133="Follow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End","Upfront",INPUTS!$J$133))="Front-loaded",(TIMELINE!$C$128-TIMELINE!S129+1)*2/(TIMELINE!$C$128*(TIMELINE!$C$128+1)),IF(IF(INPUTS!$J$133="Follow Project Life","Even",IF(INPUTS!$J$133="At Project End","Upfront",INPUTS!$J$133))="Back-loaded",TIMELINE!S129*2/(TIMELINE!$C$128*(TIMELINE!$C$128+1)),IF(IF(INPUTS!$J$133="Follow Project Life","Even",IF(INPUTS!$J$133="At Project End","Upfront",INPUTS!$J$133))="S-curve",SIN(PI()*(TIMELINE!S129-0.5)/TIMELINE!$C$128)*SIN(PI()/(2*TIMELINE!$C$128)),0))))))))))</f>
        <v>0.0499502112523148</v>
      </c>
      <c r="T128" s="118" t="n">
        <f aca="false">IF(INPUTS!$F$133&lt;&gt;"Yes",0,IF(INPUTS!$J$133="Follow Construction",T$103,IF(INPUTS!$J$133="Follow Sales",T$99,IF(INPUTS!$J$133="Follow Collections",T$108,IF(OR(TIMELINE!T129=0,TIMELINE!$C$128=0),0,IF(IF(INPUTS!$J$133="Follow Project Life","Even",IF(INPUTS!$J$133="At Project End","Upfront",INPUTS!$J$133))="Upfront",--(TIMELINE!T129=1),IF(IF(INPUTS!$J$133="Follow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End","Upfront",INPUTS!$J$133))="Front-loaded",(TIMELINE!$C$128-TIMELINE!T129+1)*2/(TIMELINE!$C$128*(TIMELINE!$C$128+1)),IF(IF(INPUTS!$J$133="Follow Project Life","Even",IF(INPUTS!$J$133="At Project End","Upfront",INPUTS!$J$133))="Back-loaded",TIMELINE!T129*2/(TIMELINE!$C$128*(TIMELINE!$C$128+1)),IF(IF(INPUTS!$J$133="Follow Project Life","Even",IF(INPUTS!$J$133="At Project End","Upfront",INPUTS!$J$133))="S-curve",SIN(PI()*(TIMELINE!T129-0.5)/TIMELINE!$C$128)*SIN(PI()/(2*TIMELINE!$C$128)),0))))))))))</f>
        <v>0.0170370868554659</v>
      </c>
      <c r="U128" s="118" t="n">
        <f aca="false">IF(INPUTS!$F$133&lt;&gt;"Yes",0,IF(INPUTS!$J$133="Follow Construction",U$103,IF(INPUTS!$J$133="Follow Sales",U$99,IF(INPUTS!$J$133="Follow Collections",U$108,IF(OR(TIMELINE!U129=0,TIMELINE!$C$128=0),0,IF(IF(INPUTS!$J$133="Follow Project Life","Even",IF(INPUTS!$J$133="At Project End","Upfront",INPUTS!$J$133))="Upfront",--(TIMELINE!U129=1),IF(IF(INPUTS!$J$133="Follow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End","Upfront",INPUTS!$J$133))="Front-loaded",(TIMELINE!$C$128-TIMELINE!U129+1)*2/(TIMELINE!$C$128*(TIMELINE!$C$128+1)),IF(IF(INPUTS!$J$133="Follow Project Life","Even",IF(INPUTS!$J$133="At Project End","Upfront",INPUTS!$J$133))="Back-loaded",TIMELINE!U129*2/(TIMELINE!$C$128*(TIMELINE!$C$128+1)),IF(IF(INPUTS!$J$133="Follow Project Life","Even",IF(INPUTS!$J$133="At Project End","Upfront",INPUTS!$J$133))="S-curve",SIN(PI()*(TIMELINE!U129-0.5)/TIMELINE!$C$128)*SIN(PI()/(2*TIMELINE!$C$128)),0))))))))))</f>
        <v>0</v>
      </c>
      <c r="V128" s="118" t="n">
        <f aca="false">IF(INPUTS!$F$133&lt;&gt;"Yes",0,IF(INPUTS!$J$133="Follow Construction",V$103,IF(INPUTS!$J$133="Follow Sales",V$99,IF(INPUTS!$J$133="Follow Collections",V$108,IF(OR(TIMELINE!V129=0,TIMELINE!$C$128=0),0,IF(IF(INPUTS!$J$133="Follow Project Life","Even",IF(INPUTS!$J$133="At Project End","Upfront",INPUTS!$J$133))="Upfront",--(TIMELINE!V129=1),IF(IF(INPUTS!$J$133="Follow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End","Upfront",INPUTS!$J$133))="Front-loaded",(TIMELINE!$C$128-TIMELINE!V129+1)*2/(TIMELINE!$C$128*(TIMELINE!$C$128+1)),IF(IF(INPUTS!$J$133="Follow Project Life","Even",IF(INPUTS!$J$133="At Project End","Upfront",INPUTS!$J$133))="Back-loaded",TIMELINE!V129*2/(TIMELINE!$C$128*(TIMELINE!$C$128+1)),IF(IF(INPUTS!$J$133="Follow Project Life","Even",IF(INPUTS!$J$133="At Project End","Upfront",INPUTS!$J$133))="S-curve",SIN(PI()*(TIMELINE!V129-0.5)/TIMELINE!$C$128)*SIN(PI()/(2*TIMELINE!$C$128)),0))))))))))</f>
        <v>0</v>
      </c>
      <c r="W128" s="118" t="n">
        <f aca="false">IF(INPUTS!$F$133&lt;&gt;"Yes",0,IF(INPUTS!$J$133="Follow Construction",W$103,IF(INPUTS!$J$133="Follow Sales",W$99,IF(INPUTS!$J$133="Follow Collections",W$108,IF(OR(TIMELINE!W129=0,TIMELINE!$C$128=0),0,IF(IF(INPUTS!$J$133="Follow Project Life","Even",IF(INPUTS!$J$133="At Project End","Upfront",INPUTS!$J$133))="Upfront",--(TIMELINE!W129=1),IF(IF(INPUTS!$J$133="Follow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End","Upfront",INPUTS!$J$133))="Front-loaded",(TIMELINE!$C$128-TIMELINE!W129+1)*2/(TIMELINE!$C$128*(TIMELINE!$C$128+1)),IF(IF(INPUTS!$J$133="Follow Project Life","Even",IF(INPUTS!$J$133="At Project End","Upfront",INPUTS!$J$133))="Back-loaded",TIMELINE!W129*2/(TIMELINE!$C$128*(TIMELINE!$C$128+1)),IF(IF(INPUTS!$J$133="Follow Project Life","Even",IF(INPUTS!$J$133="At Project End","Upfront",INPUTS!$J$133))="S-curve",SIN(PI()*(TIMELINE!W129-0.5)/TIMELINE!$C$128)*SIN(PI()/(2*TIMELINE!$C$128)),0))))))))))</f>
        <v>0</v>
      </c>
      <c r="X128" s="118" t="n">
        <f aca="false">IF(INPUTS!$F$133&lt;&gt;"Yes",0,IF(INPUTS!$J$133="Follow Construction",X$103,IF(INPUTS!$J$133="Follow Sales",X$99,IF(INPUTS!$J$133="Follow Collections",X$108,IF(OR(TIMELINE!X129=0,TIMELINE!$C$128=0),0,IF(IF(INPUTS!$J$133="Follow Project Life","Even",IF(INPUTS!$J$133="At Project End","Upfront",INPUTS!$J$133))="Upfront",--(TIMELINE!X129=1),IF(IF(INPUTS!$J$133="Follow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End","Upfront",INPUTS!$J$133))="Front-loaded",(TIMELINE!$C$128-TIMELINE!X129+1)*2/(TIMELINE!$C$128*(TIMELINE!$C$128+1)),IF(IF(INPUTS!$J$133="Follow Project Life","Even",IF(INPUTS!$J$133="At Project End","Upfront",INPUTS!$J$133))="Back-loaded",TIMELINE!X129*2/(TIMELINE!$C$128*(TIMELINE!$C$128+1)),IF(IF(INPUTS!$J$133="Follow Project Life","Even",IF(INPUTS!$J$133="At Project End","Upfront",INPUTS!$J$133))="S-curve",SIN(PI()*(TIMELINE!X129-0.5)/TIMELINE!$C$128)*SIN(PI()/(2*TIMELINE!$C$128)),0))))))))))</f>
        <v>0</v>
      </c>
      <c r="Y128" s="118" t="n">
        <f aca="false">IF(INPUTS!$F$133&lt;&gt;"Yes",0,IF(INPUTS!$J$133="Follow Construction",Y$103,IF(INPUTS!$J$133="Follow Sales",Y$99,IF(INPUTS!$J$133="Follow Collections",Y$108,IF(OR(TIMELINE!Y129=0,TIMELINE!$C$128=0),0,IF(IF(INPUTS!$J$133="Follow Project Life","Even",IF(INPUTS!$J$133="At Project End","Upfront",INPUTS!$J$133))="Upfront",--(TIMELINE!Y129=1),IF(IF(INPUTS!$J$133="Follow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End","Upfront",INPUTS!$J$133))="Front-loaded",(TIMELINE!$C$128-TIMELINE!Y129+1)*2/(TIMELINE!$C$128*(TIMELINE!$C$128+1)),IF(IF(INPUTS!$J$133="Follow Project Life","Even",IF(INPUTS!$J$133="At Project End","Upfront",INPUTS!$J$133))="Back-loaded",TIMELINE!Y129*2/(TIMELINE!$C$128*(TIMELINE!$C$128+1)),IF(IF(INPUTS!$J$133="Follow Project Life","Even",IF(INPUTS!$J$133="At Project End","Upfront",INPUTS!$J$133))="S-curve",SIN(PI()*(TIMELINE!Y129-0.5)/TIMELINE!$C$128)*SIN(PI()/(2*TIMELINE!$C$128)),0))))))))))</f>
        <v>0</v>
      </c>
      <c r="Z128" s="118" t="n">
        <f aca="false">IF(INPUTS!$F$133&lt;&gt;"Yes",0,IF(INPUTS!$J$133="Follow Construction",Z$103,IF(INPUTS!$J$133="Follow Sales",Z$99,IF(INPUTS!$J$133="Follow Collections",Z$108,IF(OR(TIMELINE!Z129=0,TIMELINE!$C$128=0),0,IF(IF(INPUTS!$J$133="Follow Project Life","Even",IF(INPUTS!$J$133="At Project End","Upfront",INPUTS!$J$133))="Upfront",--(TIMELINE!Z129=1),IF(IF(INPUTS!$J$133="Follow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End","Upfront",INPUTS!$J$133))="Front-loaded",(TIMELINE!$C$128-TIMELINE!Z129+1)*2/(TIMELINE!$C$128*(TIMELINE!$C$128+1)),IF(IF(INPUTS!$J$133="Follow Project Life","Even",IF(INPUTS!$J$133="At Project End","Upfront",INPUTS!$J$133))="Back-loaded",TIMELINE!Z129*2/(TIMELINE!$C$128*(TIMELINE!$C$128+1)),IF(IF(INPUTS!$J$133="Follow Project Life","Even",IF(INPUTS!$J$133="At Project End","Upfront",INPUTS!$J$133))="S-curve",SIN(PI()*(TIMELINE!Z129-0.5)/TIMELINE!$C$128)*SIN(PI()/(2*TIMELINE!$C$128)),0))))))))))</f>
        <v>0</v>
      </c>
      <c r="AA128" s="118" t="n">
        <f aca="false">IF(INPUTS!$F$133&lt;&gt;"Yes",0,IF(INPUTS!$J$133="Follow Construction",AA$103,IF(INPUTS!$J$133="Follow Sales",AA$99,IF(INPUTS!$J$133="Follow Collections",AA$108,IF(OR(TIMELINE!AA129=0,TIMELINE!$C$128=0),0,IF(IF(INPUTS!$J$133="Follow Project Life","Even",IF(INPUTS!$J$133="At Project End","Upfront",INPUTS!$J$133))="Upfront",--(TIMELINE!AA129=1),IF(IF(INPUTS!$J$133="Follow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End","Upfront",INPUTS!$J$133))="Front-loaded",(TIMELINE!$C$128-TIMELINE!AA129+1)*2/(TIMELINE!$C$128*(TIMELINE!$C$128+1)),IF(IF(INPUTS!$J$133="Follow Project Life","Even",IF(INPUTS!$J$133="At Project End","Upfront",INPUTS!$J$133))="Back-loaded",TIMELINE!AA129*2/(TIMELINE!$C$128*(TIMELINE!$C$128+1)),IF(IF(INPUTS!$J$133="Follow Project Life","Even",IF(INPUTS!$J$133="At Project End","Upfront",INPUTS!$J$133))="S-curve",SIN(PI()*(TIMELINE!AA129-0.5)/TIMELINE!$C$128)*SIN(PI()/(2*TIMELINE!$C$128)),0))))))))))</f>
        <v>0</v>
      </c>
      <c r="AB128" s="118" t="n">
        <f aca="false">IF(INPUTS!$F$133&lt;&gt;"Yes",0,IF(INPUTS!$J$133="Follow Construction",AB$103,IF(INPUTS!$J$133="Follow Sales",AB$99,IF(INPUTS!$J$133="Follow Collections",AB$108,IF(OR(TIMELINE!AB129=0,TIMELINE!$C$128=0),0,IF(IF(INPUTS!$J$133="Follow Project Life","Even",IF(INPUTS!$J$133="At Project End","Upfront",INPUTS!$J$133))="Upfront",--(TIMELINE!AB129=1),IF(IF(INPUTS!$J$133="Follow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End","Upfront",INPUTS!$J$133))="Front-loaded",(TIMELINE!$C$128-TIMELINE!AB129+1)*2/(TIMELINE!$C$128*(TIMELINE!$C$128+1)),IF(IF(INPUTS!$J$133="Follow Project Life","Even",IF(INPUTS!$J$133="At Project End","Upfront",INPUTS!$J$133))="Back-loaded",TIMELINE!AB129*2/(TIMELINE!$C$128*(TIMELINE!$C$128+1)),IF(IF(INPUTS!$J$133="Follow Project Life","Even",IF(INPUTS!$J$133="At Project End","Upfront",INPUTS!$J$133))="S-curve",SIN(PI()*(TIMELINE!AB129-0.5)/TIMELINE!$C$128)*SIN(PI()/(2*TIMELINE!$C$128)),0))))))))))</f>
        <v>0</v>
      </c>
      <c r="AC128" s="118" t="n">
        <f aca="false">IF(INPUTS!$F$133&lt;&gt;"Yes",0,IF(INPUTS!$J$133="Follow Construction",AC$103,IF(INPUTS!$J$133="Follow Sales",AC$99,IF(INPUTS!$J$133="Follow Collections",AC$108,IF(OR(TIMELINE!AC129=0,TIMELINE!$C$128=0),0,IF(IF(INPUTS!$J$133="Follow Project Life","Even",IF(INPUTS!$J$133="At Project End","Upfront",INPUTS!$J$133))="Upfront",--(TIMELINE!AC129=1),IF(IF(INPUTS!$J$133="Follow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End","Upfront",INPUTS!$J$133))="Front-loaded",(TIMELINE!$C$128-TIMELINE!AC129+1)*2/(TIMELINE!$C$128*(TIMELINE!$C$128+1)),IF(IF(INPUTS!$J$133="Follow Project Life","Even",IF(INPUTS!$J$133="At Project End","Upfront",INPUTS!$J$133))="Back-loaded",TIMELINE!AC129*2/(TIMELINE!$C$128*(TIMELINE!$C$128+1)),IF(IF(INPUTS!$J$133="Follow Project Life","Even",IF(INPUTS!$J$133="At Project End","Upfront",INPUTS!$J$133))="S-curve",SIN(PI()*(TIMELINE!AC129-0.5)/TIMELINE!$C$128)*SIN(PI()/(2*TIMELINE!$C$128)),0))))))))))</f>
        <v>0</v>
      </c>
      <c r="AD128" s="118" t="n">
        <f aca="false">IF(INPUTS!$F$133&lt;&gt;"Yes",0,IF(INPUTS!$J$133="Follow Construction",AD$103,IF(INPUTS!$J$133="Follow Sales",AD$99,IF(INPUTS!$J$133="Follow Collections",AD$108,IF(OR(TIMELINE!AD129=0,TIMELINE!$C$128=0),0,IF(IF(INPUTS!$J$133="Follow Project Life","Even",IF(INPUTS!$J$133="At Project End","Upfront",INPUTS!$J$133))="Upfront",--(TIMELINE!AD129=1),IF(IF(INPUTS!$J$133="Follow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End","Upfront",INPUTS!$J$133))="Front-loaded",(TIMELINE!$C$128-TIMELINE!AD129+1)*2/(TIMELINE!$C$128*(TIMELINE!$C$128+1)),IF(IF(INPUTS!$J$133="Follow Project Life","Even",IF(INPUTS!$J$133="At Project End","Upfront",INPUTS!$J$133))="Back-loaded",TIMELINE!AD129*2/(TIMELINE!$C$128*(TIMELINE!$C$128+1)),IF(IF(INPUTS!$J$133="Follow Project Life","Even",IF(INPUTS!$J$133="At Project End","Upfront",INPUTS!$J$133))="S-curve",SIN(PI()*(TIMELINE!AD129-0.5)/TIMELINE!$C$128)*SIN(PI()/(2*TIMELINE!$C$128)),0))))))))))</f>
        <v>0</v>
      </c>
      <c r="AE128" s="118" t="n">
        <f aca="false">IF(INPUTS!$F$133&lt;&gt;"Yes",0,IF(INPUTS!$J$133="Follow Construction",AE$103,IF(INPUTS!$J$133="Follow Sales",AE$99,IF(INPUTS!$J$133="Follow Collections",AE$108,IF(OR(TIMELINE!AE129=0,TIMELINE!$C$128=0),0,IF(IF(INPUTS!$J$133="Follow Project Life","Even",IF(INPUTS!$J$133="At Project End","Upfront",INPUTS!$J$133))="Upfront",--(TIMELINE!AE129=1),IF(IF(INPUTS!$J$133="Follow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End","Upfront",INPUTS!$J$133))="Front-loaded",(TIMELINE!$C$128-TIMELINE!AE129+1)*2/(TIMELINE!$C$128*(TIMELINE!$C$128+1)),IF(IF(INPUTS!$J$133="Follow Project Life","Even",IF(INPUTS!$J$133="At Project End","Upfront",INPUTS!$J$133))="Back-loaded",TIMELINE!AE129*2/(TIMELINE!$C$128*(TIMELINE!$C$128+1)),IF(IF(INPUTS!$J$133="Follow Project Life","Even",IF(INPUTS!$J$133="At Project End","Upfront",INPUTS!$J$133))="S-curve",SIN(PI()*(TIMELINE!AE129-0.5)/TIMELINE!$C$128)*SIN(PI()/(2*TIMELINE!$C$128)),0))))))))))</f>
        <v>0</v>
      </c>
      <c r="AF128" s="118" t="n">
        <f aca="false">IF(INPUTS!$F$133&lt;&gt;"Yes",0,IF(INPUTS!$J$133="Follow Construction",AF$103,IF(INPUTS!$J$133="Follow Sales",AF$99,IF(INPUTS!$J$133="Follow Collections",AF$108,IF(OR(TIMELINE!AF129=0,TIMELINE!$C$128=0),0,IF(IF(INPUTS!$J$133="Follow Project Life","Even",IF(INPUTS!$J$133="At Project End","Upfront",INPUTS!$J$133))="Upfront",--(TIMELINE!AF129=1),IF(IF(INPUTS!$J$133="Follow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End","Upfront",INPUTS!$J$133))="Front-loaded",(TIMELINE!$C$128-TIMELINE!AF129+1)*2/(TIMELINE!$C$128*(TIMELINE!$C$128+1)),IF(IF(INPUTS!$J$133="Follow Project Life","Even",IF(INPUTS!$J$133="At Project End","Upfront",INPUTS!$J$133))="Back-loaded",TIMELINE!AF129*2/(TIMELINE!$C$128*(TIMELINE!$C$128+1)),IF(IF(INPUTS!$J$133="Follow Project Life","Even",IF(INPUTS!$J$133="At Project End","Upfront",INPUTS!$J$133))="S-curve",SIN(PI()*(TIMELINE!AF129-0.5)/TIMELINE!$C$128)*SIN(PI()/(2*TIMELINE!$C$128)),0))))))))))</f>
        <v>0</v>
      </c>
      <c r="AG128" s="118" t="n">
        <f aca="false">IF(INPUTS!$F$133&lt;&gt;"Yes",0,IF(INPUTS!$J$133="Follow Construction",AG$103,IF(INPUTS!$J$133="Follow Sales",AG$99,IF(INPUTS!$J$133="Follow Collections",AG$108,IF(OR(TIMELINE!AG129=0,TIMELINE!$C$128=0),0,IF(IF(INPUTS!$J$133="Follow Project Life","Even",IF(INPUTS!$J$133="At Project End","Upfront",INPUTS!$J$133))="Upfront",--(TIMELINE!AG129=1),IF(IF(INPUTS!$J$133="Follow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End","Upfront",INPUTS!$J$133))="Front-loaded",(TIMELINE!$C$128-TIMELINE!AG129+1)*2/(TIMELINE!$C$128*(TIMELINE!$C$128+1)),IF(IF(INPUTS!$J$133="Follow Project Life","Even",IF(INPUTS!$J$133="At Project End","Upfront",INPUTS!$J$133))="Back-loaded",TIMELINE!AG129*2/(TIMELINE!$C$128*(TIMELINE!$C$128+1)),IF(IF(INPUTS!$J$133="Follow Project Life","Even",IF(INPUTS!$J$133="At Project End","Upfront",INPUTS!$J$133))="S-curve",SIN(PI()*(TIMELINE!AG129-0.5)/TIMELINE!$C$128)*SIN(PI()/(2*TIMELINE!$C$128)),0))))))))))</f>
        <v>0</v>
      </c>
      <c r="AH128" s="118" t="n">
        <f aca="false">IF(INPUTS!$F$133&lt;&gt;"Yes",0,IF(INPUTS!$J$133="Follow Construction",AH$103,IF(INPUTS!$J$133="Follow Sales",AH$99,IF(INPUTS!$J$133="Follow Collections",AH$108,IF(OR(TIMELINE!AH129=0,TIMELINE!$C$128=0),0,IF(IF(INPUTS!$J$133="Follow Project Life","Even",IF(INPUTS!$J$133="At Project End","Upfront",INPUTS!$J$133))="Upfront",--(TIMELINE!AH129=1),IF(IF(INPUTS!$J$133="Follow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End","Upfront",INPUTS!$J$133))="Front-loaded",(TIMELINE!$C$128-TIMELINE!AH129+1)*2/(TIMELINE!$C$128*(TIMELINE!$C$128+1)),IF(IF(INPUTS!$J$133="Follow Project Life","Even",IF(INPUTS!$J$133="At Project End","Upfront",INPUTS!$J$133))="Back-loaded",TIMELINE!AH129*2/(TIMELINE!$C$128*(TIMELINE!$C$128+1)),IF(IF(INPUTS!$J$133="Follow Project Life","Even",IF(INPUTS!$J$133="At Project End","Upfront",INPUTS!$J$133))="S-curve",SIN(PI()*(TIMELINE!AH129-0.5)/TIMELINE!$C$128)*SIN(PI()/(2*TIMELINE!$C$128)),0))))))))))</f>
        <v>0</v>
      </c>
      <c r="AI128" s="118" t="n">
        <f aca="false">IF(INPUTS!$F$133&lt;&gt;"Yes",0,IF(INPUTS!$J$133="Follow Construction",AI$103,IF(INPUTS!$J$133="Follow Sales",AI$99,IF(INPUTS!$J$133="Follow Collections",AI$108,IF(OR(TIMELINE!AI129=0,TIMELINE!$C$128=0),0,IF(IF(INPUTS!$J$133="Follow Project Life","Even",IF(INPUTS!$J$133="At Project End","Upfront",INPUTS!$J$133))="Upfront",--(TIMELINE!AI129=1),IF(IF(INPUTS!$J$133="Follow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End","Upfront",INPUTS!$J$133))="Front-loaded",(TIMELINE!$C$128-TIMELINE!AI129+1)*2/(TIMELINE!$C$128*(TIMELINE!$C$128+1)),IF(IF(INPUTS!$J$133="Follow Project Life","Even",IF(INPUTS!$J$133="At Project End","Upfront",INPUTS!$J$133))="Back-loaded",TIMELINE!AI129*2/(TIMELINE!$C$128*(TIMELINE!$C$128+1)),IF(IF(INPUTS!$J$133="Follow Project Life","Even",IF(INPUTS!$J$133="At Project End","Upfront",INPUTS!$J$133))="S-curve",SIN(PI()*(TIMELINE!AI129-0.5)/TIMELINE!$C$128)*SIN(PI()/(2*TIMELINE!$C$128)),0))))))))))</f>
        <v>0</v>
      </c>
      <c r="AJ128" s="118" t="n">
        <f aca="false">IF(INPUTS!$F$133&lt;&gt;"Yes",0,IF(INPUTS!$J$133="Follow Construction",AJ$103,IF(INPUTS!$J$133="Follow Sales",AJ$99,IF(INPUTS!$J$133="Follow Collections",AJ$108,IF(OR(TIMELINE!AJ129=0,TIMELINE!$C$128=0),0,IF(IF(INPUTS!$J$133="Follow Project Life","Even",IF(INPUTS!$J$133="At Project End","Upfront",INPUTS!$J$133))="Upfront",--(TIMELINE!AJ129=1),IF(IF(INPUTS!$J$133="Follow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End","Upfront",INPUTS!$J$133))="Front-loaded",(TIMELINE!$C$128-TIMELINE!AJ129+1)*2/(TIMELINE!$C$128*(TIMELINE!$C$128+1)),IF(IF(INPUTS!$J$133="Follow Project Life","Even",IF(INPUTS!$J$133="At Project End","Upfront",INPUTS!$J$133))="Back-loaded",TIMELINE!AJ129*2/(TIMELINE!$C$128*(TIMELINE!$C$128+1)),IF(IF(INPUTS!$J$133="Follow Project Life","Even",IF(INPUTS!$J$133="At Project End","Upfront",INPUTS!$J$133))="S-curve",SIN(PI()*(TIMELINE!AJ129-0.5)/TIMELINE!$C$128)*SIN(PI()/(2*TIMELINE!$C$128)),0))))))))))</f>
        <v>0</v>
      </c>
      <c r="AK128" s="118" t="n">
        <f aca="false">IF(INPUTS!$F$133&lt;&gt;"Yes",0,IF(INPUTS!$J$133="Follow Construction",AK$103,IF(INPUTS!$J$133="Follow Sales",AK$99,IF(INPUTS!$J$133="Follow Collections",AK$108,IF(OR(TIMELINE!AK129=0,TIMELINE!$C$128=0),0,IF(IF(INPUTS!$J$133="Follow Project Life","Even",IF(INPUTS!$J$133="At Project End","Upfront",INPUTS!$J$133))="Upfront",--(TIMELINE!AK129=1),IF(IF(INPUTS!$J$133="Follow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End","Upfront",INPUTS!$J$133))="Front-loaded",(TIMELINE!$C$128-TIMELINE!AK129+1)*2/(TIMELINE!$C$128*(TIMELINE!$C$128+1)),IF(IF(INPUTS!$J$133="Follow Project Life","Even",IF(INPUTS!$J$133="At Project End","Upfront",INPUTS!$J$133))="Back-loaded",TIMELINE!AK129*2/(TIMELINE!$C$128*(TIMELINE!$C$128+1)),IF(IF(INPUTS!$J$133="Follow Project Life","Even",IF(INPUTS!$J$133="At Project End","Upfront",INPUTS!$J$133))="S-curve",SIN(PI()*(TIMELINE!AK129-0.5)/TIMELINE!$C$128)*SIN(PI()/(2*TIMELINE!$C$128)),0))))))))))</f>
        <v>0</v>
      </c>
      <c r="AL128" s="118" t="n">
        <f aca="false">IF(INPUTS!$F$133&lt;&gt;"Yes",0,IF(INPUTS!$J$133="Follow Construction",AL$103,IF(INPUTS!$J$133="Follow Sales",AL$99,IF(INPUTS!$J$133="Follow Collections",AL$108,IF(OR(TIMELINE!AL129=0,TIMELINE!$C$128=0),0,IF(IF(INPUTS!$J$133="Follow Project Life","Even",IF(INPUTS!$J$133="At Project End","Upfront",INPUTS!$J$133))="Upfront",--(TIMELINE!AL129=1),IF(IF(INPUTS!$J$133="Follow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End","Upfront",INPUTS!$J$133))="Front-loaded",(TIMELINE!$C$128-TIMELINE!AL129+1)*2/(TIMELINE!$C$128*(TIMELINE!$C$128+1)),IF(IF(INPUTS!$J$133="Follow Project Life","Even",IF(INPUTS!$J$133="At Project End","Upfront",INPUTS!$J$133))="Back-loaded",TIMELINE!AL129*2/(TIMELINE!$C$128*(TIMELINE!$C$128+1)),IF(IF(INPUTS!$J$133="Follow Project Life","Even",IF(INPUTS!$J$133="At Project End","Upfront",INPUTS!$J$133))="S-curve",SIN(PI()*(TIMELINE!AL129-0.5)/TIMELINE!$C$128)*SIN(PI()/(2*TIMELINE!$C$128)),0))))))))))</f>
        <v>0</v>
      </c>
      <c r="AM128" s="118" t="n">
        <f aca="false">IF(INPUTS!$F$133&lt;&gt;"Yes",0,IF(INPUTS!$J$133="Follow Construction",AM$103,IF(INPUTS!$J$133="Follow Sales",AM$99,IF(INPUTS!$J$133="Follow Collections",AM$108,IF(OR(TIMELINE!AM129=0,TIMELINE!$C$128=0),0,IF(IF(INPUTS!$J$133="Follow Project Life","Even",IF(INPUTS!$J$133="At Project End","Upfront",INPUTS!$J$133))="Upfront",--(TIMELINE!AM129=1),IF(IF(INPUTS!$J$133="Follow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End","Upfront",INPUTS!$J$133))="Front-loaded",(TIMELINE!$C$128-TIMELINE!AM129+1)*2/(TIMELINE!$C$128*(TIMELINE!$C$128+1)),IF(IF(INPUTS!$J$133="Follow Project Life","Even",IF(INPUTS!$J$133="At Project End","Upfront",INPUTS!$J$133))="Back-loaded",TIMELINE!AM129*2/(TIMELINE!$C$128*(TIMELINE!$C$128+1)),IF(IF(INPUTS!$J$133="Follow Project Life","Even",IF(INPUTS!$J$133="At Project End","Upfront",INPUTS!$J$133))="S-curve",SIN(PI()*(TIMELINE!AM129-0.5)/TIMELINE!$C$128)*SIN(PI()/(2*TIMELINE!$C$128)),0))))))))))</f>
        <v>0</v>
      </c>
      <c r="AN128" s="118" t="n">
        <f aca="false">IF(INPUTS!$F$133&lt;&gt;"Yes",0,IF(INPUTS!$J$133="Follow Construction",AN$103,IF(INPUTS!$J$133="Follow Sales",AN$99,IF(INPUTS!$J$133="Follow Collections",AN$108,IF(OR(TIMELINE!AN129=0,TIMELINE!$C$128=0),0,IF(IF(INPUTS!$J$133="Follow Project Life","Even",IF(INPUTS!$J$133="At Project End","Upfront",INPUTS!$J$133))="Upfront",--(TIMELINE!AN129=1),IF(IF(INPUTS!$J$133="Follow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End","Upfront",INPUTS!$J$133))="Front-loaded",(TIMELINE!$C$128-TIMELINE!AN129+1)*2/(TIMELINE!$C$128*(TIMELINE!$C$128+1)),IF(IF(INPUTS!$J$133="Follow Project Life","Even",IF(INPUTS!$J$133="At Project End","Upfront",INPUTS!$J$133))="Back-loaded",TIMELINE!AN129*2/(TIMELINE!$C$128*(TIMELINE!$C$128+1)),IF(IF(INPUTS!$J$133="Follow Project Life","Even",IF(INPUTS!$J$133="At Project End","Upfront",INPUTS!$J$133))="S-curve",SIN(PI()*(TIMELINE!AN129-0.5)/TIMELINE!$C$128)*SIN(PI()/(2*TIMELINE!$C$128)),0))))))))))</f>
        <v>0</v>
      </c>
      <c r="AO128" s="118" t="n">
        <f aca="false">IF(INPUTS!$F$133&lt;&gt;"Yes",0,IF(INPUTS!$J$133="Follow Construction",AO$103,IF(INPUTS!$J$133="Follow Sales",AO$99,IF(INPUTS!$J$133="Follow Collections",AO$108,IF(OR(TIMELINE!AO129=0,TIMELINE!$C$128=0),0,IF(IF(INPUTS!$J$133="Follow Project Life","Even",IF(INPUTS!$J$133="At Project End","Upfront",INPUTS!$J$133))="Upfront",--(TIMELINE!AO129=1),IF(IF(INPUTS!$J$133="Follow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End","Upfront",INPUTS!$J$133))="Front-loaded",(TIMELINE!$C$128-TIMELINE!AO129+1)*2/(TIMELINE!$C$128*(TIMELINE!$C$128+1)),IF(IF(INPUTS!$J$133="Follow Project Life","Even",IF(INPUTS!$J$133="At Project End","Upfront",INPUTS!$J$133))="Back-loaded",TIMELINE!AO129*2/(TIMELINE!$C$128*(TIMELINE!$C$128+1)),IF(IF(INPUTS!$J$133="Follow Project Life","Even",IF(INPUTS!$J$133="At Project End","Upfront",INPUTS!$J$133))="S-curve",SIN(PI()*(TIMELINE!AO129-0.5)/TIMELINE!$C$128)*SIN(PI()/(2*TIMELINE!$C$128)),0))))))))))</f>
        <v>0</v>
      </c>
      <c r="AP128" s="118" t="n">
        <f aca="false">IF(INPUTS!$F$133&lt;&gt;"Yes",0,IF(INPUTS!$J$133="Follow Construction",AP$103,IF(INPUTS!$J$133="Follow Sales",AP$99,IF(INPUTS!$J$133="Follow Collections",AP$108,IF(OR(TIMELINE!AP129=0,TIMELINE!$C$128=0),0,IF(IF(INPUTS!$J$133="Follow Project Life","Even",IF(INPUTS!$J$133="At Project End","Upfront",INPUTS!$J$133))="Upfront",--(TIMELINE!AP129=1),IF(IF(INPUTS!$J$133="Follow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End","Upfront",INPUTS!$J$133))="Front-loaded",(TIMELINE!$C$128-TIMELINE!AP129+1)*2/(TIMELINE!$C$128*(TIMELINE!$C$128+1)),IF(IF(INPUTS!$J$133="Follow Project Life","Even",IF(INPUTS!$J$133="At Project End","Upfront",INPUTS!$J$133))="Back-loaded",TIMELINE!AP129*2/(TIMELINE!$C$128*(TIMELINE!$C$128+1)),IF(IF(INPUTS!$J$133="Follow Project Life","Even",IF(INPUTS!$J$133="At Project End","Upfront",INPUTS!$J$133))="S-curve",SIN(PI()*(TIMELINE!AP129-0.5)/TIMELINE!$C$128)*SIN(PI()/(2*TIMELINE!$C$128)),0))))))))))</f>
        <v>0</v>
      </c>
      <c r="AQ128" s="118" t="n">
        <f aca="false">IF(INPUTS!$F$133&lt;&gt;"Yes",0,IF(INPUTS!$J$133="Follow Construction",AQ$103,IF(INPUTS!$J$133="Follow Sales",AQ$99,IF(INPUTS!$J$133="Follow Collections",AQ$108,IF(OR(TIMELINE!AQ129=0,TIMELINE!$C$128=0),0,IF(IF(INPUTS!$J$133="Follow Project Life","Even",IF(INPUTS!$J$133="At Project End","Upfront",INPUTS!$J$133))="Upfront",--(TIMELINE!AQ129=1),IF(IF(INPUTS!$J$133="Follow Project Life","Even",IF(INPUTS!$J$133="At Project End","Upfront",INPUTS!$J$133))="Even",1/TIMELINE!$C$128,IF(IF(INPUTS!$J$133="Follow Project Life","Even",IF(INPUTS!$J$133="At Project End","Upfront",INPUTS!$J$133))="Front-loaded",(TIMELINE!$C$128-TIMELINE!AQ129+1)*2/(TIMELINE!$C$128*(TIMELINE!$C$128+1)),IF(IF(INPUTS!$J$133="Follow Project Life","Even",IF(INPUTS!$J$133="At Project End","Upfront",INPUTS!$J$133))="Back-loaded",TIMELINE!AQ129*2/(TIMELINE!$C$128*(TIMELINE!$C$128+1)),IF(IF(INPUTS!$J$133="Follow Project Life","Even",IF(INPUTS!$J$133="At Project End","Upfront",INPUTS!$J$133))="S-curve",SIN(PI()*(TIMELINE!AQ129-0.5)/TIMELINE!$C$128)*SIN(PI()/(2*TIMELINE!$C$128)),0))))))))))</f>
        <v>0</v>
      </c>
    </row>
    <row r="129" customFormat="false" ht="15" hidden="false" customHeight="false" outlineLevel="0" collapsed="false">
      <c r="B129" s="17" t="s">
        <v>689</v>
      </c>
      <c r="C129" s="105" t="str">
        <f aca="false">IF(INPUTS!$B$133="","",IF(INPUTS!$F$133&lt;&gt;"Yes","Off",IF(INPUTS!$M$133&lt;&gt;"OK","ERROR",IF(ABS(C128-1)&lt;0.000000001,"OK",IF(AND(C128=0,INPUTS!$G$133=0),"Zero","ERROR")))))</f>
        <v>OK</v>
      </c>
    </row>
    <row r="130" customFormat="false" ht="15" hidden="false" customHeight="false" outlineLevel="0" collapsed="false">
      <c r="B130" s="110" t="str">
        <f aca="false">IF(INPUTS!$B$134="","Spare cost row",INPUTS!$B$134)</f>
        <v>Plotted Construction Development Cost</v>
      </c>
      <c r="C130" s="111" t="str">
        <f aca="false">IF(INPUTS!$J$134="","",INPUTS!$J$134)</f>
        <v>Follow Construction</v>
      </c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</row>
    <row r="131" customFormat="false" ht="15" hidden="false" customHeight="false" outlineLevel="0" collapsed="false">
      <c r="B131" s="3" t="s">
        <v>688</v>
      </c>
      <c r="C131" s="117" t="n">
        <f aca="false">SUM(D131:AQ131)</f>
        <v>0</v>
      </c>
      <c r="D131" s="118" t="n">
        <f aca="false">IF(INPUTS!$F$134&lt;&gt;"Yes",0,IF(INPUTS!$J$134="Follow Construction",D$104,IF(INPUTS!$J$134="Follow Sales",D$99,IF(INPUTS!$J$134="Follow Collections",D$108,IF(OR(TIMELINE!D133=0,TIMELINE!$C$132=0),0,IF(IF(INPUTS!$J$134="Follow Project Life","Even",IF(INPUTS!$J$134="At Project End","Upfront",INPUTS!$J$134))="Upfront",--(TIMELINE!D133=1),IF(IF(INPUTS!$J$134="Follow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End","Upfront",INPUTS!$J$134))="Front-loaded",(TIMELINE!$C$132-TIMELINE!D133+1)*2/(TIMELINE!$C$132*(TIMELINE!$C$132+1)),IF(IF(INPUTS!$J$134="Follow Project Life","Even",IF(INPUTS!$J$134="At Project End","Upfront",INPUTS!$J$134))="Back-loaded",TIMELINE!D133*2/(TIMELINE!$C$132*(TIMELINE!$C$132+1)),IF(IF(INPUTS!$J$134="Follow Project Life","Even",IF(INPUTS!$J$134="At Project End","Upfront",INPUTS!$J$134))="S-curve",SIN(PI()*(TIMELINE!D133-0.5)/TIMELINE!$C$132)*SIN(PI()/(2*TIMELINE!$C$132)),0))))))))))</f>
        <v>0</v>
      </c>
      <c r="E131" s="118" t="n">
        <f aca="false">IF(INPUTS!$F$134&lt;&gt;"Yes",0,IF(INPUTS!$J$134="Follow Construction",E$104,IF(INPUTS!$J$134="Follow Sales",E$99,IF(INPUTS!$J$134="Follow Collections",E$108,IF(OR(TIMELINE!E133=0,TIMELINE!$C$132=0),0,IF(IF(INPUTS!$J$134="Follow Project Life","Even",IF(INPUTS!$J$134="At Project End","Upfront",INPUTS!$J$134))="Upfront",--(TIMELINE!E133=1),IF(IF(INPUTS!$J$134="Follow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End","Upfront",INPUTS!$J$134))="Front-loaded",(TIMELINE!$C$132-TIMELINE!E133+1)*2/(TIMELINE!$C$132*(TIMELINE!$C$132+1)),IF(IF(INPUTS!$J$134="Follow Project Life","Even",IF(INPUTS!$J$134="At Project End","Upfront",INPUTS!$J$134))="Back-loaded",TIMELINE!E133*2/(TIMELINE!$C$132*(TIMELINE!$C$132+1)),IF(IF(INPUTS!$J$134="Follow Project Life","Even",IF(INPUTS!$J$134="At Project End","Upfront",INPUTS!$J$134))="S-curve",SIN(PI()*(TIMELINE!E133-0.5)/TIMELINE!$C$132)*SIN(PI()/(2*TIMELINE!$C$132)),0))))))))))</f>
        <v>0</v>
      </c>
      <c r="F131" s="118" t="n">
        <f aca="false">IF(INPUTS!$F$134&lt;&gt;"Yes",0,IF(INPUTS!$J$134="Follow Construction",F$104,IF(INPUTS!$J$134="Follow Sales",F$99,IF(INPUTS!$J$134="Follow Collections",F$108,IF(OR(TIMELINE!F133=0,TIMELINE!$C$132=0),0,IF(IF(INPUTS!$J$134="Follow Project Life","Even",IF(INPUTS!$J$134="At Project End","Upfront",INPUTS!$J$134))="Upfront",--(TIMELINE!F133=1),IF(IF(INPUTS!$J$134="Follow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End","Upfront",INPUTS!$J$134))="Front-loaded",(TIMELINE!$C$132-TIMELINE!F133+1)*2/(TIMELINE!$C$132*(TIMELINE!$C$132+1)),IF(IF(INPUTS!$J$134="Follow Project Life","Even",IF(INPUTS!$J$134="At Project End","Upfront",INPUTS!$J$134))="Back-loaded",TIMELINE!F133*2/(TIMELINE!$C$132*(TIMELINE!$C$132+1)),IF(IF(INPUTS!$J$134="Follow Project Life","Even",IF(INPUTS!$J$134="At Project End","Upfront",INPUTS!$J$134))="S-curve",SIN(PI()*(TIMELINE!F133-0.5)/TIMELINE!$C$132)*SIN(PI()/(2*TIMELINE!$C$132)),0))))))))))</f>
        <v>0</v>
      </c>
      <c r="G131" s="118" t="n">
        <f aca="false">IF(INPUTS!$F$134&lt;&gt;"Yes",0,IF(INPUTS!$J$134="Follow Construction",G$104,IF(INPUTS!$J$134="Follow Sales",G$99,IF(INPUTS!$J$134="Follow Collections",G$108,IF(OR(TIMELINE!G133=0,TIMELINE!$C$132=0),0,IF(IF(INPUTS!$J$134="Follow Project Life","Even",IF(INPUTS!$J$134="At Project End","Upfront",INPUTS!$J$134))="Upfront",--(TIMELINE!G133=1),IF(IF(INPUTS!$J$134="Follow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End","Upfront",INPUTS!$J$134))="Front-loaded",(TIMELINE!$C$132-TIMELINE!G133+1)*2/(TIMELINE!$C$132*(TIMELINE!$C$132+1)),IF(IF(INPUTS!$J$134="Follow Project Life","Even",IF(INPUTS!$J$134="At Project End","Upfront",INPUTS!$J$134))="Back-loaded",TIMELINE!G133*2/(TIMELINE!$C$132*(TIMELINE!$C$132+1)),IF(IF(INPUTS!$J$134="Follow Project Life","Even",IF(INPUTS!$J$134="At Project End","Upfront",INPUTS!$J$134))="S-curve",SIN(PI()*(TIMELINE!G133-0.5)/TIMELINE!$C$132)*SIN(PI()/(2*TIMELINE!$C$132)),0))))))))))</f>
        <v>0</v>
      </c>
      <c r="H131" s="118" t="n">
        <f aca="false">IF(INPUTS!$F$134&lt;&gt;"Yes",0,IF(INPUTS!$J$134="Follow Construction",H$104,IF(INPUTS!$J$134="Follow Sales",H$99,IF(INPUTS!$J$134="Follow Collections",H$108,IF(OR(TIMELINE!H133=0,TIMELINE!$C$132=0),0,IF(IF(INPUTS!$J$134="Follow Project Life","Even",IF(INPUTS!$J$134="At Project End","Upfront",INPUTS!$J$134))="Upfront",--(TIMELINE!H133=1),IF(IF(INPUTS!$J$134="Follow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End","Upfront",INPUTS!$J$134))="Front-loaded",(TIMELINE!$C$132-TIMELINE!H133+1)*2/(TIMELINE!$C$132*(TIMELINE!$C$132+1)),IF(IF(INPUTS!$J$134="Follow Project Life","Even",IF(INPUTS!$J$134="At Project End","Upfront",INPUTS!$J$134))="Back-loaded",TIMELINE!H133*2/(TIMELINE!$C$132*(TIMELINE!$C$132+1)),IF(IF(INPUTS!$J$134="Follow Project Life","Even",IF(INPUTS!$J$134="At Project End","Upfront",INPUTS!$J$134))="S-curve",SIN(PI()*(TIMELINE!H133-0.5)/TIMELINE!$C$132)*SIN(PI()/(2*TIMELINE!$C$132)),0))))))))))</f>
        <v>0</v>
      </c>
      <c r="I131" s="118" t="n">
        <f aca="false">IF(INPUTS!$F$134&lt;&gt;"Yes",0,IF(INPUTS!$J$134="Follow Construction",I$104,IF(INPUTS!$J$134="Follow Sales",I$99,IF(INPUTS!$J$134="Follow Collections",I$108,IF(OR(TIMELINE!I133=0,TIMELINE!$C$132=0),0,IF(IF(INPUTS!$J$134="Follow Project Life","Even",IF(INPUTS!$J$134="At Project End","Upfront",INPUTS!$J$134))="Upfront",--(TIMELINE!I133=1),IF(IF(INPUTS!$J$134="Follow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End","Upfront",INPUTS!$J$134))="Front-loaded",(TIMELINE!$C$132-TIMELINE!I133+1)*2/(TIMELINE!$C$132*(TIMELINE!$C$132+1)),IF(IF(INPUTS!$J$134="Follow Project Life","Even",IF(INPUTS!$J$134="At Project End","Upfront",INPUTS!$J$134))="Back-loaded",TIMELINE!I133*2/(TIMELINE!$C$132*(TIMELINE!$C$132+1)),IF(IF(INPUTS!$J$134="Follow Project Life","Even",IF(INPUTS!$J$134="At Project End","Upfront",INPUTS!$J$134))="S-curve",SIN(PI()*(TIMELINE!I133-0.5)/TIMELINE!$C$132)*SIN(PI()/(2*TIMELINE!$C$132)),0))))))))))</f>
        <v>0</v>
      </c>
      <c r="J131" s="118" t="n">
        <f aca="false">IF(INPUTS!$F$134&lt;&gt;"Yes",0,IF(INPUTS!$J$134="Follow Construction",J$104,IF(INPUTS!$J$134="Follow Sales",J$99,IF(INPUTS!$J$134="Follow Collections",J$108,IF(OR(TIMELINE!J133=0,TIMELINE!$C$132=0),0,IF(IF(INPUTS!$J$134="Follow Project Life","Even",IF(INPUTS!$J$134="At Project End","Upfront",INPUTS!$J$134))="Upfront",--(TIMELINE!J133=1),IF(IF(INPUTS!$J$134="Follow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End","Upfront",INPUTS!$J$134))="Front-loaded",(TIMELINE!$C$132-TIMELINE!J133+1)*2/(TIMELINE!$C$132*(TIMELINE!$C$132+1)),IF(IF(INPUTS!$J$134="Follow Project Life","Even",IF(INPUTS!$J$134="At Project End","Upfront",INPUTS!$J$134))="Back-loaded",TIMELINE!J133*2/(TIMELINE!$C$132*(TIMELINE!$C$132+1)),IF(IF(INPUTS!$J$134="Follow Project Life","Even",IF(INPUTS!$J$134="At Project End","Upfront",INPUTS!$J$134))="S-curve",SIN(PI()*(TIMELINE!J133-0.5)/TIMELINE!$C$132)*SIN(PI()/(2*TIMELINE!$C$132)),0))))))))))</f>
        <v>0</v>
      </c>
      <c r="K131" s="118" t="n">
        <f aca="false">IF(INPUTS!$F$134&lt;&gt;"Yes",0,IF(INPUTS!$J$134="Follow Construction",K$104,IF(INPUTS!$J$134="Follow Sales",K$99,IF(INPUTS!$J$134="Follow Collections",K$108,IF(OR(TIMELINE!K133=0,TIMELINE!$C$132=0),0,IF(IF(INPUTS!$J$134="Follow Project Life","Even",IF(INPUTS!$J$134="At Project End","Upfront",INPUTS!$J$134))="Upfront",--(TIMELINE!K133=1),IF(IF(INPUTS!$J$134="Follow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End","Upfront",INPUTS!$J$134))="Front-loaded",(TIMELINE!$C$132-TIMELINE!K133+1)*2/(TIMELINE!$C$132*(TIMELINE!$C$132+1)),IF(IF(INPUTS!$J$134="Follow Project Life","Even",IF(INPUTS!$J$134="At Project End","Upfront",INPUTS!$J$134))="Back-loaded",TIMELINE!K133*2/(TIMELINE!$C$132*(TIMELINE!$C$132+1)),IF(IF(INPUTS!$J$134="Follow Project Life","Even",IF(INPUTS!$J$134="At Project End","Upfront",INPUTS!$J$134))="S-curve",SIN(PI()*(TIMELINE!K133-0.5)/TIMELINE!$C$132)*SIN(PI()/(2*TIMELINE!$C$132)),0))))))))))</f>
        <v>0</v>
      </c>
      <c r="L131" s="118" t="n">
        <f aca="false">IF(INPUTS!$F$134&lt;&gt;"Yes",0,IF(INPUTS!$J$134="Follow Construction",L$104,IF(INPUTS!$J$134="Follow Sales",L$99,IF(INPUTS!$J$134="Follow Collections",L$108,IF(OR(TIMELINE!L133=0,TIMELINE!$C$132=0),0,IF(IF(INPUTS!$J$134="Follow Project Life","Even",IF(INPUTS!$J$134="At Project End","Upfront",INPUTS!$J$134))="Upfront",--(TIMELINE!L133=1),IF(IF(INPUTS!$J$134="Follow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End","Upfront",INPUTS!$J$134))="Front-loaded",(TIMELINE!$C$132-TIMELINE!L133+1)*2/(TIMELINE!$C$132*(TIMELINE!$C$132+1)),IF(IF(INPUTS!$J$134="Follow Project Life","Even",IF(INPUTS!$J$134="At Project End","Upfront",INPUTS!$J$134))="Back-loaded",TIMELINE!L133*2/(TIMELINE!$C$132*(TIMELINE!$C$132+1)),IF(IF(INPUTS!$J$134="Follow Project Life","Even",IF(INPUTS!$J$134="At Project End","Upfront",INPUTS!$J$134))="S-curve",SIN(PI()*(TIMELINE!L133-0.5)/TIMELINE!$C$132)*SIN(PI()/(2*TIMELINE!$C$132)),0))))))))))</f>
        <v>0</v>
      </c>
      <c r="M131" s="118" t="n">
        <f aca="false">IF(INPUTS!$F$134&lt;&gt;"Yes",0,IF(INPUTS!$J$134="Follow Construction",M$104,IF(INPUTS!$J$134="Follow Sales",M$99,IF(INPUTS!$J$134="Follow Collections",M$108,IF(OR(TIMELINE!M133=0,TIMELINE!$C$132=0),0,IF(IF(INPUTS!$J$134="Follow Project Life","Even",IF(INPUTS!$J$134="At Project End","Upfront",INPUTS!$J$134))="Upfront",--(TIMELINE!M133=1),IF(IF(INPUTS!$J$134="Follow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End","Upfront",INPUTS!$J$134))="Front-loaded",(TIMELINE!$C$132-TIMELINE!M133+1)*2/(TIMELINE!$C$132*(TIMELINE!$C$132+1)),IF(IF(INPUTS!$J$134="Follow Project Life","Even",IF(INPUTS!$J$134="At Project End","Upfront",INPUTS!$J$134))="Back-loaded",TIMELINE!M133*2/(TIMELINE!$C$132*(TIMELINE!$C$132+1)),IF(IF(INPUTS!$J$134="Follow Project Life","Even",IF(INPUTS!$J$134="At Project End","Upfront",INPUTS!$J$134))="S-curve",SIN(PI()*(TIMELINE!M133-0.5)/TIMELINE!$C$132)*SIN(PI()/(2*TIMELINE!$C$132)),0))))))))))</f>
        <v>0</v>
      </c>
      <c r="N131" s="118" t="n">
        <f aca="false">IF(INPUTS!$F$134&lt;&gt;"Yes",0,IF(INPUTS!$J$134="Follow Construction",N$104,IF(INPUTS!$J$134="Follow Sales",N$99,IF(INPUTS!$J$134="Follow Collections",N$108,IF(OR(TIMELINE!N133=0,TIMELINE!$C$132=0),0,IF(IF(INPUTS!$J$134="Follow Project Life","Even",IF(INPUTS!$J$134="At Project End","Upfront",INPUTS!$J$134))="Upfront",--(TIMELINE!N133=1),IF(IF(INPUTS!$J$134="Follow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End","Upfront",INPUTS!$J$134))="Front-loaded",(TIMELINE!$C$132-TIMELINE!N133+1)*2/(TIMELINE!$C$132*(TIMELINE!$C$132+1)),IF(IF(INPUTS!$J$134="Follow Project Life","Even",IF(INPUTS!$J$134="At Project End","Upfront",INPUTS!$J$134))="Back-loaded",TIMELINE!N133*2/(TIMELINE!$C$132*(TIMELINE!$C$132+1)),IF(IF(INPUTS!$J$134="Follow Project Life","Even",IF(INPUTS!$J$134="At Project End","Upfront",INPUTS!$J$134))="S-curve",SIN(PI()*(TIMELINE!N133-0.5)/TIMELINE!$C$132)*SIN(PI()/(2*TIMELINE!$C$132)),0))))))))))</f>
        <v>0</v>
      </c>
      <c r="O131" s="118" t="n">
        <f aca="false">IF(INPUTS!$F$134&lt;&gt;"Yes",0,IF(INPUTS!$J$134="Follow Construction",O$104,IF(INPUTS!$J$134="Follow Sales",O$99,IF(INPUTS!$J$134="Follow Collections",O$108,IF(OR(TIMELINE!O133=0,TIMELINE!$C$132=0),0,IF(IF(INPUTS!$J$134="Follow Project Life","Even",IF(INPUTS!$J$134="At Project End","Upfront",INPUTS!$J$134))="Upfront",--(TIMELINE!O133=1),IF(IF(INPUTS!$J$134="Follow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End","Upfront",INPUTS!$J$134))="Front-loaded",(TIMELINE!$C$132-TIMELINE!O133+1)*2/(TIMELINE!$C$132*(TIMELINE!$C$132+1)),IF(IF(INPUTS!$J$134="Follow Project Life","Even",IF(INPUTS!$J$134="At Project End","Upfront",INPUTS!$J$134))="Back-loaded",TIMELINE!O133*2/(TIMELINE!$C$132*(TIMELINE!$C$132+1)),IF(IF(INPUTS!$J$134="Follow Project Life","Even",IF(INPUTS!$J$134="At Project End","Upfront",INPUTS!$J$134))="S-curve",SIN(PI()*(TIMELINE!O133-0.5)/TIMELINE!$C$132)*SIN(PI()/(2*TIMELINE!$C$132)),0))))))))))</f>
        <v>0</v>
      </c>
      <c r="P131" s="118" t="n">
        <f aca="false">IF(INPUTS!$F$134&lt;&gt;"Yes",0,IF(INPUTS!$J$134="Follow Construction",P$104,IF(INPUTS!$J$134="Follow Sales",P$99,IF(INPUTS!$J$134="Follow Collections",P$108,IF(OR(TIMELINE!P133=0,TIMELINE!$C$132=0),0,IF(IF(INPUTS!$J$134="Follow Project Life","Even",IF(INPUTS!$J$134="At Project End","Upfront",INPUTS!$J$134))="Upfront",--(TIMELINE!P133=1),IF(IF(INPUTS!$J$134="Follow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End","Upfront",INPUTS!$J$134))="Front-loaded",(TIMELINE!$C$132-TIMELINE!P133+1)*2/(TIMELINE!$C$132*(TIMELINE!$C$132+1)),IF(IF(INPUTS!$J$134="Follow Project Life","Even",IF(INPUTS!$J$134="At Project End","Upfront",INPUTS!$J$134))="Back-loaded",TIMELINE!P133*2/(TIMELINE!$C$132*(TIMELINE!$C$132+1)),IF(IF(INPUTS!$J$134="Follow Project Life","Even",IF(INPUTS!$J$134="At Project End","Upfront",INPUTS!$J$134))="S-curve",SIN(PI()*(TIMELINE!P133-0.5)/TIMELINE!$C$132)*SIN(PI()/(2*TIMELINE!$C$132)),0))))))))))</f>
        <v>0</v>
      </c>
      <c r="Q131" s="118" t="n">
        <f aca="false">IF(INPUTS!$F$134&lt;&gt;"Yes",0,IF(INPUTS!$J$134="Follow Construction",Q$104,IF(INPUTS!$J$134="Follow Sales",Q$99,IF(INPUTS!$J$134="Follow Collections",Q$108,IF(OR(TIMELINE!Q133=0,TIMELINE!$C$132=0),0,IF(IF(INPUTS!$J$134="Follow Project Life","Even",IF(INPUTS!$J$134="At Project End","Upfront",INPUTS!$J$134))="Upfront",--(TIMELINE!Q133=1),IF(IF(INPUTS!$J$134="Follow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End","Upfront",INPUTS!$J$134))="Front-loaded",(TIMELINE!$C$132-TIMELINE!Q133+1)*2/(TIMELINE!$C$132*(TIMELINE!$C$132+1)),IF(IF(INPUTS!$J$134="Follow Project Life","Even",IF(INPUTS!$J$134="At Project End","Upfront",INPUTS!$J$134))="Back-loaded",TIMELINE!Q133*2/(TIMELINE!$C$132*(TIMELINE!$C$132+1)),IF(IF(INPUTS!$J$134="Follow Project Life","Even",IF(INPUTS!$J$134="At Project End","Upfront",INPUTS!$J$134))="S-curve",SIN(PI()*(TIMELINE!Q133-0.5)/TIMELINE!$C$132)*SIN(PI()/(2*TIMELINE!$C$132)),0))))))))))</f>
        <v>0</v>
      </c>
      <c r="R131" s="118" t="n">
        <f aca="false">IF(INPUTS!$F$134&lt;&gt;"Yes",0,IF(INPUTS!$J$134="Follow Construction",R$104,IF(INPUTS!$J$134="Follow Sales",R$99,IF(INPUTS!$J$134="Follow Collections",R$108,IF(OR(TIMELINE!R133=0,TIMELINE!$C$132=0),0,IF(IF(INPUTS!$J$134="Follow Project Life","Even",IF(INPUTS!$J$134="At Project End","Upfront",INPUTS!$J$134))="Upfront",--(TIMELINE!R133=1),IF(IF(INPUTS!$J$134="Follow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End","Upfront",INPUTS!$J$134))="Front-loaded",(TIMELINE!$C$132-TIMELINE!R133+1)*2/(TIMELINE!$C$132*(TIMELINE!$C$132+1)),IF(IF(INPUTS!$J$134="Follow Project Life","Even",IF(INPUTS!$J$134="At Project End","Upfront",INPUTS!$J$134))="Back-loaded",TIMELINE!R133*2/(TIMELINE!$C$132*(TIMELINE!$C$132+1)),IF(IF(INPUTS!$J$134="Follow Project Life","Even",IF(INPUTS!$J$134="At Project End","Upfront",INPUTS!$J$134))="S-curve",SIN(PI()*(TIMELINE!R133-0.5)/TIMELINE!$C$132)*SIN(PI()/(2*TIMELINE!$C$132)),0))))))))))</f>
        <v>0</v>
      </c>
      <c r="S131" s="118" t="n">
        <f aca="false">IF(INPUTS!$F$134&lt;&gt;"Yes",0,IF(INPUTS!$J$134="Follow Construction",S$104,IF(INPUTS!$J$134="Follow Sales",S$99,IF(INPUTS!$J$134="Follow Collections",S$108,IF(OR(TIMELINE!S133=0,TIMELINE!$C$132=0),0,IF(IF(INPUTS!$J$134="Follow Project Life","Even",IF(INPUTS!$J$134="At Project End","Upfront",INPUTS!$J$134))="Upfront",--(TIMELINE!S133=1),IF(IF(INPUTS!$J$134="Follow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End","Upfront",INPUTS!$J$134))="Front-loaded",(TIMELINE!$C$132-TIMELINE!S133+1)*2/(TIMELINE!$C$132*(TIMELINE!$C$132+1)),IF(IF(INPUTS!$J$134="Follow Project Life","Even",IF(INPUTS!$J$134="At Project End","Upfront",INPUTS!$J$134))="Back-loaded",TIMELINE!S133*2/(TIMELINE!$C$132*(TIMELINE!$C$132+1)),IF(IF(INPUTS!$J$134="Follow Project Life","Even",IF(INPUTS!$J$134="At Project End","Upfront",INPUTS!$J$134))="S-curve",SIN(PI()*(TIMELINE!S133-0.5)/TIMELINE!$C$132)*SIN(PI()/(2*TIMELINE!$C$132)),0))))))))))</f>
        <v>0</v>
      </c>
      <c r="T131" s="118" t="n">
        <f aca="false">IF(INPUTS!$F$134&lt;&gt;"Yes",0,IF(INPUTS!$J$134="Follow Construction",T$104,IF(INPUTS!$J$134="Follow Sales",T$99,IF(INPUTS!$J$134="Follow Collections",T$108,IF(OR(TIMELINE!T133=0,TIMELINE!$C$132=0),0,IF(IF(INPUTS!$J$134="Follow Project Life","Even",IF(INPUTS!$J$134="At Project End","Upfront",INPUTS!$J$134))="Upfront",--(TIMELINE!T133=1),IF(IF(INPUTS!$J$134="Follow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End","Upfront",INPUTS!$J$134))="Front-loaded",(TIMELINE!$C$132-TIMELINE!T133+1)*2/(TIMELINE!$C$132*(TIMELINE!$C$132+1)),IF(IF(INPUTS!$J$134="Follow Project Life","Even",IF(INPUTS!$J$134="At Project End","Upfront",INPUTS!$J$134))="Back-loaded",TIMELINE!T133*2/(TIMELINE!$C$132*(TIMELINE!$C$132+1)),IF(IF(INPUTS!$J$134="Follow Project Life","Even",IF(INPUTS!$J$134="At Project End","Upfront",INPUTS!$J$134))="S-curve",SIN(PI()*(TIMELINE!T133-0.5)/TIMELINE!$C$132)*SIN(PI()/(2*TIMELINE!$C$132)),0))))))))))</f>
        <v>0</v>
      </c>
      <c r="U131" s="118" t="n">
        <f aca="false">IF(INPUTS!$F$134&lt;&gt;"Yes",0,IF(INPUTS!$J$134="Follow Construction",U$104,IF(INPUTS!$J$134="Follow Sales",U$99,IF(INPUTS!$J$134="Follow Collections",U$108,IF(OR(TIMELINE!U133=0,TIMELINE!$C$132=0),0,IF(IF(INPUTS!$J$134="Follow Project Life","Even",IF(INPUTS!$J$134="At Project End","Upfront",INPUTS!$J$134))="Upfront",--(TIMELINE!U133=1),IF(IF(INPUTS!$J$134="Follow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End","Upfront",INPUTS!$J$134))="Front-loaded",(TIMELINE!$C$132-TIMELINE!U133+1)*2/(TIMELINE!$C$132*(TIMELINE!$C$132+1)),IF(IF(INPUTS!$J$134="Follow Project Life","Even",IF(INPUTS!$J$134="At Project End","Upfront",INPUTS!$J$134))="Back-loaded",TIMELINE!U133*2/(TIMELINE!$C$132*(TIMELINE!$C$132+1)),IF(IF(INPUTS!$J$134="Follow Project Life","Even",IF(INPUTS!$J$134="At Project End","Upfront",INPUTS!$J$134))="S-curve",SIN(PI()*(TIMELINE!U133-0.5)/TIMELINE!$C$132)*SIN(PI()/(2*TIMELINE!$C$132)),0))))))))))</f>
        <v>0</v>
      </c>
      <c r="V131" s="118" t="n">
        <f aca="false">IF(INPUTS!$F$134&lt;&gt;"Yes",0,IF(INPUTS!$J$134="Follow Construction",V$104,IF(INPUTS!$J$134="Follow Sales",V$99,IF(INPUTS!$J$134="Follow Collections",V$108,IF(OR(TIMELINE!V133=0,TIMELINE!$C$132=0),0,IF(IF(INPUTS!$J$134="Follow Project Life","Even",IF(INPUTS!$J$134="At Project End","Upfront",INPUTS!$J$134))="Upfront",--(TIMELINE!V133=1),IF(IF(INPUTS!$J$134="Follow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End","Upfront",INPUTS!$J$134))="Front-loaded",(TIMELINE!$C$132-TIMELINE!V133+1)*2/(TIMELINE!$C$132*(TIMELINE!$C$132+1)),IF(IF(INPUTS!$J$134="Follow Project Life","Even",IF(INPUTS!$J$134="At Project End","Upfront",INPUTS!$J$134))="Back-loaded",TIMELINE!V133*2/(TIMELINE!$C$132*(TIMELINE!$C$132+1)),IF(IF(INPUTS!$J$134="Follow Project Life","Even",IF(INPUTS!$J$134="At Project End","Upfront",INPUTS!$J$134))="S-curve",SIN(PI()*(TIMELINE!V133-0.5)/TIMELINE!$C$132)*SIN(PI()/(2*TIMELINE!$C$132)),0))))))))))</f>
        <v>0</v>
      </c>
      <c r="W131" s="118" t="n">
        <f aca="false">IF(INPUTS!$F$134&lt;&gt;"Yes",0,IF(INPUTS!$J$134="Follow Construction",W$104,IF(INPUTS!$J$134="Follow Sales",W$99,IF(INPUTS!$J$134="Follow Collections",W$108,IF(OR(TIMELINE!W133=0,TIMELINE!$C$132=0),0,IF(IF(INPUTS!$J$134="Follow Project Life","Even",IF(INPUTS!$J$134="At Project End","Upfront",INPUTS!$J$134))="Upfront",--(TIMELINE!W133=1),IF(IF(INPUTS!$J$134="Follow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End","Upfront",INPUTS!$J$134))="Front-loaded",(TIMELINE!$C$132-TIMELINE!W133+1)*2/(TIMELINE!$C$132*(TIMELINE!$C$132+1)),IF(IF(INPUTS!$J$134="Follow Project Life","Even",IF(INPUTS!$J$134="At Project End","Upfront",INPUTS!$J$134))="Back-loaded",TIMELINE!W133*2/(TIMELINE!$C$132*(TIMELINE!$C$132+1)),IF(IF(INPUTS!$J$134="Follow Project Life","Even",IF(INPUTS!$J$134="At Project End","Upfront",INPUTS!$J$134))="S-curve",SIN(PI()*(TIMELINE!W133-0.5)/TIMELINE!$C$132)*SIN(PI()/(2*TIMELINE!$C$132)),0))))))))))</f>
        <v>0</v>
      </c>
      <c r="X131" s="118" t="n">
        <f aca="false">IF(INPUTS!$F$134&lt;&gt;"Yes",0,IF(INPUTS!$J$134="Follow Construction",X$104,IF(INPUTS!$J$134="Follow Sales",X$99,IF(INPUTS!$J$134="Follow Collections",X$108,IF(OR(TIMELINE!X133=0,TIMELINE!$C$132=0),0,IF(IF(INPUTS!$J$134="Follow Project Life","Even",IF(INPUTS!$J$134="At Project End","Upfront",INPUTS!$J$134))="Upfront",--(TIMELINE!X133=1),IF(IF(INPUTS!$J$134="Follow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End","Upfront",INPUTS!$J$134))="Front-loaded",(TIMELINE!$C$132-TIMELINE!X133+1)*2/(TIMELINE!$C$132*(TIMELINE!$C$132+1)),IF(IF(INPUTS!$J$134="Follow Project Life","Even",IF(INPUTS!$J$134="At Project End","Upfront",INPUTS!$J$134))="Back-loaded",TIMELINE!X133*2/(TIMELINE!$C$132*(TIMELINE!$C$132+1)),IF(IF(INPUTS!$J$134="Follow Project Life","Even",IF(INPUTS!$J$134="At Project End","Upfront",INPUTS!$J$134))="S-curve",SIN(PI()*(TIMELINE!X133-0.5)/TIMELINE!$C$132)*SIN(PI()/(2*TIMELINE!$C$132)),0))))))))))</f>
        <v>0</v>
      </c>
      <c r="Y131" s="118" t="n">
        <f aca="false">IF(INPUTS!$F$134&lt;&gt;"Yes",0,IF(INPUTS!$J$134="Follow Construction",Y$104,IF(INPUTS!$J$134="Follow Sales",Y$99,IF(INPUTS!$J$134="Follow Collections",Y$108,IF(OR(TIMELINE!Y133=0,TIMELINE!$C$132=0),0,IF(IF(INPUTS!$J$134="Follow Project Life","Even",IF(INPUTS!$J$134="At Project End","Upfront",INPUTS!$J$134))="Upfront",--(TIMELINE!Y133=1),IF(IF(INPUTS!$J$134="Follow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End","Upfront",INPUTS!$J$134))="Front-loaded",(TIMELINE!$C$132-TIMELINE!Y133+1)*2/(TIMELINE!$C$132*(TIMELINE!$C$132+1)),IF(IF(INPUTS!$J$134="Follow Project Life","Even",IF(INPUTS!$J$134="At Project End","Upfront",INPUTS!$J$134))="Back-loaded",TIMELINE!Y133*2/(TIMELINE!$C$132*(TIMELINE!$C$132+1)),IF(IF(INPUTS!$J$134="Follow Project Life","Even",IF(INPUTS!$J$134="At Project End","Upfront",INPUTS!$J$134))="S-curve",SIN(PI()*(TIMELINE!Y133-0.5)/TIMELINE!$C$132)*SIN(PI()/(2*TIMELINE!$C$132)),0))))))))))</f>
        <v>0</v>
      </c>
      <c r="Z131" s="118" t="n">
        <f aca="false">IF(INPUTS!$F$134&lt;&gt;"Yes",0,IF(INPUTS!$J$134="Follow Construction",Z$104,IF(INPUTS!$J$134="Follow Sales",Z$99,IF(INPUTS!$J$134="Follow Collections",Z$108,IF(OR(TIMELINE!Z133=0,TIMELINE!$C$132=0),0,IF(IF(INPUTS!$J$134="Follow Project Life","Even",IF(INPUTS!$J$134="At Project End","Upfront",INPUTS!$J$134))="Upfront",--(TIMELINE!Z133=1),IF(IF(INPUTS!$J$134="Follow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End","Upfront",INPUTS!$J$134))="Front-loaded",(TIMELINE!$C$132-TIMELINE!Z133+1)*2/(TIMELINE!$C$132*(TIMELINE!$C$132+1)),IF(IF(INPUTS!$J$134="Follow Project Life","Even",IF(INPUTS!$J$134="At Project End","Upfront",INPUTS!$J$134))="Back-loaded",TIMELINE!Z133*2/(TIMELINE!$C$132*(TIMELINE!$C$132+1)),IF(IF(INPUTS!$J$134="Follow Project Life","Even",IF(INPUTS!$J$134="At Project End","Upfront",INPUTS!$J$134))="S-curve",SIN(PI()*(TIMELINE!Z133-0.5)/TIMELINE!$C$132)*SIN(PI()/(2*TIMELINE!$C$132)),0))))))))))</f>
        <v>0</v>
      </c>
      <c r="AA131" s="118" t="n">
        <f aca="false">IF(INPUTS!$F$134&lt;&gt;"Yes",0,IF(INPUTS!$J$134="Follow Construction",AA$104,IF(INPUTS!$J$134="Follow Sales",AA$99,IF(INPUTS!$J$134="Follow Collections",AA$108,IF(OR(TIMELINE!AA133=0,TIMELINE!$C$132=0),0,IF(IF(INPUTS!$J$134="Follow Project Life","Even",IF(INPUTS!$J$134="At Project End","Upfront",INPUTS!$J$134))="Upfront",--(TIMELINE!AA133=1),IF(IF(INPUTS!$J$134="Follow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End","Upfront",INPUTS!$J$134))="Front-loaded",(TIMELINE!$C$132-TIMELINE!AA133+1)*2/(TIMELINE!$C$132*(TIMELINE!$C$132+1)),IF(IF(INPUTS!$J$134="Follow Project Life","Even",IF(INPUTS!$J$134="At Project End","Upfront",INPUTS!$J$134))="Back-loaded",TIMELINE!AA133*2/(TIMELINE!$C$132*(TIMELINE!$C$132+1)),IF(IF(INPUTS!$J$134="Follow Project Life","Even",IF(INPUTS!$J$134="At Project End","Upfront",INPUTS!$J$134))="S-curve",SIN(PI()*(TIMELINE!AA133-0.5)/TIMELINE!$C$132)*SIN(PI()/(2*TIMELINE!$C$132)),0))))))))))</f>
        <v>0</v>
      </c>
      <c r="AB131" s="118" t="n">
        <f aca="false">IF(INPUTS!$F$134&lt;&gt;"Yes",0,IF(INPUTS!$J$134="Follow Construction",AB$104,IF(INPUTS!$J$134="Follow Sales",AB$99,IF(INPUTS!$J$134="Follow Collections",AB$108,IF(OR(TIMELINE!AB133=0,TIMELINE!$C$132=0),0,IF(IF(INPUTS!$J$134="Follow Project Life","Even",IF(INPUTS!$J$134="At Project End","Upfront",INPUTS!$J$134))="Upfront",--(TIMELINE!AB133=1),IF(IF(INPUTS!$J$134="Follow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End","Upfront",INPUTS!$J$134))="Front-loaded",(TIMELINE!$C$132-TIMELINE!AB133+1)*2/(TIMELINE!$C$132*(TIMELINE!$C$132+1)),IF(IF(INPUTS!$J$134="Follow Project Life","Even",IF(INPUTS!$J$134="At Project End","Upfront",INPUTS!$J$134))="Back-loaded",TIMELINE!AB133*2/(TIMELINE!$C$132*(TIMELINE!$C$132+1)),IF(IF(INPUTS!$J$134="Follow Project Life","Even",IF(INPUTS!$J$134="At Project End","Upfront",INPUTS!$J$134))="S-curve",SIN(PI()*(TIMELINE!AB133-0.5)/TIMELINE!$C$132)*SIN(PI()/(2*TIMELINE!$C$132)),0))))))))))</f>
        <v>0</v>
      </c>
      <c r="AC131" s="118" t="n">
        <f aca="false">IF(INPUTS!$F$134&lt;&gt;"Yes",0,IF(INPUTS!$J$134="Follow Construction",AC$104,IF(INPUTS!$J$134="Follow Sales",AC$99,IF(INPUTS!$J$134="Follow Collections",AC$108,IF(OR(TIMELINE!AC133=0,TIMELINE!$C$132=0),0,IF(IF(INPUTS!$J$134="Follow Project Life","Even",IF(INPUTS!$J$134="At Project End","Upfront",INPUTS!$J$134))="Upfront",--(TIMELINE!AC133=1),IF(IF(INPUTS!$J$134="Follow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End","Upfront",INPUTS!$J$134))="Front-loaded",(TIMELINE!$C$132-TIMELINE!AC133+1)*2/(TIMELINE!$C$132*(TIMELINE!$C$132+1)),IF(IF(INPUTS!$J$134="Follow Project Life","Even",IF(INPUTS!$J$134="At Project End","Upfront",INPUTS!$J$134))="Back-loaded",TIMELINE!AC133*2/(TIMELINE!$C$132*(TIMELINE!$C$132+1)),IF(IF(INPUTS!$J$134="Follow Project Life","Even",IF(INPUTS!$J$134="At Project End","Upfront",INPUTS!$J$134))="S-curve",SIN(PI()*(TIMELINE!AC133-0.5)/TIMELINE!$C$132)*SIN(PI()/(2*TIMELINE!$C$132)),0))))))))))</f>
        <v>0</v>
      </c>
      <c r="AD131" s="118" t="n">
        <f aca="false">IF(INPUTS!$F$134&lt;&gt;"Yes",0,IF(INPUTS!$J$134="Follow Construction",AD$104,IF(INPUTS!$J$134="Follow Sales",AD$99,IF(INPUTS!$J$134="Follow Collections",AD$108,IF(OR(TIMELINE!AD133=0,TIMELINE!$C$132=0),0,IF(IF(INPUTS!$J$134="Follow Project Life","Even",IF(INPUTS!$J$134="At Project End","Upfront",INPUTS!$J$134))="Upfront",--(TIMELINE!AD133=1),IF(IF(INPUTS!$J$134="Follow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End","Upfront",INPUTS!$J$134))="Front-loaded",(TIMELINE!$C$132-TIMELINE!AD133+1)*2/(TIMELINE!$C$132*(TIMELINE!$C$132+1)),IF(IF(INPUTS!$J$134="Follow Project Life","Even",IF(INPUTS!$J$134="At Project End","Upfront",INPUTS!$J$134))="Back-loaded",TIMELINE!AD133*2/(TIMELINE!$C$132*(TIMELINE!$C$132+1)),IF(IF(INPUTS!$J$134="Follow Project Life","Even",IF(INPUTS!$J$134="At Project End","Upfront",INPUTS!$J$134))="S-curve",SIN(PI()*(TIMELINE!AD133-0.5)/TIMELINE!$C$132)*SIN(PI()/(2*TIMELINE!$C$132)),0))))))))))</f>
        <v>0</v>
      </c>
      <c r="AE131" s="118" t="n">
        <f aca="false">IF(INPUTS!$F$134&lt;&gt;"Yes",0,IF(INPUTS!$J$134="Follow Construction",AE$104,IF(INPUTS!$J$134="Follow Sales",AE$99,IF(INPUTS!$J$134="Follow Collections",AE$108,IF(OR(TIMELINE!AE133=0,TIMELINE!$C$132=0),0,IF(IF(INPUTS!$J$134="Follow Project Life","Even",IF(INPUTS!$J$134="At Project End","Upfront",INPUTS!$J$134))="Upfront",--(TIMELINE!AE133=1),IF(IF(INPUTS!$J$134="Follow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End","Upfront",INPUTS!$J$134))="Front-loaded",(TIMELINE!$C$132-TIMELINE!AE133+1)*2/(TIMELINE!$C$132*(TIMELINE!$C$132+1)),IF(IF(INPUTS!$J$134="Follow Project Life","Even",IF(INPUTS!$J$134="At Project End","Upfront",INPUTS!$J$134))="Back-loaded",TIMELINE!AE133*2/(TIMELINE!$C$132*(TIMELINE!$C$132+1)),IF(IF(INPUTS!$J$134="Follow Project Life","Even",IF(INPUTS!$J$134="At Project End","Upfront",INPUTS!$J$134))="S-curve",SIN(PI()*(TIMELINE!AE133-0.5)/TIMELINE!$C$132)*SIN(PI()/(2*TIMELINE!$C$132)),0))))))))))</f>
        <v>0</v>
      </c>
      <c r="AF131" s="118" t="n">
        <f aca="false">IF(INPUTS!$F$134&lt;&gt;"Yes",0,IF(INPUTS!$J$134="Follow Construction",AF$104,IF(INPUTS!$J$134="Follow Sales",AF$99,IF(INPUTS!$J$134="Follow Collections",AF$108,IF(OR(TIMELINE!AF133=0,TIMELINE!$C$132=0),0,IF(IF(INPUTS!$J$134="Follow Project Life","Even",IF(INPUTS!$J$134="At Project End","Upfront",INPUTS!$J$134))="Upfront",--(TIMELINE!AF133=1),IF(IF(INPUTS!$J$134="Follow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End","Upfront",INPUTS!$J$134))="Front-loaded",(TIMELINE!$C$132-TIMELINE!AF133+1)*2/(TIMELINE!$C$132*(TIMELINE!$C$132+1)),IF(IF(INPUTS!$J$134="Follow Project Life","Even",IF(INPUTS!$J$134="At Project End","Upfront",INPUTS!$J$134))="Back-loaded",TIMELINE!AF133*2/(TIMELINE!$C$132*(TIMELINE!$C$132+1)),IF(IF(INPUTS!$J$134="Follow Project Life","Even",IF(INPUTS!$J$134="At Project End","Upfront",INPUTS!$J$134))="S-curve",SIN(PI()*(TIMELINE!AF133-0.5)/TIMELINE!$C$132)*SIN(PI()/(2*TIMELINE!$C$132)),0))))))))))</f>
        <v>0</v>
      </c>
      <c r="AG131" s="118" t="n">
        <f aca="false">IF(INPUTS!$F$134&lt;&gt;"Yes",0,IF(INPUTS!$J$134="Follow Construction",AG$104,IF(INPUTS!$J$134="Follow Sales",AG$99,IF(INPUTS!$J$134="Follow Collections",AG$108,IF(OR(TIMELINE!AG133=0,TIMELINE!$C$132=0),0,IF(IF(INPUTS!$J$134="Follow Project Life","Even",IF(INPUTS!$J$134="At Project End","Upfront",INPUTS!$J$134))="Upfront",--(TIMELINE!AG133=1),IF(IF(INPUTS!$J$134="Follow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End","Upfront",INPUTS!$J$134))="Front-loaded",(TIMELINE!$C$132-TIMELINE!AG133+1)*2/(TIMELINE!$C$132*(TIMELINE!$C$132+1)),IF(IF(INPUTS!$J$134="Follow Project Life","Even",IF(INPUTS!$J$134="At Project End","Upfront",INPUTS!$J$134))="Back-loaded",TIMELINE!AG133*2/(TIMELINE!$C$132*(TIMELINE!$C$132+1)),IF(IF(INPUTS!$J$134="Follow Project Life","Even",IF(INPUTS!$J$134="At Project End","Upfront",INPUTS!$J$134))="S-curve",SIN(PI()*(TIMELINE!AG133-0.5)/TIMELINE!$C$132)*SIN(PI()/(2*TIMELINE!$C$132)),0))))))))))</f>
        <v>0</v>
      </c>
      <c r="AH131" s="118" t="n">
        <f aca="false">IF(INPUTS!$F$134&lt;&gt;"Yes",0,IF(INPUTS!$J$134="Follow Construction",AH$104,IF(INPUTS!$J$134="Follow Sales",AH$99,IF(INPUTS!$J$134="Follow Collections",AH$108,IF(OR(TIMELINE!AH133=0,TIMELINE!$C$132=0),0,IF(IF(INPUTS!$J$134="Follow Project Life","Even",IF(INPUTS!$J$134="At Project End","Upfront",INPUTS!$J$134))="Upfront",--(TIMELINE!AH133=1),IF(IF(INPUTS!$J$134="Follow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End","Upfront",INPUTS!$J$134))="Front-loaded",(TIMELINE!$C$132-TIMELINE!AH133+1)*2/(TIMELINE!$C$132*(TIMELINE!$C$132+1)),IF(IF(INPUTS!$J$134="Follow Project Life","Even",IF(INPUTS!$J$134="At Project End","Upfront",INPUTS!$J$134))="Back-loaded",TIMELINE!AH133*2/(TIMELINE!$C$132*(TIMELINE!$C$132+1)),IF(IF(INPUTS!$J$134="Follow Project Life","Even",IF(INPUTS!$J$134="At Project End","Upfront",INPUTS!$J$134))="S-curve",SIN(PI()*(TIMELINE!AH133-0.5)/TIMELINE!$C$132)*SIN(PI()/(2*TIMELINE!$C$132)),0))))))))))</f>
        <v>0</v>
      </c>
      <c r="AI131" s="118" t="n">
        <f aca="false">IF(INPUTS!$F$134&lt;&gt;"Yes",0,IF(INPUTS!$J$134="Follow Construction",AI$104,IF(INPUTS!$J$134="Follow Sales",AI$99,IF(INPUTS!$J$134="Follow Collections",AI$108,IF(OR(TIMELINE!AI133=0,TIMELINE!$C$132=0),0,IF(IF(INPUTS!$J$134="Follow Project Life","Even",IF(INPUTS!$J$134="At Project End","Upfront",INPUTS!$J$134))="Upfront",--(TIMELINE!AI133=1),IF(IF(INPUTS!$J$134="Follow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End","Upfront",INPUTS!$J$134))="Front-loaded",(TIMELINE!$C$132-TIMELINE!AI133+1)*2/(TIMELINE!$C$132*(TIMELINE!$C$132+1)),IF(IF(INPUTS!$J$134="Follow Project Life","Even",IF(INPUTS!$J$134="At Project End","Upfront",INPUTS!$J$134))="Back-loaded",TIMELINE!AI133*2/(TIMELINE!$C$132*(TIMELINE!$C$132+1)),IF(IF(INPUTS!$J$134="Follow Project Life","Even",IF(INPUTS!$J$134="At Project End","Upfront",INPUTS!$J$134))="S-curve",SIN(PI()*(TIMELINE!AI133-0.5)/TIMELINE!$C$132)*SIN(PI()/(2*TIMELINE!$C$132)),0))))))))))</f>
        <v>0</v>
      </c>
      <c r="AJ131" s="118" t="n">
        <f aca="false">IF(INPUTS!$F$134&lt;&gt;"Yes",0,IF(INPUTS!$J$134="Follow Construction",AJ$104,IF(INPUTS!$J$134="Follow Sales",AJ$99,IF(INPUTS!$J$134="Follow Collections",AJ$108,IF(OR(TIMELINE!AJ133=0,TIMELINE!$C$132=0),0,IF(IF(INPUTS!$J$134="Follow Project Life","Even",IF(INPUTS!$J$134="At Project End","Upfront",INPUTS!$J$134))="Upfront",--(TIMELINE!AJ133=1),IF(IF(INPUTS!$J$134="Follow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End","Upfront",INPUTS!$J$134))="Front-loaded",(TIMELINE!$C$132-TIMELINE!AJ133+1)*2/(TIMELINE!$C$132*(TIMELINE!$C$132+1)),IF(IF(INPUTS!$J$134="Follow Project Life","Even",IF(INPUTS!$J$134="At Project End","Upfront",INPUTS!$J$134))="Back-loaded",TIMELINE!AJ133*2/(TIMELINE!$C$132*(TIMELINE!$C$132+1)),IF(IF(INPUTS!$J$134="Follow Project Life","Even",IF(INPUTS!$J$134="At Project End","Upfront",INPUTS!$J$134))="S-curve",SIN(PI()*(TIMELINE!AJ133-0.5)/TIMELINE!$C$132)*SIN(PI()/(2*TIMELINE!$C$132)),0))))))))))</f>
        <v>0</v>
      </c>
      <c r="AK131" s="118" t="n">
        <f aca="false">IF(INPUTS!$F$134&lt;&gt;"Yes",0,IF(INPUTS!$J$134="Follow Construction",AK$104,IF(INPUTS!$J$134="Follow Sales",AK$99,IF(INPUTS!$J$134="Follow Collections",AK$108,IF(OR(TIMELINE!AK133=0,TIMELINE!$C$132=0),0,IF(IF(INPUTS!$J$134="Follow Project Life","Even",IF(INPUTS!$J$134="At Project End","Upfront",INPUTS!$J$134))="Upfront",--(TIMELINE!AK133=1),IF(IF(INPUTS!$J$134="Follow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End","Upfront",INPUTS!$J$134))="Front-loaded",(TIMELINE!$C$132-TIMELINE!AK133+1)*2/(TIMELINE!$C$132*(TIMELINE!$C$132+1)),IF(IF(INPUTS!$J$134="Follow Project Life","Even",IF(INPUTS!$J$134="At Project End","Upfront",INPUTS!$J$134))="Back-loaded",TIMELINE!AK133*2/(TIMELINE!$C$132*(TIMELINE!$C$132+1)),IF(IF(INPUTS!$J$134="Follow Project Life","Even",IF(INPUTS!$J$134="At Project End","Upfront",INPUTS!$J$134))="S-curve",SIN(PI()*(TIMELINE!AK133-0.5)/TIMELINE!$C$132)*SIN(PI()/(2*TIMELINE!$C$132)),0))))))))))</f>
        <v>0</v>
      </c>
      <c r="AL131" s="118" t="n">
        <f aca="false">IF(INPUTS!$F$134&lt;&gt;"Yes",0,IF(INPUTS!$J$134="Follow Construction",AL$104,IF(INPUTS!$J$134="Follow Sales",AL$99,IF(INPUTS!$J$134="Follow Collections",AL$108,IF(OR(TIMELINE!AL133=0,TIMELINE!$C$132=0),0,IF(IF(INPUTS!$J$134="Follow Project Life","Even",IF(INPUTS!$J$134="At Project End","Upfront",INPUTS!$J$134))="Upfront",--(TIMELINE!AL133=1),IF(IF(INPUTS!$J$134="Follow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End","Upfront",INPUTS!$J$134))="Front-loaded",(TIMELINE!$C$132-TIMELINE!AL133+1)*2/(TIMELINE!$C$132*(TIMELINE!$C$132+1)),IF(IF(INPUTS!$J$134="Follow Project Life","Even",IF(INPUTS!$J$134="At Project End","Upfront",INPUTS!$J$134))="Back-loaded",TIMELINE!AL133*2/(TIMELINE!$C$132*(TIMELINE!$C$132+1)),IF(IF(INPUTS!$J$134="Follow Project Life","Even",IF(INPUTS!$J$134="At Project End","Upfront",INPUTS!$J$134))="S-curve",SIN(PI()*(TIMELINE!AL133-0.5)/TIMELINE!$C$132)*SIN(PI()/(2*TIMELINE!$C$132)),0))))))))))</f>
        <v>0</v>
      </c>
      <c r="AM131" s="118" t="n">
        <f aca="false">IF(INPUTS!$F$134&lt;&gt;"Yes",0,IF(INPUTS!$J$134="Follow Construction",AM$104,IF(INPUTS!$J$134="Follow Sales",AM$99,IF(INPUTS!$J$134="Follow Collections",AM$108,IF(OR(TIMELINE!AM133=0,TIMELINE!$C$132=0),0,IF(IF(INPUTS!$J$134="Follow Project Life","Even",IF(INPUTS!$J$134="At Project End","Upfront",INPUTS!$J$134))="Upfront",--(TIMELINE!AM133=1),IF(IF(INPUTS!$J$134="Follow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End","Upfront",INPUTS!$J$134))="Front-loaded",(TIMELINE!$C$132-TIMELINE!AM133+1)*2/(TIMELINE!$C$132*(TIMELINE!$C$132+1)),IF(IF(INPUTS!$J$134="Follow Project Life","Even",IF(INPUTS!$J$134="At Project End","Upfront",INPUTS!$J$134))="Back-loaded",TIMELINE!AM133*2/(TIMELINE!$C$132*(TIMELINE!$C$132+1)),IF(IF(INPUTS!$J$134="Follow Project Life","Even",IF(INPUTS!$J$134="At Project End","Upfront",INPUTS!$J$134))="S-curve",SIN(PI()*(TIMELINE!AM133-0.5)/TIMELINE!$C$132)*SIN(PI()/(2*TIMELINE!$C$132)),0))))))))))</f>
        <v>0</v>
      </c>
      <c r="AN131" s="118" t="n">
        <f aca="false">IF(INPUTS!$F$134&lt;&gt;"Yes",0,IF(INPUTS!$J$134="Follow Construction",AN$104,IF(INPUTS!$J$134="Follow Sales",AN$99,IF(INPUTS!$J$134="Follow Collections",AN$108,IF(OR(TIMELINE!AN133=0,TIMELINE!$C$132=0),0,IF(IF(INPUTS!$J$134="Follow Project Life","Even",IF(INPUTS!$J$134="At Project End","Upfront",INPUTS!$J$134))="Upfront",--(TIMELINE!AN133=1),IF(IF(INPUTS!$J$134="Follow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End","Upfront",INPUTS!$J$134))="Front-loaded",(TIMELINE!$C$132-TIMELINE!AN133+1)*2/(TIMELINE!$C$132*(TIMELINE!$C$132+1)),IF(IF(INPUTS!$J$134="Follow Project Life","Even",IF(INPUTS!$J$134="At Project End","Upfront",INPUTS!$J$134))="Back-loaded",TIMELINE!AN133*2/(TIMELINE!$C$132*(TIMELINE!$C$132+1)),IF(IF(INPUTS!$J$134="Follow Project Life","Even",IF(INPUTS!$J$134="At Project End","Upfront",INPUTS!$J$134))="S-curve",SIN(PI()*(TIMELINE!AN133-0.5)/TIMELINE!$C$132)*SIN(PI()/(2*TIMELINE!$C$132)),0))))))))))</f>
        <v>0</v>
      </c>
      <c r="AO131" s="118" t="n">
        <f aca="false">IF(INPUTS!$F$134&lt;&gt;"Yes",0,IF(INPUTS!$J$134="Follow Construction",AO$104,IF(INPUTS!$J$134="Follow Sales",AO$99,IF(INPUTS!$J$134="Follow Collections",AO$108,IF(OR(TIMELINE!AO133=0,TIMELINE!$C$132=0),0,IF(IF(INPUTS!$J$134="Follow Project Life","Even",IF(INPUTS!$J$134="At Project End","Upfront",INPUTS!$J$134))="Upfront",--(TIMELINE!AO133=1),IF(IF(INPUTS!$J$134="Follow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End","Upfront",INPUTS!$J$134))="Front-loaded",(TIMELINE!$C$132-TIMELINE!AO133+1)*2/(TIMELINE!$C$132*(TIMELINE!$C$132+1)),IF(IF(INPUTS!$J$134="Follow Project Life","Even",IF(INPUTS!$J$134="At Project End","Upfront",INPUTS!$J$134))="Back-loaded",TIMELINE!AO133*2/(TIMELINE!$C$132*(TIMELINE!$C$132+1)),IF(IF(INPUTS!$J$134="Follow Project Life","Even",IF(INPUTS!$J$134="At Project End","Upfront",INPUTS!$J$134))="S-curve",SIN(PI()*(TIMELINE!AO133-0.5)/TIMELINE!$C$132)*SIN(PI()/(2*TIMELINE!$C$132)),0))))))))))</f>
        <v>0</v>
      </c>
      <c r="AP131" s="118" t="n">
        <f aca="false">IF(INPUTS!$F$134&lt;&gt;"Yes",0,IF(INPUTS!$J$134="Follow Construction",AP$104,IF(INPUTS!$J$134="Follow Sales",AP$99,IF(INPUTS!$J$134="Follow Collections",AP$108,IF(OR(TIMELINE!AP133=0,TIMELINE!$C$132=0),0,IF(IF(INPUTS!$J$134="Follow Project Life","Even",IF(INPUTS!$J$134="At Project End","Upfront",INPUTS!$J$134))="Upfront",--(TIMELINE!AP133=1),IF(IF(INPUTS!$J$134="Follow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End","Upfront",INPUTS!$J$134))="Front-loaded",(TIMELINE!$C$132-TIMELINE!AP133+1)*2/(TIMELINE!$C$132*(TIMELINE!$C$132+1)),IF(IF(INPUTS!$J$134="Follow Project Life","Even",IF(INPUTS!$J$134="At Project End","Upfront",INPUTS!$J$134))="Back-loaded",TIMELINE!AP133*2/(TIMELINE!$C$132*(TIMELINE!$C$132+1)),IF(IF(INPUTS!$J$134="Follow Project Life","Even",IF(INPUTS!$J$134="At Project End","Upfront",INPUTS!$J$134))="S-curve",SIN(PI()*(TIMELINE!AP133-0.5)/TIMELINE!$C$132)*SIN(PI()/(2*TIMELINE!$C$132)),0))))))))))</f>
        <v>0</v>
      </c>
      <c r="AQ131" s="118" t="n">
        <f aca="false">IF(INPUTS!$F$134&lt;&gt;"Yes",0,IF(INPUTS!$J$134="Follow Construction",AQ$104,IF(INPUTS!$J$134="Follow Sales",AQ$99,IF(INPUTS!$J$134="Follow Collections",AQ$108,IF(OR(TIMELINE!AQ133=0,TIMELINE!$C$132=0),0,IF(IF(INPUTS!$J$134="Follow Project Life","Even",IF(INPUTS!$J$134="At Project End","Upfront",INPUTS!$J$134))="Upfront",--(TIMELINE!AQ133=1),IF(IF(INPUTS!$J$134="Follow Project Life","Even",IF(INPUTS!$J$134="At Project End","Upfront",INPUTS!$J$134))="Even",1/TIMELINE!$C$132,IF(IF(INPUTS!$J$134="Follow Project Life","Even",IF(INPUTS!$J$134="At Project End","Upfront",INPUTS!$J$134))="Front-loaded",(TIMELINE!$C$132-TIMELINE!AQ133+1)*2/(TIMELINE!$C$132*(TIMELINE!$C$132+1)),IF(IF(INPUTS!$J$134="Follow Project Life","Even",IF(INPUTS!$J$134="At Project End","Upfront",INPUTS!$J$134))="Back-loaded",TIMELINE!AQ133*2/(TIMELINE!$C$132*(TIMELINE!$C$132+1)),IF(IF(INPUTS!$J$134="Follow Project Life","Even",IF(INPUTS!$J$134="At Project End","Upfront",INPUTS!$J$134))="S-curve",SIN(PI()*(TIMELINE!AQ133-0.5)/TIMELINE!$C$132)*SIN(PI()/(2*TIMELINE!$C$132)),0))))))))))</f>
        <v>0</v>
      </c>
    </row>
    <row r="132" customFormat="false" ht="15" hidden="false" customHeight="false" outlineLevel="0" collapsed="false">
      <c r="B132" s="17" t="s">
        <v>689</v>
      </c>
      <c r="C132" s="105" t="str">
        <f aca="false">IF(INPUTS!$B$134="","",IF(INPUTS!$F$134&lt;&gt;"Yes","Off",IF(INPUTS!$M$134&lt;&gt;"OK","ERROR",IF(ABS(C131-1)&lt;0.000000001,"OK",IF(AND(C131=0,INPUTS!$G$134=0),"Zero","ERROR")))))</f>
        <v>Zero</v>
      </c>
    </row>
    <row r="133" customFormat="false" ht="15" hidden="false" customHeight="false" outlineLevel="0" collapsed="false">
      <c r="B133" s="110" t="str">
        <f aca="false">IF(INPUTS!$B$135="","Spare cost row",INPUTS!$B$135)</f>
        <v>Institutional Plotted Development Cost</v>
      </c>
      <c r="C133" s="111" t="str">
        <f aca="false">IF(INPUTS!$J$135="","",INPUTS!$J$135)</f>
        <v>Follow Construction</v>
      </c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</row>
    <row r="134" customFormat="false" ht="15" hidden="false" customHeight="false" outlineLevel="0" collapsed="false">
      <c r="B134" s="3" t="s">
        <v>688</v>
      </c>
      <c r="C134" s="117" t="n">
        <f aca="false">SUM(D134:AQ134)</f>
        <v>0</v>
      </c>
      <c r="D134" s="118" t="n">
        <f aca="false">IF(INPUTS!$F$135&lt;&gt;"Yes",0,IF(INPUTS!$J$135="Follow Construction",D$105,IF(INPUTS!$J$135="Follow Sales",D$99,IF(INPUTS!$J$135="Follow Collections",D$108,IF(OR(TIMELINE!D137=0,TIMELINE!$C$136=0),0,IF(IF(INPUTS!$J$135="Follow Project Life","Even",IF(INPUTS!$J$135="At Project End","Upfront",INPUTS!$J$135))="Upfront",--(TIMELINE!D137=1),IF(IF(INPUTS!$J$135="Follow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End","Upfront",INPUTS!$J$135))="Front-loaded",(TIMELINE!$C$136-TIMELINE!D137+1)*2/(TIMELINE!$C$136*(TIMELINE!$C$136+1)),IF(IF(INPUTS!$J$135="Follow Project Life","Even",IF(INPUTS!$J$135="At Project End","Upfront",INPUTS!$J$135))="Back-loaded",TIMELINE!D137*2/(TIMELINE!$C$136*(TIMELINE!$C$136+1)),IF(IF(INPUTS!$J$135="Follow Project Life","Even",IF(INPUTS!$J$135="At Project End","Upfront",INPUTS!$J$135))="S-curve",SIN(PI()*(TIMELINE!D137-0.5)/TIMELINE!$C$136)*SIN(PI()/(2*TIMELINE!$C$136)),0))))))))))</f>
        <v>0</v>
      </c>
      <c r="E134" s="118" t="n">
        <f aca="false">IF(INPUTS!$F$135&lt;&gt;"Yes",0,IF(INPUTS!$J$135="Follow Construction",E$105,IF(INPUTS!$J$135="Follow Sales",E$99,IF(INPUTS!$J$135="Follow Collections",E$108,IF(OR(TIMELINE!E137=0,TIMELINE!$C$136=0),0,IF(IF(INPUTS!$J$135="Follow Project Life","Even",IF(INPUTS!$J$135="At Project End","Upfront",INPUTS!$J$135))="Upfront",--(TIMELINE!E137=1),IF(IF(INPUTS!$J$135="Follow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End","Upfront",INPUTS!$J$135))="Front-loaded",(TIMELINE!$C$136-TIMELINE!E137+1)*2/(TIMELINE!$C$136*(TIMELINE!$C$136+1)),IF(IF(INPUTS!$J$135="Follow Project Life","Even",IF(INPUTS!$J$135="At Project End","Upfront",INPUTS!$J$135))="Back-loaded",TIMELINE!E137*2/(TIMELINE!$C$136*(TIMELINE!$C$136+1)),IF(IF(INPUTS!$J$135="Follow Project Life","Even",IF(INPUTS!$J$135="At Project End","Upfront",INPUTS!$J$135))="S-curve",SIN(PI()*(TIMELINE!E137-0.5)/TIMELINE!$C$136)*SIN(PI()/(2*TIMELINE!$C$136)),0))))))))))</f>
        <v>0</v>
      </c>
      <c r="F134" s="118" t="n">
        <f aca="false">IF(INPUTS!$F$135&lt;&gt;"Yes",0,IF(INPUTS!$J$135="Follow Construction",F$105,IF(INPUTS!$J$135="Follow Sales",F$99,IF(INPUTS!$J$135="Follow Collections",F$108,IF(OR(TIMELINE!F137=0,TIMELINE!$C$136=0),0,IF(IF(INPUTS!$J$135="Follow Project Life","Even",IF(INPUTS!$J$135="At Project End","Upfront",INPUTS!$J$135))="Upfront",--(TIMELINE!F137=1),IF(IF(INPUTS!$J$135="Follow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End","Upfront",INPUTS!$J$135))="Front-loaded",(TIMELINE!$C$136-TIMELINE!F137+1)*2/(TIMELINE!$C$136*(TIMELINE!$C$136+1)),IF(IF(INPUTS!$J$135="Follow Project Life","Even",IF(INPUTS!$J$135="At Project End","Upfront",INPUTS!$J$135))="Back-loaded",TIMELINE!F137*2/(TIMELINE!$C$136*(TIMELINE!$C$136+1)),IF(IF(INPUTS!$J$135="Follow Project Life","Even",IF(INPUTS!$J$135="At Project End","Upfront",INPUTS!$J$135))="S-curve",SIN(PI()*(TIMELINE!F137-0.5)/TIMELINE!$C$136)*SIN(PI()/(2*TIMELINE!$C$136)),0))))))))))</f>
        <v>0</v>
      </c>
      <c r="G134" s="118" t="n">
        <f aca="false">IF(INPUTS!$F$135&lt;&gt;"Yes",0,IF(INPUTS!$J$135="Follow Construction",G$105,IF(INPUTS!$J$135="Follow Sales",G$99,IF(INPUTS!$J$135="Follow Collections",G$108,IF(OR(TIMELINE!G137=0,TIMELINE!$C$136=0),0,IF(IF(INPUTS!$J$135="Follow Project Life","Even",IF(INPUTS!$J$135="At Project End","Upfront",INPUTS!$J$135))="Upfront",--(TIMELINE!G137=1),IF(IF(INPUTS!$J$135="Follow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End","Upfront",INPUTS!$J$135))="Front-loaded",(TIMELINE!$C$136-TIMELINE!G137+1)*2/(TIMELINE!$C$136*(TIMELINE!$C$136+1)),IF(IF(INPUTS!$J$135="Follow Project Life","Even",IF(INPUTS!$J$135="At Project End","Upfront",INPUTS!$J$135))="Back-loaded",TIMELINE!G137*2/(TIMELINE!$C$136*(TIMELINE!$C$136+1)),IF(IF(INPUTS!$J$135="Follow Project Life","Even",IF(INPUTS!$J$135="At Project End","Upfront",INPUTS!$J$135))="S-curve",SIN(PI()*(TIMELINE!G137-0.5)/TIMELINE!$C$136)*SIN(PI()/(2*TIMELINE!$C$136)),0))))))))))</f>
        <v>0</v>
      </c>
      <c r="H134" s="118" t="n">
        <f aca="false">IF(INPUTS!$F$135&lt;&gt;"Yes",0,IF(INPUTS!$J$135="Follow Construction",H$105,IF(INPUTS!$J$135="Follow Sales",H$99,IF(INPUTS!$J$135="Follow Collections",H$108,IF(OR(TIMELINE!H137=0,TIMELINE!$C$136=0),0,IF(IF(INPUTS!$J$135="Follow Project Life","Even",IF(INPUTS!$J$135="At Project End","Upfront",INPUTS!$J$135))="Upfront",--(TIMELINE!H137=1),IF(IF(INPUTS!$J$135="Follow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End","Upfront",INPUTS!$J$135))="Front-loaded",(TIMELINE!$C$136-TIMELINE!H137+1)*2/(TIMELINE!$C$136*(TIMELINE!$C$136+1)),IF(IF(INPUTS!$J$135="Follow Project Life","Even",IF(INPUTS!$J$135="At Project End","Upfront",INPUTS!$J$135))="Back-loaded",TIMELINE!H137*2/(TIMELINE!$C$136*(TIMELINE!$C$136+1)),IF(IF(INPUTS!$J$135="Follow Project Life","Even",IF(INPUTS!$J$135="At Project End","Upfront",INPUTS!$J$135))="S-curve",SIN(PI()*(TIMELINE!H137-0.5)/TIMELINE!$C$136)*SIN(PI()/(2*TIMELINE!$C$136)),0))))))))))</f>
        <v>0</v>
      </c>
      <c r="I134" s="118" t="n">
        <f aca="false">IF(INPUTS!$F$135&lt;&gt;"Yes",0,IF(INPUTS!$J$135="Follow Construction",I$105,IF(INPUTS!$J$135="Follow Sales",I$99,IF(INPUTS!$J$135="Follow Collections",I$108,IF(OR(TIMELINE!I137=0,TIMELINE!$C$136=0),0,IF(IF(INPUTS!$J$135="Follow Project Life","Even",IF(INPUTS!$J$135="At Project End","Upfront",INPUTS!$J$135))="Upfront",--(TIMELINE!I137=1),IF(IF(INPUTS!$J$135="Follow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End","Upfront",INPUTS!$J$135))="Front-loaded",(TIMELINE!$C$136-TIMELINE!I137+1)*2/(TIMELINE!$C$136*(TIMELINE!$C$136+1)),IF(IF(INPUTS!$J$135="Follow Project Life","Even",IF(INPUTS!$J$135="At Project End","Upfront",INPUTS!$J$135))="Back-loaded",TIMELINE!I137*2/(TIMELINE!$C$136*(TIMELINE!$C$136+1)),IF(IF(INPUTS!$J$135="Follow Project Life","Even",IF(INPUTS!$J$135="At Project End","Upfront",INPUTS!$J$135))="S-curve",SIN(PI()*(TIMELINE!I137-0.5)/TIMELINE!$C$136)*SIN(PI()/(2*TIMELINE!$C$136)),0))))))))))</f>
        <v>0</v>
      </c>
      <c r="J134" s="118" t="n">
        <f aca="false">IF(INPUTS!$F$135&lt;&gt;"Yes",0,IF(INPUTS!$J$135="Follow Construction",J$105,IF(INPUTS!$J$135="Follow Sales",J$99,IF(INPUTS!$J$135="Follow Collections",J$108,IF(OR(TIMELINE!J137=0,TIMELINE!$C$136=0),0,IF(IF(INPUTS!$J$135="Follow Project Life","Even",IF(INPUTS!$J$135="At Project End","Upfront",INPUTS!$J$135))="Upfront",--(TIMELINE!J137=1),IF(IF(INPUTS!$J$135="Follow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End","Upfront",INPUTS!$J$135))="Front-loaded",(TIMELINE!$C$136-TIMELINE!J137+1)*2/(TIMELINE!$C$136*(TIMELINE!$C$136+1)),IF(IF(INPUTS!$J$135="Follow Project Life","Even",IF(INPUTS!$J$135="At Project End","Upfront",INPUTS!$J$135))="Back-loaded",TIMELINE!J137*2/(TIMELINE!$C$136*(TIMELINE!$C$136+1)),IF(IF(INPUTS!$J$135="Follow Project Life","Even",IF(INPUTS!$J$135="At Project End","Upfront",INPUTS!$J$135))="S-curve",SIN(PI()*(TIMELINE!J137-0.5)/TIMELINE!$C$136)*SIN(PI()/(2*TIMELINE!$C$136)),0))))))))))</f>
        <v>0</v>
      </c>
      <c r="K134" s="118" t="n">
        <f aca="false">IF(INPUTS!$F$135&lt;&gt;"Yes",0,IF(INPUTS!$J$135="Follow Construction",K$105,IF(INPUTS!$J$135="Follow Sales",K$99,IF(INPUTS!$J$135="Follow Collections",K$108,IF(OR(TIMELINE!K137=0,TIMELINE!$C$136=0),0,IF(IF(INPUTS!$J$135="Follow Project Life","Even",IF(INPUTS!$J$135="At Project End","Upfront",INPUTS!$J$135))="Upfront",--(TIMELINE!K137=1),IF(IF(INPUTS!$J$135="Follow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End","Upfront",INPUTS!$J$135))="Front-loaded",(TIMELINE!$C$136-TIMELINE!K137+1)*2/(TIMELINE!$C$136*(TIMELINE!$C$136+1)),IF(IF(INPUTS!$J$135="Follow Project Life","Even",IF(INPUTS!$J$135="At Project End","Upfront",INPUTS!$J$135))="Back-loaded",TIMELINE!K137*2/(TIMELINE!$C$136*(TIMELINE!$C$136+1)),IF(IF(INPUTS!$J$135="Follow Project Life","Even",IF(INPUTS!$J$135="At Project End","Upfront",INPUTS!$J$135))="S-curve",SIN(PI()*(TIMELINE!K137-0.5)/TIMELINE!$C$136)*SIN(PI()/(2*TIMELINE!$C$136)),0))))))))))</f>
        <v>0</v>
      </c>
      <c r="L134" s="118" t="n">
        <f aca="false">IF(INPUTS!$F$135&lt;&gt;"Yes",0,IF(INPUTS!$J$135="Follow Construction",L$105,IF(INPUTS!$J$135="Follow Sales",L$99,IF(INPUTS!$J$135="Follow Collections",L$108,IF(OR(TIMELINE!L137=0,TIMELINE!$C$136=0),0,IF(IF(INPUTS!$J$135="Follow Project Life","Even",IF(INPUTS!$J$135="At Project End","Upfront",INPUTS!$J$135))="Upfront",--(TIMELINE!L137=1),IF(IF(INPUTS!$J$135="Follow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End","Upfront",INPUTS!$J$135))="Front-loaded",(TIMELINE!$C$136-TIMELINE!L137+1)*2/(TIMELINE!$C$136*(TIMELINE!$C$136+1)),IF(IF(INPUTS!$J$135="Follow Project Life","Even",IF(INPUTS!$J$135="At Project End","Upfront",INPUTS!$J$135))="Back-loaded",TIMELINE!L137*2/(TIMELINE!$C$136*(TIMELINE!$C$136+1)),IF(IF(INPUTS!$J$135="Follow Project Life","Even",IF(INPUTS!$J$135="At Project End","Upfront",INPUTS!$J$135))="S-curve",SIN(PI()*(TIMELINE!L137-0.5)/TIMELINE!$C$136)*SIN(PI()/(2*TIMELINE!$C$136)),0))))))))))</f>
        <v>0</v>
      </c>
      <c r="M134" s="118" t="n">
        <f aca="false">IF(INPUTS!$F$135&lt;&gt;"Yes",0,IF(INPUTS!$J$135="Follow Construction",M$105,IF(INPUTS!$J$135="Follow Sales",M$99,IF(INPUTS!$J$135="Follow Collections",M$108,IF(OR(TIMELINE!M137=0,TIMELINE!$C$136=0),0,IF(IF(INPUTS!$J$135="Follow Project Life","Even",IF(INPUTS!$J$135="At Project End","Upfront",INPUTS!$J$135))="Upfront",--(TIMELINE!M137=1),IF(IF(INPUTS!$J$135="Follow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End","Upfront",INPUTS!$J$135))="Front-loaded",(TIMELINE!$C$136-TIMELINE!M137+1)*2/(TIMELINE!$C$136*(TIMELINE!$C$136+1)),IF(IF(INPUTS!$J$135="Follow Project Life","Even",IF(INPUTS!$J$135="At Project End","Upfront",INPUTS!$J$135))="Back-loaded",TIMELINE!M137*2/(TIMELINE!$C$136*(TIMELINE!$C$136+1)),IF(IF(INPUTS!$J$135="Follow Project Life","Even",IF(INPUTS!$J$135="At Project End","Upfront",INPUTS!$J$135))="S-curve",SIN(PI()*(TIMELINE!M137-0.5)/TIMELINE!$C$136)*SIN(PI()/(2*TIMELINE!$C$136)),0))))))))))</f>
        <v>0</v>
      </c>
      <c r="N134" s="118" t="n">
        <f aca="false">IF(INPUTS!$F$135&lt;&gt;"Yes",0,IF(INPUTS!$J$135="Follow Construction",N$105,IF(INPUTS!$J$135="Follow Sales",N$99,IF(INPUTS!$J$135="Follow Collections",N$108,IF(OR(TIMELINE!N137=0,TIMELINE!$C$136=0),0,IF(IF(INPUTS!$J$135="Follow Project Life","Even",IF(INPUTS!$J$135="At Project End","Upfront",INPUTS!$J$135))="Upfront",--(TIMELINE!N137=1),IF(IF(INPUTS!$J$135="Follow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End","Upfront",INPUTS!$J$135))="Front-loaded",(TIMELINE!$C$136-TIMELINE!N137+1)*2/(TIMELINE!$C$136*(TIMELINE!$C$136+1)),IF(IF(INPUTS!$J$135="Follow Project Life","Even",IF(INPUTS!$J$135="At Project End","Upfront",INPUTS!$J$135))="Back-loaded",TIMELINE!N137*2/(TIMELINE!$C$136*(TIMELINE!$C$136+1)),IF(IF(INPUTS!$J$135="Follow Project Life","Even",IF(INPUTS!$J$135="At Project End","Upfront",INPUTS!$J$135))="S-curve",SIN(PI()*(TIMELINE!N137-0.5)/TIMELINE!$C$136)*SIN(PI()/(2*TIMELINE!$C$136)),0))))))))))</f>
        <v>0</v>
      </c>
      <c r="O134" s="118" t="n">
        <f aca="false">IF(INPUTS!$F$135&lt;&gt;"Yes",0,IF(INPUTS!$J$135="Follow Construction",O$105,IF(INPUTS!$J$135="Follow Sales",O$99,IF(INPUTS!$J$135="Follow Collections",O$108,IF(OR(TIMELINE!O137=0,TIMELINE!$C$136=0),0,IF(IF(INPUTS!$J$135="Follow Project Life","Even",IF(INPUTS!$J$135="At Project End","Upfront",INPUTS!$J$135))="Upfront",--(TIMELINE!O137=1),IF(IF(INPUTS!$J$135="Follow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End","Upfront",INPUTS!$J$135))="Front-loaded",(TIMELINE!$C$136-TIMELINE!O137+1)*2/(TIMELINE!$C$136*(TIMELINE!$C$136+1)),IF(IF(INPUTS!$J$135="Follow Project Life","Even",IF(INPUTS!$J$135="At Project End","Upfront",INPUTS!$J$135))="Back-loaded",TIMELINE!O137*2/(TIMELINE!$C$136*(TIMELINE!$C$136+1)),IF(IF(INPUTS!$J$135="Follow Project Life","Even",IF(INPUTS!$J$135="At Project End","Upfront",INPUTS!$J$135))="S-curve",SIN(PI()*(TIMELINE!O137-0.5)/TIMELINE!$C$136)*SIN(PI()/(2*TIMELINE!$C$136)),0))))))))))</f>
        <v>0</v>
      </c>
      <c r="P134" s="118" t="n">
        <f aca="false">IF(INPUTS!$F$135&lt;&gt;"Yes",0,IF(INPUTS!$J$135="Follow Construction",P$105,IF(INPUTS!$J$135="Follow Sales",P$99,IF(INPUTS!$J$135="Follow Collections",P$108,IF(OR(TIMELINE!P137=0,TIMELINE!$C$136=0),0,IF(IF(INPUTS!$J$135="Follow Project Life","Even",IF(INPUTS!$J$135="At Project End","Upfront",INPUTS!$J$135))="Upfront",--(TIMELINE!P137=1),IF(IF(INPUTS!$J$135="Follow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End","Upfront",INPUTS!$J$135))="Front-loaded",(TIMELINE!$C$136-TIMELINE!P137+1)*2/(TIMELINE!$C$136*(TIMELINE!$C$136+1)),IF(IF(INPUTS!$J$135="Follow Project Life","Even",IF(INPUTS!$J$135="At Project End","Upfront",INPUTS!$J$135))="Back-loaded",TIMELINE!P137*2/(TIMELINE!$C$136*(TIMELINE!$C$136+1)),IF(IF(INPUTS!$J$135="Follow Project Life","Even",IF(INPUTS!$J$135="At Project End","Upfront",INPUTS!$J$135))="S-curve",SIN(PI()*(TIMELINE!P137-0.5)/TIMELINE!$C$136)*SIN(PI()/(2*TIMELINE!$C$136)),0))))))))))</f>
        <v>0</v>
      </c>
      <c r="Q134" s="118" t="n">
        <f aca="false">IF(INPUTS!$F$135&lt;&gt;"Yes",0,IF(INPUTS!$J$135="Follow Construction",Q$105,IF(INPUTS!$J$135="Follow Sales",Q$99,IF(INPUTS!$J$135="Follow Collections",Q$108,IF(OR(TIMELINE!Q137=0,TIMELINE!$C$136=0),0,IF(IF(INPUTS!$J$135="Follow Project Life","Even",IF(INPUTS!$J$135="At Project End","Upfront",INPUTS!$J$135))="Upfront",--(TIMELINE!Q137=1),IF(IF(INPUTS!$J$135="Follow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End","Upfront",INPUTS!$J$135))="Front-loaded",(TIMELINE!$C$136-TIMELINE!Q137+1)*2/(TIMELINE!$C$136*(TIMELINE!$C$136+1)),IF(IF(INPUTS!$J$135="Follow Project Life","Even",IF(INPUTS!$J$135="At Project End","Upfront",INPUTS!$J$135))="Back-loaded",TIMELINE!Q137*2/(TIMELINE!$C$136*(TIMELINE!$C$136+1)),IF(IF(INPUTS!$J$135="Follow Project Life","Even",IF(INPUTS!$J$135="At Project End","Upfront",INPUTS!$J$135))="S-curve",SIN(PI()*(TIMELINE!Q137-0.5)/TIMELINE!$C$136)*SIN(PI()/(2*TIMELINE!$C$136)),0))))))))))</f>
        <v>0</v>
      </c>
      <c r="R134" s="118" t="n">
        <f aca="false">IF(INPUTS!$F$135&lt;&gt;"Yes",0,IF(INPUTS!$J$135="Follow Construction",R$105,IF(INPUTS!$J$135="Follow Sales",R$99,IF(INPUTS!$J$135="Follow Collections",R$108,IF(OR(TIMELINE!R137=0,TIMELINE!$C$136=0),0,IF(IF(INPUTS!$J$135="Follow Project Life","Even",IF(INPUTS!$J$135="At Project End","Upfront",INPUTS!$J$135))="Upfront",--(TIMELINE!R137=1),IF(IF(INPUTS!$J$135="Follow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End","Upfront",INPUTS!$J$135))="Front-loaded",(TIMELINE!$C$136-TIMELINE!R137+1)*2/(TIMELINE!$C$136*(TIMELINE!$C$136+1)),IF(IF(INPUTS!$J$135="Follow Project Life","Even",IF(INPUTS!$J$135="At Project End","Upfront",INPUTS!$J$135))="Back-loaded",TIMELINE!R137*2/(TIMELINE!$C$136*(TIMELINE!$C$136+1)),IF(IF(INPUTS!$J$135="Follow Project Life","Even",IF(INPUTS!$J$135="At Project End","Upfront",INPUTS!$J$135))="S-curve",SIN(PI()*(TIMELINE!R137-0.5)/TIMELINE!$C$136)*SIN(PI()/(2*TIMELINE!$C$136)),0))))))))))</f>
        <v>0</v>
      </c>
      <c r="S134" s="118" t="n">
        <f aca="false">IF(INPUTS!$F$135&lt;&gt;"Yes",0,IF(INPUTS!$J$135="Follow Construction",S$105,IF(INPUTS!$J$135="Follow Sales",S$99,IF(INPUTS!$J$135="Follow Collections",S$108,IF(OR(TIMELINE!S137=0,TIMELINE!$C$136=0),0,IF(IF(INPUTS!$J$135="Follow Project Life","Even",IF(INPUTS!$J$135="At Project End","Upfront",INPUTS!$J$135))="Upfront",--(TIMELINE!S137=1),IF(IF(INPUTS!$J$135="Follow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End","Upfront",INPUTS!$J$135))="Front-loaded",(TIMELINE!$C$136-TIMELINE!S137+1)*2/(TIMELINE!$C$136*(TIMELINE!$C$136+1)),IF(IF(INPUTS!$J$135="Follow Project Life","Even",IF(INPUTS!$J$135="At Project End","Upfront",INPUTS!$J$135))="Back-loaded",TIMELINE!S137*2/(TIMELINE!$C$136*(TIMELINE!$C$136+1)),IF(IF(INPUTS!$J$135="Follow Project Life","Even",IF(INPUTS!$J$135="At Project End","Upfront",INPUTS!$J$135))="S-curve",SIN(PI()*(TIMELINE!S137-0.5)/TIMELINE!$C$136)*SIN(PI()/(2*TIMELINE!$C$136)),0))))))))))</f>
        <v>0</v>
      </c>
      <c r="T134" s="118" t="n">
        <f aca="false">IF(INPUTS!$F$135&lt;&gt;"Yes",0,IF(INPUTS!$J$135="Follow Construction",T$105,IF(INPUTS!$J$135="Follow Sales",T$99,IF(INPUTS!$J$135="Follow Collections",T$108,IF(OR(TIMELINE!T137=0,TIMELINE!$C$136=0),0,IF(IF(INPUTS!$J$135="Follow Project Life","Even",IF(INPUTS!$J$135="At Project End","Upfront",INPUTS!$J$135))="Upfront",--(TIMELINE!T137=1),IF(IF(INPUTS!$J$135="Follow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End","Upfront",INPUTS!$J$135))="Front-loaded",(TIMELINE!$C$136-TIMELINE!T137+1)*2/(TIMELINE!$C$136*(TIMELINE!$C$136+1)),IF(IF(INPUTS!$J$135="Follow Project Life","Even",IF(INPUTS!$J$135="At Project End","Upfront",INPUTS!$J$135))="Back-loaded",TIMELINE!T137*2/(TIMELINE!$C$136*(TIMELINE!$C$136+1)),IF(IF(INPUTS!$J$135="Follow Project Life","Even",IF(INPUTS!$J$135="At Project End","Upfront",INPUTS!$J$135))="S-curve",SIN(PI()*(TIMELINE!T137-0.5)/TIMELINE!$C$136)*SIN(PI()/(2*TIMELINE!$C$136)),0))))))))))</f>
        <v>0</v>
      </c>
      <c r="U134" s="118" t="n">
        <f aca="false">IF(INPUTS!$F$135&lt;&gt;"Yes",0,IF(INPUTS!$J$135="Follow Construction",U$105,IF(INPUTS!$J$135="Follow Sales",U$99,IF(INPUTS!$J$135="Follow Collections",U$108,IF(OR(TIMELINE!U137=0,TIMELINE!$C$136=0),0,IF(IF(INPUTS!$J$135="Follow Project Life","Even",IF(INPUTS!$J$135="At Project End","Upfront",INPUTS!$J$135))="Upfront",--(TIMELINE!U137=1),IF(IF(INPUTS!$J$135="Follow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End","Upfront",INPUTS!$J$135))="Front-loaded",(TIMELINE!$C$136-TIMELINE!U137+1)*2/(TIMELINE!$C$136*(TIMELINE!$C$136+1)),IF(IF(INPUTS!$J$135="Follow Project Life","Even",IF(INPUTS!$J$135="At Project End","Upfront",INPUTS!$J$135))="Back-loaded",TIMELINE!U137*2/(TIMELINE!$C$136*(TIMELINE!$C$136+1)),IF(IF(INPUTS!$J$135="Follow Project Life","Even",IF(INPUTS!$J$135="At Project End","Upfront",INPUTS!$J$135))="S-curve",SIN(PI()*(TIMELINE!U137-0.5)/TIMELINE!$C$136)*SIN(PI()/(2*TIMELINE!$C$136)),0))))))))))</f>
        <v>0</v>
      </c>
      <c r="V134" s="118" t="n">
        <f aca="false">IF(INPUTS!$F$135&lt;&gt;"Yes",0,IF(INPUTS!$J$135="Follow Construction",V$105,IF(INPUTS!$J$135="Follow Sales",V$99,IF(INPUTS!$J$135="Follow Collections",V$108,IF(OR(TIMELINE!V137=0,TIMELINE!$C$136=0),0,IF(IF(INPUTS!$J$135="Follow Project Life","Even",IF(INPUTS!$J$135="At Project End","Upfront",INPUTS!$J$135))="Upfront",--(TIMELINE!V137=1),IF(IF(INPUTS!$J$135="Follow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End","Upfront",INPUTS!$J$135))="Front-loaded",(TIMELINE!$C$136-TIMELINE!V137+1)*2/(TIMELINE!$C$136*(TIMELINE!$C$136+1)),IF(IF(INPUTS!$J$135="Follow Project Life","Even",IF(INPUTS!$J$135="At Project End","Upfront",INPUTS!$J$135))="Back-loaded",TIMELINE!V137*2/(TIMELINE!$C$136*(TIMELINE!$C$136+1)),IF(IF(INPUTS!$J$135="Follow Project Life","Even",IF(INPUTS!$J$135="At Project End","Upfront",INPUTS!$J$135))="S-curve",SIN(PI()*(TIMELINE!V137-0.5)/TIMELINE!$C$136)*SIN(PI()/(2*TIMELINE!$C$136)),0))))))))))</f>
        <v>0</v>
      </c>
      <c r="W134" s="118" t="n">
        <f aca="false">IF(INPUTS!$F$135&lt;&gt;"Yes",0,IF(INPUTS!$J$135="Follow Construction",W$105,IF(INPUTS!$J$135="Follow Sales",W$99,IF(INPUTS!$J$135="Follow Collections",W$108,IF(OR(TIMELINE!W137=0,TIMELINE!$C$136=0),0,IF(IF(INPUTS!$J$135="Follow Project Life","Even",IF(INPUTS!$J$135="At Project End","Upfront",INPUTS!$J$135))="Upfront",--(TIMELINE!W137=1),IF(IF(INPUTS!$J$135="Follow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End","Upfront",INPUTS!$J$135))="Front-loaded",(TIMELINE!$C$136-TIMELINE!W137+1)*2/(TIMELINE!$C$136*(TIMELINE!$C$136+1)),IF(IF(INPUTS!$J$135="Follow Project Life","Even",IF(INPUTS!$J$135="At Project End","Upfront",INPUTS!$J$135))="Back-loaded",TIMELINE!W137*2/(TIMELINE!$C$136*(TIMELINE!$C$136+1)),IF(IF(INPUTS!$J$135="Follow Project Life","Even",IF(INPUTS!$J$135="At Project End","Upfront",INPUTS!$J$135))="S-curve",SIN(PI()*(TIMELINE!W137-0.5)/TIMELINE!$C$136)*SIN(PI()/(2*TIMELINE!$C$136)),0))))))))))</f>
        <v>0</v>
      </c>
      <c r="X134" s="118" t="n">
        <f aca="false">IF(INPUTS!$F$135&lt;&gt;"Yes",0,IF(INPUTS!$J$135="Follow Construction",X$105,IF(INPUTS!$J$135="Follow Sales",X$99,IF(INPUTS!$J$135="Follow Collections",X$108,IF(OR(TIMELINE!X137=0,TIMELINE!$C$136=0),0,IF(IF(INPUTS!$J$135="Follow Project Life","Even",IF(INPUTS!$J$135="At Project End","Upfront",INPUTS!$J$135))="Upfront",--(TIMELINE!X137=1),IF(IF(INPUTS!$J$135="Follow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End","Upfront",INPUTS!$J$135))="Front-loaded",(TIMELINE!$C$136-TIMELINE!X137+1)*2/(TIMELINE!$C$136*(TIMELINE!$C$136+1)),IF(IF(INPUTS!$J$135="Follow Project Life","Even",IF(INPUTS!$J$135="At Project End","Upfront",INPUTS!$J$135))="Back-loaded",TIMELINE!X137*2/(TIMELINE!$C$136*(TIMELINE!$C$136+1)),IF(IF(INPUTS!$J$135="Follow Project Life","Even",IF(INPUTS!$J$135="At Project End","Upfront",INPUTS!$J$135))="S-curve",SIN(PI()*(TIMELINE!X137-0.5)/TIMELINE!$C$136)*SIN(PI()/(2*TIMELINE!$C$136)),0))))))))))</f>
        <v>0</v>
      </c>
      <c r="Y134" s="118" t="n">
        <f aca="false">IF(INPUTS!$F$135&lt;&gt;"Yes",0,IF(INPUTS!$J$135="Follow Construction",Y$105,IF(INPUTS!$J$135="Follow Sales",Y$99,IF(INPUTS!$J$135="Follow Collections",Y$108,IF(OR(TIMELINE!Y137=0,TIMELINE!$C$136=0),0,IF(IF(INPUTS!$J$135="Follow Project Life","Even",IF(INPUTS!$J$135="At Project End","Upfront",INPUTS!$J$135))="Upfront",--(TIMELINE!Y137=1),IF(IF(INPUTS!$J$135="Follow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End","Upfront",INPUTS!$J$135))="Front-loaded",(TIMELINE!$C$136-TIMELINE!Y137+1)*2/(TIMELINE!$C$136*(TIMELINE!$C$136+1)),IF(IF(INPUTS!$J$135="Follow Project Life","Even",IF(INPUTS!$J$135="At Project End","Upfront",INPUTS!$J$135))="Back-loaded",TIMELINE!Y137*2/(TIMELINE!$C$136*(TIMELINE!$C$136+1)),IF(IF(INPUTS!$J$135="Follow Project Life","Even",IF(INPUTS!$J$135="At Project End","Upfront",INPUTS!$J$135))="S-curve",SIN(PI()*(TIMELINE!Y137-0.5)/TIMELINE!$C$136)*SIN(PI()/(2*TIMELINE!$C$136)),0))))))))))</f>
        <v>0</v>
      </c>
      <c r="Z134" s="118" t="n">
        <f aca="false">IF(INPUTS!$F$135&lt;&gt;"Yes",0,IF(INPUTS!$J$135="Follow Construction",Z$105,IF(INPUTS!$J$135="Follow Sales",Z$99,IF(INPUTS!$J$135="Follow Collections",Z$108,IF(OR(TIMELINE!Z137=0,TIMELINE!$C$136=0),0,IF(IF(INPUTS!$J$135="Follow Project Life","Even",IF(INPUTS!$J$135="At Project End","Upfront",INPUTS!$J$135))="Upfront",--(TIMELINE!Z137=1),IF(IF(INPUTS!$J$135="Follow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End","Upfront",INPUTS!$J$135))="Front-loaded",(TIMELINE!$C$136-TIMELINE!Z137+1)*2/(TIMELINE!$C$136*(TIMELINE!$C$136+1)),IF(IF(INPUTS!$J$135="Follow Project Life","Even",IF(INPUTS!$J$135="At Project End","Upfront",INPUTS!$J$135))="Back-loaded",TIMELINE!Z137*2/(TIMELINE!$C$136*(TIMELINE!$C$136+1)),IF(IF(INPUTS!$J$135="Follow Project Life","Even",IF(INPUTS!$J$135="At Project End","Upfront",INPUTS!$J$135))="S-curve",SIN(PI()*(TIMELINE!Z137-0.5)/TIMELINE!$C$136)*SIN(PI()/(2*TIMELINE!$C$136)),0))))))))))</f>
        <v>0</v>
      </c>
      <c r="AA134" s="118" t="n">
        <f aca="false">IF(INPUTS!$F$135&lt;&gt;"Yes",0,IF(INPUTS!$J$135="Follow Construction",AA$105,IF(INPUTS!$J$135="Follow Sales",AA$99,IF(INPUTS!$J$135="Follow Collections",AA$108,IF(OR(TIMELINE!AA137=0,TIMELINE!$C$136=0),0,IF(IF(INPUTS!$J$135="Follow Project Life","Even",IF(INPUTS!$J$135="At Project End","Upfront",INPUTS!$J$135))="Upfront",--(TIMELINE!AA137=1),IF(IF(INPUTS!$J$135="Follow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End","Upfront",INPUTS!$J$135))="Front-loaded",(TIMELINE!$C$136-TIMELINE!AA137+1)*2/(TIMELINE!$C$136*(TIMELINE!$C$136+1)),IF(IF(INPUTS!$J$135="Follow Project Life","Even",IF(INPUTS!$J$135="At Project End","Upfront",INPUTS!$J$135))="Back-loaded",TIMELINE!AA137*2/(TIMELINE!$C$136*(TIMELINE!$C$136+1)),IF(IF(INPUTS!$J$135="Follow Project Life","Even",IF(INPUTS!$J$135="At Project End","Upfront",INPUTS!$J$135))="S-curve",SIN(PI()*(TIMELINE!AA137-0.5)/TIMELINE!$C$136)*SIN(PI()/(2*TIMELINE!$C$136)),0))))))))))</f>
        <v>0</v>
      </c>
      <c r="AB134" s="118" t="n">
        <f aca="false">IF(INPUTS!$F$135&lt;&gt;"Yes",0,IF(INPUTS!$J$135="Follow Construction",AB$105,IF(INPUTS!$J$135="Follow Sales",AB$99,IF(INPUTS!$J$135="Follow Collections",AB$108,IF(OR(TIMELINE!AB137=0,TIMELINE!$C$136=0),0,IF(IF(INPUTS!$J$135="Follow Project Life","Even",IF(INPUTS!$J$135="At Project End","Upfront",INPUTS!$J$135))="Upfront",--(TIMELINE!AB137=1),IF(IF(INPUTS!$J$135="Follow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End","Upfront",INPUTS!$J$135))="Front-loaded",(TIMELINE!$C$136-TIMELINE!AB137+1)*2/(TIMELINE!$C$136*(TIMELINE!$C$136+1)),IF(IF(INPUTS!$J$135="Follow Project Life","Even",IF(INPUTS!$J$135="At Project End","Upfront",INPUTS!$J$135))="Back-loaded",TIMELINE!AB137*2/(TIMELINE!$C$136*(TIMELINE!$C$136+1)),IF(IF(INPUTS!$J$135="Follow Project Life","Even",IF(INPUTS!$J$135="At Project End","Upfront",INPUTS!$J$135))="S-curve",SIN(PI()*(TIMELINE!AB137-0.5)/TIMELINE!$C$136)*SIN(PI()/(2*TIMELINE!$C$136)),0))))))))))</f>
        <v>0</v>
      </c>
      <c r="AC134" s="118" t="n">
        <f aca="false">IF(INPUTS!$F$135&lt;&gt;"Yes",0,IF(INPUTS!$J$135="Follow Construction",AC$105,IF(INPUTS!$J$135="Follow Sales",AC$99,IF(INPUTS!$J$135="Follow Collections",AC$108,IF(OR(TIMELINE!AC137=0,TIMELINE!$C$136=0),0,IF(IF(INPUTS!$J$135="Follow Project Life","Even",IF(INPUTS!$J$135="At Project End","Upfront",INPUTS!$J$135))="Upfront",--(TIMELINE!AC137=1),IF(IF(INPUTS!$J$135="Follow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End","Upfront",INPUTS!$J$135))="Front-loaded",(TIMELINE!$C$136-TIMELINE!AC137+1)*2/(TIMELINE!$C$136*(TIMELINE!$C$136+1)),IF(IF(INPUTS!$J$135="Follow Project Life","Even",IF(INPUTS!$J$135="At Project End","Upfront",INPUTS!$J$135))="Back-loaded",TIMELINE!AC137*2/(TIMELINE!$C$136*(TIMELINE!$C$136+1)),IF(IF(INPUTS!$J$135="Follow Project Life","Even",IF(INPUTS!$J$135="At Project End","Upfront",INPUTS!$J$135))="S-curve",SIN(PI()*(TIMELINE!AC137-0.5)/TIMELINE!$C$136)*SIN(PI()/(2*TIMELINE!$C$136)),0))))))))))</f>
        <v>0</v>
      </c>
      <c r="AD134" s="118" t="n">
        <f aca="false">IF(INPUTS!$F$135&lt;&gt;"Yes",0,IF(INPUTS!$J$135="Follow Construction",AD$105,IF(INPUTS!$J$135="Follow Sales",AD$99,IF(INPUTS!$J$135="Follow Collections",AD$108,IF(OR(TIMELINE!AD137=0,TIMELINE!$C$136=0),0,IF(IF(INPUTS!$J$135="Follow Project Life","Even",IF(INPUTS!$J$135="At Project End","Upfront",INPUTS!$J$135))="Upfront",--(TIMELINE!AD137=1),IF(IF(INPUTS!$J$135="Follow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End","Upfront",INPUTS!$J$135))="Front-loaded",(TIMELINE!$C$136-TIMELINE!AD137+1)*2/(TIMELINE!$C$136*(TIMELINE!$C$136+1)),IF(IF(INPUTS!$J$135="Follow Project Life","Even",IF(INPUTS!$J$135="At Project End","Upfront",INPUTS!$J$135))="Back-loaded",TIMELINE!AD137*2/(TIMELINE!$C$136*(TIMELINE!$C$136+1)),IF(IF(INPUTS!$J$135="Follow Project Life","Even",IF(INPUTS!$J$135="At Project End","Upfront",INPUTS!$J$135))="S-curve",SIN(PI()*(TIMELINE!AD137-0.5)/TIMELINE!$C$136)*SIN(PI()/(2*TIMELINE!$C$136)),0))))))))))</f>
        <v>0</v>
      </c>
      <c r="AE134" s="118" t="n">
        <f aca="false">IF(INPUTS!$F$135&lt;&gt;"Yes",0,IF(INPUTS!$J$135="Follow Construction",AE$105,IF(INPUTS!$J$135="Follow Sales",AE$99,IF(INPUTS!$J$135="Follow Collections",AE$108,IF(OR(TIMELINE!AE137=0,TIMELINE!$C$136=0),0,IF(IF(INPUTS!$J$135="Follow Project Life","Even",IF(INPUTS!$J$135="At Project End","Upfront",INPUTS!$J$135))="Upfront",--(TIMELINE!AE137=1),IF(IF(INPUTS!$J$135="Follow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End","Upfront",INPUTS!$J$135))="Front-loaded",(TIMELINE!$C$136-TIMELINE!AE137+1)*2/(TIMELINE!$C$136*(TIMELINE!$C$136+1)),IF(IF(INPUTS!$J$135="Follow Project Life","Even",IF(INPUTS!$J$135="At Project End","Upfront",INPUTS!$J$135))="Back-loaded",TIMELINE!AE137*2/(TIMELINE!$C$136*(TIMELINE!$C$136+1)),IF(IF(INPUTS!$J$135="Follow Project Life","Even",IF(INPUTS!$J$135="At Project End","Upfront",INPUTS!$J$135))="S-curve",SIN(PI()*(TIMELINE!AE137-0.5)/TIMELINE!$C$136)*SIN(PI()/(2*TIMELINE!$C$136)),0))))))))))</f>
        <v>0</v>
      </c>
      <c r="AF134" s="118" t="n">
        <f aca="false">IF(INPUTS!$F$135&lt;&gt;"Yes",0,IF(INPUTS!$J$135="Follow Construction",AF$105,IF(INPUTS!$J$135="Follow Sales",AF$99,IF(INPUTS!$J$135="Follow Collections",AF$108,IF(OR(TIMELINE!AF137=0,TIMELINE!$C$136=0),0,IF(IF(INPUTS!$J$135="Follow Project Life","Even",IF(INPUTS!$J$135="At Project End","Upfront",INPUTS!$J$135))="Upfront",--(TIMELINE!AF137=1),IF(IF(INPUTS!$J$135="Follow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End","Upfront",INPUTS!$J$135))="Front-loaded",(TIMELINE!$C$136-TIMELINE!AF137+1)*2/(TIMELINE!$C$136*(TIMELINE!$C$136+1)),IF(IF(INPUTS!$J$135="Follow Project Life","Even",IF(INPUTS!$J$135="At Project End","Upfront",INPUTS!$J$135))="Back-loaded",TIMELINE!AF137*2/(TIMELINE!$C$136*(TIMELINE!$C$136+1)),IF(IF(INPUTS!$J$135="Follow Project Life","Even",IF(INPUTS!$J$135="At Project End","Upfront",INPUTS!$J$135))="S-curve",SIN(PI()*(TIMELINE!AF137-0.5)/TIMELINE!$C$136)*SIN(PI()/(2*TIMELINE!$C$136)),0))))))))))</f>
        <v>0</v>
      </c>
      <c r="AG134" s="118" t="n">
        <f aca="false">IF(INPUTS!$F$135&lt;&gt;"Yes",0,IF(INPUTS!$J$135="Follow Construction",AG$105,IF(INPUTS!$J$135="Follow Sales",AG$99,IF(INPUTS!$J$135="Follow Collections",AG$108,IF(OR(TIMELINE!AG137=0,TIMELINE!$C$136=0),0,IF(IF(INPUTS!$J$135="Follow Project Life","Even",IF(INPUTS!$J$135="At Project End","Upfront",INPUTS!$J$135))="Upfront",--(TIMELINE!AG137=1),IF(IF(INPUTS!$J$135="Follow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End","Upfront",INPUTS!$J$135))="Front-loaded",(TIMELINE!$C$136-TIMELINE!AG137+1)*2/(TIMELINE!$C$136*(TIMELINE!$C$136+1)),IF(IF(INPUTS!$J$135="Follow Project Life","Even",IF(INPUTS!$J$135="At Project End","Upfront",INPUTS!$J$135))="Back-loaded",TIMELINE!AG137*2/(TIMELINE!$C$136*(TIMELINE!$C$136+1)),IF(IF(INPUTS!$J$135="Follow Project Life","Even",IF(INPUTS!$J$135="At Project End","Upfront",INPUTS!$J$135))="S-curve",SIN(PI()*(TIMELINE!AG137-0.5)/TIMELINE!$C$136)*SIN(PI()/(2*TIMELINE!$C$136)),0))))))))))</f>
        <v>0</v>
      </c>
      <c r="AH134" s="118" t="n">
        <f aca="false">IF(INPUTS!$F$135&lt;&gt;"Yes",0,IF(INPUTS!$J$135="Follow Construction",AH$105,IF(INPUTS!$J$135="Follow Sales",AH$99,IF(INPUTS!$J$135="Follow Collections",AH$108,IF(OR(TIMELINE!AH137=0,TIMELINE!$C$136=0),0,IF(IF(INPUTS!$J$135="Follow Project Life","Even",IF(INPUTS!$J$135="At Project End","Upfront",INPUTS!$J$135))="Upfront",--(TIMELINE!AH137=1),IF(IF(INPUTS!$J$135="Follow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End","Upfront",INPUTS!$J$135))="Front-loaded",(TIMELINE!$C$136-TIMELINE!AH137+1)*2/(TIMELINE!$C$136*(TIMELINE!$C$136+1)),IF(IF(INPUTS!$J$135="Follow Project Life","Even",IF(INPUTS!$J$135="At Project End","Upfront",INPUTS!$J$135))="Back-loaded",TIMELINE!AH137*2/(TIMELINE!$C$136*(TIMELINE!$C$136+1)),IF(IF(INPUTS!$J$135="Follow Project Life","Even",IF(INPUTS!$J$135="At Project End","Upfront",INPUTS!$J$135))="S-curve",SIN(PI()*(TIMELINE!AH137-0.5)/TIMELINE!$C$136)*SIN(PI()/(2*TIMELINE!$C$136)),0))))))))))</f>
        <v>0</v>
      </c>
      <c r="AI134" s="118" t="n">
        <f aca="false">IF(INPUTS!$F$135&lt;&gt;"Yes",0,IF(INPUTS!$J$135="Follow Construction",AI$105,IF(INPUTS!$J$135="Follow Sales",AI$99,IF(INPUTS!$J$135="Follow Collections",AI$108,IF(OR(TIMELINE!AI137=0,TIMELINE!$C$136=0),0,IF(IF(INPUTS!$J$135="Follow Project Life","Even",IF(INPUTS!$J$135="At Project End","Upfront",INPUTS!$J$135))="Upfront",--(TIMELINE!AI137=1),IF(IF(INPUTS!$J$135="Follow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End","Upfront",INPUTS!$J$135))="Front-loaded",(TIMELINE!$C$136-TIMELINE!AI137+1)*2/(TIMELINE!$C$136*(TIMELINE!$C$136+1)),IF(IF(INPUTS!$J$135="Follow Project Life","Even",IF(INPUTS!$J$135="At Project End","Upfront",INPUTS!$J$135))="Back-loaded",TIMELINE!AI137*2/(TIMELINE!$C$136*(TIMELINE!$C$136+1)),IF(IF(INPUTS!$J$135="Follow Project Life","Even",IF(INPUTS!$J$135="At Project End","Upfront",INPUTS!$J$135))="S-curve",SIN(PI()*(TIMELINE!AI137-0.5)/TIMELINE!$C$136)*SIN(PI()/(2*TIMELINE!$C$136)),0))))))))))</f>
        <v>0</v>
      </c>
      <c r="AJ134" s="118" t="n">
        <f aca="false">IF(INPUTS!$F$135&lt;&gt;"Yes",0,IF(INPUTS!$J$135="Follow Construction",AJ$105,IF(INPUTS!$J$135="Follow Sales",AJ$99,IF(INPUTS!$J$135="Follow Collections",AJ$108,IF(OR(TIMELINE!AJ137=0,TIMELINE!$C$136=0),0,IF(IF(INPUTS!$J$135="Follow Project Life","Even",IF(INPUTS!$J$135="At Project End","Upfront",INPUTS!$J$135))="Upfront",--(TIMELINE!AJ137=1),IF(IF(INPUTS!$J$135="Follow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End","Upfront",INPUTS!$J$135))="Front-loaded",(TIMELINE!$C$136-TIMELINE!AJ137+1)*2/(TIMELINE!$C$136*(TIMELINE!$C$136+1)),IF(IF(INPUTS!$J$135="Follow Project Life","Even",IF(INPUTS!$J$135="At Project End","Upfront",INPUTS!$J$135))="Back-loaded",TIMELINE!AJ137*2/(TIMELINE!$C$136*(TIMELINE!$C$136+1)),IF(IF(INPUTS!$J$135="Follow Project Life","Even",IF(INPUTS!$J$135="At Project End","Upfront",INPUTS!$J$135))="S-curve",SIN(PI()*(TIMELINE!AJ137-0.5)/TIMELINE!$C$136)*SIN(PI()/(2*TIMELINE!$C$136)),0))))))))))</f>
        <v>0</v>
      </c>
      <c r="AK134" s="118" t="n">
        <f aca="false">IF(INPUTS!$F$135&lt;&gt;"Yes",0,IF(INPUTS!$J$135="Follow Construction",AK$105,IF(INPUTS!$J$135="Follow Sales",AK$99,IF(INPUTS!$J$135="Follow Collections",AK$108,IF(OR(TIMELINE!AK137=0,TIMELINE!$C$136=0),0,IF(IF(INPUTS!$J$135="Follow Project Life","Even",IF(INPUTS!$J$135="At Project End","Upfront",INPUTS!$J$135))="Upfront",--(TIMELINE!AK137=1),IF(IF(INPUTS!$J$135="Follow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End","Upfront",INPUTS!$J$135))="Front-loaded",(TIMELINE!$C$136-TIMELINE!AK137+1)*2/(TIMELINE!$C$136*(TIMELINE!$C$136+1)),IF(IF(INPUTS!$J$135="Follow Project Life","Even",IF(INPUTS!$J$135="At Project End","Upfront",INPUTS!$J$135))="Back-loaded",TIMELINE!AK137*2/(TIMELINE!$C$136*(TIMELINE!$C$136+1)),IF(IF(INPUTS!$J$135="Follow Project Life","Even",IF(INPUTS!$J$135="At Project End","Upfront",INPUTS!$J$135))="S-curve",SIN(PI()*(TIMELINE!AK137-0.5)/TIMELINE!$C$136)*SIN(PI()/(2*TIMELINE!$C$136)),0))))))))))</f>
        <v>0</v>
      </c>
      <c r="AL134" s="118" t="n">
        <f aca="false">IF(INPUTS!$F$135&lt;&gt;"Yes",0,IF(INPUTS!$J$135="Follow Construction",AL$105,IF(INPUTS!$J$135="Follow Sales",AL$99,IF(INPUTS!$J$135="Follow Collections",AL$108,IF(OR(TIMELINE!AL137=0,TIMELINE!$C$136=0),0,IF(IF(INPUTS!$J$135="Follow Project Life","Even",IF(INPUTS!$J$135="At Project End","Upfront",INPUTS!$J$135))="Upfront",--(TIMELINE!AL137=1),IF(IF(INPUTS!$J$135="Follow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End","Upfront",INPUTS!$J$135))="Front-loaded",(TIMELINE!$C$136-TIMELINE!AL137+1)*2/(TIMELINE!$C$136*(TIMELINE!$C$136+1)),IF(IF(INPUTS!$J$135="Follow Project Life","Even",IF(INPUTS!$J$135="At Project End","Upfront",INPUTS!$J$135))="Back-loaded",TIMELINE!AL137*2/(TIMELINE!$C$136*(TIMELINE!$C$136+1)),IF(IF(INPUTS!$J$135="Follow Project Life","Even",IF(INPUTS!$J$135="At Project End","Upfront",INPUTS!$J$135))="S-curve",SIN(PI()*(TIMELINE!AL137-0.5)/TIMELINE!$C$136)*SIN(PI()/(2*TIMELINE!$C$136)),0))))))))))</f>
        <v>0</v>
      </c>
      <c r="AM134" s="118" t="n">
        <f aca="false">IF(INPUTS!$F$135&lt;&gt;"Yes",0,IF(INPUTS!$J$135="Follow Construction",AM$105,IF(INPUTS!$J$135="Follow Sales",AM$99,IF(INPUTS!$J$135="Follow Collections",AM$108,IF(OR(TIMELINE!AM137=0,TIMELINE!$C$136=0),0,IF(IF(INPUTS!$J$135="Follow Project Life","Even",IF(INPUTS!$J$135="At Project End","Upfront",INPUTS!$J$135))="Upfront",--(TIMELINE!AM137=1),IF(IF(INPUTS!$J$135="Follow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End","Upfront",INPUTS!$J$135))="Front-loaded",(TIMELINE!$C$136-TIMELINE!AM137+1)*2/(TIMELINE!$C$136*(TIMELINE!$C$136+1)),IF(IF(INPUTS!$J$135="Follow Project Life","Even",IF(INPUTS!$J$135="At Project End","Upfront",INPUTS!$J$135))="Back-loaded",TIMELINE!AM137*2/(TIMELINE!$C$136*(TIMELINE!$C$136+1)),IF(IF(INPUTS!$J$135="Follow Project Life","Even",IF(INPUTS!$J$135="At Project End","Upfront",INPUTS!$J$135))="S-curve",SIN(PI()*(TIMELINE!AM137-0.5)/TIMELINE!$C$136)*SIN(PI()/(2*TIMELINE!$C$136)),0))))))))))</f>
        <v>0</v>
      </c>
      <c r="AN134" s="118" t="n">
        <f aca="false">IF(INPUTS!$F$135&lt;&gt;"Yes",0,IF(INPUTS!$J$135="Follow Construction",AN$105,IF(INPUTS!$J$135="Follow Sales",AN$99,IF(INPUTS!$J$135="Follow Collections",AN$108,IF(OR(TIMELINE!AN137=0,TIMELINE!$C$136=0),0,IF(IF(INPUTS!$J$135="Follow Project Life","Even",IF(INPUTS!$J$135="At Project End","Upfront",INPUTS!$J$135))="Upfront",--(TIMELINE!AN137=1),IF(IF(INPUTS!$J$135="Follow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End","Upfront",INPUTS!$J$135))="Front-loaded",(TIMELINE!$C$136-TIMELINE!AN137+1)*2/(TIMELINE!$C$136*(TIMELINE!$C$136+1)),IF(IF(INPUTS!$J$135="Follow Project Life","Even",IF(INPUTS!$J$135="At Project End","Upfront",INPUTS!$J$135))="Back-loaded",TIMELINE!AN137*2/(TIMELINE!$C$136*(TIMELINE!$C$136+1)),IF(IF(INPUTS!$J$135="Follow Project Life","Even",IF(INPUTS!$J$135="At Project End","Upfront",INPUTS!$J$135))="S-curve",SIN(PI()*(TIMELINE!AN137-0.5)/TIMELINE!$C$136)*SIN(PI()/(2*TIMELINE!$C$136)),0))))))))))</f>
        <v>0</v>
      </c>
      <c r="AO134" s="118" t="n">
        <f aca="false">IF(INPUTS!$F$135&lt;&gt;"Yes",0,IF(INPUTS!$J$135="Follow Construction",AO$105,IF(INPUTS!$J$135="Follow Sales",AO$99,IF(INPUTS!$J$135="Follow Collections",AO$108,IF(OR(TIMELINE!AO137=0,TIMELINE!$C$136=0),0,IF(IF(INPUTS!$J$135="Follow Project Life","Even",IF(INPUTS!$J$135="At Project End","Upfront",INPUTS!$J$135))="Upfront",--(TIMELINE!AO137=1),IF(IF(INPUTS!$J$135="Follow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End","Upfront",INPUTS!$J$135))="Front-loaded",(TIMELINE!$C$136-TIMELINE!AO137+1)*2/(TIMELINE!$C$136*(TIMELINE!$C$136+1)),IF(IF(INPUTS!$J$135="Follow Project Life","Even",IF(INPUTS!$J$135="At Project End","Upfront",INPUTS!$J$135))="Back-loaded",TIMELINE!AO137*2/(TIMELINE!$C$136*(TIMELINE!$C$136+1)),IF(IF(INPUTS!$J$135="Follow Project Life","Even",IF(INPUTS!$J$135="At Project End","Upfront",INPUTS!$J$135))="S-curve",SIN(PI()*(TIMELINE!AO137-0.5)/TIMELINE!$C$136)*SIN(PI()/(2*TIMELINE!$C$136)),0))))))))))</f>
        <v>0</v>
      </c>
      <c r="AP134" s="118" t="n">
        <f aca="false">IF(INPUTS!$F$135&lt;&gt;"Yes",0,IF(INPUTS!$J$135="Follow Construction",AP$105,IF(INPUTS!$J$135="Follow Sales",AP$99,IF(INPUTS!$J$135="Follow Collections",AP$108,IF(OR(TIMELINE!AP137=0,TIMELINE!$C$136=0),0,IF(IF(INPUTS!$J$135="Follow Project Life","Even",IF(INPUTS!$J$135="At Project End","Upfront",INPUTS!$J$135))="Upfront",--(TIMELINE!AP137=1),IF(IF(INPUTS!$J$135="Follow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End","Upfront",INPUTS!$J$135))="Front-loaded",(TIMELINE!$C$136-TIMELINE!AP137+1)*2/(TIMELINE!$C$136*(TIMELINE!$C$136+1)),IF(IF(INPUTS!$J$135="Follow Project Life","Even",IF(INPUTS!$J$135="At Project End","Upfront",INPUTS!$J$135))="Back-loaded",TIMELINE!AP137*2/(TIMELINE!$C$136*(TIMELINE!$C$136+1)),IF(IF(INPUTS!$J$135="Follow Project Life","Even",IF(INPUTS!$J$135="At Project End","Upfront",INPUTS!$J$135))="S-curve",SIN(PI()*(TIMELINE!AP137-0.5)/TIMELINE!$C$136)*SIN(PI()/(2*TIMELINE!$C$136)),0))))))))))</f>
        <v>0</v>
      </c>
      <c r="AQ134" s="118" t="n">
        <f aca="false">IF(INPUTS!$F$135&lt;&gt;"Yes",0,IF(INPUTS!$J$135="Follow Construction",AQ$105,IF(INPUTS!$J$135="Follow Sales",AQ$99,IF(INPUTS!$J$135="Follow Collections",AQ$108,IF(OR(TIMELINE!AQ137=0,TIMELINE!$C$136=0),0,IF(IF(INPUTS!$J$135="Follow Project Life","Even",IF(INPUTS!$J$135="At Project End","Upfront",INPUTS!$J$135))="Upfront",--(TIMELINE!AQ137=1),IF(IF(INPUTS!$J$135="Follow Project Life","Even",IF(INPUTS!$J$135="At Project End","Upfront",INPUTS!$J$135))="Even",1/TIMELINE!$C$136,IF(IF(INPUTS!$J$135="Follow Project Life","Even",IF(INPUTS!$J$135="At Project End","Upfront",INPUTS!$J$135))="Front-loaded",(TIMELINE!$C$136-TIMELINE!AQ137+1)*2/(TIMELINE!$C$136*(TIMELINE!$C$136+1)),IF(IF(INPUTS!$J$135="Follow Project Life","Even",IF(INPUTS!$J$135="At Project End","Upfront",INPUTS!$J$135))="Back-loaded",TIMELINE!AQ137*2/(TIMELINE!$C$136*(TIMELINE!$C$136+1)),IF(IF(INPUTS!$J$135="Follow Project Life","Even",IF(INPUTS!$J$135="At Project End","Upfront",INPUTS!$J$135))="S-curve",SIN(PI()*(TIMELINE!AQ137-0.5)/TIMELINE!$C$136)*SIN(PI()/(2*TIMELINE!$C$136)),0))))))))))</f>
        <v>0</v>
      </c>
    </row>
    <row r="135" customFormat="false" ht="15" hidden="false" customHeight="false" outlineLevel="0" collapsed="false">
      <c r="B135" s="17" t="s">
        <v>689</v>
      </c>
      <c r="C135" s="105" t="str">
        <f aca="false">IF(INPUTS!$B$135="","",IF(INPUTS!$F$135&lt;&gt;"Yes","Off",IF(INPUTS!$M$135&lt;&gt;"OK","ERROR",IF(ABS(C134-1)&lt;0.000000001,"OK",IF(AND(C134=0,INPUTS!$G$135=0),"Zero","ERROR")))))</f>
        <v>Zero</v>
      </c>
    </row>
    <row r="136" customFormat="false" ht="15" hidden="false" customHeight="false" outlineLevel="0" collapsed="false">
      <c r="B136" s="110" t="str">
        <f aca="false">IF(INPUTS!$B$136="","Spare cost row",INPUTS!$B$136)</f>
        <v>Commercial Construction Cost</v>
      </c>
      <c r="C136" s="111" t="str">
        <f aca="false">IF(INPUTS!$J$136="","",INPUTS!$J$136)</f>
        <v>Follow Construction</v>
      </c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</row>
    <row r="137" customFormat="false" ht="15" hidden="false" customHeight="false" outlineLevel="0" collapsed="false">
      <c r="B137" s="3" t="s">
        <v>688</v>
      </c>
      <c r="C137" s="117" t="n">
        <f aca="false">SUM(D137:AQ137)</f>
        <v>1</v>
      </c>
      <c r="D137" s="118" t="n">
        <f aca="false">IF(INPUTS!$F$136&lt;&gt;"Yes",0,IF(INPUTS!$J$136="Follow Construction",D$106,IF(INPUTS!$J$136="Follow Sales",D$99,IF(INPUTS!$J$136="Follow Collections",D$108,IF(OR(TIMELINE!D141=0,TIMELINE!$C$140=0),0,IF(IF(INPUTS!$J$136="Follow Project Life","Even",IF(INPUTS!$J$136="At Project End","Upfront",INPUTS!$J$136))="Upfront",--(TIMELINE!D141=1),IF(IF(INPUTS!$J$136="Follow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End","Upfront",INPUTS!$J$136))="Front-loaded",(TIMELINE!$C$140-TIMELINE!D141+1)*2/(TIMELINE!$C$140*(TIMELINE!$C$140+1)),IF(IF(INPUTS!$J$136="Follow Project Life","Even",IF(INPUTS!$J$136="At Project End","Upfront",INPUTS!$J$136))="Back-loaded",TIMELINE!D141*2/(TIMELINE!$C$140*(TIMELINE!$C$140+1)),IF(IF(INPUTS!$J$136="Follow Project Life","Even",IF(INPUTS!$J$136="At Project End","Upfront",INPUTS!$J$136))="S-curve",SIN(PI()*(TIMELINE!D141-0.5)/TIMELINE!$C$140)*SIN(PI()/(2*TIMELINE!$C$140)),0))))))))))</f>
        <v>0</v>
      </c>
      <c r="E137" s="118" t="n">
        <f aca="false">IF(INPUTS!$F$136&lt;&gt;"Yes",0,IF(INPUTS!$J$136="Follow Construction",E$106,IF(INPUTS!$J$136="Follow Sales",E$99,IF(INPUTS!$J$136="Follow Collections",E$108,IF(OR(TIMELINE!E141=0,TIMELINE!$C$140=0),0,IF(IF(INPUTS!$J$136="Follow Project Life","Even",IF(INPUTS!$J$136="At Project End","Upfront",INPUTS!$J$136))="Upfront",--(TIMELINE!E141=1),IF(IF(INPUTS!$J$136="Follow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End","Upfront",INPUTS!$J$136))="Front-loaded",(TIMELINE!$C$140-TIMELINE!E141+1)*2/(TIMELINE!$C$140*(TIMELINE!$C$140+1)),IF(IF(INPUTS!$J$136="Follow Project Life","Even",IF(INPUTS!$J$136="At Project End","Upfront",INPUTS!$J$136))="Back-loaded",TIMELINE!E141*2/(TIMELINE!$C$140*(TIMELINE!$C$140+1)),IF(IF(INPUTS!$J$136="Follow Project Life","Even",IF(INPUTS!$J$136="At Project End","Upfront",INPUTS!$J$136))="S-curve",SIN(PI()*(TIMELINE!E141-0.5)/TIMELINE!$C$140)*SIN(PI()/(2*TIMELINE!$C$140)),0))))))))))</f>
        <v>0</v>
      </c>
      <c r="F137" s="118" t="n">
        <f aca="false">IF(INPUTS!$F$136&lt;&gt;"Yes",0,IF(INPUTS!$J$136="Follow Construction",F$106,IF(INPUTS!$J$136="Follow Sales",F$99,IF(INPUTS!$J$136="Follow Collections",F$108,IF(OR(TIMELINE!F141=0,TIMELINE!$C$140=0),0,IF(IF(INPUTS!$J$136="Follow Project Life","Even",IF(INPUTS!$J$136="At Project End","Upfront",INPUTS!$J$136))="Upfront",--(TIMELINE!F141=1),IF(IF(INPUTS!$J$136="Follow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End","Upfront",INPUTS!$J$136))="Front-loaded",(TIMELINE!$C$140-TIMELINE!F141+1)*2/(TIMELINE!$C$140*(TIMELINE!$C$140+1)),IF(IF(INPUTS!$J$136="Follow Project Life","Even",IF(INPUTS!$J$136="At Project End","Upfront",INPUTS!$J$136))="Back-loaded",TIMELINE!F141*2/(TIMELINE!$C$140*(TIMELINE!$C$140+1)),IF(IF(INPUTS!$J$136="Follow Project Life","Even",IF(INPUTS!$J$136="At Project End","Upfront",INPUTS!$J$136))="S-curve",SIN(PI()*(TIMELINE!F141-0.5)/TIMELINE!$C$140)*SIN(PI()/(2*TIMELINE!$C$140)),0))))))))))</f>
        <v>0</v>
      </c>
      <c r="G137" s="118" t="n">
        <f aca="false">IF(INPUTS!$F$136&lt;&gt;"Yes",0,IF(INPUTS!$J$136="Follow Construction",G$106,IF(INPUTS!$J$136="Follow Sales",G$99,IF(INPUTS!$J$136="Follow Collections",G$108,IF(OR(TIMELINE!G141=0,TIMELINE!$C$140=0),0,IF(IF(INPUTS!$J$136="Follow Project Life","Even",IF(INPUTS!$J$136="At Project End","Upfront",INPUTS!$J$136))="Upfront",--(TIMELINE!G141=1),IF(IF(INPUTS!$J$136="Follow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End","Upfront",INPUTS!$J$136))="Front-loaded",(TIMELINE!$C$140-TIMELINE!G141+1)*2/(TIMELINE!$C$140*(TIMELINE!$C$140+1)),IF(IF(INPUTS!$J$136="Follow Project Life","Even",IF(INPUTS!$J$136="At Project End","Upfront",INPUTS!$J$136))="Back-loaded",TIMELINE!G141*2/(TIMELINE!$C$140*(TIMELINE!$C$140+1)),IF(IF(INPUTS!$J$136="Follow Project Life","Even",IF(INPUTS!$J$136="At Project End","Upfront",INPUTS!$J$136))="S-curve",SIN(PI()*(TIMELINE!G141-0.5)/TIMELINE!$C$140)*SIN(PI()/(2*TIMELINE!$C$140)),0))))))))))</f>
        <v>0</v>
      </c>
      <c r="H137" s="118" t="n">
        <f aca="false">IF(INPUTS!$F$136&lt;&gt;"Yes",0,IF(INPUTS!$J$136="Follow Construction",H$106,IF(INPUTS!$J$136="Follow Sales",H$99,IF(INPUTS!$J$136="Follow Collections",H$108,IF(OR(TIMELINE!H141=0,TIMELINE!$C$140=0),0,IF(IF(INPUTS!$J$136="Follow Project Life","Even",IF(INPUTS!$J$136="At Project End","Upfront",INPUTS!$J$136))="Upfront",--(TIMELINE!H141=1),IF(IF(INPUTS!$J$136="Follow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End","Upfront",INPUTS!$J$136))="Front-loaded",(TIMELINE!$C$140-TIMELINE!H141+1)*2/(TIMELINE!$C$140*(TIMELINE!$C$140+1)),IF(IF(INPUTS!$J$136="Follow Project Life","Even",IF(INPUTS!$J$136="At Project End","Upfront",INPUTS!$J$136))="Back-loaded",TIMELINE!H141*2/(TIMELINE!$C$140*(TIMELINE!$C$140+1)),IF(IF(INPUTS!$J$136="Follow Project Life","Even",IF(INPUTS!$J$136="At Project End","Upfront",INPUTS!$J$136))="S-curve",SIN(PI()*(TIMELINE!H141-0.5)/TIMELINE!$C$140)*SIN(PI()/(2*TIMELINE!$C$140)),0))))))))))</f>
        <v>0</v>
      </c>
      <c r="I137" s="118" t="n">
        <f aca="false">IF(INPUTS!$F$136&lt;&gt;"Yes",0,IF(INPUTS!$J$136="Follow Construction",I$106,IF(INPUTS!$J$136="Follow Sales",I$99,IF(INPUTS!$J$136="Follow Collections",I$108,IF(OR(TIMELINE!I141=0,TIMELINE!$C$140=0),0,IF(IF(INPUTS!$J$136="Follow Project Life","Even",IF(INPUTS!$J$136="At Project End","Upfront",INPUTS!$J$136))="Upfront",--(TIMELINE!I141=1),IF(IF(INPUTS!$J$136="Follow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End","Upfront",INPUTS!$J$136))="Front-loaded",(TIMELINE!$C$140-TIMELINE!I141+1)*2/(TIMELINE!$C$140*(TIMELINE!$C$140+1)),IF(IF(INPUTS!$J$136="Follow Project Life","Even",IF(INPUTS!$J$136="At Project End","Upfront",INPUTS!$J$136))="Back-loaded",TIMELINE!I141*2/(TIMELINE!$C$140*(TIMELINE!$C$140+1)),IF(IF(INPUTS!$J$136="Follow Project Life","Even",IF(INPUTS!$J$136="At Project End","Upfront",INPUTS!$J$136))="S-curve",SIN(PI()*(TIMELINE!I141-0.5)/TIMELINE!$C$140)*SIN(PI()/(2*TIMELINE!$C$140)),0))))))))))</f>
        <v>0.0170370868554659</v>
      </c>
      <c r="J137" s="118" t="n">
        <f aca="false">IF(INPUTS!$F$136&lt;&gt;"Yes",0,IF(INPUTS!$J$136="Follow Construction",J$106,IF(INPUTS!$J$136="Follow Sales",J$99,IF(INPUTS!$J$136="Follow Collections",J$108,IF(OR(TIMELINE!J141=0,TIMELINE!$C$140=0),0,IF(IF(INPUTS!$J$136="Follow Project Life","Even",IF(INPUTS!$J$136="At Project End","Upfront",INPUTS!$J$136))="Upfront",--(TIMELINE!J141=1),IF(IF(INPUTS!$J$136="Follow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End","Upfront",INPUTS!$J$136))="Front-loaded",(TIMELINE!$C$140-TIMELINE!J141+1)*2/(TIMELINE!$C$140*(TIMELINE!$C$140+1)),IF(IF(INPUTS!$J$136="Follow Project Life","Even",IF(INPUTS!$J$136="At Project End","Upfront",INPUTS!$J$136))="Back-loaded",TIMELINE!J141*2/(TIMELINE!$C$140*(TIMELINE!$C$140+1)),IF(IF(INPUTS!$J$136="Follow Project Life","Even",IF(INPUTS!$J$136="At Project End","Upfront",INPUTS!$J$136))="S-curve",SIN(PI()*(TIMELINE!J141-0.5)/TIMELINE!$C$140)*SIN(PI()/(2*TIMELINE!$C$140)),0))))))))))</f>
        <v>0.0499502112523148</v>
      </c>
      <c r="K137" s="118" t="n">
        <f aca="false">IF(INPUTS!$F$136&lt;&gt;"Yes",0,IF(INPUTS!$J$136="Follow Construction",K$106,IF(INPUTS!$J$136="Follow Sales",K$99,IF(INPUTS!$J$136="Follow Collections",K$108,IF(OR(TIMELINE!K141=0,TIMELINE!$C$140=0),0,IF(IF(INPUTS!$J$136="Follow Project Life","Even",IF(INPUTS!$J$136="At Project End","Upfront",INPUTS!$J$136))="Upfront",--(TIMELINE!K141=1),IF(IF(INPUTS!$J$136="Follow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End","Upfront",INPUTS!$J$136))="Front-loaded",(TIMELINE!$C$140-TIMELINE!K141+1)*2/(TIMELINE!$C$140*(TIMELINE!$C$140+1)),IF(IF(INPUTS!$J$136="Follow Project Life","Even",IF(INPUTS!$J$136="At Project End","Upfront",INPUTS!$J$136))="Back-loaded",TIMELINE!K141*2/(TIMELINE!$C$140*(TIMELINE!$C$140+1)),IF(IF(INPUTS!$J$136="Follow Project Life","Even",IF(INPUTS!$J$136="At Project End","Upfront",INPUTS!$J$136))="S-curve",SIN(PI()*(TIMELINE!K141-0.5)/TIMELINE!$C$140)*SIN(PI()/(2*TIMELINE!$C$140)),0))))))))))</f>
        <v>0.0794593112989456</v>
      </c>
      <c r="L137" s="118" t="n">
        <f aca="false">IF(INPUTS!$F$136&lt;&gt;"Yes",0,IF(INPUTS!$J$136="Follow Construction",L$106,IF(INPUTS!$J$136="Follow Sales",L$99,IF(INPUTS!$J$136="Follow Collections",L$108,IF(OR(TIMELINE!L141=0,TIMELINE!$C$140=0),0,IF(IF(INPUTS!$J$136="Follow Project Life","Even",IF(INPUTS!$J$136="At Project End","Upfront",INPUTS!$J$136))="Upfront",--(TIMELINE!L141=1),IF(IF(INPUTS!$J$136="Follow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End","Upfront",INPUTS!$J$136))="Front-loaded",(TIMELINE!$C$140-TIMELINE!L141+1)*2/(TIMELINE!$C$140*(TIMELINE!$C$140+1)),IF(IF(INPUTS!$J$136="Follow Project Life","Even",IF(INPUTS!$J$136="At Project End","Upfront",INPUTS!$J$136))="Back-loaded",TIMELINE!L141*2/(TIMELINE!$C$140*(TIMELINE!$C$140+1)),IF(IF(INPUTS!$J$136="Follow Project Life","Even",IF(INPUTS!$J$136="At Project End","Upfront",INPUTS!$J$136))="S-curve",SIN(PI()*(TIMELINE!L141-0.5)/TIMELINE!$C$140)*SIN(PI()/(2*TIMELINE!$C$140)),0))))))))))</f>
        <v>0.103553390593274</v>
      </c>
      <c r="M137" s="118" t="n">
        <f aca="false">IF(INPUTS!$F$136&lt;&gt;"Yes",0,IF(INPUTS!$J$136="Follow Construction",M$106,IF(INPUTS!$J$136="Follow Sales",M$99,IF(INPUTS!$J$136="Follow Collections",M$108,IF(OR(TIMELINE!M141=0,TIMELINE!$C$140=0),0,IF(IF(INPUTS!$J$136="Follow Project Life","Even",IF(INPUTS!$J$136="At Project End","Upfront",INPUTS!$J$136))="Upfront",--(TIMELINE!M141=1),IF(IF(INPUTS!$J$136="Follow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End","Upfront",INPUTS!$J$136))="Front-loaded",(TIMELINE!$C$140-TIMELINE!M141+1)*2/(TIMELINE!$C$140*(TIMELINE!$C$140+1)),IF(IF(INPUTS!$J$136="Follow Project Life","Even",IF(INPUTS!$J$136="At Project End","Upfront",INPUTS!$J$136))="Back-loaded",TIMELINE!M141*2/(TIMELINE!$C$140*(TIMELINE!$C$140+1)),IF(IF(INPUTS!$J$136="Follow Project Life","Even",IF(INPUTS!$J$136="At Project End","Upfront",INPUTS!$J$136))="S-curve",SIN(PI()*(TIMELINE!M141-0.5)/TIMELINE!$C$140)*SIN(PI()/(2*TIMELINE!$C$140)),0))))))))))</f>
        <v>0.12059047744874</v>
      </c>
      <c r="N137" s="118" t="n">
        <f aca="false">IF(INPUTS!$F$136&lt;&gt;"Yes",0,IF(INPUTS!$J$136="Follow Construction",N$106,IF(INPUTS!$J$136="Follow Sales",N$99,IF(INPUTS!$J$136="Follow Collections",N$108,IF(OR(TIMELINE!N141=0,TIMELINE!$C$140=0),0,IF(IF(INPUTS!$J$136="Follow Project Life","Even",IF(INPUTS!$J$136="At Project End","Upfront",INPUTS!$J$136))="Upfront",--(TIMELINE!N141=1),IF(IF(INPUTS!$J$136="Follow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End","Upfront",INPUTS!$J$136))="Front-loaded",(TIMELINE!$C$140-TIMELINE!N141+1)*2/(TIMELINE!$C$140*(TIMELINE!$C$140+1)),IF(IF(INPUTS!$J$136="Follow Project Life","Even",IF(INPUTS!$J$136="At Project End","Upfront",INPUTS!$J$136))="Back-loaded",TIMELINE!N141*2/(TIMELINE!$C$140*(TIMELINE!$C$140+1)),IF(IF(INPUTS!$J$136="Follow Project Life","Even",IF(INPUTS!$J$136="At Project End","Upfront",INPUTS!$J$136))="S-curve",SIN(PI()*(TIMELINE!N141-0.5)/TIMELINE!$C$140)*SIN(PI()/(2*TIMELINE!$C$140)),0))))))))))</f>
        <v>0.12940952255126</v>
      </c>
      <c r="O137" s="118" t="n">
        <f aca="false">IF(INPUTS!$F$136&lt;&gt;"Yes",0,IF(INPUTS!$J$136="Follow Construction",O$106,IF(INPUTS!$J$136="Follow Sales",O$99,IF(INPUTS!$J$136="Follow Collections",O$108,IF(OR(TIMELINE!O141=0,TIMELINE!$C$140=0),0,IF(IF(INPUTS!$J$136="Follow Project Life","Even",IF(INPUTS!$J$136="At Project End","Upfront",INPUTS!$J$136))="Upfront",--(TIMELINE!O141=1),IF(IF(INPUTS!$J$136="Follow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End","Upfront",INPUTS!$J$136))="Front-loaded",(TIMELINE!$C$140-TIMELINE!O141+1)*2/(TIMELINE!$C$140*(TIMELINE!$C$140+1)),IF(IF(INPUTS!$J$136="Follow Project Life","Even",IF(INPUTS!$J$136="At Project End","Upfront",INPUTS!$J$136))="Back-loaded",TIMELINE!O141*2/(TIMELINE!$C$140*(TIMELINE!$C$140+1)),IF(IF(INPUTS!$J$136="Follow Project Life","Even",IF(INPUTS!$J$136="At Project End","Upfront",INPUTS!$J$136))="S-curve",SIN(PI()*(TIMELINE!O141-0.5)/TIMELINE!$C$140)*SIN(PI()/(2*TIMELINE!$C$140)),0))))))))))</f>
        <v>0.12940952255126</v>
      </c>
      <c r="P137" s="118" t="n">
        <f aca="false">IF(INPUTS!$F$136&lt;&gt;"Yes",0,IF(INPUTS!$J$136="Follow Construction",P$106,IF(INPUTS!$J$136="Follow Sales",P$99,IF(INPUTS!$J$136="Follow Collections",P$108,IF(OR(TIMELINE!P141=0,TIMELINE!$C$140=0),0,IF(IF(INPUTS!$J$136="Follow Project Life","Even",IF(INPUTS!$J$136="At Project End","Upfront",INPUTS!$J$136))="Upfront",--(TIMELINE!P141=1),IF(IF(INPUTS!$J$136="Follow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End","Upfront",INPUTS!$J$136))="Front-loaded",(TIMELINE!$C$140-TIMELINE!P141+1)*2/(TIMELINE!$C$140*(TIMELINE!$C$140+1)),IF(IF(INPUTS!$J$136="Follow Project Life","Even",IF(INPUTS!$J$136="At Project End","Upfront",INPUTS!$J$136))="Back-loaded",TIMELINE!P141*2/(TIMELINE!$C$140*(TIMELINE!$C$140+1)),IF(IF(INPUTS!$J$136="Follow Project Life","Even",IF(INPUTS!$J$136="At Project End","Upfront",INPUTS!$J$136))="S-curve",SIN(PI()*(TIMELINE!P141-0.5)/TIMELINE!$C$140)*SIN(PI()/(2*TIMELINE!$C$140)),0))))))))))</f>
        <v>0.12059047744874</v>
      </c>
      <c r="Q137" s="118" t="n">
        <f aca="false">IF(INPUTS!$F$136&lt;&gt;"Yes",0,IF(INPUTS!$J$136="Follow Construction",Q$106,IF(INPUTS!$J$136="Follow Sales",Q$99,IF(INPUTS!$J$136="Follow Collections",Q$108,IF(OR(TIMELINE!Q141=0,TIMELINE!$C$140=0),0,IF(IF(INPUTS!$J$136="Follow Project Life","Even",IF(INPUTS!$J$136="At Project End","Upfront",INPUTS!$J$136))="Upfront",--(TIMELINE!Q141=1),IF(IF(INPUTS!$J$136="Follow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End","Upfront",INPUTS!$J$136))="Front-loaded",(TIMELINE!$C$140-TIMELINE!Q141+1)*2/(TIMELINE!$C$140*(TIMELINE!$C$140+1)),IF(IF(INPUTS!$J$136="Follow Project Life","Even",IF(INPUTS!$J$136="At Project End","Upfront",INPUTS!$J$136))="Back-loaded",TIMELINE!Q141*2/(TIMELINE!$C$140*(TIMELINE!$C$140+1)),IF(IF(INPUTS!$J$136="Follow Project Life","Even",IF(INPUTS!$J$136="At Project End","Upfront",INPUTS!$J$136))="S-curve",SIN(PI()*(TIMELINE!Q141-0.5)/TIMELINE!$C$140)*SIN(PI()/(2*TIMELINE!$C$140)),0))))))))))</f>
        <v>0.103553390593274</v>
      </c>
      <c r="R137" s="118" t="n">
        <f aca="false">IF(INPUTS!$F$136&lt;&gt;"Yes",0,IF(INPUTS!$J$136="Follow Construction",R$106,IF(INPUTS!$J$136="Follow Sales",R$99,IF(INPUTS!$J$136="Follow Collections",R$108,IF(OR(TIMELINE!R141=0,TIMELINE!$C$140=0),0,IF(IF(INPUTS!$J$136="Follow Project Life","Even",IF(INPUTS!$J$136="At Project End","Upfront",INPUTS!$J$136))="Upfront",--(TIMELINE!R141=1),IF(IF(INPUTS!$J$136="Follow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End","Upfront",INPUTS!$J$136))="Front-loaded",(TIMELINE!$C$140-TIMELINE!R141+1)*2/(TIMELINE!$C$140*(TIMELINE!$C$140+1)),IF(IF(INPUTS!$J$136="Follow Project Life","Even",IF(INPUTS!$J$136="At Project End","Upfront",INPUTS!$J$136))="Back-loaded",TIMELINE!R141*2/(TIMELINE!$C$140*(TIMELINE!$C$140+1)),IF(IF(INPUTS!$J$136="Follow Project Life","Even",IF(INPUTS!$J$136="At Project End","Upfront",INPUTS!$J$136))="S-curve",SIN(PI()*(TIMELINE!R141-0.5)/TIMELINE!$C$140)*SIN(PI()/(2*TIMELINE!$C$140)),0))))))))))</f>
        <v>0.0794593112989456</v>
      </c>
      <c r="S137" s="118" t="n">
        <f aca="false">IF(INPUTS!$F$136&lt;&gt;"Yes",0,IF(INPUTS!$J$136="Follow Construction",S$106,IF(INPUTS!$J$136="Follow Sales",S$99,IF(INPUTS!$J$136="Follow Collections",S$108,IF(OR(TIMELINE!S141=0,TIMELINE!$C$140=0),0,IF(IF(INPUTS!$J$136="Follow Project Life","Even",IF(INPUTS!$J$136="At Project End","Upfront",INPUTS!$J$136))="Upfront",--(TIMELINE!S141=1),IF(IF(INPUTS!$J$136="Follow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End","Upfront",INPUTS!$J$136))="Front-loaded",(TIMELINE!$C$140-TIMELINE!S141+1)*2/(TIMELINE!$C$140*(TIMELINE!$C$140+1)),IF(IF(INPUTS!$J$136="Follow Project Life","Even",IF(INPUTS!$J$136="At Project End","Upfront",INPUTS!$J$136))="Back-loaded",TIMELINE!S141*2/(TIMELINE!$C$140*(TIMELINE!$C$140+1)),IF(IF(INPUTS!$J$136="Follow Project Life","Even",IF(INPUTS!$J$136="At Project End","Upfront",INPUTS!$J$136))="S-curve",SIN(PI()*(TIMELINE!S141-0.5)/TIMELINE!$C$140)*SIN(PI()/(2*TIMELINE!$C$140)),0))))))))))</f>
        <v>0.0499502112523148</v>
      </c>
      <c r="T137" s="118" t="n">
        <f aca="false">IF(INPUTS!$F$136&lt;&gt;"Yes",0,IF(INPUTS!$J$136="Follow Construction",T$106,IF(INPUTS!$J$136="Follow Sales",T$99,IF(INPUTS!$J$136="Follow Collections",T$108,IF(OR(TIMELINE!T141=0,TIMELINE!$C$140=0),0,IF(IF(INPUTS!$J$136="Follow Project Life","Even",IF(INPUTS!$J$136="At Project End","Upfront",INPUTS!$J$136))="Upfront",--(TIMELINE!T141=1),IF(IF(INPUTS!$J$136="Follow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End","Upfront",INPUTS!$J$136))="Front-loaded",(TIMELINE!$C$140-TIMELINE!T141+1)*2/(TIMELINE!$C$140*(TIMELINE!$C$140+1)),IF(IF(INPUTS!$J$136="Follow Project Life","Even",IF(INPUTS!$J$136="At Project End","Upfront",INPUTS!$J$136))="Back-loaded",TIMELINE!T141*2/(TIMELINE!$C$140*(TIMELINE!$C$140+1)),IF(IF(INPUTS!$J$136="Follow Project Life","Even",IF(INPUTS!$J$136="At Project End","Upfront",INPUTS!$J$136))="S-curve",SIN(PI()*(TIMELINE!T141-0.5)/TIMELINE!$C$140)*SIN(PI()/(2*TIMELINE!$C$140)),0))))))))))</f>
        <v>0.0170370868554659</v>
      </c>
      <c r="U137" s="118" t="n">
        <f aca="false">IF(INPUTS!$F$136&lt;&gt;"Yes",0,IF(INPUTS!$J$136="Follow Construction",U$106,IF(INPUTS!$J$136="Follow Sales",U$99,IF(INPUTS!$J$136="Follow Collections",U$108,IF(OR(TIMELINE!U141=0,TIMELINE!$C$140=0),0,IF(IF(INPUTS!$J$136="Follow Project Life","Even",IF(INPUTS!$J$136="At Project End","Upfront",INPUTS!$J$136))="Upfront",--(TIMELINE!U141=1),IF(IF(INPUTS!$J$136="Follow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End","Upfront",INPUTS!$J$136))="Front-loaded",(TIMELINE!$C$140-TIMELINE!U141+1)*2/(TIMELINE!$C$140*(TIMELINE!$C$140+1)),IF(IF(INPUTS!$J$136="Follow Project Life","Even",IF(INPUTS!$J$136="At Project End","Upfront",INPUTS!$J$136))="Back-loaded",TIMELINE!U141*2/(TIMELINE!$C$140*(TIMELINE!$C$140+1)),IF(IF(INPUTS!$J$136="Follow Project Life","Even",IF(INPUTS!$J$136="At Project End","Upfront",INPUTS!$J$136))="S-curve",SIN(PI()*(TIMELINE!U141-0.5)/TIMELINE!$C$140)*SIN(PI()/(2*TIMELINE!$C$140)),0))))))))))</f>
        <v>0</v>
      </c>
      <c r="V137" s="118" t="n">
        <f aca="false">IF(INPUTS!$F$136&lt;&gt;"Yes",0,IF(INPUTS!$J$136="Follow Construction",V$106,IF(INPUTS!$J$136="Follow Sales",V$99,IF(INPUTS!$J$136="Follow Collections",V$108,IF(OR(TIMELINE!V141=0,TIMELINE!$C$140=0),0,IF(IF(INPUTS!$J$136="Follow Project Life","Even",IF(INPUTS!$J$136="At Project End","Upfront",INPUTS!$J$136))="Upfront",--(TIMELINE!V141=1),IF(IF(INPUTS!$J$136="Follow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End","Upfront",INPUTS!$J$136))="Front-loaded",(TIMELINE!$C$140-TIMELINE!V141+1)*2/(TIMELINE!$C$140*(TIMELINE!$C$140+1)),IF(IF(INPUTS!$J$136="Follow Project Life","Even",IF(INPUTS!$J$136="At Project End","Upfront",INPUTS!$J$136))="Back-loaded",TIMELINE!V141*2/(TIMELINE!$C$140*(TIMELINE!$C$140+1)),IF(IF(INPUTS!$J$136="Follow Project Life","Even",IF(INPUTS!$J$136="At Project End","Upfront",INPUTS!$J$136))="S-curve",SIN(PI()*(TIMELINE!V141-0.5)/TIMELINE!$C$140)*SIN(PI()/(2*TIMELINE!$C$140)),0))))))))))</f>
        <v>0</v>
      </c>
      <c r="W137" s="118" t="n">
        <f aca="false">IF(INPUTS!$F$136&lt;&gt;"Yes",0,IF(INPUTS!$J$136="Follow Construction",W$106,IF(INPUTS!$J$136="Follow Sales",W$99,IF(INPUTS!$J$136="Follow Collections",W$108,IF(OR(TIMELINE!W141=0,TIMELINE!$C$140=0),0,IF(IF(INPUTS!$J$136="Follow Project Life","Even",IF(INPUTS!$J$136="At Project End","Upfront",INPUTS!$J$136))="Upfront",--(TIMELINE!W141=1),IF(IF(INPUTS!$J$136="Follow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End","Upfront",INPUTS!$J$136))="Front-loaded",(TIMELINE!$C$140-TIMELINE!W141+1)*2/(TIMELINE!$C$140*(TIMELINE!$C$140+1)),IF(IF(INPUTS!$J$136="Follow Project Life","Even",IF(INPUTS!$J$136="At Project End","Upfront",INPUTS!$J$136))="Back-loaded",TIMELINE!W141*2/(TIMELINE!$C$140*(TIMELINE!$C$140+1)),IF(IF(INPUTS!$J$136="Follow Project Life","Even",IF(INPUTS!$J$136="At Project End","Upfront",INPUTS!$J$136))="S-curve",SIN(PI()*(TIMELINE!W141-0.5)/TIMELINE!$C$140)*SIN(PI()/(2*TIMELINE!$C$140)),0))))))))))</f>
        <v>0</v>
      </c>
      <c r="X137" s="118" t="n">
        <f aca="false">IF(INPUTS!$F$136&lt;&gt;"Yes",0,IF(INPUTS!$J$136="Follow Construction",X$106,IF(INPUTS!$J$136="Follow Sales",X$99,IF(INPUTS!$J$136="Follow Collections",X$108,IF(OR(TIMELINE!X141=0,TIMELINE!$C$140=0),0,IF(IF(INPUTS!$J$136="Follow Project Life","Even",IF(INPUTS!$J$136="At Project End","Upfront",INPUTS!$J$136))="Upfront",--(TIMELINE!X141=1),IF(IF(INPUTS!$J$136="Follow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End","Upfront",INPUTS!$J$136))="Front-loaded",(TIMELINE!$C$140-TIMELINE!X141+1)*2/(TIMELINE!$C$140*(TIMELINE!$C$140+1)),IF(IF(INPUTS!$J$136="Follow Project Life","Even",IF(INPUTS!$J$136="At Project End","Upfront",INPUTS!$J$136))="Back-loaded",TIMELINE!X141*2/(TIMELINE!$C$140*(TIMELINE!$C$140+1)),IF(IF(INPUTS!$J$136="Follow Project Life","Even",IF(INPUTS!$J$136="At Project End","Upfront",INPUTS!$J$136))="S-curve",SIN(PI()*(TIMELINE!X141-0.5)/TIMELINE!$C$140)*SIN(PI()/(2*TIMELINE!$C$140)),0))))))))))</f>
        <v>0</v>
      </c>
      <c r="Y137" s="118" t="n">
        <f aca="false">IF(INPUTS!$F$136&lt;&gt;"Yes",0,IF(INPUTS!$J$136="Follow Construction",Y$106,IF(INPUTS!$J$136="Follow Sales",Y$99,IF(INPUTS!$J$136="Follow Collections",Y$108,IF(OR(TIMELINE!Y141=0,TIMELINE!$C$140=0),0,IF(IF(INPUTS!$J$136="Follow Project Life","Even",IF(INPUTS!$J$136="At Project End","Upfront",INPUTS!$J$136))="Upfront",--(TIMELINE!Y141=1),IF(IF(INPUTS!$J$136="Follow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End","Upfront",INPUTS!$J$136))="Front-loaded",(TIMELINE!$C$140-TIMELINE!Y141+1)*2/(TIMELINE!$C$140*(TIMELINE!$C$140+1)),IF(IF(INPUTS!$J$136="Follow Project Life","Even",IF(INPUTS!$J$136="At Project End","Upfront",INPUTS!$J$136))="Back-loaded",TIMELINE!Y141*2/(TIMELINE!$C$140*(TIMELINE!$C$140+1)),IF(IF(INPUTS!$J$136="Follow Project Life","Even",IF(INPUTS!$J$136="At Project End","Upfront",INPUTS!$J$136))="S-curve",SIN(PI()*(TIMELINE!Y141-0.5)/TIMELINE!$C$140)*SIN(PI()/(2*TIMELINE!$C$140)),0))))))))))</f>
        <v>0</v>
      </c>
      <c r="Z137" s="118" t="n">
        <f aca="false">IF(INPUTS!$F$136&lt;&gt;"Yes",0,IF(INPUTS!$J$136="Follow Construction",Z$106,IF(INPUTS!$J$136="Follow Sales",Z$99,IF(INPUTS!$J$136="Follow Collections",Z$108,IF(OR(TIMELINE!Z141=0,TIMELINE!$C$140=0),0,IF(IF(INPUTS!$J$136="Follow Project Life","Even",IF(INPUTS!$J$136="At Project End","Upfront",INPUTS!$J$136))="Upfront",--(TIMELINE!Z141=1),IF(IF(INPUTS!$J$136="Follow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End","Upfront",INPUTS!$J$136))="Front-loaded",(TIMELINE!$C$140-TIMELINE!Z141+1)*2/(TIMELINE!$C$140*(TIMELINE!$C$140+1)),IF(IF(INPUTS!$J$136="Follow Project Life","Even",IF(INPUTS!$J$136="At Project End","Upfront",INPUTS!$J$136))="Back-loaded",TIMELINE!Z141*2/(TIMELINE!$C$140*(TIMELINE!$C$140+1)),IF(IF(INPUTS!$J$136="Follow Project Life","Even",IF(INPUTS!$J$136="At Project End","Upfront",INPUTS!$J$136))="S-curve",SIN(PI()*(TIMELINE!Z141-0.5)/TIMELINE!$C$140)*SIN(PI()/(2*TIMELINE!$C$140)),0))))))))))</f>
        <v>0</v>
      </c>
      <c r="AA137" s="118" t="n">
        <f aca="false">IF(INPUTS!$F$136&lt;&gt;"Yes",0,IF(INPUTS!$J$136="Follow Construction",AA$106,IF(INPUTS!$J$136="Follow Sales",AA$99,IF(INPUTS!$J$136="Follow Collections",AA$108,IF(OR(TIMELINE!AA141=0,TIMELINE!$C$140=0),0,IF(IF(INPUTS!$J$136="Follow Project Life","Even",IF(INPUTS!$J$136="At Project End","Upfront",INPUTS!$J$136))="Upfront",--(TIMELINE!AA141=1),IF(IF(INPUTS!$J$136="Follow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End","Upfront",INPUTS!$J$136))="Front-loaded",(TIMELINE!$C$140-TIMELINE!AA141+1)*2/(TIMELINE!$C$140*(TIMELINE!$C$140+1)),IF(IF(INPUTS!$J$136="Follow Project Life","Even",IF(INPUTS!$J$136="At Project End","Upfront",INPUTS!$J$136))="Back-loaded",TIMELINE!AA141*2/(TIMELINE!$C$140*(TIMELINE!$C$140+1)),IF(IF(INPUTS!$J$136="Follow Project Life","Even",IF(INPUTS!$J$136="At Project End","Upfront",INPUTS!$J$136))="S-curve",SIN(PI()*(TIMELINE!AA141-0.5)/TIMELINE!$C$140)*SIN(PI()/(2*TIMELINE!$C$140)),0))))))))))</f>
        <v>0</v>
      </c>
      <c r="AB137" s="118" t="n">
        <f aca="false">IF(INPUTS!$F$136&lt;&gt;"Yes",0,IF(INPUTS!$J$136="Follow Construction",AB$106,IF(INPUTS!$J$136="Follow Sales",AB$99,IF(INPUTS!$J$136="Follow Collections",AB$108,IF(OR(TIMELINE!AB141=0,TIMELINE!$C$140=0),0,IF(IF(INPUTS!$J$136="Follow Project Life","Even",IF(INPUTS!$J$136="At Project End","Upfront",INPUTS!$J$136))="Upfront",--(TIMELINE!AB141=1),IF(IF(INPUTS!$J$136="Follow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End","Upfront",INPUTS!$J$136))="Front-loaded",(TIMELINE!$C$140-TIMELINE!AB141+1)*2/(TIMELINE!$C$140*(TIMELINE!$C$140+1)),IF(IF(INPUTS!$J$136="Follow Project Life","Even",IF(INPUTS!$J$136="At Project End","Upfront",INPUTS!$J$136))="Back-loaded",TIMELINE!AB141*2/(TIMELINE!$C$140*(TIMELINE!$C$140+1)),IF(IF(INPUTS!$J$136="Follow Project Life","Even",IF(INPUTS!$J$136="At Project End","Upfront",INPUTS!$J$136))="S-curve",SIN(PI()*(TIMELINE!AB141-0.5)/TIMELINE!$C$140)*SIN(PI()/(2*TIMELINE!$C$140)),0))))))))))</f>
        <v>0</v>
      </c>
      <c r="AC137" s="118" t="n">
        <f aca="false">IF(INPUTS!$F$136&lt;&gt;"Yes",0,IF(INPUTS!$J$136="Follow Construction",AC$106,IF(INPUTS!$J$136="Follow Sales",AC$99,IF(INPUTS!$J$136="Follow Collections",AC$108,IF(OR(TIMELINE!AC141=0,TIMELINE!$C$140=0),0,IF(IF(INPUTS!$J$136="Follow Project Life","Even",IF(INPUTS!$J$136="At Project End","Upfront",INPUTS!$J$136))="Upfront",--(TIMELINE!AC141=1),IF(IF(INPUTS!$J$136="Follow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End","Upfront",INPUTS!$J$136))="Front-loaded",(TIMELINE!$C$140-TIMELINE!AC141+1)*2/(TIMELINE!$C$140*(TIMELINE!$C$140+1)),IF(IF(INPUTS!$J$136="Follow Project Life","Even",IF(INPUTS!$J$136="At Project End","Upfront",INPUTS!$J$136))="Back-loaded",TIMELINE!AC141*2/(TIMELINE!$C$140*(TIMELINE!$C$140+1)),IF(IF(INPUTS!$J$136="Follow Project Life","Even",IF(INPUTS!$J$136="At Project End","Upfront",INPUTS!$J$136))="S-curve",SIN(PI()*(TIMELINE!AC141-0.5)/TIMELINE!$C$140)*SIN(PI()/(2*TIMELINE!$C$140)),0))))))))))</f>
        <v>0</v>
      </c>
      <c r="AD137" s="118" t="n">
        <f aca="false">IF(INPUTS!$F$136&lt;&gt;"Yes",0,IF(INPUTS!$J$136="Follow Construction",AD$106,IF(INPUTS!$J$136="Follow Sales",AD$99,IF(INPUTS!$J$136="Follow Collections",AD$108,IF(OR(TIMELINE!AD141=0,TIMELINE!$C$140=0),0,IF(IF(INPUTS!$J$136="Follow Project Life","Even",IF(INPUTS!$J$136="At Project End","Upfront",INPUTS!$J$136))="Upfront",--(TIMELINE!AD141=1),IF(IF(INPUTS!$J$136="Follow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End","Upfront",INPUTS!$J$136))="Front-loaded",(TIMELINE!$C$140-TIMELINE!AD141+1)*2/(TIMELINE!$C$140*(TIMELINE!$C$140+1)),IF(IF(INPUTS!$J$136="Follow Project Life","Even",IF(INPUTS!$J$136="At Project End","Upfront",INPUTS!$J$136))="Back-loaded",TIMELINE!AD141*2/(TIMELINE!$C$140*(TIMELINE!$C$140+1)),IF(IF(INPUTS!$J$136="Follow Project Life","Even",IF(INPUTS!$J$136="At Project End","Upfront",INPUTS!$J$136))="S-curve",SIN(PI()*(TIMELINE!AD141-0.5)/TIMELINE!$C$140)*SIN(PI()/(2*TIMELINE!$C$140)),0))))))))))</f>
        <v>0</v>
      </c>
      <c r="AE137" s="118" t="n">
        <f aca="false">IF(INPUTS!$F$136&lt;&gt;"Yes",0,IF(INPUTS!$J$136="Follow Construction",AE$106,IF(INPUTS!$J$136="Follow Sales",AE$99,IF(INPUTS!$J$136="Follow Collections",AE$108,IF(OR(TIMELINE!AE141=0,TIMELINE!$C$140=0),0,IF(IF(INPUTS!$J$136="Follow Project Life","Even",IF(INPUTS!$J$136="At Project End","Upfront",INPUTS!$J$136))="Upfront",--(TIMELINE!AE141=1),IF(IF(INPUTS!$J$136="Follow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End","Upfront",INPUTS!$J$136))="Front-loaded",(TIMELINE!$C$140-TIMELINE!AE141+1)*2/(TIMELINE!$C$140*(TIMELINE!$C$140+1)),IF(IF(INPUTS!$J$136="Follow Project Life","Even",IF(INPUTS!$J$136="At Project End","Upfront",INPUTS!$J$136))="Back-loaded",TIMELINE!AE141*2/(TIMELINE!$C$140*(TIMELINE!$C$140+1)),IF(IF(INPUTS!$J$136="Follow Project Life","Even",IF(INPUTS!$J$136="At Project End","Upfront",INPUTS!$J$136))="S-curve",SIN(PI()*(TIMELINE!AE141-0.5)/TIMELINE!$C$140)*SIN(PI()/(2*TIMELINE!$C$140)),0))))))))))</f>
        <v>0</v>
      </c>
      <c r="AF137" s="118" t="n">
        <f aca="false">IF(INPUTS!$F$136&lt;&gt;"Yes",0,IF(INPUTS!$J$136="Follow Construction",AF$106,IF(INPUTS!$J$136="Follow Sales",AF$99,IF(INPUTS!$J$136="Follow Collections",AF$108,IF(OR(TIMELINE!AF141=0,TIMELINE!$C$140=0),0,IF(IF(INPUTS!$J$136="Follow Project Life","Even",IF(INPUTS!$J$136="At Project End","Upfront",INPUTS!$J$136))="Upfront",--(TIMELINE!AF141=1),IF(IF(INPUTS!$J$136="Follow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End","Upfront",INPUTS!$J$136))="Front-loaded",(TIMELINE!$C$140-TIMELINE!AF141+1)*2/(TIMELINE!$C$140*(TIMELINE!$C$140+1)),IF(IF(INPUTS!$J$136="Follow Project Life","Even",IF(INPUTS!$J$136="At Project End","Upfront",INPUTS!$J$136))="Back-loaded",TIMELINE!AF141*2/(TIMELINE!$C$140*(TIMELINE!$C$140+1)),IF(IF(INPUTS!$J$136="Follow Project Life","Even",IF(INPUTS!$J$136="At Project End","Upfront",INPUTS!$J$136))="S-curve",SIN(PI()*(TIMELINE!AF141-0.5)/TIMELINE!$C$140)*SIN(PI()/(2*TIMELINE!$C$140)),0))))))))))</f>
        <v>0</v>
      </c>
      <c r="AG137" s="118" t="n">
        <f aca="false">IF(INPUTS!$F$136&lt;&gt;"Yes",0,IF(INPUTS!$J$136="Follow Construction",AG$106,IF(INPUTS!$J$136="Follow Sales",AG$99,IF(INPUTS!$J$136="Follow Collections",AG$108,IF(OR(TIMELINE!AG141=0,TIMELINE!$C$140=0),0,IF(IF(INPUTS!$J$136="Follow Project Life","Even",IF(INPUTS!$J$136="At Project End","Upfront",INPUTS!$J$136))="Upfront",--(TIMELINE!AG141=1),IF(IF(INPUTS!$J$136="Follow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End","Upfront",INPUTS!$J$136))="Front-loaded",(TIMELINE!$C$140-TIMELINE!AG141+1)*2/(TIMELINE!$C$140*(TIMELINE!$C$140+1)),IF(IF(INPUTS!$J$136="Follow Project Life","Even",IF(INPUTS!$J$136="At Project End","Upfront",INPUTS!$J$136))="Back-loaded",TIMELINE!AG141*2/(TIMELINE!$C$140*(TIMELINE!$C$140+1)),IF(IF(INPUTS!$J$136="Follow Project Life","Even",IF(INPUTS!$J$136="At Project End","Upfront",INPUTS!$J$136))="S-curve",SIN(PI()*(TIMELINE!AG141-0.5)/TIMELINE!$C$140)*SIN(PI()/(2*TIMELINE!$C$140)),0))))))))))</f>
        <v>0</v>
      </c>
      <c r="AH137" s="118" t="n">
        <f aca="false">IF(INPUTS!$F$136&lt;&gt;"Yes",0,IF(INPUTS!$J$136="Follow Construction",AH$106,IF(INPUTS!$J$136="Follow Sales",AH$99,IF(INPUTS!$J$136="Follow Collections",AH$108,IF(OR(TIMELINE!AH141=0,TIMELINE!$C$140=0),0,IF(IF(INPUTS!$J$136="Follow Project Life","Even",IF(INPUTS!$J$136="At Project End","Upfront",INPUTS!$J$136))="Upfront",--(TIMELINE!AH141=1),IF(IF(INPUTS!$J$136="Follow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End","Upfront",INPUTS!$J$136))="Front-loaded",(TIMELINE!$C$140-TIMELINE!AH141+1)*2/(TIMELINE!$C$140*(TIMELINE!$C$140+1)),IF(IF(INPUTS!$J$136="Follow Project Life","Even",IF(INPUTS!$J$136="At Project End","Upfront",INPUTS!$J$136))="Back-loaded",TIMELINE!AH141*2/(TIMELINE!$C$140*(TIMELINE!$C$140+1)),IF(IF(INPUTS!$J$136="Follow Project Life","Even",IF(INPUTS!$J$136="At Project End","Upfront",INPUTS!$J$136))="S-curve",SIN(PI()*(TIMELINE!AH141-0.5)/TIMELINE!$C$140)*SIN(PI()/(2*TIMELINE!$C$140)),0))))))))))</f>
        <v>0</v>
      </c>
      <c r="AI137" s="118" t="n">
        <f aca="false">IF(INPUTS!$F$136&lt;&gt;"Yes",0,IF(INPUTS!$J$136="Follow Construction",AI$106,IF(INPUTS!$J$136="Follow Sales",AI$99,IF(INPUTS!$J$136="Follow Collections",AI$108,IF(OR(TIMELINE!AI141=0,TIMELINE!$C$140=0),0,IF(IF(INPUTS!$J$136="Follow Project Life","Even",IF(INPUTS!$J$136="At Project End","Upfront",INPUTS!$J$136))="Upfront",--(TIMELINE!AI141=1),IF(IF(INPUTS!$J$136="Follow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End","Upfront",INPUTS!$J$136))="Front-loaded",(TIMELINE!$C$140-TIMELINE!AI141+1)*2/(TIMELINE!$C$140*(TIMELINE!$C$140+1)),IF(IF(INPUTS!$J$136="Follow Project Life","Even",IF(INPUTS!$J$136="At Project End","Upfront",INPUTS!$J$136))="Back-loaded",TIMELINE!AI141*2/(TIMELINE!$C$140*(TIMELINE!$C$140+1)),IF(IF(INPUTS!$J$136="Follow Project Life","Even",IF(INPUTS!$J$136="At Project End","Upfront",INPUTS!$J$136))="S-curve",SIN(PI()*(TIMELINE!AI141-0.5)/TIMELINE!$C$140)*SIN(PI()/(2*TIMELINE!$C$140)),0))))))))))</f>
        <v>0</v>
      </c>
      <c r="AJ137" s="118" t="n">
        <f aca="false">IF(INPUTS!$F$136&lt;&gt;"Yes",0,IF(INPUTS!$J$136="Follow Construction",AJ$106,IF(INPUTS!$J$136="Follow Sales",AJ$99,IF(INPUTS!$J$136="Follow Collections",AJ$108,IF(OR(TIMELINE!AJ141=0,TIMELINE!$C$140=0),0,IF(IF(INPUTS!$J$136="Follow Project Life","Even",IF(INPUTS!$J$136="At Project End","Upfront",INPUTS!$J$136))="Upfront",--(TIMELINE!AJ141=1),IF(IF(INPUTS!$J$136="Follow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End","Upfront",INPUTS!$J$136))="Front-loaded",(TIMELINE!$C$140-TIMELINE!AJ141+1)*2/(TIMELINE!$C$140*(TIMELINE!$C$140+1)),IF(IF(INPUTS!$J$136="Follow Project Life","Even",IF(INPUTS!$J$136="At Project End","Upfront",INPUTS!$J$136))="Back-loaded",TIMELINE!AJ141*2/(TIMELINE!$C$140*(TIMELINE!$C$140+1)),IF(IF(INPUTS!$J$136="Follow Project Life","Even",IF(INPUTS!$J$136="At Project End","Upfront",INPUTS!$J$136))="S-curve",SIN(PI()*(TIMELINE!AJ141-0.5)/TIMELINE!$C$140)*SIN(PI()/(2*TIMELINE!$C$140)),0))))))))))</f>
        <v>0</v>
      </c>
      <c r="AK137" s="118" t="n">
        <f aca="false">IF(INPUTS!$F$136&lt;&gt;"Yes",0,IF(INPUTS!$J$136="Follow Construction",AK$106,IF(INPUTS!$J$136="Follow Sales",AK$99,IF(INPUTS!$J$136="Follow Collections",AK$108,IF(OR(TIMELINE!AK141=0,TIMELINE!$C$140=0),0,IF(IF(INPUTS!$J$136="Follow Project Life","Even",IF(INPUTS!$J$136="At Project End","Upfront",INPUTS!$J$136))="Upfront",--(TIMELINE!AK141=1),IF(IF(INPUTS!$J$136="Follow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End","Upfront",INPUTS!$J$136))="Front-loaded",(TIMELINE!$C$140-TIMELINE!AK141+1)*2/(TIMELINE!$C$140*(TIMELINE!$C$140+1)),IF(IF(INPUTS!$J$136="Follow Project Life","Even",IF(INPUTS!$J$136="At Project End","Upfront",INPUTS!$J$136))="Back-loaded",TIMELINE!AK141*2/(TIMELINE!$C$140*(TIMELINE!$C$140+1)),IF(IF(INPUTS!$J$136="Follow Project Life","Even",IF(INPUTS!$J$136="At Project End","Upfront",INPUTS!$J$136))="S-curve",SIN(PI()*(TIMELINE!AK141-0.5)/TIMELINE!$C$140)*SIN(PI()/(2*TIMELINE!$C$140)),0))))))))))</f>
        <v>0</v>
      </c>
      <c r="AL137" s="118" t="n">
        <f aca="false">IF(INPUTS!$F$136&lt;&gt;"Yes",0,IF(INPUTS!$J$136="Follow Construction",AL$106,IF(INPUTS!$J$136="Follow Sales",AL$99,IF(INPUTS!$J$136="Follow Collections",AL$108,IF(OR(TIMELINE!AL141=0,TIMELINE!$C$140=0),0,IF(IF(INPUTS!$J$136="Follow Project Life","Even",IF(INPUTS!$J$136="At Project End","Upfront",INPUTS!$J$136))="Upfront",--(TIMELINE!AL141=1),IF(IF(INPUTS!$J$136="Follow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End","Upfront",INPUTS!$J$136))="Front-loaded",(TIMELINE!$C$140-TIMELINE!AL141+1)*2/(TIMELINE!$C$140*(TIMELINE!$C$140+1)),IF(IF(INPUTS!$J$136="Follow Project Life","Even",IF(INPUTS!$J$136="At Project End","Upfront",INPUTS!$J$136))="Back-loaded",TIMELINE!AL141*2/(TIMELINE!$C$140*(TIMELINE!$C$140+1)),IF(IF(INPUTS!$J$136="Follow Project Life","Even",IF(INPUTS!$J$136="At Project End","Upfront",INPUTS!$J$136))="S-curve",SIN(PI()*(TIMELINE!AL141-0.5)/TIMELINE!$C$140)*SIN(PI()/(2*TIMELINE!$C$140)),0))))))))))</f>
        <v>0</v>
      </c>
      <c r="AM137" s="118" t="n">
        <f aca="false">IF(INPUTS!$F$136&lt;&gt;"Yes",0,IF(INPUTS!$J$136="Follow Construction",AM$106,IF(INPUTS!$J$136="Follow Sales",AM$99,IF(INPUTS!$J$136="Follow Collections",AM$108,IF(OR(TIMELINE!AM141=0,TIMELINE!$C$140=0),0,IF(IF(INPUTS!$J$136="Follow Project Life","Even",IF(INPUTS!$J$136="At Project End","Upfront",INPUTS!$J$136))="Upfront",--(TIMELINE!AM141=1),IF(IF(INPUTS!$J$136="Follow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End","Upfront",INPUTS!$J$136))="Front-loaded",(TIMELINE!$C$140-TIMELINE!AM141+1)*2/(TIMELINE!$C$140*(TIMELINE!$C$140+1)),IF(IF(INPUTS!$J$136="Follow Project Life","Even",IF(INPUTS!$J$136="At Project End","Upfront",INPUTS!$J$136))="Back-loaded",TIMELINE!AM141*2/(TIMELINE!$C$140*(TIMELINE!$C$140+1)),IF(IF(INPUTS!$J$136="Follow Project Life","Even",IF(INPUTS!$J$136="At Project End","Upfront",INPUTS!$J$136))="S-curve",SIN(PI()*(TIMELINE!AM141-0.5)/TIMELINE!$C$140)*SIN(PI()/(2*TIMELINE!$C$140)),0))))))))))</f>
        <v>0</v>
      </c>
      <c r="AN137" s="118" t="n">
        <f aca="false">IF(INPUTS!$F$136&lt;&gt;"Yes",0,IF(INPUTS!$J$136="Follow Construction",AN$106,IF(INPUTS!$J$136="Follow Sales",AN$99,IF(INPUTS!$J$136="Follow Collections",AN$108,IF(OR(TIMELINE!AN141=0,TIMELINE!$C$140=0),0,IF(IF(INPUTS!$J$136="Follow Project Life","Even",IF(INPUTS!$J$136="At Project End","Upfront",INPUTS!$J$136))="Upfront",--(TIMELINE!AN141=1),IF(IF(INPUTS!$J$136="Follow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End","Upfront",INPUTS!$J$136))="Front-loaded",(TIMELINE!$C$140-TIMELINE!AN141+1)*2/(TIMELINE!$C$140*(TIMELINE!$C$140+1)),IF(IF(INPUTS!$J$136="Follow Project Life","Even",IF(INPUTS!$J$136="At Project End","Upfront",INPUTS!$J$136))="Back-loaded",TIMELINE!AN141*2/(TIMELINE!$C$140*(TIMELINE!$C$140+1)),IF(IF(INPUTS!$J$136="Follow Project Life","Even",IF(INPUTS!$J$136="At Project End","Upfront",INPUTS!$J$136))="S-curve",SIN(PI()*(TIMELINE!AN141-0.5)/TIMELINE!$C$140)*SIN(PI()/(2*TIMELINE!$C$140)),0))))))))))</f>
        <v>0</v>
      </c>
      <c r="AO137" s="118" t="n">
        <f aca="false">IF(INPUTS!$F$136&lt;&gt;"Yes",0,IF(INPUTS!$J$136="Follow Construction",AO$106,IF(INPUTS!$J$136="Follow Sales",AO$99,IF(INPUTS!$J$136="Follow Collections",AO$108,IF(OR(TIMELINE!AO141=0,TIMELINE!$C$140=0),0,IF(IF(INPUTS!$J$136="Follow Project Life","Even",IF(INPUTS!$J$136="At Project End","Upfront",INPUTS!$J$136))="Upfront",--(TIMELINE!AO141=1),IF(IF(INPUTS!$J$136="Follow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End","Upfront",INPUTS!$J$136))="Front-loaded",(TIMELINE!$C$140-TIMELINE!AO141+1)*2/(TIMELINE!$C$140*(TIMELINE!$C$140+1)),IF(IF(INPUTS!$J$136="Follow Project Life","Even",IF(INPUTS!$J$136="At Project End","Upfront",INPUTS!$J$136))="Back-loaded",TIMELINE!AO141*2/(TIMELINE!$C$140*(TIMELINE!$C$140+1)),IF(IF(INPUTS!$J$136="Follow Project Life","Even",IF(INPUTS!$J$136="At Project End","Upfront",INPUTS!$J$136))="S-curve",SIN(PI()*(TIMELINE!AO141-0.5)/TIMELINE!$C$140)*SIN(PI()/(2*TIMELINE!$C$140)),0))))))))))</f>
        <v>0</v>
      </c>
      <c r="AP137" s="118" t="n">
        <f aca="false">IF(INPUTS!$F$136&lt;&gt;"Yes",0,IF(INPUTS!$J$136="Follow Construction",AP$106,IF(INPUTS!$J$136="Follow Sales",AP$99,IF(INPUTS!$J$136="Follow Collections",AP$108,IF(OR(TIMELINE!AP141=0,TIMELINE!$C$140=0),0,IF(IF(INPUTS!$J$136="Follow Project Life","Even",IF(INPUTS!$J$136="At Project End","Upfront",INPUTS!$J$136))="Upfront",--(TIMELINE!AP141=1),IF(IF(INPUTS!$J$136="Follow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End","Upfront",INPUTS!$J$136))="Front-loaded",(TIMELINE!$C$140-TIMELINE!AP141+1)*2/(TIMELINE!$C$140*(TIMELINE!$C$140+1)),IF(IF(INPUTS!$J$136="Follow Project Life","Even",IF(INPUTS!$J$136="At Project End","Upfront",INPUTS!$J$136))="Back-loaded",TIMELINE!AP141*2/(TIMELINE!$C$140*(TIMELINE!$C$140+1)),IF(IF(INPUTS!$J$136="Follow Project Life","Even",IF(INPUTS!$J$136="At Project End","Upfront",INPUTS!$J$136))="S-curve",SIN(PI()*(TIMELINE!AP141-0.5)/TIMELINE!$C$140)*SIN(PI()/(2*TIMELINE!$C$140)),0))))))))))</f>
        <v>0</v>
      </c>
      <c r="AQ137" s="118" t="n">
        <f aca="false">IF(INPUTS!$F$136&lt;&gt;"Yes",0,IF(INPUTS!$J$136="Follow Construction",AQ$106,IF(INPUTS!$J$136="Follow Sales",AQ$99,IF(INPUTS!$J$136="Follow Collections",AQ$108,IF(OR(TIMELINE!AQ141=0,TIMELINE!$C$140=0),0,IF(IF(INPUTS!$J$136="Follow Project Life","Even",IF(INPUTS!$J$136="At Project End","Upfront",INPUTS!$J$136))="Upfront",--(TIMELINE!AQ141=1),IF(IF(INPUTS!$J$136="Follow Project Life","Even",IF(INPUTS!$J$136="At Project End","Upfront",INPUTS!$J$136))="Even",1/TIMELINE!$C$140,IF(IF(INPUTS!$J$136="Follow Project Life","Even",IF(INPUTS!$J$136="At Project End","Upfront",INPUTS!$J$136))="Front-loaded",(TIMELINE!$C$140-TIMELINE!AQ141+1)*2/(TIMELINE!$C$140*(TIMELINE!$C$140+1)),IF(IF(INPUTS!$J$136="Follow Project Life","Even",IF(INPUTS!$J$136="At Project End","Upfront",INPUTS!$J$136))="Back-loaded",TIMELINE!AQ141*2/(TIMELINE!$C$140*(TIMELINE!$C$140+1)),IF(IF(INPUTS!$J$136="Follow Project Life","Even",IF(INPUTS!$J$136="At Project End","Upfront",INPUTS!$J$136))="S-curve",SIN(PI()*(TIMELINE!AQ141-0.5)/TIMELINE!$C$140)*SIN(PI()/(2*TIMELINE!$C$140)),0))))))))))</f>
        <v>0</v>
      </c>
    </row>
    <row r="138" customFormat="false" ht="15" hidden="false" customHeight="false" outlineLevel="0" collapsed="false">
      <c r="B138" s="17" t="s">
        <v>689</v>
      </c>
      <c r="C138" s="105" t="str">
        <f aca="false">IF(INPUTS!$B$136="","",IF(INPUTS!$F$136&lt;&gt;"Yes","Off",IF(INPUTS!$M$136&lt;&gt;"OK","ERROR",IF(ABS(C137-1)&lt;0.000000001,"OK",IF(AND(C137=0,INPUTS!$G$136=0),"Zero","ERROR")))))</f>
        <v>OK</v>
      </c>
    </row>
    <row r="139" customFormat="false" ht="15" hidden="false" customHeight="false" outlineLevel="0" collapsed="false">
      <c r="B139" s="110" t="str">
        <f aca="false">IF(INPUTS!$B$137="","Spare cost row",INPUTS!$B$137)</f>
        <v>EWS/LIG plots development cost</v>
      </c>
      <c r="C139" s="111" t="str">
        <f aca="false">IF(INPUTS!$J$137="","",INPUTS!$J$137)</f>
        <v>Follow Construction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</row>
    <row r="140" customFormat="false" ht="15" hidden="false" customHeight="false" outlineLevel="0" collapsed="false">
      <c r="B140" s="3" t="s">
        <v>688</v>
      </c>
      <c r="C140" s="117" t="n">
        <f aca="false">SUM(D140:AQ140)</f>
        <v>0</v>
      </c>
      <c r="D140" s="118" t="n">
        <f aca="false">IF(INPUTS!$F$137&lt;&gt;"Yes",0,IF(INPUTS!$J$137="Follow Construction",D$107,IF(INPUTS!$J$137="Follow Sales",D$99,IF(INPUTS!$J$137="Follow Collections",D$108,IF(OR(TIMELINE!D145=0,TIMELINE!$C$144=0),0,IF(IF(INPUTS!$J$137="Follow Project Life","Even",IF(INPUTS!$J$137="At Project End","Upfront",INPUTS!$J$137))="Upfront",--(TIMELINE!D145=1),IF(IF(INPUTS!$J$137="Follow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End","Upfront",INPUTS!$J$137))="Front-loaded",(TIMELINE!$C$144-TIMELINE!D145+1)*2/(TIMELINE!$C$144*(TIMELINE!$C$144+1)),IF(IF(INPUTS!$J$137="Follow Project Life","Even",IF(INPUTS!$J$137="At Project End","Upfront",INPUTS!$J$137))="Back-loaded",TIMELINE!D145*2/(TIMELINE!$C$144*(TIMELINE!$C$144+1)),IF(IF(INPUTS!$J$137="Follow Project Life","Even",IF(INPUTS!$J$137="At Project End","Upfront",INPUTS!$J$137))="S-curve",SIN(PI()*(TIMELINE!D145-0.5)/TIMELINE!$C$144)*SIN(PI()/(2*TIMELINE!$C$144)),0))))))))))</f>
        <v>0</v>
      </c>
      <c r="E140" s="118" t="n">
        <f aca="false">IF(INPUTS!$F$137&lt;&gt;"Yes",0,IF(INPUTS!$J$137="Follow Construction",E$107,IF(INPUTS!$J$137="Follow Sales",E$99,IF(INPUTS!$J$137="Follow Collections",E$108,IF(OR(TIMELINE!E145=0,TIMELINE!$C$144=0),0,IF(IF(INPUTS!$J$137="Follow Project Life","Even",IF(INPUTS!$J$137="At Project End","Upfront",INPUTS!$J$137))="Upfront",--(TIMELINE!E145=1),IF(IF(INPUTS!$J$137="Follow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End","Upfront",INPUTS!$J$137))="Front-loaded",(TIMELINE!$C$144-TIMELINE!E145+1)*2/(TIMELINE!$C$144*(TIMELINE!$C$144+1)),IF(IF(INPUTS!$J$137="Follow Project Life","Even",IF(INPUTS!$J$137="At Project End","Upfront",INPUTS!$J$137))="Back-loaded",TIMELINE!E145*2/(TIMELINE!$C$144*(TIMELINE!$C$144+1)),IF(IF(INPUTS!$J$137="Follow Project Life","Even",IF(INPUTS!$J$137="At Project End","Upfront",INPUTS!$J$137))="S-curve",SIN(PI()*(TIMELINE!E145-0.5)/TIMELINE!$C$144)*SIN(PI()/(2*TIMELINE!$C$144)),0))))))))))</f>
        <v>0</v>
      </c>
      <c r="F140" s="118" t="n">
        <f aca="false">IF(INPUTS!$F$137&lt;&gt;"Yes",0,IF(INPUTS!$J$137="Follow Construction",F$107,IF(INPUTS!$J$137="Follow Sales",F$99,IF(INPUTS!$J$137="Follow Collections",F$108,IF(OR(TIMELINE!F145=0,TIMELINE!$C$144=0),0,IF(IF(INPUTS!$J$137="Follow Project Life","Even",IF(INPUTS!$J$137="At Project End","Upfront",INPUTS!$J$137))="Upfront",--(TIMELINE!F145=1),IF(IF(INPUTS!$J$137="Follow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End","Upfront",INPUTS!$J$137))="Front-loaded",(TIMELINE!$C$144-TIMELINE!F145+1)*2/(TIMELINE!$C$144*(TIMELINE!$C$144+1)),IF(IF(INPUTS!$J$137="Follow Project Life","Even",IF(INPUTS!$J$137="At Project End","Upfront",INPUTS!$J$137))="Back-loaded",TIMELINE!F145*2/(TIMELINE!$C$144*(TIMELINE!$C$144+1)),IF(IF(INPUTS!$J$137="Follow Project Life","Even",IF(INPUTS!$J$137="At Project End","Upfront",INPUTS!$J$137))="S-curve",SIN(PI()*(TIMELINE!F145-0.5)/TIMELINE!$C$144)*SIN(PI()/(2*TIMELINE!$C$144)),0))))))))))</f>
        <v>0</v>
      </c>
      <c r="G140" s="118" t="n">
        <f aca="false">IF(INPUTS!$F$137&lt;&gt;"Yes",0,IF(INPUTS!$J$137="Follow Construction",G$107,IF(INPUTS!$J$137="Follow Sales",G$99,IF(INPUTS!$J$137="Follow Collections",G$108,IF(OR(TIMELINE!G145=0,TIMELINE!$C$144=0),0,IF(IF(INPUTS!$J$137="Follow Project Life","Even",IF(INPUTS!$J$137="At Project End","Upfront",INPUTS!$J$137))="Upfront",--(TIMELINE!G145=1),IF(IF(INPUTS!$J$137="Follow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End","Upfront",INPUTS!$J$137))="Front-loaded",(TIMELINE!$C$144-TIMELINE!G145+1)*2/(TIMELINE!$C$144*(TIMELINE!$C$144+1)),IF(IF(INPUTS!$J$137="Follow Project Life","Even",IF(INPUTS!$J$137="At Project End","Upfront",INPUTS!$J$137))="Back-loaded",TIMELINE!G145*2/(TIMELINE!$C$144*(TIMELINE!$C$144+1)),IF(IF(INPUTS!$J$137="Follow Project Life","Even",IF(INPUTS!$J$137="At Project End","Upfront",INPUTS!$J$137))="S-curve",SIN(PI()*(TIMELINE!G145-0.5)/TIMELINE!$C$144)*SIN(PI()/(2*TIMELINE!$C$144)),0))))))))))</f>
        <v>0</v>
      </c>
      <c r="H140" s="118" t="n">
        <f aca="false">IF(INPUTS!$F$137&lt;&gt;"Yes",0,IF(INPUTS!$J$137="Follow Construction",H$107,IF(INPUTS!$J$137="Follow Sales",H$99,IF(INPUTS!$J$137="Follow Collections",H$108,IF(OR(TIMELINE!H145=0,TIMELINE!$C$144=0),0,IF(IF(INPUTS!$J$137="Follow Project Life","Even",IF(INPUTS!$J$137="At Project End","Upfront",INPUTS!$J$137))="Upfront",--(TIMELINE!H145=1),IF(IF(INPUTS!$J$137="Follow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End","Upfront",INPUTS!$J$137))="Front-loaded",(TIMELINE!$C$144-TIMELINE!H145+1)*2/(TIMELINE!$C$144*(TIMELINE!$C$144+1)),IF(IF(INPUTS!$J$137="Follow Project Life","Even",IF(INPUTS!$J$137="At Project End","Upfront",INPUTS!$J$137))="Back-loaded",TIMELINE!H145*2/(TIMELINE!$C$144*(TIMELINE!$C$144+1)),IF(IF(INPUTS!$J$137="Follow Project Life","Even",IF(INPUTS!$J$137="At Project End","Upfront",INPUTS!$J$137))="S-curve",SIN(PI()*(TIMELINE!H145-0.5)/TIMELINE!$C$144)*SIN(PI()/(2*TIMELINE!$C$144)),0))))))))))</f>
        <v>0</v>
      </c>
      <c r="I140" s="118" t="n">
        <f aca="false">IF(INPUTS!$F$137&lt;&gt;"Yes",0,IF(INPUTS!$J$137="Follow Construction",I$107,IF(INPUTS!$J$137="Follow Sales",I$99,IF(INPUTS!$J$137="Follow Collections",I$108,IF(OR(TIMELINE!I145=0,TIMELINE!$C$144=0),0,IF(IF(INPUTS!$J$137="Follow Project Life","Even",IF(INPUTS!$J$137="At Project End","Upfront",INPUTS!$J$137))="Upfront",--(TIMELINE!I145=1),IF(IF(INPUTS!$J$137="Follow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End","Upfront",INPUTS!$J$137))="Front-loaded",(TIMELINE!$C$144-TIMELINE!I145+1)*2/(TIMELINE!$C$144*(TIMELINE!$C$144+1)),IF(IF(INPUTS!$J$137="Follow Project Life","Even",IF(INPUTS!$J$137="At Project End","Upfront",INPUTS!$J$137))="Back-loaded",TIMELINE!I145*2/(TIMELINE!$C$144*(TIMELINE!$C$144+1)),IF(IF(INPUTS!$J$137="Follow Project Life","Even",IF(INPUTS!$J$137="At Project End","Upfront",INPUTS!$J$137))="S-curve",SIN(PI()*(TIMELINE!I145-0.5)/TIMELINE!$C$144)*SIN(PI()/(2*TIMELINE!$C$144)),0))))))))))</f>
        <v>0</v>
      </c>
      <c r="J140" s="118" t="n">
        <f aca="false">IF(INPUTS!$F$137&lt;&gt;"Yes",0,IF(INPUTS!$J$137="Follow Construction",J$107,IF(INPUTS!$J$137="Follow Sales",J$99,IF(INPUTS!$J$137="Follow Collections",J$108,IF(OR(TIMELINE!J145=0,TIMELINE!$C$144=0),0,IF(IF(INPUTS!$J$137="Follow Project Life","Even",IF(INPUTS!$J$137="At Project End","Upfront",INPUTS!$J$137))="Upfront",--(TIMELINE!J145=1),IF(IF(INPUTS!$J$137="Follow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End","Upfront",INPUTS!$J$137))="Front-loaded",(TIMELINE!$C$144-TIMELINE!J145+1)*2/(TIMELINE!$C$144*(TIMELINE!$C$144+1)),IF(IF(INPUTS!$J$137="Follow Project Life","Even",IF(INPUTS!$J$137="At Project End","Upfront",INPUTS!$J$137))="Back-loaded",TIMELINE!J145*2/(TIMELINE!$C$144*(TIMELINE!$C$144+1)),IF(IF(INPUTS!$J$137="Follow Project Life","Even",IF(INPUTS!$J$137="At Project End","Upfront",INPUTS!$J$137))="S-curve",SIN(PI()*(TIMELINE!J145-0.5)/TIMELINE!$C$144)*SIN(PI()/(2*TIMELINE!$C$144)),0))))))))))</f>
        <v>0</v>
      </c>
      <c r="K140" s="118" t="n">
        <f aca="false">IF(INPUTS!$F$137&lt;&gt;"Yes",0,IF(INPUTS!$J$137="Follow Construction",K$107,IF(INPUTS!$J$137="Follow Sales",K$99,IF(INPUTS!$J$137="Follow Collections",K$108,IF(OR(TIMELINE!K145=0,TIMELINE!$C$144=0),0,IF(IF(INPUTS!$J$137="Follow Project Life","Even",IF(INPUTS!$J$137="At Project End","Upfront",INPUTS!$J$137))="Upfront",--(TIMELINE!K145=1),IF(IF(INPUTS!$J$137="Follow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End","Upfront",INPUTS!$J$137))="Front-loaded",(TIMELINE!$C$144-TIMELINE!K145+1)*2/(TIMELINE!$C$144*(TIMELINE!$C$144+1)),IF(IF(INPUTS!$J$137="Follow Project Life","Even",IF(INPUTS!$J$137="At Project End","Upfront",INPUTS!$J$137))="Back-loaded",TIMELINE!K145*2/(TIMELINE!$C$144*(TIMELINE!$C$144+1)),IF(IF(INPUTS!$J$137="Follow Project Life","Even",IF(INPUTS!$J$137="At Project End","Upfront",INPUTS!$J$137))="S-curve",SIN(PI()*(TIMELINE!K145-0.5)/TIMELINE!$C$144)*SIN(PI()/(2*TIMELINE!$C$144)),0))))))))))</f>
        <v>0</v>
      </c>
      <c r="L140" s="118" t="n">
        <f aca="false">IF(INPUTS!$F$137&lt;&gt;"Yes",0,IF(INPUTS!$J$137="Follow Construction",L$107,IF(INPUTS!$J$137="Follow Sales",L$99,IF(INPUTS!$J$137="Follow Collections",L$108,IF(OR(TIMELINE!L145=0,TIMELINE!$C$144=0),0,IF(IF(INPUTS!$J$137="Follow Project Life","Even",IF(INPUTS!$J$137="At Project End","Upfront",INPUTS!$J$137))="Upfront",--(TIMELINE!L145=1),IF(IF(INPUTS!$J$137="Follow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End","Upfront",INPUTS!$J$137))="Front-loaded",(TIMELINE!$C$144-TIMELINE!L145+1)*2/(TIMELINE!$C$144*(TIMELINE!$C$144+1)),IF(IF(INPUTS!$J$137="Follow Project Life","Even",IF(INPUTS!$J$137="At Project End","Upfront",INPUTS!$J$137))="Back-loaded",TIMELINE!L145*2/(TIMELINE!$C$144*(TIMELINE!$C$144+1)),IF(IF(INPUTS!$J$137="Follow Project Life","Even",IF(INPUTS!$J$137="At Project End","Upfront",INPUTS!$J$137))="S-curve",SIN(PI()*(TIMELINE!L145-0.5)/TIMELINE!$C$144)*SIN(PI()/(2*TIMELINE!$C$144)),0))))))))))</f>
        <v>0</v>
      </c>
      <c r="M140" s="118" t="n">
        <f aca="false">IF(INPUTS!$F$137&lt;&gt;"Yes",0,IF(INPUTS!$J$137="Follow Construction",M$107,IF(INPUTS!$J$137="Follow Sales",M$99,IF(INPUTS!$J$137="Follow Collections",M$108,IF(OR(TIMELINE!M145=0,TIMELINE!$C$144=0),0,IF(IF(INPUTS!$J$137="Follow Project Life","Even",IF(INPUTS!$J$137="At Project End","Upfront",INPUTS!$J$137))="Upfront",--(TIMELINE!M145=1),IF(IF(INPUTS!$J$137="Follow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End","Upfront",INPUTS!$J$137))="Front-loaded",(TIMELINE!$C$144-TIMELINE!M145+1)*2/(TIMELINE!$C$144*(TIMELINE!$C$144+1)),IF(IF(INPUTS!$J$137="Follow Project Life","Even",IF(INPUTS!$J$137="At Project End","Upfront",INPUTS!$J$137))="Back-loaded",TIMELINE!M145*2/(TIMELINE!$C$144*(TIMELINE!$C$144+1)),IF(IF(INPUTS!$J$137="Follow Project Life","Even",IF(INPUTS!$J$137="At Project End","Upfront",INPUTS!$J$137))="S-curve",SIN(PI()*(TIMELINE!M145-0.5)/TIMELINE!$C$144)*SIN(PI()/(2*TIMELINE!$C$144)),0))))))))))</f>
        <v>0</v>
      </c>
      <c r="N140" s="118" t="n">
        <f aca="false">IF(INPUTS!$F$137&lt;&gt;"Yes",0,IF(INPUTS!$J$137="Follow Construction",N$107,IF(INPUTS!$J$137="Follow Sales",N$99,IF(INPUTS!$J$137="Follow Collections",N$108,IF(OR(TIMELINE!N145=0,TIMELINE!$C$144=0),0,IF(IF(INPUTS!$J$137="Follow Project Life","Even",IF(INPUTS!$J$137="At Project End","Upfront",INPUTS!$J$137))="Upfront",--(TIMELINE!N145=1),IF(IF(INPUTS!$J$137="Follow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End","Upfront",INPUTS!$J$137))="Front-loaded",(TIMELINE!$C$144-TIMELINE!N145+1)*2/(TIMELINE!$C$144*(TIMELINE!$C$144+1)),IF(IF(INPUTS!$J$137="Follow Project Life","Even",IF(INPUTS!$J$137="At Project End","Upfront",INPUTS!$J$137))="Back-loaded",TIMELINE!N145*2/(TIMELINE!$C$144*(TIMELINE!$C$144+1)),IF(IF(INPUTS!$J$137="Follow Project Life","Even",IF(INPUTS!$J$137="At Project End","Upfront",INPUTS!$J$137))="S-curve",SIN(PI()*(TIMELINE!N145-0.5)/TIMELINE!$C$144)*SIN(PI()/(2*TIMELINE!$C$144)),0))))))))))</f>
        <v>0</v>
      </c>
      <c r="O140" s="118" t="n">
        <f aca="false">IF(INPUTS!$F$137&lt;&gt;"Yes",0,IF(INPUTS!$J$137="Follow Construction",O$107,IF(INPUTS!$J$137="Follow Sales",O$99,IF(INPUTS!$J$137="Follow Collections",O$108,IF(OR(TIMELINE!O145=0,TIMELINE!$C$144=0),0,IF(IF(INPUTS!$J$137="Follow Project Life","Even",IF(INPUTS!$J$137="At Project End","Upfront",INPUTS!$J$137))="Upfront",--(TIMELINE!O145=1),IF(IF(INPUTS!$J$137="Follow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End","Upfront",INPUTS!$J$137))="Front-loaded",(TIMELINE!$C$144-TIMELINE!O145+1)*2/(TIMELINE!$C$144*(TIMELINE!$C$144+1)),IF(IF(INPUTS!$J$137="Follow Project Life","Even",IF(INPUTS!$J$137="At Project End","Upfront",INPUTS!$J$137))="Back-loaded",TIMELINE!O145*2/(TIMELINE!$C$144*(TIMELINE!$C$144+1)),IF(IF(INPUTS!$J$137="Follow Project Life","Even",IF(INPUTS!$J$137="At Project End","Upfront",INPUTS!$J$137))="S-curve",SIN(PI()*(TIMELINE!O145-0.5)/TIMELINE!$C$144)*SIN(PI()/(2*TIMELINE!$C$144)),0))))))))))</f>
        <v>0</v>
      </c>
      <c r="P140" s="118" t="n">
        <f aca="false">IF(INPUTS!$F$137&lt;&gt;"Yes",0,IF(INPUTS!$J$137="Follow Construction",P$107,IF(INPUTS!$J$137="Follow Sales",P$99,IF(INPUTS!$J$137="Follow Collections",P$108,IF(OR(TIMELINE!P145=0,TIMELINE!$C$144=0),0,IF(IF(INPUTS!$J$137="Follow Project Life","Even",IF(INPUTS!$J$137="At Project End","Upfront",INPUTS!$J$137))="Upfront",--(TIMELINE!P145=1),IF(IF(INPUTS!$J$137="Follow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End","Upfront",INPUTS!$J$137))="Front-loaded",(TIMELINE!$C$144-TIMELINE!P145+1)*2/(TIMELINE!$C$144*(TIMELINE!$C$144+1)),IF(IF(INPUTS!$J$137="Follow Project Life","Even",IF(INPUTS!$J$137="At Project End","Upfront",INPUTS!$J$137))="Back-loaded",TIMELINE!P145*2/(TIMELINE!$C$144*(TIMELINE!$C$144+1)),IF(IF(INPUTS!$J$137="Follow Project Life","Even",IF(INPUTS!$J$137="At Project End","Upfront",INPUTS!$J$137))="S-curve",SIN(PI()*(TIMELINE!P145-0.5)/TIMELINE!$C$144)*SIN(PI()/(2*TIMELINE!$C$144)),0))))))))))</f>
        <v>0</v>
      </c>
      <c r="Q140" s="118" t="n">
        <f aca="false">IF(INPUTS!$F$137&lt;&gt;"Yes",0,IF(INPUTS!$J$137="Follow Construction",Q$107,IF(INPUTS!$J$137="Follow Sales",Q$99,IF(INPUTS!$J$137="Follow Collections",Q$108,IF(OR(TIMELINE!Q145=0,TIMELINE!$C$144=0),0,IF(IF(INPUTS!$J$137="Follow Project Life","Even",IF(INPUTS!$J$137="At Project End","Upfront",INPUTS!$J$137))="Upfront",--(TIMELINE!Q145=1),IF(IF(INPUTS!$J$137="Follow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End","Upfront",INPUTS!$J$137))="Front-loaded",(TIMELINE!$C$144-TIMELINE!Q145+1)*2/(TIMELINE!$C$144*(TIMELINE!$C$144+1)),IF(IF(INPUTS!$J$137="Follow Project Life","Even",IF(INPUTS!$J$137="At Project End","Upfront",INPUTS!$J$137))="Back-loaded",TIMELINE!Q145*2/(TIMELINE!$C$144*(TIMELINE!$C$144+1)),IF(IF(INPUTS!$J$137="Follow Project Life","Even",IF(INPUTS!$J$137="At Project End","Upfront",INPUTS!$J$137))="S-curve",SIN(PI()*(TIMELINE!Q145-0.5)/TIMELINE!$C$144)*SIN(PI()/(2*TIMELINE!$C$144)),0))))))))))</f>
        <v>0</v>
      </c>
      <c r="R140" s="118" t="n">
        <f aca="false">IF(INPUTS!$F$137&lt;&gt;"Yes",0,IF(INPUTS!$J$137="Follow Construction",R$107,IF(INPUTS!$J$137="Follow Sales",R$99,IF(INPUTS!$J$137="Follow Collections",R$108,IF(OR(TIMELINE!R145=0,TIMELINE!$C$144=0),0,IF(IF(INPUTS!$J$137="Follow Project Life","Even",IF(INPUTS!$J$137="At Project End","Upfront",INPUTS!$J$137))="Upfront",--(TIMELINE!R145=1),IF(IF(INPUTS!$J$137="Follow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End","Upfront",INPUTS!$J$137))="Front-loaded",(TIMELINE!$C$144-TIMELINE!R145+1)*2/(TIMELINE!$C$144*(TIMELINE!$C$144+1)),IF(IF(INPUTS!$J$137="Follow Project Life","Even",IF(INPUTS!$J$137="At Project End","Upfront",INPUTS!$J$137))="Back-loaded",TIMELINE!R145*2/(TIMELINE!$C$144*(TIMELINE!$C$144+1)),IF(IF(INPUTS!$J$137="Follow Project Life","Even",IF(INPUTS!$J$137="At Project End","Upfront",INPUTS!$J$137))="S-curve",SIN(PI()*(TIMELINE!R145-0.5)/TIMELINE!$C$144)*SIN(PI()/(2*TIMELINE!$C$144)),0))))))))))</f>
        <v>0</v>
      </c>
      <c r="S140" s="118" t="n">
        <f aca="false">IF(INPUTS!$F$137&lt;&gt;"Yes",0,IF(INPUTS!$J$137="Follow Construction",S$107,IF(INPUTS!$J$137="Follow Sales",S$99,IF(INPUTS!$J$137="Follow Collections",S$108,IF(OR(TIMELINE!S145=0,TIMELINE!$C$144=0),0,IF(IF(INPUTS!$J$137="Follow Project Life","Even",IF(INPUTS!$J$137="At Project End","Upfront",INPUTS!$J$137))="Upfront",--(TIMELINE!S145=1),IF(IF(INPUTS!$J$137="Follow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End","Upfront",INPUTS!$J$137))="Front-loaded",(TIMELINE!$C$144-TIMELINE!S145+1)*2/(TIMELINE!$C$144*(TIMELINE!$C$144+1)),IF(IF(INPUTS!$J$137="Follow Project Life","Even",IF(INPUTS!$J$137="At Project End","Upfront",INPUTS!$J$137))="Back-loaded",TIMELINE!S145*2/(TIMELINE!$C$144*(TIMELINE!$C$144+1)),IF(IF(INPUTS!$J$137="Follow Project Life","Even",IF(INPUTS!$J$137="At Project End","Upfront",INPUTS!$J$137))="S-curve",SIN(PI()*(TIMELINE!S145-0.5)/TIMELINE!$C$144)*SIN(PI()/(2*TIMELINE!$C$144)),0))))))))))</f>
        <v>0</v>
      </c>
      <c r="T140" s="118" t="n">
        <f aca="false">IF(INPUTS!$F$137&lt;&gt;"Yes",0,IF(INPUTS!$J$137="Follow Construction",T$107,IF(INPUTS!$J$137="Follow Sales",T$99,IF(INPUTS!$J$137="Follow Collections",T$108,IF(OR(TIMELINE!T145=0,TIMELINE!$C$144=0),0,IF(IF(INPUTS!$J$137="Follow Project Life","Even",IF(INPUTS!$J$137="At Project End","Upfront",INPUTS!$J$137))="Upfront",--(TIMELINE!T145=1),IF(IF(INPUTS!$J$137="Follow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End","Upfront",INPUTS!$J$137))="Front-loaded",(TIMELINE!$C$144-TIMELINE!T145+1)*2/(TIMELINE!$C$144*(TIMELINE!$C$144+1)),IF(IF(INPUTS!$J$137="Follow Project Life","Even",IF(INPUTS!$J$137="At Project End","Upfront",INPUTS!$J$137))="Back-loaded",TIMELINE!T145*2/(TIMELINE!$C$144*(TIMELINE!$C$144+1)),IF(IF(INPUTS!$J$137="Follow Project Life","Even",IF(INPUTS!$J$137="At Project End","Upfront",INPUTS!$J$137))="S-curve",SIN(PI()*(TIMELINE!T145-0.5)/TIMELINE!$C$144)*SIN(PI()/(2*TIMELINE!$C$144)),0))))))))))</f>
        <v>0</v>
      </c>
      <c r="U140" s="118" t="n">
        <f aca="false">IF(INPUTS!$F$137&lt;&gt;"Yes",0,IF(INPUTS!$J$137="Follow Construction",U$107,IF(INPUTS!$J$137="Follow Sales",U$99,IF(INPUTS!$J$137="Follow Collections",U$108,IF(OR(TIMELINE!U145=0,TIMELINE!$C$144=0),0,IF(IF(INPUTS!$J$137="Follow Project Life","Even",IF(INPUTS!$J$137="At Project End","Upfront",INPUTS!$J$137))="Upfront",--(TIMELINE!U145=1),IF(IF(INPUTS!$J$137="Follow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End","Upfront",INPUTS!$J$137))="Front-loaded",(TIMELINE!$C$144-TIMELINE!U145+1)*2/(TIMELINE!$C$144*(TIMELINE!$C$144+1)),IF(IF(INPUTS!$J$137="Follow Project Life","Even",IF(INPUTS!$J$137="At Project End","Upfront",INPUTS!$J$137))="Back-loaded",TIMELINE!U145*2/(TIMELINE!$C$144*(TIMELINE!$C$144+1)),IF(IF(INPUTS!$J$137="Follow Project Life","Even",IF(INPUTS!$J$137="At Project End","Upfront",INPUTS!$J$137))="S-curve",SIN(PI()*(TIMELINE!U145-0.5)/TIMELINE!$C$144)*SIN(PI()/(2*TIMELINE!$C$144)),0))))))))))</f>
        <v>0</v>
      </c>
      <c r="V140" s="118" t="n">
        <f aca="false">IF(INPUTS!$F$137&lt;&gt;"Yes",0,IF(INPUTS!$J$137="Follow Construction",V$107,IF(INPUTS!$J$137="Follow Sales",V$99,IF(INPUTS!$J$137="Follow Collections",V$108,IF(OR(TIMELINE!V145=0,TIMELINE!$C$144=0),0,IF(IF(INPUTS!$J$137="Follow Project Life","Even",IF(INPUTS!$J$137="At Project End","Upfront",INPUTS!$J$137))="Upfront",--(TIMELINE!V145=1),IF(IF(INPUTS!$J$137="Follow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End","Upfront",INPUTS!$J$137))="Front-loaded",(TIMELINE!$C$144-TIMELINE!V145+1)*2/(TIMELINE!$C$144*(TIMELINE!$C$144+1)),IF(IF(INPUTS!$J$137="Follow Project Life","Even",IF(INPUTS!$J$137="At Project End","Upfront",INPUTS!$J$137))="Back-loaded",TIMELINE!V145*2/(TIMELINE!$C$144*(TIMELINE!$C$144+1)),IF(IF(INPUTS!$J$137="Follow Project Life","Even",IF(INPUTS!$J$137="At Project End","Upfront",INPUTS!$J$137))="S-curve",SIN(PI()*(TIMELINE!V145-0.5)/TIMELINE!$C$144)*SIN(PI()/(2*TIMELINE!$C$144)),0))))))))))</f>
        <v>0</v>
      </c>
      <c r="W140" s="118" t="n">
        <f aca="false">IF(INPUTS!$F$137&lt;&gt;"Yes",0,IF(INPUTS!$J$137="Follow Construction",W$107,IF(INPUTS!$J$137="Follow Sales",W$99,IF(INPUTS!$J$137="Follow Collections",W$108,IF(OR(TIMELINE!W145=0,TIMELINE!$C$144=0),0,IF(IF(INPUTS!$J$137="Follow Project Life","Even",IF(INPUTS!$J$137="At Project End","Upfront",INPUTS!$J$137))="Upfront",--(TIMELINE!W145=1),IF(IF(INPUTS!$J$137="Follow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End","Upfront",INPUTS!$J$137))="Front-loaded",(TIMELINE!$C$144-TIMELINE!W145+1)*2/(TIMELINE!$C$144*(TIMELINE!$C$144+1)),IF(IF(INPUTS!$J$137="Follow Project Life","Even",IF(INPUTS!$J$137="At Project End","Upfront",INPUTS!$J$137))="Back-loaded",TIMELINE!W145*2/(TIMELINE!$C$144*(TIMELINE!$C$144+1)),IF(IF(INPUTS!$J$137="Follow Project Life","Even",IF(INPUTS!$J$137="At Project End","Upfront",INPUTS!$J$137))="S-curve",SIN(PI()*(TIMELINE!W145-0.5)/TIMELINE!$C$144)*SIN(PI()/(2*TIMELINE!$C$144)),0))))))))))</f>
        <v>0</v>
      </c>
      <c r="X140" s="118" t="n">
        <f aca="false">IF(INPUTS!$F$137&lt;&gt;"Yes",0,IF(INPUTS!$J$137="Follow Construction",X$107,IF(INPUTS!$J$137="Follow Sales",X$99,IF(INPUTS!$J$137="Follow Collections",X$108,IF(OR(TIMELINE!X145=0,TIMELINE!$C$144=0),0,IF(IF(INPUTS!$J$137="Follow Project Life","Even",IF(INPUTS!$J$137="At Project End","Upfront",INPUTS!$J$137))="Upfront",--(TIMELINE!X145=1),IF(IF(INPUTS!$J$137="Follow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End","Upfront",INPUTS!$J$137))="Front-loaded",(TIMELINE!$C$144-TIMELINE!X145+1)*2/(TIMELINE!$C$144*(TIMELINE!$C$144+1)),IF(IF(INPUTS!$J$137="Follow Project Life","Even",IF(INPUTS!$J$137="At Project End","Upfront",INPUTS!$J$137))="Back-loaded",TIMELINE!X145*2/(TIMELINE!$C$144*(TIMELINE!$C$144+1)),IF(IF(INPUTS!$J$137="Follow Project Life","Even",IF(INPUTS!$J$137="At Project End","Upfront",INPUTS!$J$137))="S-curve",SIN(PI()*(TIMELINE!X145-0.5)/TIMELINE!$C$144)*SIN(PI()/(2*TIMELINE!$C$144)),0))))))))))</f>
        <v>0</v>
      </c>
      <c r="Y140" s="118" t="n">
        <f aca="false">IF(INPUTS!$F$137&lt;&gt;"Yes",0,IF(INPUTS!$J$137="Follow Construction",Y$107,IF(INPUTS!$J$137="Follow Sales",Y$99,IF(INPUTS!$J$137="Follow Collections",Y$108,IF(OR(TIMELINE!Y145=0,TIMELINE!$C$144=0),0,IF(IF(INPUTS!$J$137="Follow Project Life","Even",IF(INPUTS!$J$137="At Project End","Upfront",INPUTS!$J$137))="Upfront",--(TIMELINE!Y145=1),IF(IF(INPUTS!$J$137="Follow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End","Upfront",INPUTS!$J$137))="Front-loaded",(TIMELINE!$C$144-TIMELINE!Y145+1)*2/(TIMELINE!$C$144*(TIMELINE!$C$144+1)),IF(IF(INPUTS!$J$137="Follow Project Life","Even",IF(INPUTS!$J$137="At Project End","Upfront",INPUTS!$J$137))="Back-loaded",TIMELINE!Y145*2/(TIMELINE!$C$144*(TIMELINE!$C$144+1)),IF(IF(INPUTS!$J$137="Follow Project Life","Even",IF(INPUTS!$J$137="At Project End","Upfront",INPUTS!$J$137))="S-curve",SIN(PI()*(TIMELINE!Y145-0.5)/TIMELINE!$C$144)*SIN(PI()/(2*TIMELINE!$C$144)),0))))))))))</f>
        <v>0</v>
      </c>
      <c r="Z140" s="118" t="n">
        <f aca="false">IF(INPUTS!$F$137&lt;&gt;"Yes",0,IF(INPUTS!$J$137="Follow Construction",Z$107,IF(INPUTS!$J$137="Follow Sales",Z$99,IF(INPUTS!$J$137="Follow Collections",Z$108,IF(OR(TIMELINE!Z145=0,TIMELINE!$C$144=0),0,IF(IF(INPUTS!$J$137="Follow Project Life","Even",IF(INPUTS!$J$137="At Project End","Upfront",INPUTS!$J$137))="Upfront",--(TIMELINE!Z145=1),IF(IF(INPUTS!$J$137="Follow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End","Upfront",INPUTS!$J$137))="Front-loaded",(TIMELINE!$C$144-TIMELINE!Z145+1)*2/(TIMELINE!$C$144*(TIMELINE!$C$144+1)),IF(IF(INPUTS!$J$137="Follow Project Life","Even",IF(INPUTS!$J$137="At Project End","Upfront",INPUTS!$J$137))="Back-loaded",TIMELINE!Z145*2/(TIMELINE!$C$144*(TIMELINE!$C$144+1)),IF(IF(INPUTS!$J$137="Follow Project Life","Even",IF(INPUTS!$J$137="At Project End","Upfront",INPUTS!$J$137))="S-curve",SIN(PI()*(TIMELINE!Z145-0.5)/TIMELINE!$C$144)*SIN(PI()/(2*TIMELINE!$C$144)),0))))))))))</f>
        <v>0</v>
      </c>
      <c r="AA140" s="118" t="n">
        <f aca="false">IF(INPUTS!$F$137&lt;&gt;"Yes",0,IF(INPUTS!$J$137="Follow Construction",AA$107,IF(INPUTS!$J$137="Follow Sales",AA$99,IF(INPUTS!$J$137="Follow Collections",AA$108,IF(OR(TIMELINE!AA145=0,TIMELINE!$C$144=0),0,IF(IF(INPUTS!$J$137="Follow Project Life","Even",IF(INPUTS!$J$137="At Project End","Upfront",INPUTS!$J$137))="Upfront",--(TIMELINE!AA145=1),IF(IF(INPUTS!$J$137="Follow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End","Upfront",INPUTS!$J$137))="Front-loaded",(TIMELINE!$C$144-TIMELINE!AA145+1)*2/(TIMELINE!$C$144*(TIMELINE!$C$144+1)),IF(IF(INPUTS!$J$137="Follow Project Life","Even",IF(INPUTS!$J$137="At Project End","Upfront",INPUTS!$J$137))="Back-loaded",TIMELINE!AA145*2/(TIMELINE!$C$144*(TIMELINE!$C$144+1)),IF(IF(INPUTS!$J$137="Follow Project Life","Even",IF(INPUTS!$J$137="At Project End","Upfront",INPUTS!$J$137))="S-curve",SIN(PI()*(TIMELINE!AA145-0.5)/TIMELINE!$C$144)*SIN(PI()/(2*TIMELINE!$C$144)),0))))))))))</f>
        <v>0</v>
      </c>
      <c r="AB140" s="118" t="n">
        <f aca="false">IF(INPUTS!$F$137&lt;&gt;"Yes",0,IF(INPUTS!$J$137="Follow Construction",AB$107,IF(INPUTS!$J$137="Follow Sales",AB$99,IF(INPUTS!$J$137="Follow Collections",AB$108,IF(OR(TIMELINE!AB145=0,TIMELINE!$C$144=0),0,IF(IF(INPUTS!$J$137="Follow Project Life","Even",IF(INPUTS!$J$137="At Project End","Upfront",INPUTS!$J$137))="Upfront",--(TIMELINE!AB145=1),IF(IF(INPUTS!$J$137="Follow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End","Upfront",INPUTS!$J$137))="Front-loaded",(TIMELINE!$C$144-TIMELINE!AB145+1)*2/(TIMELINE!$C$144*(TIMELINE!$C$144+1)),IF(IF(INPUTS!$J$137="Follow Project Life","Even",IF(INPUTS!$J$137="At Project End","Upfront",INPUTS!$J$137))="Back-loaded",TIMELINE!AB145*2/(TIMELINE!$C$144*(TIMELINE!$C$144+1)),IF(IF(INPUTS!$J$137="Follow Project Life","Even",IF(INPUTS!$J$137="At Project End","Upfront",INPUTS!$J$137))="S-curve",SIN(PI()*(TIMELINE!AB145-0.5)/TIMELINE!$C$144)*SIN(PI()/(2*TIMELINE!$C$144)),0))))))))))</f>
        <v>0</v>
      </c>
      <c r="AC140" s="118" t="n">
        <f aca="false">IF(INPUTS!$F$137&lt;&gt;"Yes",0,IF(INPUTS!$J$137="Follow Construction",AC$107,IF(INPUTS!$J$137="Follow Sales",AC$99,IF(INPUTS!$J$137="Follow Collections",AC$108,IF(OR(TIMELINE!AC145=0,TIMELINE!$C$144=0),0,IF(IF(INPUTS!$J$137="Follow Project Life","Even",IF(INPUTS!$J$137="At Project End","Upfront",INPUTS!$J$137))="Upfront",--(TIMELINE!AC145=1),IF(IF(INPUTS!$J$137="Follow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End","Upfront",INPUTS!$J$137))="Front-loaded",(TIMELINE!$C$144-TIMELINE!AC145+1)*2/(TIMELINE!$C$144*(TIMELINE!$C$144+1)),IF(IF(INPUTS!$J$137="Follow Project Life","Even",IF(INPUTS!$J$137="At Project End","Upfront",INPUTS!$J$137))="Back-loaded",TIMELINE!AC145*2/(TIMELINE!$C$144*(TIMELINE!$C$144+1)),IF(IF(INPUTS!$J$137="Follow Project Life","Even",IF(INPUTS!$J$137="At Project End","Upfront",INPUTS!$J$137))="S-curve",SIN(PI()*(TIMELINE!AC145-0.5)/TIMELINE!$C$144)*SIN(PI()/(2*TIMELINE!$C$144)),0))))))))))</f>
        <v>0</v>
      </c>
      <c r="AD140" s="118" t="n">
        <f aca="false">IF(INPUTS!$F$137&lt;&gt;"Yes",0,IF(INPUTS!$J$137="Follow Construction",AD$107,IF(INPUTS!$J$137="Follow Sales",AD$99,IF(INPUTS!$J$137="Follow Collections",AD$108,IF(OR(TIMELINE!AD145=0,TIMELINE!$C$144=0),0,IF(IF(INPUTS!$J$137="Follow Project Life","Even",IF(INPUTS!$J$137="At Project End","Upfront",INPUTS!$J$137))="Upfront",--(TIMELINE!AD145=1),IF(IF(INPUTS!$J$137="Follow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End","Upfront",INPUTS!$J$137))="Front-loaded",(TIMELINE!$C$144-TIMELINE!AD145+1)*2/(TIMELINE!$C$144*(TIMELINE!$C$144+1)),IF(IF(INPUTS!$J$137="Follow Project Life","Even",IF(INPUTS!$J$137="At Project End","Upfront",INPUTS!$J$137))="Back-loaded",TIMELINE!AD145*2/(TIMELINE!$C$144*(TIMELINE!$C$144+1)),IF(IF(INPUTS!$J$137="Follow Project Life","Even",IF(INPUTS!$J$137="At Project End","Upfront",INPUTS!$J$137))="S-curve",SIN(PI()*(TIMELINE!AD145-0.5)/TIMELINE!$C$144)*SIN(PI()/(2*TIMELINE!$C$144)),0))))))))))</f>
        <v>0</v>
      </c>
      <c r="AE140" s="118" t="n">
        <f aca="false">IF(INPUTS!$F$137&lt;&gt;"Yes",0,IF(INPUTS!$J$137="Follow Construction",AE$107,IF(INPUTS!$J$137="Follow Sales",AE$99,IF(INPUTS!$J$137="Follow Collections",AE$108,IF(OR(TIMELINE!AE145=0,TIMELINE!$C$144=0),0,IF(IF(INPUTS!$J$137="Follow Project Life","Even",IF(INPUTS!$J$137="At Project End","Upfront",INPUTS!$J$137))="Upfront",--(TIMELINE!AE145=1),IF(IF(INPUTS!$J$137="Follow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End","Upfront",INPUTS!$J$137))="Front-loaded",(TIMELINE!$C$144-TIMELINE!AE145+1)*2/(TIMELINE!$C$144*(TIMELINE!$C$144+1)),IF(IF(INPUTS!$J$137="Follow Project Life","Even",IF(INPUTS!$J$137="At Project End","Upfront",INPUTS!$J$137))="Back-loaded",TIMELINE!AE145*2/(TIMELINE!$C$144*(TIMELINE!$C$144+1)),IF(IF(INPUTS!$J$137="Follow Project Life","Even",IF(INPUTS!$J$137="At Project End","Upfront",INPUTS!$J$137))="S-curve",SIN(PI()*(TIMELINE!AE145-0.5)/TIMELINE!$C$144)*SIN(PI()/(2*TIMELINE!$C$144)),0))))))))))</f>
        <v>0</v>
      </c>
      <c r="AF140" s="118" t="n">
        <f aca="false">IF(INPUTS!$F$137&lt;&gt;"Yes",0,IF(INPUTS!$J$137="Follow Construction",AF$107,IF(INPUTS!$J$137="Follow Sales",AF$99,IF(INPUTS!$J$137="Follow Collections",AF$108,IF(OR(TIMELINE!AF145=0,TIMELINE!$C$144=0),0,IF(IF(INPUTS!$J$137="Follow Project Life","Even",IF(INPUTS!$J$137="At Project End","Upfront",INPUTS!$J$137))="Upfront",--(TIMELINE!AF145=1),IF(IF(INPUTS!$J$137="Follow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End","Upfront",INPUTS!$J$137))="Front-loaded",(TIMELINE!$C$144-TIMELINE!AF145+1)*2/(TIMELINE!$C$144*(TIMELINE!$C$144+1)),IF(IF(INPUTS!$J$137="Follow Project Life","Even",IF(INPUTS!$J$137="At Project End","Upfront",INPUTS!$J$137))="Back-loaded",TIMELINE!AF145*2/(TIMELINE!$C$144*(TIMELINE!$C$144+1)),IF(IF(INPUTS!$J$137="Follow Project Life","Even",IF(INPUTS!$J$137="At Project End","Upfront",INPUTS!$J$137))="S-curve",SIN(PI()*(TIMELINE!AF145-0.5)/TIMELINE!$C$144)*SIN(PI()/(2*TIMELINE!$C$144)),0))))))))))</f>
        <v>0</v>
      </c>
      <c r="AG140" s="118" t="n">
        <f aca="false">IF(INPUTS!$F$137&lt;&gt;"Yes",0,IF(INPUTS!$J$137="Follow Construction",AG$107,IF(INPUTS!$J$137="Follow Sales",AG$99,IF(INPUTS!$J$137="Follow Collections",AG$108,IF(OR(TIMELINE!AG145=0,TIMELINE!$C$144=0),0,IF(IF(INPUTS!$J$137="Follow Project Life","Even",IF(INPUTS!$J$137="At Project End","Upfront",INPUTS!$J$137))="Upfront",--(TIMELINE!AG145=1),IF(IF(INPUTS!$J$137="Follow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End","Upfront",INPUTS!$J$137))="Front-loaded",(TIMELINE!$C$144-TIMELINE!AG145+1)*2/(TIMELINE!$C$144*(TIMELINE!$C$144+1)),IF(IF(INPUTS!$J$137="Follow Project Life","Even",IF(INPUTS!$J$137="At Project End","Upfront",INPUTS!$J$137))="Back-loaded",TIMELINE!AG145*2/(TIMELINE!$C$144*(TIMELINE!$C$144+1)),IF(IF(INPUTS!$J$137="Follow Project Life","Even",IF(INPUTS!$J$137="At Project End","Upfront",INPUTS!$J$137))="S-curve",SIN(PI()*(TIMELINE!AG145-0.5)/TIMELINE!$C$144)*SIN(PI()/(2*TIMELINE!$C$144)),0))))))))))</f>
        <v>0</v>
      </c>
      <c r="AH140" s="118" t="n">
        <f aca="false">IF(INPUTS!$F$137&lt;&gt;"Yes",0,IF(INPUTS!$J$137="Follow Construction",AH$107,IF(INPUTS!$J$137="Follow Sales",AH$99,IF(INPUTS!$J$137="Follow Collections",AH$108,IF(OR(TIMELINE!AH145=0,TIMELINE!$C$144=0),0,IF(IF(INPUTS!$J$137="Follow Project Life","Even",IF(INPUTS!$J$137="At Project End","Upfront",INPUTS!$J$137))="Upfront",--(TIMELINE!AH145=1),IF(IF(INPUTS!$J$137="Follow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End","Upfront",INPUTS!$J$137))="Front-loaded",(TIMELINE!$C$144-TIMELINE!AH145+1)*2/(TIMELINE!$C$144*(TIMELINE!$C$144+1)),IF(IF(INPUTS!$J$137="Follow Project Life","Even",IF(INPUTS!$J$137="At Project End","Upfront",INPUTS!$J$137))="Back-loaded",TIMELINE!AH145*2/(TIMELINE!$C$144*(TIMELINE!$C$144+1)),IF(IF(INPUTS!$J$137="Follow Project Life","Even",IF(INPUTS!$J$137="At Project End","Upfront",INPUTS!$J$137))="S-curve",SIN(PI()*(TIMELINE!AH145-0.5)/TIMELINE!$C$144)*SIN(PI()/(2*TIMELINE!$C$144)),0))))))))))</f>
        <v>0</v>
      </c>
      <c r="AI140" s="118" t="n">
        <f aca="false">IF(INPUTS!$F$137&lt;&gt;"Yes",0,IF(INPUTS!$J$137="Follow Construction",AI$107,IF(INPUTS!$J$137="Follow Sales",AI$99,IF(INPUTS!$J$137="Follow Collections",AI$108,IF(OR(TIMELINE!AI145=0,TIMELINE!$C$144=0),0,IF(IF(INPUTS!$J$137="Follow Project Life","Even",IF(INPUTS!$J$137="At Project End","Upfront",INPUTS!$J$137))="Upfront",--(TIMELINE!AI145=1),IF(IF(INPUTS!$J$137="Follow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End","Upfront",INPUTS!$J$137))="Front-loaded",(TIMELINE!$C$144-TIMELINE!AI145+1)*2/(TIMELINE!$C$144*(TIMELINE!$C$144+1)),IF(IF(INPUTS!$J$137="Follow Project Life","Even",IF(INPUTS!$J$137="At Project End","Upfront",INPUTS!$J$137))="Back-loaded",TIMELINE!AI145*2/(TIMELINE!$C$144*(TIMELINE!$C$144+1)),IF(IF(INPUTS!$J$137="Follow Project Life","Even",IF(INPUTS!$J$137="At Project End","Upfront",INPUTS!$J$137))="S-curve",SIN(PI()*(TIMELINE!AI145-0.5)/TIMELINE!$C$144)*SIN(PI()/(2*TIMELINE!$C$144)),0))))))))))</f>
        <v>0</v>
      </c>
      <c r="AJ140" s="118" t="n">
        <f aca="false">IF(INPUTS!$F$137&lt;&gt;"Yes",0,IF(INPUTS!$J$137="Follow Construction",AJ$107,IF(INPUTS!$J$137="Follow Sales",AJ$99,IF(INPUTS!$J$137="Follow Collections",AJ$108,IF(OR(TIMELINE!AJ145=0,TIMELINE!$C$144=0),0,IF(IF(INPUTS!$J$137="Follow Project Life","Even",IF(INPUTS!$J$137="At Project End","Upfront",INPUTS!$J$137))="Upfront",--(TIMELINE!AJ145=1),IF(IF(INPUTS!$J$137="Follow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End","Upfront",INPUTS!$J$137))="Front-loaded",(TIMELINE!$C$144-TIMELINE!AJ145+1)*2/(TIMELINE!$C$144*(TIMELINE!$C$144+1)),IF(IF(INPUTS!$J$137="Follow Project Life","Even",IF(INPUTS!$J$137="At Project End","Upfront",INPUTS!$J$137))="Back-loaded",TIMELINE!AJ145*2/(TIMELINE!$C$144*(TIMELINE!$C$144+1)),IF(IF(INPUTS!$J$137="Follow Project Life","Even",IF(INPUTS!$J$137="At Project End","Upfront",INPUTS!$J$137))="S-curve",SIN(PI()*(TIMELINE!AJ145-0.5)/TIMELINE!$C$144)*SIN(PI()/(2*TIMELINE!$C$144)),0))))))))))</f>
        <v>0</v>
      </c>
      <c r="AK140" s="118" t="n">
        <f aca="false">IF(INPUTS!$F$137&lt;&gt;"Yes",0,IF(INPUTS!$J$137="Follow Construction",AK$107,IF(INPUTS!$J$137="Follow Sales",AK$99,IF(INPUTS!$J$137="Follow Collections",AK$108,IF(OR(TIMELINE!AK145=0,TIMELINE!$C$144=0),0,IF(IF(INPUTS!$J$137="Follow Project Life","Even",IF(INPUTS!$J$137="At Project End","Upfront",INPUTS!$J$137))="Upfront",--(TIMELINE!AK145=1),IF(IF(INPUTS!$J$137="Follow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End","Upfront",INPUTS!$J$137))="Front-loaded",(TIMELINE!$C$144-TIMELINE!AK145+1)*2/(TIMELINE!$C$144*(TIMELINE!$C$144+1)),IF(IF(INPUTS!$J$137="Follow Project Life","Even",IF(INPUTS!$J$137="At Project End","Upfront",INPUTS!$J$137))="Back-loaded",TIMELINE!AK145*2/(TIMELINE!$C$144*(TIMELINE!$C$144+1)),IF(IF(INPUTS!$J$137="Follow Project Life","Even",IF(INPUTS!$J$137="At Project End","Upfront",INPUTS!$J$137))="S-curve",SIN(PI()*(TIMELINE!AK145-0.5)/TIMELINE!$C$144)*SIN(PI()/(2*TIMELINE!$C$144)),0))))))))))</f>
        <v>0</v>
      </c>
      <c r="AL140" s="118" t="n">
        <f aca="false">IF(INPUTS!$F$137&lt;&gt;"Yes",0,IF(INPUTS!$J$137="Follow Construction",AL$107,IF(INPUTS!$J$137="Follow Sales",AL$99,IF(INPUTS!$J$137="Follow Collections",AL$108,IF(OR(TIMELINE!AL145=0,TIMELINE!$C$144=0),0,IF(IF(INPUTS!$J$137="Follow Project Life","Even",IF(INPUTS!$J$137="At Project End","Upfront",INPUTS!$J$137))="Upfront",--(TIMELINE!AL145=1),IF(IF(INPUTS!$J$137="Follow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End","Upfront",INPUTS!$J$137))="Front-loaded",(TIMELINE!$C$144-TIMELINE!AL145+1)*2/(TIMELINE!$C$144*(TIMELINE!$C$144+1)),IF(IF(INPUTS!$J$137="Follow Project Life","Even",IF(INPUTS!$J$137="At Project End","Upfront",INPUTS!$J$137))="Back-loaded",TIMELINE!AL145*2/(TIMELINE!$C$144*(TIMELINE!$C$144+1)),IF(IF(INPUTS!$J$137="Follow Project Life","Even",IF(INPUTS!$J$137="At Project End","Upfront",INPUTS!$J$137))="S-curve",SIN(PI()*(TIMELINE!AL145-0.5)/TIMELINE!$C$144)*SIN(PI()/(2*TIMELINE!$C$144)),0))))))))))</f>
        <v>0</v>
      </c>
      <c r="AM140" s="118" t="n">
        <f aca="false">IF(INPUTS!$F$137&lt;&gt;"Yes",0,IF(INPUTS!$J$137="Follow Construction",AM$107,IF(INPUTS!$J$137="Follow Sales",AM$99,IF(INPUTS!$J$137="Follow Collections",AM$108,IF(OR(TIMELINE!AM145=0,TIMELINE!$C$144=0),0,IF(IF(INPUTS!$J$137="Follow Project Life","Even",IF(INPUTS!$J$137="At Project End","Upfront",INPUTS!$J$137))="Upfront",--(TIMELINE!AM145=1),IF(IF(INPUTS!$J$137="Follow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End","Upfront",INPUTS!$J$137))="Front-loaded",(TIMELINE!$C$144-TIMELINE!AM145+1)*2/(TIMELINE!$C$144*(TIMELINE!$C$144+1)),IF(IF(INPUTS!$J$137="Follow Project Life","Even",IF(INPUTS!$J$137="At Project End","Upfront",INPUTS!$J$137))="Back-loaded",TIMELINE!AM145*2/(TIMELINE!$C$144*(TIMELINE!$C$144+1)),IF(IF(INPUTS!$J$137="Follow Project Life","Even",IF(INPUTS!$J$137="At Project End","Upfront",INPUTS!$J$137))="S-curve",SIN(PI()*(TIMELINE!AM145-0.5)/TIMELINE!$C$144)*SIN(PI()/(2*TIMELINE!$C$144)),0))))))))))</f>
        <v>0</v>
      </c>
      <c r="AN140" s="118" t="n">
        <f aca="false">IF(INPUTS!$F$137&lt;&gt;"Yes",0,IF(INPUTS!$J$137="Follow Construction",AN$107,IF(INPUTS!$J$137="Follow Sales",AN$99,IF(INPUTS!$J$137="Follow Collections",AN$108,IF(OR(TIMELINE!AN145=0,TIMELINE!$C$144=0),0,IF(IF(INPUTS!$J$137="Follow Project Life","Even",IF(INPUTS!$J$137="At Project End","Upfront",INPUTS!$J$137))="Upfront",--(TIMELINE!AN145=1),IF(IF(INPUTS!$J$137="Follow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End","Upfront",INPUTS!$J$137))="Front-loaded",(TIMELINE!$C$144-TIMELINE!AN145+1)*2/(TIMELINE!$C$144*(TIMELINE!$C$144+1)),IF(IF(INPUTS!$J$137="Follow Project Life","Even",IF(INPUTS!$J$137="At Project End","Upfront",INPUTS!$J$137))="Back-loaded",TIMELINE!AN145*2/(TIMELINE!$C$144*(TIMELINE!$C$144+1)),IF(IF(INPUTS!$J$137="Follow Project Life","Even",IF(INPUTS!$J$137="At Project End","Upfront",INPUTS!$J$137))="S-curve",SIN(PI()*(TIMELINE!AN145-0.5)/TIMELINE!$C$144)*SIN(PI()/(2*TIMELINE!$C$144)),0))))))))))</f>
        <v>0</v>
      </c>
      <c r="AO140" s="118" t="n">
        <f aca="false">IF(INPUTS!$F$137&lt;&gt;"Yes",0,IF(INPUTS!$J$137="Follow Construction",AO$107,IF(INPUTS!$J$137="Follow Sales",AO$99,IF(INPUTS!$J$137="Follow Collections",AO$108,IF(OR(TIMELINE!AO145=0,TIMELINE!$C$144=0),0,IF(IF(INPUTS!$J$137="Follow Project Life","Even",IF(INPUTS!$J$137="At Project End","Upfront",INPUTS!$J$137))="Upfront",--(TIMELINE!AO145=1),IF(IF(INPUTS!$J$137="Follow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End","Upfront",INPUTS!$J$137))="Front-loaded",(TIMELINE!$C$144-TIMELINE!AO145+1)*2/(TIMELINE!$C$144*(TIMELINE!$C$144+1)),IF(IF(INPUTS!$J$137="Follow Project Life","Even",IF(INPUTS!$J$137="At Project End","Upfront",INPUTS!$J$137))="Back-loaded",TIMELINE!AO145*2/(TIMELINE!$C$144*(TIMELINE!$C$144+1)),IF(IF(INPUTS!$J$137="Follow Project Life","Even",IF(INPUTS!$J$137="At Project End","Upfront",INPUTS!$J$137))="S-curve",SIN(PI()*(TIMELINE!AO145-0.5)/TIMELINE!$C$144)*SIN(PI()/(2*TIMELINE!$C$144)),0))))))))))</f>
        <v>0</v>
      </c>
      <c r="AP140" s="118" t="n">
        <f aca="false">IF(INPUTS!$F$137&lt;&gt;"Yes",0,IF(INPUTS!$J$137="Follow Construction",AP$107,IF(INPUTS!$J$137="Follow Sales",AP$99,IF(INPUTS!$J$137="Follow Collections",AP$108,IF(OR(TIMELINE!AP145=0,TIMELINE!$C$144=0),0,IF(IF(INPUTS!$J$137="Follow Project Life","Even",IF(INPUTS!$J$137="At Project End","Upfront",INPUTS!$J$137))="Upfront",--(TIMELINE!AP145=1),IF(IF(INPUTS!$J$137="Follow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End","Upfront",INPUTS!$J$137))="Front-loaded",(TIMELINE!$C$144-TIMELINE!AP145+1)*2/(TIMELINE!$C$144*(TIMELINE!$C$144+1)),IF(IF(INPUTS!$J$137="Follow Project Life","Even",IF(INPUTS!$J$137="At Project End","Upfront",INPUTS!$J$137))="Back-loaded",TIMELINE!AP145*2/(TIMELINE!$C$144*(TIMELINE!$C$144+1)),IF(IF(INPUTS!$J$137="Follow Project Life","Even",IF(INPUTS!$J$137="At Project End","Upfront",INPUTS!$J$137))="S-curve",SIN(PI()*(TIMELINE!AP145-0.5)/TIMELINE!$C$144)*SIN(PI()/(2*TIMELINE!$C$144)),0))))))))))</f>
        <v>0</v>
      </c>
      <c r="AQ140" s="118" t="n">
        <f aca="false">IF(INPUTS!$F$137&lt;&gt;"Yes",0,IF(INPUTS!$J$137="Follow Construction",AQ$107,IF(INPUTS!$J$137="Follow Sales",AQ$99,IF(INPUTS!$J$137="Follow Collections",AQ$108,IF(OR(TIMELINE!AQ145=0,TIMELINE!$C$144=0),0,IF(IF(INPUTS!$J$137="Follow Project Life","Even",IF(INPUTS!$J$137="At Project End","Upfront",INPUTS!$J$137))="Upfront",--(TIMELINE!AQ145=1),IF(IF(INPUTS!$J$137="Follow Project Life","Even",IF(INPUTS!$J$137="At Project End","Upfront",INPUTS!$J$137))="Even",1/TIMELINE!$C$144,IF(IF(INPUTS!$J$137="Follow Project Life","Even",IF(INPUTS!$J$137="At Project End","Upfront",INPUTS!$J$137))="Front-loaded",(TIMELINE!$C$144-TIMELINE!AQ145+1)*2/(TIMELINE!$C$144*(TIMELINE!$C$144+1)),IF(IF(INPUTS!$J$137="Follow Project Life","Even",IF(INPUTS!$J$137="At Project End","Upfront",INPUTS!$J$137))="Back-loaded",TIMELINE!AQ145*2/(TIMELINE!$C$144*(TIMELINE!$C$144+1)),IF(IF(INPUTS!$J$137="Follow Project Life","Even",IF(INPUTS!$J$137="At Project End","Upfront",INPUTS!$J$137))="S-curve",SIN(PI()*(TIMELINE!AQ145-0.5)/TIMELINE!$C$144)*SIN(PI()/(2*TIMELINE!$C$144)),0))))))))))</f>
        <v>0</v>
      </c>
    </row>
    <row r="141" customFormat="false" ht="15" hidden="false" customHeight="false" outlineLevel="0" collapsed="false">
      <c r="B141" s="17" t="s">
        <v>689</v>
      </c>
      <c r="C141" s="105" t="str">
        <f aca="false">IF(INPUTS!$B$137="","",IF(INPUTS!$F$137&lt;&gt;"Yes","Off",IF(INPUTS!$M$137&lt;&gt;"OK","ERROR",IF(ABS(C140-1)&lt;0.000000001,"OK",IF(AND(C140=0,INPUTS!$G$137=0),"Zero","ERROR")))))</f>
        <v>Zero</v>
      </c>
    </row>
    <row r="142" customFormat="false" ht="15" hidden="false" customHeight="false" outlineLevel="0" collapsed="false">
      <c r="B142" s="110" t="str">
        <f aca="false">IF(INPUTS!$B$138="","Spare cost row",INPUTS!$B$138)</f>
        <v>Corporate Overheads (₹/Sq Ft SA)</v>
      </c>
      <c r="C142" s="111" t="str">
        <f aca="false">IF(INPUTS!$J$138="","",INPUTS!$J$138)</f>
        <v>Follow Project Life</v>
      </c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</row>
    <row r="143" customFormat="false" ht="15" hidden="false" customHeight="false" outlineLevel="0" collapsed="false">
      <c r="B143" s="3" t="s">
        <v>688</v>
      </c>
      <c r="C143" s="117" t="n">
        <f aca="false">SUM(D143:AQ143)</f>
        <v>1</v>
      </c>
      <c r="D143" s="118" t="n">
        <f aca="false">IF(INPUTS!$F$138&lt;&gt;"Yes",0,IF(INPUTS!$J$138="Follow Construction",D$100,IF(INPUTS!$J$138="Follow Sales",D$99,IF(INPUTS!$J$138="Follow Collections",D$108,IF(OR(TIMELINE!D149=0,TIMELINE!$C$148=0),0,IF(IF(INPUTS!$J$138="Follow Project Life","Even",IF(INPUTS!$J$138="At Project End","Upfront",INPUTS!$J$138))="Upfront",--(TIMELINE!D149=1),IF(IF(INPUTS!$J$138="Follow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End","Upfront",INPUTS!$J$138))="Front-loaded",(TIMELINE!$C$148-TIMELINE!D149+1)*2/(TIMELINE!$C$148*(TIMELINE!$C$148+1)),IF(IF(INPUTS!$J$138="Follow Project Life","Even",IF(INPUTS!$J$138="At Project End","Upfront",INPUTS!$J$138))="Back-loaded",TIMELINE!D149*2/(TIMELINE!$C$148*(TIMELINE!$C$148+1)),IF(IF(INPUTS!$J$138="Follow Project Life","Even",IF(INPUTS!$J$138="At Project End","Upfront",INPUTS!$J$138))="S-curve",SIN(PI()*(TIMELINE!D149-0.5)/TIMELINE!$C$148)*SIN(PI()/(2*TIMELINE!$C$148)),0))))))))))</f>
        <v>0.05</v>
      </c>
      <c r="E143" s="118" t="n">
        <f aca="false">IF(INPUTS!$F$138&lt;&gt;"Yes",0,IF(INPUTS!$J$138="Follow Construction",E$100,IF(INPUTS!$J$138="Follow Sales",E$99,IF(INPUTS!$J$138="Follow Collections",E$108,IF(OR(TIMELINE!E149=0,TIMELINE!$C$148=0),0,IF(IF(INPUTS!$J$138="Follow Project Life","Even",IF(INPUTS!$J$138="At Project End","Upfront",INPUTS!$J$138))="Upfront",--(TIMELINE!E149=1),IF(IF(INPUTS!$J$138="Follow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End","Upfront",INPUTS!$J$138))="Front-loaded",(TIMELINE!$C$148-TIMELINE!E149+1)*2/(TIMELINE!$C$148*(TIMELINE!$C$148+1)),IF(IF(INPUTS!$J$138="Follow Project Life","Even",IF(INPUTS!$J$138="At Project End","Upfront",INPUTS!$J$138))="Back-loaded",TIMELINE!E149*2/(TIMELINE!$C$148*(TIMELINE!$C$148+1)),IF(IF(INPUTS!$J$138="Follow Project Life","Even",IF(INPUTS!$J$138="At Project End","Upfront",INPUTS!$J$138))="S-curve",SIN(PI()*(TIMELINE!E149-0.5)/TIMELINE!$C$148)*SIN(PI()/(2*TIMELINE!$C$148)),0))))))))))</f>
        <v>0.05</v>
      </c>
      <c r="F143" s="118" t="n">
        <f aca="false">IF(INPUTS!$F$138&lt;&gt;"Yes",0,IF(INPUTS!$J$138="Follow Construction",F$100,IF(INPUTS!$J$138="Follow Sales",F$99,IF(INPUTS!$J$138="Follow Collections",F$108,IF(OR(TIMELINE!F149=0,TIMELINE!$C$148=0),0,IF(IF(INPUTS!$J$138="Follow Project Life","Even",IF(INPUTS!$J$138="At Project End","Upfront",INPUTS!$J$138))="Upfront",--(TIMELINE!F149=1),IF(IF(INPUTS!$J$138="Follow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End","Upfront",INPUTS!$J$138))="Front-loaded",(TIMELINE!$C$148-TIMELINE!F149+1)*2/(TIMELINE!$C$148*(TIMELINE!$C$148+1)),IF(IF(INPUTS!$J$138="Follow Project Life","Even",IF(INPUTS!$J$138="At Project End","Upfront",INPUTS!$J$138))="Back-loaded",TIMELINE!F149*2/(TIMELINE!$C$148*(TIMELINE!$C$148+1)),IF(IF(INPUTS!$J$138="Follow Project Life","Even",IF(INPUTS!$J$138="At Project End","Upfront",INPUTS!$J$138))="S-curve",SIN(PI()*(TIMELINE!F149-0.5)/TIMELINE!$C$148)*SIN(PI()/(2*TIMELINE!$C$148)),0))))))))))</f>
        <v>0.05</v>
      </c>
      <c r="G143" s="118" t="n">
        <f aca="false">IF(INPUTS!$F$138&lt;&gt;"Yes",0,IF(INPUTS!$J$138="Follow Construction",G$100,IF(INPUTS!$J$138="Follow Sales",G$99,IF(INPUTS!$J$138="Follow Collections",G$108,IF(OR(TIMELINE!G149=0,TIMELINE!$C$148=0),0,IF(IF(INPUTS!$J$138="Follow Project Life","Even",IF(INPUTS!$J$138="At Project End","Upfront",INPUTS!$J$138))="Upfront",--(TIMELINE!G149=1),IF(IF(INPUTS!$J$138="Follow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End","Upfront",INPUTS!$J$138))="Front-loaded",(TIMELINE!$C$148-TIMELINE!G149+1)*2/(TIMELINE!$C$148*(TIMELINE!$C$148+1)),IF(IF(INPUTS!$J$138="Follow Project Life","Even",IF(INPUTS!$J$138="At Project End","Upfront",INPUTS!$J$138))="Back-loaded",TIMELINE!G149*2/(TIMELINE!$C$148*(TIMELINE!$C$148+1)),IF(IF(INPUTS!$J$138="Follow Project Life","Even",IF(INPUTS!$J$138="At Project End","Upfront",INPUTS!$J$138))="S-curve",SIN(PI()*(TIMELINE!G149-0.5)/TIMELINE!$C$148)*SIN(PI()/(2*TIMELINE!$C$148)),0))))))))))</f>
        <v>0.05</v>
      </c>
      <c r="H143" s="118" t="n">
        <f aca="false">IF(INPUTS!$F$138&lt;&gt;"Yes",0,IF(INPUTS!$J$138="Follow Construction",H$100,IF(INPUTS!$J$138="Follow Sales",H$99,IF(INPUTS!$J$138="Follow Collections",H$108,IF(OR(TIMELINE!H149=0,TIMELINE!$C$148=0),0,IF(IF(INPUTS!$J$138="Follow Project Life","Even",IF(INPUTS!$J$138="At Project End","Upfront",INPUTS!$J$138))="Upfront",--(TIMELINE!H149=1),IF(IF(INPUTS!$J$138="Follow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End","Upfront",INPUTS!$J$138))="Front-loaded",(TIMELINE!$C$148-TIMELINE!H149+1)*2/(TIMELINE!$C$148*(TIMELINE!$C$148+1)),IF(IF(INPUTS!$J$138="Follow Project Life","Even",IF(INPUTS!$J$138="At Project End","Upfront",INPUTS!$J$138))="Back-loaded",TIMELINE!H149*2/(TIMELINE!$C$148*(TIMELINE!$C$148+1)),IF(IF(INPUTS!$J$138="Follow Project Life","Even",IF(INPUTS!$J$138="At Project End","Upfront",INPUTS!$J$138))="S-curve",SIN(PI()*(TIMELINE!H149-0.5)/TIMELINE!$C$148)*SIN(PI()/(2*TIMELINE!$C$148)),0))))))))))</f>
        <v>0.05</v>
      </c>
      <c r="I143" s="118" t="n">
        <f aca="false">IF(INPUTS!$F$138&lt;&gt;"Yes",0,IF(INPUTS!$J$138="Follow Construction",I$100,IF(INPUTS!$J$138="Follow Sales",I$99,IF(INPUTS!$J$138="Follow Collections",I$108,IF(OR(TIMELINE!I149=0,TIMELINE!$C$148=0),0,IF(IF(INPUTS!$J$138="Follow Project Life","Even",IF(INPUTS!$J$138="At Project End","Upfront",INPUTS!$J$138))="Upfront",--(TIMELINE!I149=1),IF(IF(INPUTS!$J$138="Follow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End","Upfront",INPUTS!$J$138))="Front-loaded",(TIMELINE!$C$148-TIMELINE!I149+1)*2/(TIMELINE!$C$148*(TIMELINE!$C$148+1)),IF(IF(INPUTS!$J$138="Follow Project Life","Even",IF(INPUTS!$J$138="At Project End","Upfront",INPUTS!$J$138))="Back-loaded",TIMELINE!I149*2/(TIMELINE!$C$148*(TIMELINE!$C$148+1)),IF(IF(INPUTS!$J$138="Follow Project Life","Even",IF(INPUTS!$J$138="At Project End","Upfront",INPUTS!$J$138))="S-curve",SIN(PI()*(TIMELINE!I149-0.5)/TIMELINE!$C$148)*SIN(PI()/(2*TIMELINE!$C$148)),0))))))))))</f>
        <v>0.05</v>
      </c>
      <c r="J143" s="118" t="n">
        <f aca="false">IF(INPUTS!$F$138&lt;&gt;"Yes",0,IF(INPUTS!$J$138="Follow Construction",J$100,IF(INPUTS!$J$138="Follow Sales",J$99,IF(INPUTS!$J$138="Follow Collections",J$108,IF(OR(TIMELINE!J149=0,TIMELINE!$C$148=0),0,IF(IF(INPUTS!$J$138="Follow Project Life","Even",IF(INPUTS!$J$138="At Project End","Upfront",INPUTS!$J$138))="Upfront",--(TIMELINE!J149=1),IF(IF(INPUTS!$J$138="Follow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End","Upfront",INPUTS!$J$138))="Front-loaded",(TIMELINE!$C$148-TIMELINE!J149+1)*2/(TIMELINE!$C$148*(TIMELINE!$C$148+1)),IF(IF(INPUTS!$J$138="Follow Project Life","Even",IF(INPUTS!$J$138="At Project End","Upfront",INPUTS!$J$138))="Back-loaded",TIMELINE!J149*2/(TIMELINE!$C$148*(TIMELINE!$C$148+1)),IF(IF(INPUTS!$J$138="Follow Project Life","Even",IF(INPUTS!$J$138="At Project End","Upfront",INPUTS!$J$138))="S-curve",SIN(PI()*(TIMELINE!J149-0.5)/TIMELINE!$C$148)*SIN(PI()/(2*TIMELINE!$C$148)),0))))))))))</f>
        <v>0.05</v>
      </c>
      <c r="K143" s="118" t="n">
        <f aca="false">IF(INPUTS!$F$138&lt;&gt;"Yes",0,IF(INPUTS!$J$138="Follow Construction",K$100,IF(INPUTS!$J$138="Follow Sales",K$99,IF(INPUTS!$J$138="Follow Collections",K$108,IF(OR(TIMELINE!K149=0,TIMELINE!$C$148=0),0,IF(IF(INPUTS!$J$138="Follow Project Life","Even",IF(INPUTS!$J$138="At Project End","Upfront",INPUTS!$J$138))="Upfront",--(TIMELINE!K149=1),IF(IF(INPUTS!$J$138="Follow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End","Upfront",INPUTS!$J$138))="Front-loaded",(TIMELINE!$C$148-TIMELINE!K149+1)*2/(TIMELINE!$C$148*(TIMELINE!$C$148+1)),IF(IF(INPUTS!$J$138="Follow Project Life","Even",IF(INPUTS!$J$138="At Project End","Upfront",INPUTS!$J$138))="Back-loaded",TIMELINE!K149*2/(TIMELINE!$C$148*(TIMELINE!$C$148+1)),IF(IF(INPUTS!$J$138="Follow Project Life","Even",IF(INPUTS!$J$138="At Project End","Upfront",INPUTS!$J$138))="S-curve",SIN(PI()*(TIMELINE!K149-0.5)/TIMELINE!$C$148)*SIN(PI()/(2*TIMELINE!$C$148)),0))))))))))</f>
        <v>0.05</v>
      </c>
      <c r="L143" s="118" t="n">
        <f aca="false">IF(INPUTS!$F$138&lt;&gt;"Yes",0,IF(INPUTS!$J$138="Follow Construction",L$100,IF(INPUTS!$J$138="Follow Sales",L$99,IF(INPUTS!$J$138="Follow Collections",L$108,IF(OR(TIMELINE!L149=0,TIMELINE!$C$148=0),0,IF(IF(INPUTS!$J$138="Follow Project Life","Even",IF(INPUTS!$J$138="At Project End","Upfront",INPUTS!$J$138))="Upfront",--(TIMELINE!L149=1),IF(IF(INPUTS!$J$138="Follow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End","Upfront",INPUTS!$J$138))="Front-loaded",(TIMELINE!$C$148-TIMELINE!L149+1)*2/(TIMELINE!$C$148*(TIMELINE!$C$148+1)),IF(IF(INPUTS!$J$138="Follow Project Life","Even",IF(INPUTS!$J$138="At Project End","Upfront",INPUTS!$J$138))="Back-loaded",TIMELINE!L149*2/(TIMELINE!$C$148*(TIMELINE!$C$148+1)),IF(IF(INPUTS!$J$138="Follow Project Life","Even",IF(INPUTS!$J$138="At Project End","Upfront",INPUTS!$J$138))="S-curve",SIN(PI()*(TIMELINE!L149-0.5)/TIMELINE!$C$148)*SIN(PI()/(2*TIMELINE!$C$148)),0))))))))))</f>
        <v>0.05</v>
      </c>
      <c r="M143" s="118" t="n">
        <f aca="false">IF(INPUTS!$F$138&lt;&gt;"Yes",0,IF(INPUTS!$J$138="Follow Construction",M$100,IF(INPUTS!$J$138="Follow Sales",M$99,IF(INPUTS!$J$138="Follow Collections",M$108,IF(OR(TIMELINE!M149=0,TIMELINE!$C$148=0),0,IF(IF(INPUTS!$J$138="Follow Project Life","Even",IF(INPUTS!$J$138="At Project End","Upfront",INPUTS!$J$138))="Upfront",--(TIMELINE!M149=1),IF(IF(INPUTS!$J$138="Follow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End","Upfront",INPUTS!$J$138))="Front-loaded",(TIMELINE!$C$148-TIMELINE!M149+1)*2/(TIMELINE!$C$148*(TIMELINE!$C$148+1)),IF(IF(INPUTS!$J$138="Follow Project Life","Even",IF(INPUTS!$J$138="At Project End","Upfront",INPUTS!$J$138))="Back-loaded",TIMELINE!M149*2/(TIMELINE!$C$148*(TIMELINE!$C$148+1)),IF(IF(INPUTS!$J$138="Follow Project Life","Even",IF(INPUTS!$J$138="At Project End","Upfront",INPUTS!$J$138))="S-curve",SIN(PI()*(TIMELINE!M149-0.5)/TIMELINE!$C$148)*SIN(PI()/(2*TIMELINE!$C$148)),0))))))))))</f>
        <v>0.05</v>
      </c>
      <c r="N143" s="118" t="n">
        <f aca="false">IF(INPUTS!$F$138&lt;&gt;"Yes",0,IF(INPUTS!$J$138="Follow Construction",N$100,IF(INPUTS!$J$138="Follow Sales",N$99,IF(INPUTS!$J$138="Follow Collections",N$108,IF(OR(TIMELINE!N149=0,TIMELINE!$C$148=0),0,IF(IF(INPUTS!$J$138="Follow Project Life","Even",IF(INPUTS!$J$138="At Project End","Upfront",INPUTS!$J$138))="Upfront",--(TIMELINE!N149=1),IF(IF(INPUTS!$J$138="Follow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End","Upfront",INPUTS!$J$138))="Front-loaded",(TIMELINE!$C$148-TIMELINE!N149+1)*2/(TIMELINE!$C$148*(TIMELINE!$C$148+1)),IF(IF(INPUTS!$J$138="Follow Project Life","Even",IF(INPUTS!$J$138="At Project End","Upfront",INPUTS!$J$138))="Back-loaded",TIMELINE!N149*2/(TIMELINE!$C$148*(TIMELINE!$C$148+1)),IF(IF(INPUTS!$J$138="Follow Project Life","Even",IF(INPUTS!$J$138="At Project End","Upfront",INPUTS!$J$138))="S-curve",SIN(PI()*(TIMELINE!N149-0.5)/TIMELINE!$C$148)*SIN(PI()/(2*TIMELINE!$C$148)),0))))))))))</f>
        <v>0.05</v>
      </c>
      <c r="O143" s="118" t="n">
        <f aca="false">IF(INPUTS!$F$138&lt;&gt;"Yes",0,IF(INPUTS!$J$138="Follow Construction",O$100,IF(INPUTS!$J$138="Follow Sales",O$99,IF(INPUTS!$J$138="Follow Collections",O$108,IF(OR(TIMELINE!O149=0,TIMELINE!$C$148=0),0,IF(IF(INPUTS!$J$138="Follow Project Life","Even",IF(INPUTS!$J$138="At Project End","Upfront",INPUTS!$J$138))="Upfront",--(TIMELINE!O149=1),IF(IF(INPUTS!$J$138="Follow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End","Upfront",INPUTS!$J$138))="Front-loaded",(TIMELINE!$C$148-TIMELINE!O149+1)*2/(TIMELINE!$C$148*(TIMELINE!$C$148+1)),IF(IF(INPUTS!$J$138="Follow Project Life","Even",IF(INPUTS!$J$138="At Project End","Upfront",INPUTS!$J$138))="Back-loaded",TIMELINE!O149*2/(TIMELINE!$C$148*(TIMELINE!$C$148+1)),IF(IF(INPUTS!$J$138="Follow Project Life","Even",IF(INPUTS!$J$138="At Project End","Upfront",INPUTS!$J$138))="S-curve",SIN(PI()*(TIMELINE!O149-0.5)/TIMELINE!$C$148)*SIN(PI()/(2*TIMELINE!$C$148)),0))))))))))</f>
        <v>0.05</v>
      </c>
      <c r="P143" s="118" t="n">
        <f aca="false">IF(INPUTS!$F$138&lt;&gt;"Yes",0,IF(INPUTS!$J$138="Follow Construction",P$100,IF(INPUTS!$J$138="Follow Sales",P$99,IF(INPUTS!$J$138="Follow Collections",P$108,IF(OR(TIMELINE!P149=0,TIMELINE!$C$148=0),0,IF(IF(INPUTS!$J$138="Follow Project Life","Even",IF(INPUTS!$J$138="At Project End","Upfront",INPUTS!$J$138))="Upfront",--(TIMELINE!P149=1),IF(IF(INPUTS!$J$138="Follow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End","Upfront",INPUTS!$J$138))="Front-loaded",(TIMELINE!$C$148-TIMELINE!P149+1)*2/(TIMELINE!$C$148*(TIMELINE!$C$148+1)),IF(IF(INPUTS!$J$138="Follow Project Life","Even",IF(INPUTS!$J$138="At Project End","Upfront",INPUTS!$J$138))="Back-loaded",TIMELINE!P149*2/(TIMELINE!$C$148*(TIMELINE!$C$148+1)),IF(IF(INPUTS!$J$138="Follow Project Life","Even",IF(INPUTS!$J$138="At Project End","Upfront",INPUTS!$J$138))="S-curve",SIN(PI()*(TIMELINE!P149-0.5)/TIMELINE!$C$148)*SIN(PI()/(2*TIMELINE!$C$148)),0))))))))))</f>
        <v>0.05</v>
      </c>
      <c r="Q143" s="118" t="n">
        <f aca="false">IF(INPUTS!$F$138&lt;&gt;"Yes",0,IF(INPUTS!$J$138="Follow Construction",Q$100,IF(INPUTS!$J$138="Follow Sales",Q$99,IF(INPUTS!$J$138="Follow Collections",Q$108,IF(OR(TIMELINE!Q149=0,TIMELINE!$C$148=0),0,IF(IF(INPUTS!$J$138="Follow Project Life","Even",IF(INPUTS!$J$138="At Project End","Upfront",INPUTS!$J$138))="Upfront",--(TIMELINE!Q149=1),IF(IF(INPUTS!$J$138="Follow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End","Upfront",INPUTS!$J$138))="Front-loaded",(TIMELINE!$C$148-TIMELINE!Q149+1)*2/(TIMELINE!$C$148*(TIMELINE!$C$148+1)),IF(IF(INPUTS!$J$138="Follow Project Life","Even",IF(INPUTS!$J$138="At Project End","Upfront",INPUTS!$J$138))="Back-loaded",TIMELINE!Q149*2/(TIMELINE!$C$148*(TIMELINE!$C$148+1)),IF(IF(INPUTS!$J$138="Follow Project Life","Even",IF(INPUTS!$J$138="At Project End","Upfront",INPUTS!$J$138))="S-curve",SIN(PI()*(TIMELINE!Q149-0.5)/TIMELINE!$C$148)*SIN(PI()/(2*TIMELINE!$C$148)),0))))))))))</f>
        <v>0.05</v>
      </c>
      <c r="R143" s="118" t="n">
        <f aca="false">IF(INPUTS!$F$138&lt;&gt;"Yes",0,IF(INPUTS!$J$138="Follow Construction",R$100,IF(INPUTS!$J$138="Follow Sales",R$99,IF(INPUTS!$J$138="Follow Collections",R$108,IF(OR(TIMELINE!R149=0,TIMELINE!$C$148=0),0,IF(IF(INPUTS!$J$138="Follow Project Life","Even",IF(INPUTS!$J$138="At Project End","Upfront",INPUTS!$J$138))="Upfront",--(TIMELINE!R149=1),IF(IF(INPUTS!$J$138="Follow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End","Upfront",INPUTS!$J$138))="Front-loaded",(TIMELINE!$C$148-TIMELINE!R149+1)*2/(TIMELINE!$C$148*(TIMELINE!$C$148+1)),IF(IF(INPUTS!$J$138="Follow Project Life","Even",IF(INPUTS!$J$138="At Project End","Upfront",INPUTS!$J$138))="Back-loaded",TIMELINE!R149*2/(TIMELINE!$C$148*(TIMELINE!$C$148+1)),IF(IF(INPUTS!$J$138="Follow Project Life","Even",IF(INPUTS!$J$138="At Project End","Upfront",INPUTS!$J$138))="S-curve",SIN(PI()*(TIMELINE!R149-0.5)/TIMELINE!$C$148)*SIN(PI()/(2*TIMELINE!$C$148)),0))))))))))</f>
        <v>0.05</v>
      </c>
      <c r="S143" s="118" t="n">
        <f aca="false">IF(INPUTS!$F$138&lt;&gt;"Yes",0,IF(INPUTS!$J$138="Follow Construction",S$100,IF(INPUTS!$J$138="Follow Sales",S$99,IF(INPUTS!$J$138="Follow Collections",S$108,IF(OR(TIMELINE!S149=0,TIMELINE!$C$148=0),0,IF(IF(INPUTS!$J$138="Follow Project Life","Even",IF(INPUTS!$J$138="At Project End","Upfront",INPUTS!$J$138))="Upfront",--(TIMELINE!S149=1),IF(IF(INPUTS!$J$138="Follow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End","Upfront",INPUTS!$J$138))="Front-loaded",(TIMELINE!$C$148-TIMELINE!S149+1)*2/(TIMELINE!$C$148*(TIMELINE!$C$148+1)),IF(IF(INPUTS!$J$138="Follow Project Life","Even",IF(INPUTS!$J$138="At Project End","Upfront",INPUTS!$J$138))="Back-loaded",TIMELINE!S149*2/(TIMELINE!$C$148*(TIMELINE!$C$148+1)),IF(IF(INPUTS!$J$138="Follow Project Life","Even",IF(INPUTS!$J$138="At Project End","Upfront",INPUTS!$J$138))="S-curve",SIN(PI()*(TIMELINE!S149-0.5)/TIMELINE!$C$148)*SIN(PI()/(2*TIMELINE!$C$148)),0))))))))))</f>
        <v>0.05</v>
      </c>
      <c r="T143" s="118" t="n">
        <f aca="false">IF(INPUTS!$F$138&lt;&gt;"Yes",0,IF(INPUTS!$J$138="Follow Construction",T$100,IF(INPUTS!$J$138="Follow Sales",T$99,IF(INPUTS!$J$138="Follow Collections",T$108,IF(OR(TIMELINE!T149=0,TIMELINE!$C$148=0),0,IF(IF(INPUTS!$J$138="Follow Project Life","Even",IF(INPUTS!$J$138="At Project End","Upfront",INPUTS!$J$138))="Upfront",--(TIMELINE!T149=1),IF(IF(INPUTS!$J$138="Follow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End","Upfront",INPUTS!$J$138))="Front-loaded",(TIMELINE!$C$148-TIMELINE!T149+1)*2/(TIMELINE!$C$148*(TIMELINE!$C$148+1)),IF(IF(INPUTS!$J$138="Follow Project Life","Even",IF(INPUTS!$J$138="At Project End","Upfront",INPUTS!$J$138))="Back-loaded",TIMELINE!T149*2/(TIMELINE!$C$148*(TIMELINE!$C$148+1)),IF(IF(INPUTS!$J$138="Follow Project Life","Even",IF(INPUTS!$J$138="At Project End","Upfront",INPUTS!$J$138))="S-curve",SIN(PI()*(TIMELINE!T149-0.5)/TIMELINE!$C$148)*SIN(PI()/(2*TIMELINE!$C$148)),0))))))))))</f>
        <v>0.05</v>
      </c>
      <c r="U143" s="118" t="n">
        <f aca="false">IF(INPUTS!$F$138&lt;&gt;"Yes",0,IF(INPUTS!$J$138="Follow Construction",U$100,IF(INPUTS!$J$138="Follow Sales",U$99,IF(INPUTS!$J$138="Follow Collections",U$108,IF(OR(TIMELINE!U149=0,TIMELINE!$C$148=0),0,IF(IF(INPUTS!$J$138="Follow Project Life","Even",IF(INPUTS!$J$138="At Project End","Upfront",INPUTS!$J$138))="Upfront",--(TIMELINE!U149=1),IF(IF(INPUTS!$J$138="Follow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End","Upfront",INPUTS!$J$138))="Front-loaded",(TIMELINE!$C$148-TIMELINE!U149+1)*2/(TIMELINE!$C$148*(TIMELINE!$C$148+1)),IF(IF(INPUTS!$J$138="Follow Project Life","Even",IF(INPUTS!$J$138="At Project End","Upfront",INPUTS!$J$138))="Back-loaded",TIMELINE!U149*2/(TIMELINE!$C$148*(TIMELINE!$C$148+1)),IF(IF(INPUTS!$J$138="Follow Project Life","Even",IF(INPUTS!$J$138="At Project End","Upfront",INPUTS!$J$138))="S-curve",SIN(PI()*(TIMELINE!U149-0.5)/TIMELINE!$C$148)*SIN(PI()/(2*TIMELINE!$C$148)),0))))))))))</f>
        <v>0.05</v>
      </c>
      <c r="V143" s="118" t="n">
        <f aca="false">IF(INPUTS!$F$138&lt;&gt;"Yes",0,IF(INPUTS!$J$138="Follow Construction",V$100,IF(INPUTS!$J$138="Follow Sales",V$99,IF(INPUTS!$J$138="Follow Collections",V$108,IF(OR(TIMELINE!V149=0,TIMELINE!$C$148=0),0,IF(IF(INPUTS!$J$138="Follow Project Life","Even",IF(INPUTS!$J$138="At Project End","Upfront",INPUTS!$J$138))="Upfront",--(TIMELINE!V149=1),IF(IF(INPUTS!$J$138="Follow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End","Upfront",INPUTS!$J$138))="Front-loaded",(TIMELINE!$C$148-TIMELINE!V149+1)*2/(TIMELINE!$C$148*(TIMELINE!$C$148+1)),IF(IF(INPUTS!$J$138="Follow Project Life","Even",IF(INPUTS!$J$138="At Project End","Upfront",INPUTS!$J$138))="Back-loaded",TIMELINE!V149*2/(TIMELINE!$C$148*(TIMELINE!$C$148+1)),IF(IF(INPUTS!$J$138="Follow Project Life","Even",IF(INPUTS!$J$138="At Project End","Upfront",INPUTS!$J$138))="S-curve",SIN(PI()*(TIMELINE!V149-0.5)/TIMELINE!$C$148)*SIN(PI()/(2*TIMELINE!$C$148)),0))))))))))</f>
        <v>0.05</v>
      </c>
      <c r="W143" s="118" t="n">
        <f aca="false">IF(INPUTS!$F$138&lt;&gt;"Yes",0,IF(INPUTS!$J$138="Follow Construction",W$100,IF(INPUTS!$J$138="Follow Sales",W$99,IF(INPUTS!$J$138="Follow Collections",W$108,IF(OR(TIMELINE!W149=0,TIMELINE!$C$148=0),0,IF(IF(INPUTS!$J$138="Follow Project Life","Even",IF(INPUTS!$J$138="At Project End","Upfront",INPUTS!$J$138))="Upfront",--(TIMELINE!W149=1),IF(IF(INPUTS!$J$138="Follow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End","Upfront",INPUTS!$J$138))="Front-loaded",(TIMELINE!$C$148-TIMELINE!W149+1)*2/(TIMELINE!$C$148*(TIMELINE!$C$148+1)),IF(IF(INPUTS!$J$138="Follow Project Life","Even",IF(INPUTS!$J$138="At Project End","Upfront",INPUTS!$J$138))="Back-loaded",TIMELINE!W149*2/(TIMELINE!$C$148*(TIMELINE!$C$148+1)),IF(IF(INPUTS!$J$138="Follow Project Life","Even",IF(INPUTS!$J$138="At Project End","Upfront",INPUTS!$J$138))="S-curve",SIN(PI()*(TIMELINE!W149-0.5)/TIMELINE!$C$148)*SIN(PI()/(2*TIMELINE!$C$148)),0))))))))))</f>
        <v>0.05</v>
      </c>
      <c r="X143" s="118" t="n">
        <f aca="false">IF(INPUTS!$F$138&lt;&gt;"Yes",0,IF(INPUTS!$J$138="Follow Construction",X$100,IF(INPUTS!$J$138="Follow Sales",X$99,IF(INPUTS!$J$138="Follow Collections",X$108,IF(OR(TIMELINE!X149=0,TIMELINE!$C$148=0),0,IF(IF(INPUTS!$J$138="Follow Project Life","Even",IF(INPUTS!$J$138="At Project End","Upfront",INPUTS!$J$138))="Upfront",--(TIMELINE!X149=1),IF(IF(INPUTS!$J$138="Follow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End","Upfront",INPUTS!$J$138))="Front-loaded",(TIMELINE!$C$148-TIMELINE!X149+1)*2/(TIMELINE!$C$148*(TIMELINE!$C$148+1)),IF(IF(INPUTS!$J$138="Follow Project Life","Even",IF(INPUTS!$J$138="At Project End","Upfront",INPUTS!$J$138))="Back-loaded",TIMELINE!X149*2/(TIMELINE!$C$148*(TIMELINE!$C$148+1)),IF(IF(INPUTS!$J$138="Follow Project Life","Even",IF(INPUTS!$J$138="At Project End","Upfront",INPUTS!$J$138))="S-curve",SIN(PI()*(TIMELINE!X149-0.5)/TIMELINE!$C$148)*SIN(PI()/(2*TIMELINE!$C$148)),0))))))))))</f>
        <v>0</v>
      </c>
      <c r="Y143" s="118" t="n">
        <f aca="false">IF(INPUTS!$F$138&lt;&gt;"Yes",0,IF(INPUTS!$J$138="Follow Construction",Y$100,IF(INPUTS!$J$138="Follow Sales",Y$99,IF(INPUTS!$J$138="Follow Collections",Y$108,IF(OR(TIMELINE!Y149=0,TIMELINE!$C$148=0),0,IF(IF(INPUTS!$J$138="Follow Project Life","Even",IF(INPUTS!$J$138="At Project End","Upfront",INPUTS!$J$138))="Upfront",--(TIMELINE!Y149=1),IF(IF(INPUTS!$J$138="Follow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End","Upfront",INPUTS!$J$138))="Front-loaded",(TIMELINE!$C$148-TIMELINE!Y149+1)*2/(TIMELINE!$C$148*(TIMELINE!$C$148+1)),IF(IF(INPUTS!$J$138="Follow Project Life","Even",IF(INPUTS!$J$138="At Project End","Upfront",INPUTS!$J$138))="Back-loaded",TIMELINE!Y149*2/(TIMELINE!$C$148*(TIMELINE!$C$148+1)),IF(IF(INPUTS!$J$138="Follow Project Life","Even",IF(INPUTS!$J$138="At Project End","Upfront",INPUTS!$J$138))="S-curve",SIN(PI()*(TIMELINE!Y149-0.5)/TIMELINE!$C$148)*SIN(PI()/(2*TIMELINE!$C$148)),0))))))))))</f>
        <v>0</v>
      </c>
      <c r="Z143" s="118" t="n">
        <f aca="false">IF(INPUTS!$F$138&lt;&gt;"Yes",0,IF(INPUTS!$J$138="Follow Construction",Z$100,IF(INPUTS!$J$138="Follow Sales",Z$99,IF(INPUTS!$J$138="Follow Collections",Z$108,IF(OR(TIMELINE!Z149=0,TIMELINE!$C$148=0),0,IF(IF(INPUTS!$J$138="Follow Project Life","Even",IF(INPUTS!$J$138="At Project End","Upfront",INPUTS!$J$138))="Upfront",--(TIMELINE!Z149=1),IF(IF(INPUTS!$J$138="Follow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End","Upfront",INPUTS!$J$138))="Front-loaded",(TIMELINE!$C$148-TIMELINE!Z149+1)*2/(TIMELINE!$C$148*(TIMELINE!$C$148+1)),IF(IF(INPUTS!$J$138="Follow Project Life","Even",IF(INPUTS!$J$138="At Project End","Upfront",INPUTS!$J$138))="Back-loaded",TIMELINE!Z149*2/(TIMELINE!$C$148*(TIMELINE!$C$148+1)),IF(IF(INPUTS!$J$138="Follow Project Life","Even",IF(INPUTS!$J$138="At Project End","Upfront",INPUTS!$J$138))="S-curve",SIN(PI()*(TIMELINE!Z149-0.5)/TIMELINE!$C$148)*SIN(PI()/(2*TIMELINE!$C$148)),0))))))))))</f>
        <v>0</v>
      </c>
      <c r="AA143" s="118" t="n">
        <f aca="false">IF(INPUTS!$F$138&lt;&gt;"Yes",0,IF(INPUTS!$J$138="Follow Construction",AA$100,IF(INPUTS!$J$138="Follow Sales",AA$99,IF(INPUTS!$J$138="Follow Collections",AA$108,IF(OR(TIMELINE!AA149=0,TIMELINE!$C$148=0),0,IF(IF(INPUTS!$J$138="Follow Project Life","Even",IF(INPUTS!$J$138="At Project End","Upfront",INPUTS!$J$138))="Upfront",--(TIMELINE!AA149=1),IF(IF(INPUTS!$J$138="Follow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End","Upfront",INPUTS!$J$138))="Front-loaded",(TIMELINE!$C$148-TIMELINE!AA149+1)*2/(TIMELINE!$C$148*(TIMELINE!$C$148+1)),IF(IF(INPUTS!$J$138="Follow Project Life","Even",IF(INPUTS!$J$138="At Project End","Upfront",INPUTS!$J$138))="Back-loaded",TIMELINE!AA149*2/(TIMELINE!$C$148*(TIMELINE!$C$148+1)),IF(IF(INPUTS!$J$138="Follow Project Life","Even",IF(INPUTS!$J$138="At Project End","Upfront",INPUTS!$J$138))="S-curve",SIN(PI()*(TIMELINE!AA149-0.5)/TIMELINE!$C$148)*SIN(PI()/(2*TIMELINE!$C$148)),0))))))))))</f>
        <v>0</v>
      </c>
      <c r="AB143" s="118" t="n">
        <f aca="false">IF(INPUTS!$F$138&lt;&gt;"Yes",0,IF(INPUTS!$J$138="Follow Construction",AB$100,IF(INPUTS!$J$138="Follow Sales",AB$99,IF(INPUTS!$J$138="Follow Collections",AB$108,IF(OR(TIMELINE!AB149=0,TIMELINE!$C$148=0),0,IF(IF(INPUTS!$J$138="Follow Project Life","Even",IF(INPUTS!$J$138="At Project End","Upfront",INPUTS!$J$138))="Upfront",--(TIMELINE!AB149=1),IF(IF(INPUTS!$J$138="Follow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End","Upfront",INPUTS!$J$138))="Front-loaded",(TIMELINE!$C$148-TIMELINE!AB149+1)*2/(TIMELINE!$C$148*(TIMELINE!$C$148+1)),IF(IF(INPUTS!$J$138="Follow Project Life","Even",IF(INPUTS!$J$138="At Project End","Upfront",INPUTS!$J$138))="Back-loaded",TIMELINE!AB149*2/(TIMELINE!$C$148*(TIMELINE!$C$148+1)),IF(IF(INPUTS!$J$138="Follow Project Life","Even",IF(INPUTS!$J$138="At Project End","Upfront",INPUTS!$J$138))="S-curve",SIN(PI()*(TIMELINE!AB149-0.5)/TIMELINE!$C$148)*SIN(PI()/(2*TIMELINE!$C$148)),0))))))))))</f>
        <v>0</v>
      </c>
      <c r="AC143" s="118" t="n">
        <f aca="false">IF(INPUTS!$F$138&lt;&gt;"Yes",0,IF(INPUTS!$J$138="Follow Construction",AC$100,IF(INPUTS!$J$138="Follow Sales",AC$99,IF(INPUTS!$J$138="Follow Collections",AC$108,IF(OR(TIMELINE!AC149=0,TIMELINE!$C$148=0),0,IF(IF(INPUTS!$J$138="Follow Project Life","Even",IF(INPUTS!$J$138="At Project End","Upfront",INPUTS!$J$138))="Upfront",--(TIMELINE!AC149=1),IF(IF(INPUTS!$J$138="Follow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End","Upfront",INPUTS!$J$138))="Front-loaded",(TIMELINE!$C$148-TIMELINE!AC149+1)*2/(TIMELINE!$C$148*(TIMELINE!$C$148+1)),IF(IF(INPUTS!$J$138="Follow Project Life","Even",IF(INPUTS!$J$138="At Project End","Upfront",INPUTS!$J$138))="Back-loaded",TIMELINE!AC149*2/(TIMELINE!$C$148*(TIMELINE!$C$148+1)),IF(IF(INPUTS!$J$138="Follow Project Life","Even",IF(INPUTS!$J$138="At Project End","Upfront",INPUTS!$J$138))="S-curve",SIN(PI()*(TIMELINE!AC149-0.5)/TIMELINE!$C$148)*SIN(PI()/(2*TIMELINE!$C$148)),0))))))))))</f>
        <v>0</v>
      </c>
      <c r="AD143" s="118" t="n">
        <f aca="false">IF(INPUTS!$F$138&lt;&gt;"Yes",0,IF(INPUTS!$J$138="Follow Construction",AD$100,IF(INPUTS!$J$138="Follow Sales",AD$99,IF(INPUTS!$J$138="Follow Collections",AD$108,IF(OR(TIMELINE!AD149=0,TIMELINE!$C$148=0),0,IF(IF(INPUTS!$J$138="Follow Project Life","Even",IF(INPUTS!$J$138="At Project End","Upfront",INPUTS!$J$138))="Upfront",--(TIMELINE!AD149=1),IF(IF(INPUTS!$J$138="Follow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End","Upfront",INPUTS!$J$138))="Front-loaded",(TIMELINE!$C$148-TIMELINE!AD149+1)*2/(TIMELINE!$C$148*(TIMELINE!$C$148+1)),IF(IF(INPUTS!$J$138="Follow Project Life","Even",IF(INPUTS!$J$138="At Project End","Upfront",INPUTS!$J$138))="Back-loaded",TIMELINE!AD149*2/(TIMELINE!$C$148*(TIMELINE!$C$148+1)),IF(IF(INPUTS!$J$138="Follow Project Life","Even",IF(INPUTS!$J$138="At Project End","Upfront",INPUTS!$J$138))="S-curve",SIN(PI()*(TIMELINE!AD149-0.5)/TIMELINE!$C$148)*SIN(PI()/(2*TIMELINE!$C$148)),0))))))))))</f>
        <v>0</v>
      </c>
      <c r="AE143" s="118" t="n">
        <f aca="false">IF(INPUTS!$F$138&lt;&gt;"Yes",0,IF(INPUTS!$J$138="Follow Construction",AE$100,IF(INPUTS!$J$138="Follow Sales",AE$99,IF(INPUTS!$J$138="Follow Collections",AE$108,IF(OR(TIMELINE!AE149=0,TIMELINE!$C$148=0),0,IF(IF(INPUTS!$J$138="Follow Project Life","Even",IF(INPUTS!$J$138="At Project End","Upfront",INPUTS!$J$138))="Upfront",--(TIMELINE!AE149=1),IF(IF(INPUTS!$J$138="Follow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End","Upfront",INPUTS!$J$138))="Front-loaded",(TIMELINE!$C$148-TIMELINE!AE149+1)*2/(TIMELINE!$C$148*(TIMELINE!$C$148+1)),IF(IF(INPUTS!$J$138="Follow Project Life","Even",IF(INPUTS!$J$138="At Project End","Upfront",INPUTS!$J$138))="Back-loaded",TIMELINE!AE149*2/(TIMELINE!$C$148*(TIMELINE!$C$148+1)),IF(IF(INPUTS!$J$138="Follow Project Life","Even",IF(INPUTS!$J$138="At Project End","Upfront",INPUTS!$J$138))="S-curve",SIN(PI()*(TIMELINE!AE149-0.5)/TIMELINE!$C$148)*SIN(PI()/(2*TIMELINE!$C$148)),0))))))))))</f>
        <v>0</v>
      </c>
      <c r="AF143" s="118" t="n">
        <f aca="false">IF(INPUTS!$F$138&lt;&gt;"Yes",0,IF(INPUTS!$J$138="Follow Construction",AF$100,IF(INPUTS!$J$138="Follow Sales",AF$99,IF(INPUTS!$J$138="Follow Collections",AF$108,IF(OR(TIMELINE!AF149=0,TIMELINE!$C$148=0),0,IF(IF(INPUTS!$J$138="Follow Project Life","Even",IF(INPUTS!$J$138="At Project End","Upfront",INPUTS!$J$138))="Upfront",--(TIMELINE!AF149=1),IF(IF(INPUTS!$J$138="Follow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End","Upfront",INPUTS!$J$138))="Front-loaded",(TIMELINE!$C$148-TIMELINE!AF149+1)*2/(TIMELINE!$C$148*(TIMELINE!$C$148+1)),IF(IF(INPUTS!$J$138="Follow Project Life","Even",IF(INPUTS!$J$138="At Project End","Upfront",INPUTS!$J$138))="Back-loaded",TIMELINE!AF149*2/(TIMELINE!$C$148*(TIMELINE!$C$148+1)),IF(IF(INPUTS!$J$138="Follow Project Life","Even",IF(INPUTS!$J$138="At Project End","Upfront",INPUTS!$J$138))="S-curve",SIN(PI()*(TIMELINE!AF149-0.5)/TIMELINE!$C$148)*SIN(PI()/(2*TIMELINE!$C$148)),0))))))))))</f>
        <v>0</v>
      </c>
      <c r="AG143" s="118" t="n">
        <f aca="false">IF(INPUTS!$F$138&lt;&gt;"Yes",0,IF(INPUTS!$J$138="Follow Construction",AG$100,IF(INPUTS!$J$138="Follow Sales",AG$99,IF(INPUTS!$J$138="Follow Collections",AG$108,IF(OR(TIMELINE!AG149=0,TIMELINE!$C$148=0),0,IF(IF(INPUTS!$J$138="Follow Project Life","Even",IF(INPUTS!$J$138="At Project End","Upfront",INPUTS!$J$138))="Upfront",--(TIMELINE!AG149=1),IF(IF(INPUTS!$J$138="Follow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End","Upfront",INPUTS!$J$138))="Front-loaded",(TIMELINE!$C$148-TIMELINE!AG149+1)*2/(TIMELINE!$C$148*(TIMELINE!$C$148+1)),IF(IF(INPUTS!$J$138="Follow Project Life","Even",IF(INPUTS!$J$138="At Project End","Upfront",INPUTS!$J$138))="Back-loaded",TIMELINE!AG149*2/(TIMELINE!$C$148*(TIMELINE!$C$148+1)),IF(IF(INPUTS!$J$138="Follow Project Life","Even",IF(INPUTS!$J$138="At Project End","Upfront",INPUTS!$J$138))="S-curve",SIN(PI()*(TIMELINE!AG149-0.5)/TIMELINE!$C$148)*SIN(PI()/(2*TIMELINE!$C$148)),0))))))))))</f>
        <v>0</v>
      </c>
      <c r="AH143" s="118" t="n">
        <f aca="false">IF(INPUTS!$F$138&lt;&gt;"Yes",0,IF(INPUTS!$J$138="Follow Construction",AH$100,IF(INPUTS!$J$138="Follow Sales",AH$99,IF(INPUTS!$J$138="Follow Collections",AH$108,IF(OR(TIMELINE!AH149=0,TIMELINE!$C$148=0),0,IF(IF(INPUTS!$J$138="Follow Project Life","Even",IF(INPUTS!$J$138="At Project End","Upfront",INPUTS!$J$138))="Upfront",--(TIMELINE!AH149=1),IF(IF(INPUTS!$J$138="Follow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End","Upfront",INPUTS!$J$138))="Front-loaded",(TIMELINE!$C$148-TIMELINE!AH149+1)*2/(TIMELINE!$C$148*(TIMELINE!$C$148+1)),IF(IF(INPUTS!$J$138="Follow Project Life","Even",IF(INPUTS!$J$138="At Project End","Upfront",INPUTS!$J$138))="Back-loaded",TIMELINE!AH149*2/(TIMELINE!$C$148*(TIMELINE!$C$148+1)),IF(IF(INPUTS!$J$138="Follow Project Life","Even",IF(INPUTS!$J$138="At Project End","Upfront",INPUTS!$J$138))="S-curve",SIN(PI()*(TIMELINE!AH149-0.5)/TIMELINE!$C$148)*SIN(PI()/(2*TIMELINE!$C$148)),0))))))))))</f>
        <v>0</v>
      </c>
      <c r="AI143" s="118" t="n">
        <f aca="false">IF(INPUTS!$F$138&lt;&gt;"Yes",0,IF(INPUTS!$J$138="Follow Construction",AI$100,IF(INPUTS!$J$138="Follow Sales",AI$99,IF(INPUTS!$J$138="Follow Collections",AI$108,IF(OR(TIMELINE!AI149=0,TIMELINE!$C$148=0),0,IF(IF(INPUTS!$J$138="Follow Project Life","Even",IF(INPUTS!$J$138="At Project End","Upfront",INPUTS!$J$138))="Upfront",--(TIMELINE!AI149=1),IF(IF(INPUTS!$J$138="Follow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End","Upfront",INPUTS!$J$138))="Front-loaded",(TIMELINE!$C$148-TIMELINE!AI149+1)*2/(TIMELINE!$C$148*(TIMELINE!$C$148+1)),IF(IF(INPUTS!$J$138="Follow Project Life","Even",IF(INPUTS!$J$138="At Project End","Upfront",INPUTS!$J$138))="Back-loaded",TIMELINE!AI149*2/(TIMELINE!$C$148*(TIMELINE!$C$148+1)),IF(IF(INPUTS!$J$138="Follow Project Life","Even",IF(INPUTS!$J$138="At Project End","Upfront",INPUTS!$J$138))="S-curve",SIN(PI()*(TIMELINE!AI149-0.5)/TIMELINE!$C$148)*SIN(PI()/(2*TIMELINE!$C$148)),0))))))))))</f>
        <v>0</v>
      </c>
      <c r="AJ143" s="118" t="n">
        <f aca="false">IF(INPUTS!$F$138&lt;&gt;"Yes",0,IF(INPUTS!$J$138="Follow Construction",AJ$100,IF(INPUTS!$J$138="Follow Sales",AJ$99,IF(INPUTS!$J$138="Follow Collections",AJ$108,IF(OR(TIMELINE!AJ149=0,TIMELINE!$C$148=0),0,IF(IF(INPUTS!$J$138="Follow Project Life","Even",IF(INPUTS!$J$138="At Project End","Upfront",INPUTS!$J$138))="Upfront",--(TIMELINE!AJ149=1),IF(IF(INPUTS!$J$138="Follow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End","Upfront",INPUTS!$J$138))="Front-loaded",(TIMELINE!$C$148-TIMELINE!AJ149+1)*2/(TIMELINE!$C$148*(TIMELINE!$C$148+1)),IF(IF(INPUTS!$J$138="Follow Project Life","Even",IF(INPUTS!$J$138="At Project End","Upfront",INPUTS!$J$138))="Back-loaded",TIMELINE!AJ149*2/(TIMELINE!$C$148*(TIMELINE!$C$148+1)),IF(IF(INPUTS!$J$138="Follow Project Life","Even",IF(INPUTS!$J$138="At Project End","Upfront",INPUTS!$J$138))="S-curve",SIN(PI()*(TIMELINE!AJ149-0.5)/TIMELINE!$C$148)*SIN(PI()/(2*TIMELINE!$C$148)),0))))))))))</f>
        <v>0</v>
      </c>
      <c r="AK143" s="118" t="n">
        <f aca="false">IF(INPUTS!$F$138&lt;&gt;"Yes",0,IF(INPUTS!$J$138="Follow Construction",AK$100,IF(INPUTS!$J$138="Follow Sales",AK$99,IF(INPUTS!$J$138="Follow Collections",AK$108,IF(OR(TIMELINE!AK149=0,TIMELINE!$C$148=0),0,IF(IF(INPUTS!$J$138="Follow Project Life","Even",IF(INPUTS!$J$138="At Project End","Upfront",INPUTS!$J$138))="Upfront",--(TIMELINE!AK149=1),IF(IF(INPUTS!$J$138="Follow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End","Upfront",INPUTS!$J$138))="Front-loaded",(TIMELINE!$C$148-TIMELINE!AK149+1)*2/(TIMELINE!$C$148*(TIMELINE!$C$148+1)),IF(IF(INPUTS!$J$138="Follow Project Life","Even",IF(INPUTS!$J$138="At Project End","Upfront",INPUTS!$J$138))="Back-loaded",TIMELINE!AK149*2/(TIMELINE!$C$148*(TIMELINE!$C$148+1)),IF(IF(INPUTS!$J$138="Follow Project Life","Even",IF(INPUTS!$J$138="At Project End","Upfront",INPUTS!$J$138))="S-curve",SIN(PI()*(TIMELINE!AK149-0.5)/TIMELINE!$C$148)*SIN(PI()/(2*TIMELINE!$C$148)),0))))))))))</f>
        <v>0</v>
      </c>
      <c r="AL143" s="118" t="n">
        <f aca="false">IF(INPUTS!$F$138&lt;&gt;"Yes",0,IF(INPUTS!$J$138="Follow Construction",AL$100,IF(INPUTS!$J$138="Follow Sales",AL$99,IF(INPUTS!$J$138="Follow Collections",AL$108,IF(OR(TIMELINE!AL149=0,TIMELINE!$C$148=0),0,IF(IF(INPUTS!$J$138="Follow Project Life","Even",IF(INPUTS!$J$138="At Project End","Upfront",INPUTS!$J$138))="Upfront",--(TIMELINE!AL149=1),IF(IF(INPUTS!$J$138="Follow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End","Upfront",INPUTS!$J$138))="Front-loaded",(TIMELINE!$C$148-TIMELINE!AL149+1)*2/(TIMELINE!$C$148*(TIMELINE!$C$148+1)),IF(IF(INPUTS!$J$138="Follow Project Life","Even",IF(INPUTS!$J$138="At Project End","Upfront",INPUTS!$J$138))="Back-loaded",TIMELINE!AL149*2/(TIMELINE!$C$148*(TIMELINE!$C$148+1)),IF(IF(INPUTS!$J$138="Follow Project Life","Even",IF(INPUTS!$J$138="At Project End","Upfront",INPUTS!$J$138))="S-curve",SIN(PI()*(TIMELINE!AL149-0.5)/TIMELINE!$C$148)*SIN(PI()/(2*TIMELINE!$C$148)),0))))))))))</f>
        <v>0</v>
      </c>
      <c r="AM143" s="118" t="n">
        <f aca="false">IF(INPUTS!$F$138&lt;&gt;"Yes",0,IF(INPUTS!$J$138="Follow Construction",AM$100,IF(INPUTS!$J$138="Follow Sales",AM$99,IF(INPUTS!$J$138="Follow Collections",AM$108,IF(OR(TIMELINE!AM149=0,TIMELINE!$C$148=0),0,IF(IF(INPUTS!$J$138="Follow Project Life","Even",IF(INPUTS!$J$138="At Project End","Upfront",INPUTS!$J$138))="Upfront",--(TIMELINE!AM149=1),IF(IF(INPUTS!$J$138="Follow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End","Upfront",INPUTS!$J$138))="Front-loaded",(TIMELINE!$C$148-TIMELINE!AM149+1)*2/(TIMELINE!$C$148*(TIMELINE!$C$148+1)),IF(IF(INPUTS!$J$138="Follow Project Life","Even",IF(INPUTS!$J$138="At Project End","Upfront",INPUTS!$J$138))="Back-loaded",TIMELINE!AM149*2/(TIMELINE!$C$148*(TIMELINE!$C$148+1)),IF(IF(INPUTS!$J$138="Follow Project Life","Even",IF(INPUTS!$J$138="At Project End","Upfront",INPUTS!$J$138))="S-curve",SIN(PI()*(TIMELINE!AM149-0.5)/TIMELINE!$C$148)*SIN(PI()/(2*TIMELINE!$C$148)),0))))))))))</f>
        <v>0</v>
      </c>
      <c r="AN143" s="118" t="n">
        <f aca="false">IF(INPUTS!$F$138&lt;&gt;"Yes",0,IF(INPUTS!$J$138="Follow Construction",AN$100,IF(INPUTS!$J$138="Follow Sales",AN$99,IF(INPUTS!$J$138="Follow Collections",AN$108,IF(OR(TIMELINE!AN149=0,TIMELINE!$C$148=0),0,IF(IF(INPUTS!$J$138="Follow Project Life","Even",IF(INPUTS!$J$138="At Project End","Upfront",INPUTS!$J$138))="Upfront",--(TIMELINE!AN149=1),IF(IF(INPUTS!$J$138="Follow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End","Upfront",INPUTS!$J$138))="Front-loaded",(TIMELINE!$C$148-TIMELINE!AN149+1)*2/(TIMELINE!$C$148*(TIMELINE!$C$148+1)),IF(IF(INPUTS!$J$138="Follow Project Life","Even",IF(INPUTS!$J$138="At Project End","Upfront",INPUTS!$J$138))="Back-loaded",TIMELINE!AN149*2/(TIMELINE!$C$148*(TIMELINE!$C$148+1)),IF(IF(INPUTS!$J$138="Follow Project Life","Even",IF(INPUTS!$J$138="At Project End","Upfront",INPUTS!$J$138))="S-curve",SIN(PI()*(TIMELINE!AN149-0.5)/TIMELINE!$C$148)*SIN(PI()/(2*TIMELINE!$C$148)),0))))))))))</f>
        <v>0</v>
      </c>
      <c r="AO143" s="118" t="n">
        <f aca="false">IF(INPUTS!$F$138&lt;&gt;"Yes",0,IF(INPUTS!$J$138="Follow Construction",AO$100,IF(INPUTS!$J$138="Follow Sales",AO$99,IF(INPUTS!$J$138="Follow Collections",AO$108,IF(OR(TIMELINE!AO149=0,TIMELINE!$C$148=0),0,IF(IF(INPUTS!$J$138="Follow Project Life","Even",IF(INPUTS!$J$138="At Project End","Upfront",INPUTS!$J$138))="Upfront",--(TIMELINE!AO149=1),IF(IF(INPUTS!$J$138="Follow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End","Upfront",INPUTS!$J$138))="Front-loaded",(TIMELINE!$C$148-TIMELINE!AO149+1)*2/(TIMELINE!$C$148*(TIMELINE!$C$148+1)),IF(IF(INPUTS!$J$138="Follow Project Life","Even",IF(INPUTS!$J$138="At Project End","Upfront",INPUTS!$J$138))="Back-loaded",TIMELINE!AO149*2/(TIMELINE!$C$148*(TIMELINE!$C$148+1)),IF(IF(INPUTS!$J$138="Follow Project Life","Even",IF(INPUTS!$J$138="At Project End","Upfront",INPUTS!$J$138))="S-curve",SIN(PI()*(TIMELINE!AO149-0.5)/TIMELINE!$C$148)*SIN(PI()/(2*TIMELINE!$C$148)),0))))))))))</f>
        <v>0</v>
      </c>
      <c r="AP143" s="118" t="n">
        <f aca="false">IF(INPUTS!$F$138&lt;&gt;"Yes",0,IF(INPUTS!$J$138="Follow Construction",AP$100,IF(INPUTS!$J$138="Follow Sales",AP$99,IF(INPUTS!$J$138="Follow Collections",AP$108,IF(OR(TIMELINE!AP149=0,TIMELINE!$C$148=0),0,IF(IF(INPUTS!$J$138="Follow Project Life","Even",IF(INPUTS!$J$138="At Project End","Upfront",INPUTS!$J$138))="Upfront",--(TIMELINE!AP149=1),IF(IF(INPUTS!$J$138="Follow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End","Upfront",INPUTS!$J$138))="Front-loaded",(TIMELINE!$C$148-TIMELINE!AP149+1)*2/(TIMELINE!$C$148*(TIMELINE!$C$148+1)),IF(IF(INPUTS!$J$138="Follow Project Life","Even",IF(INPUTS!$J$138="At Project End","Upfront",INPUTS!$J$138))="Back-loaded",TIMELINE!AP149*2/(TIMELINE!$C$148*(TIMELINE!$C$148+1)),IF(IF(INPUTS!$J$138="Follow Project Life","Even",IF(INPUTS!$J$138="At Project End","Upfront",INPUTS!$J$138))="S-curve",SIN(PI()*(TIMELINE!AP149-0.5)/TIMELINE!$C$148)*SIN(PI()/(2*TIMELINE!$C$148)),0))))))))))</f>
        <v>0</v>
      </c>
      <c r="AQ143" s="118" t="n">
        <f aca="false">IF(INPUTS!$F$138&lt;&gt;"Yes",0,IF(INPUTS!$J$138="Follow Construction",AQ$100,IF(INPUTS!$J$138="Follow Sales",AQ$99,IF(INPUTS!$J$138="Follow Collections",AQ$108,IF(OR(TIMELINE!AQ149=0,TIMELINE!$C$148=0),0,IF(IF(INPUTS!$J$138="Follow Project Life","Even",IF(INPUTS!$J$138="At Project End","Upfront",INPUTS!$J$138))="Upfront",--(TIMELINE!AQ149=1),IF(IF(INPUTS!$J$138="Follow Project Life","Even",IF(INPUTS!$J$138="At Project End","Upfront",INPUTS!$J$138))="Even",1/TIMELINE!$C$148,IF(IF(INPUTS!$J$138="Follow Project Life","Even",IF(INPUTS!$J$138="At Project End","Upfront",INPUTS!$J$138))="Front-loaded",(TIMELINE!$C$148-TIMELINE!AQ149+1)*2/(TIMELINE!$C$148*(TIMELINE!$C$148+1)),IF(IF(INPUTS!$J$138="Follow Project Life","Even",IF(INPUTS!$J$138="At Project End","Upfront",INPUTS!$J$138))="Back-loaded",TIMELINE!AQ149*2/(TIMELINE!$C$148*(TIMELINE!$C$148+1)),IF(IF(INPUTS!$J$138="Follow Project Life","Even",IF(INPUTS!$J$138="At Project End","Upfront",INPUTS!$J$138))="S-curve",SIN(PI()*(TIMELINE!AQ149-0.5)/TIMELINE!$C$148)*SIN(PI()/(2*TIMELINE!$C$148)),0))))))))))</f>
        <v>0</v>
      </c>
    </row>
    <row r="144" customFormat="false" ht="15" hidden="false" customHeight="false" outlineLevel="0" collapsed="false">
      <c r="B144" s="17" t="s">
        <v>689</v>
      </c>
      <c r="C144" s="105" t="str">
        <f aca="false">IF(INPUTS!$B$138="","",IF(INPUTS!$F$138&lt;&gt;"Yes","Off",IF(INPUTS!$M$138&lt;&gt;"OK","ERROR",IF(ABS(C143-1)&lt;0.000000001,"OK",IF(AND(C143=0,INPUTS!$G$138=0),"Zero","ERROR")))))</f>
        <v>OK</v>
      </c>
    </row>
    <row r="145" customFormat="false" ht="15" hidden="false" customHeight="false" outlineLevel="0" collapsed="false">
      <c r="B145" s="110" t="str">
        <f aca="false">IF(INPUTS!$B$139="","Spare cost row",INPUTS!$B$139)</f>
        <v>Marketing &amp; Sales @ %</v>
      </c>
      <c r="C145" s="111" t="str">
        <f aca="false">IF(INPUTS!$J$139="","",INPUTS!$J$139)</f>
        <v>Follow Sales</v>
      </c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</row>
    <row r="146" customFormat="false" ht="15" hidden="false" customHeight="false" outlineLevel="0" collapsed="false">
      <c r="B146" s="3" t="s">
        <v>688</v>
      </c>
      <c r="C146" s="117" t="n">
        <f aca="false">SUM(D146:AQ146)</f>
        <v>1</v>
      </c>
      <c r="D146" s="118" t="n">
        <f aca="false">IF(INPUTS!$F$139&lt;&gt;"Yes",0,IF(INPUTS!$J$139="Follow Construction",D$100,IF(INPUTS!$J$139="Follow Sales",D$99,IF(INPUTS!$J$139="Follow Collections",D$108,IF(OR(TIMELINE!D153=0,TIMELINE!$C$152=0),0,IF(IF(INPUTS!$J$139="Follow Project Life","Even",IF(INPUTS!$J$139="At Project End","Upfront",INPUTS!$J$139))="Upfront",--(TIMELINE!D153=1),IF(IF(INPUTS!$J$139="Follow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End","Upfront",INPUTS!$J$139))="Front-loaded",(TIMELINE!$C$152-TIMELINE!D153+1)*2/(TIMELINE!$C$152*(TIMELINE!$C$152+1)),IF(IF(INPUTS!$J$139="Follow Project Life","Even",IF(INPUTS!$J$139="At Project End","Upfront",INPUTS!$J$139))="Back-loaded",TIMELINE!D153*2/(TIMELINE!$C$152*(TIMELINE!$C$152+1)),IF(IF(INPUTS!$J$139="Follow Project Life","Even",IF(INPUTS!$J$139="At Project End","Upfront",INPUTS!$J$139))="S-curve",SIN(PI()*(TIMELINE!D153-0.5)/TIMELINE!$C$152)*SIN(PI()/(2*TIMELINE!$C$152)),0))))))))))</f>
        <v>0</v>
      </c>
      <c r="E146" s="118" t="n">
        <f aca="false">IF(INPUTS!$F$139&lt;&gt;"Yes",0,IF(INPUTS!$J$139="Follow Construction",E$100,IF(INPUTS!$J$139="Follow Sales",E$99,IF(INPUTS!$J$139="Follow Collections",E$108,IF(OR(TIMELINE!E153=0,TIMELINE!$C$152=0),0,IF(IF(INPUTS!$J$139="Follow Project Life","Even",IF(INPUTS!$J$139="At Project End","Upfront",INPUTS!$J$139))="Upfront",--(TIMELINE!E153=1),IF(IF(INPUTS!$J$139="Follow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End","Upfront",INPUTS!$J$139))="Front-loaded",(TIMELINE!$C$152-TIMELINE!E153+1)*2/(TIMELINE!$C$152*(TIMELINE!$C$152+1)),IF(IF(INPUTS!$J$139="Follow Project Life","Even",IF(INPUTS!$J$139="At Project End","Upfront",INPUTS!$J$139))="Back-loaded",TIMELINE!E153*2/(TIMELINE!$C$152*(TIMELINE!$C$152+1)),IF(IF(INPUTS!$J$139="Follow Project Life","Even",IF(INPUTS!$J$139="At Project End","Upfront",INPUTS!$J$139))="S-curve",SIN(PI()*(TIMELINE!E153-0.5)/TIMELINE!$C$152)*SIN(PI()/(2*TIMELINE!$C$152)),0))))))))))</f>
        <v>0</v>
      </c>
      <c r="F146" s="118" t="n">
        <f aca="false">IF(INPUTS!$F$139&lt;&gt;"Yes",0,IF(INPUTS!$J$139="Follow Construction",F$100,IF(INPUTS!$J$139="Follow Sales",F$99,IF(INPUTS!$J$139="Follow Collections",F$108,IF(OR(TIMELINE!F153=0,TIMELINE!$C$152=0),0,IF(IF(INPUTS!$J$139="Follow Project Life","Even",IF(INPUTS!$J$139="At Project End","Upfront",INPUTS!$J$139))="Upfront",--(TIMELINE!F153=1),IF(IF(INPUTS!$J$139="Follow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End","Upfront",INPUTS!$J$139))="Front-loaded",(TIMELINE!$C$152-TIMELINE!F153+1)*2/(TIMELINE!$C$152*(TIMELINE!$C$152+1)),IF(IF(INPUTS!$J$139="Follow Project Life","Even",IF(INPUTS!$J$139="At Project End","Upfront",INPUTS!$J$139))="Back-loaded",TIMELINE!F153*2/(TIMELINE!$C$152*(TIMELINE!$C$152+1)),IF(IF(INPUTS!$J$139="Follow Project Life","Even",IF(INPUTS!$J$139="At Project End","Upfront",INPUTS!$J$139))="S-curve",SIN(PI()*(TIMELINE!F153-0.5)/TIMELINE!$C$152)*SIN(PI()/(2*TIMELINE!$C$152)),0))))))))))</f>
        <v>0.076103500761035</v>
      </c>
      <c r="G146" s="118" t="n">
        <f aca="false">IF(INPUTS!$F$139&lt;&gt;"Yes",0,IF(INPUTS!$J$139="Follow Construction",G$100,IF(INPUTS!$J$139="Follow Sales",G$99,IF(INPUTS!$J$139="Follow Collections",G$108,IF(OR(TIMELINE!G153=0,TIMELINE!$C$152=0),0,IF(IF(INPUTS!$J$139="Follow Project Life","Even",IF(INPUTS!$J$139="At Project End","Upfront",INPUTS!$J$139))="Upfront",--(TIMELINE!G153=1),IF(IF(INPUTS!$J$139="Follow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End","Upfront",INPUTS!$J$139))="Front-loaded",(TIMELINE!$C$152-TIMELINE!G153+1)*2/(TIMELINE!$C$152*(TIMELINE!$C$152+1)),IF(IF(INPUTS!$J$139="Follow Project Life","Even",IF(INPUTS!$J$139="At Project End","Upfront",INPUTS!$J$139))="Back-loaded",TIMELINE!G153*2/(TIMELINE!$C$152*(TIMELINE!$C$152+1)),IF(IF(INPUTS!$J$139="Follow Project Life","Even",IF(INPUTS!$J$139="At Project End","Upfront",INPUTS!$J$139))="S-curve",SIN(PI()*(TIMELINE!G153-0.5)/TIMELINE!$C$152)*SIN(PI()/(2*TIMELINE!$C$152)),0))))))))))</f>
        <v>0.113290438632904</v>
      </c>
      <c r="H146" s="118" t="n">
        <f aca="false">IF(INPUTS!$F$139&lt;&gt;"Yes",0,IF(INPUTS!$J$139="Follow Construction",H$100,IF(INPUTS!$J$139="Follow Sales",H$99,IF(INPUTS!$J$139="Follow Collections",H$108,IF(OR(TIMELINE!H153=0,TIMELINE!$C$152=0),0,IF(IF(INPUTS!$J$139="Follow Project Life","Even",IF(INPUTS!$J$139="At Project End","Upfront",INPUTS!$J$139))="Upfront",--(TIMELINE!H153=1),IF(IF(INPUTS!$J$139="Follow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End","Upfront",INPUTS!$J$139))="Front-loaded",(TIMELINE!$C$152-TIMELINE!H153+1)*2/(TIMELINE!$C$152*(TIMELINE!$C$152+1)),IF(IF(INPUTS!$J$139="Follow Project Life","Even",IF(INPUTS!$J$139="At Project End","Upfront",INPUTS!$J$139))="Back-loaded",TIMELINE!H153*2/(TIMELINE!$C$152*(TIMELINE!$C$152+1)),IF(IF(INPUTS!$J$139="Follow Project Life","Even",IF(INPUTS!$J$139="At Project End","Upfront",INPUTS!$J$139))="S-curve",SIN(PI()*(TIMELINE!H153-0.5)/TIMELINE!$C$152)*SIN(PI()/(2*TIMELINE!$C$152)),0))))))))))</f>
        <v>0.103777501037775</v>
      </c>
      <c r="I146" s="118" t="n">
        <f aca="false">IF(INPUTS!$F$139&lt;&gt;"Yes",0,IF(INPUTS!$J$139="Follow Construction",I$100,IF(INPUTS!$J$139="Follow Sales",I$99,IF(INPUTS!$J$139="Follow Collections",I$108,IF(OR(TIMELINE!I153=0,TIMELINE!$C$152=0),0,IF(IF(INPUTS!$J$139="Follow Project Life","Even",IF(INPUTS!$J$139="At Project End","Upfront",INPUTS!$J$139))="Upfront",--(TIMELINE!I153=1),IF(IF(INPUTS!$J$139="Follow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End","Upfront",INPUTS!$J$139))="Front-loaded",(TIMELINE!$C$152-TIMELINE!I153+1)*2/(TIMELINE!$C$152*(TIMELINE!$C$152+1)),IF(IF(INPUTS!$J$139="Follow Project Life","Even",IF(INPUTS!$J$139="At Project End","Upfront",INPUTS!$J$139))="Back-loaded",TIMELINE!I153*2/(TIMELINE!$C$152*(TIMELINE!$C$152+1)),IF(IF(INPUTS!$J$139="Follow Project Life","Even",IF(INPUTS!$J$139="At Project End","Upfront",INPUTS!$J$139))="S-curve",SIN(PI()*(TIMELINE!I153-0.5)/TIMELINE!$C$152)*SIN(PI()/(2*TIMELINE!$C$152)),0))))))))))</f>
        <v>0.0998685484986855</v>
      </c>
      <c r="J146" s="118" t="n">
        <f aca="false">IF(INPUTS!$F$139&lt;&gt;"Yes",0,IF(INPUTS!$J$139="Follow Construction",J$100,IF(INPUTS!$J$139="Follow Sales",J$99,IF(INPUTS!$J$139="Follow Collections",J$108,IF(OR(TIMELINE!J153=0,TIMELINE!$C$152=0),0,IF(IF(INPUTS!$J$139="Follow Project Life","Even",IF(INPUTS!$J$139="At Project End","Upfront",INPUTS!$J$139))="Upfront",--(TIMELINE!J153=1),IF(IF(INPUTS!$J$139="Follow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End","Upfront",INPUTS!$J$139))="Front-loaded",(TIMELINE!$C$152-TIMELINE!J153+1)*2/(TIMELINE!$C$152*(TIMELINE!$C$152+1)),IF(IF(INPUTS!$J$139="Follow Project Life","Even",IF(INPUTS!$J$139="At Project End","Upfront",INPUTS!$J$139))="Back-loaded",TIMELINE!J153*2/(TIMELINE!$C$152*(TIMELINE!$C$152+1)),IF(IF(INPUTS!$J$139="Follow Project Life","Even",IF(INPUTS!$J$139="At Project End","Upfront",INPUTS!$J$139))="S-curve",SIN(PI()*(TIMELINE!J153-0.5)/TIMELINE!$C$152)*SIN(PI()/(2*TIMELINE!$C$152)),0))))))))))</f>
        <v>0.0903556109035561</v>
      </c>
      <c r="K146" s="118" t="n">
        <f aca="false">IF(INPUTS!$F$139&lt;&gt;"Yes",0,IF(INPUTS!$J$139="Follow Construction",K$100,IF(INPUTS!$J$139="Follow Sales",K$99,IF(INPUTS!$J$139="Follow Collections",K$108,IF(OR(TIMELINE!K153=0,TIMELINE!$C$152=0),0,IF(IF(INPUTS!$J$139="Follow Project Life","Even",IF(INPUTS!$J$139="At Project End","Upfront",INPUTS!$J$139))="Upfront",--(TIMELINE!K153=1),IF(IF(INPUTS!$J$139="Follow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End","Upfront",INPUTS!$J$139))="Front-loaded",(TIMELINE!$C$152-TIMELINE!K153+1)*2/(TIMELINE!$C$152*(TIMELINE!$C$152+1)),IF(IF(INPUTS!$J$139="Follow Project Life","Even",IF(INPUTS!$J$139="At Project End","Upfront",INPUTS!$J$139))="Back-loaded",TIMELINE!K153*2/(TIMELINE!$C$152*(TIMELINE!$C$152+1)),IF(IF(INPUTS!$J$139="Follow Project Life","Even",IF(INPUTS!$J$139="At Project End","Upfront",INPUTS!$J$139))="S-curve",SIN(PI()*(TIMELINE!K153-0.5)/TIMELINE!$C$152)*SIN(PI()/(2*TIMELINE!$C$152)),0))))))))))</f>
        <v>0.0822955583229556</v>
      </c>
      <c r="L146" s="118" t="n">
        <f aca="false">IF(INPUTS!$F$139&lt;&gt;"Yes",0,IF(INPUTS!$J$139="Follow Construction",L$100,IF(INPUTS!$J$139="Follow Sales",L$99,IF(INPUTS!$J$139="Follow Collections",L$108,IF(OR(TIMELINE!L153=0,TIMELINE!$C$152=0),0,IF(IF(INPUTS!$J$139="Follow Project Life","Even",IF(INPUTS!$J$139="At Project End","Upfront",INPUTS!$J$139))="Upfront",--(TIMELINE!L153=1),IF(IF(INPUTS!$J$139="Follow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End","Upfront",INPUTS!$J$139))="Front-loaded",(TIMELINE!$C$152-TIMELINE!L153+1)*2/(TIMELINE!$C$152*(TIMELINE!$C$152+1)),IF(IF(INPUTS!$J$139="Follow Project Life","Even",IF(INPUTS!$J$139="At Project End","Upfront",INPUTS!$J$139))="Back-loaded",TIMELINE!L153*2/(TIMELINE!$C$152*(TIMELINE!$C$152+1)),IF(IF(INPUTS!$J$139="Follow Project Life","Even",IF(INPUTS!$J$139="At Project End","Upfront",INPUTS!$J$139))="S-curve",SIN(PI()*(TIMELINE!L153-0.5)/TIMELINE!$C$152)*SIN(PI()/(2*TIMELINE!$C$152)),0))))))))))</f>
        <v>0.0742355057423551</v>
      </c>
      <c r="M146" s="118" t="n">
        <f aca="false">IF(INPUTS!$F$139&lt;&gt;"Yes",0,IF(INPUTS!$J$139="Follow Construction",M$100,IF(INPUTS!$J$139="Follow Sales",M$99,IF(INPUTS!$J$139="Follow Collections",M$108,IF(OR(TIMELINE!M153=0,TIMELINE!$C$152=0),0,IF(IF(INPUTS!$J$139="Follow Project Life","Even",IF(INPUTS!$J$139="At Project End","Upfront",INPUTS!$J$139))="Upfront",--(TIMELINE!M153=1),IF(IF(INPUTS!$J$139="Follow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End","Upfront",INPUTS!$J$139))="Front-loaded",(TIMELINE!$C$152-TIMELINE!M153+1)*2/(TIMELINE!$C$152*(TIMELINE!$C$152+1)),IF(IF(INPUTS!$J$139="Follow Project Life","Even",IF(INPUTS!$J$139="At Project End","Upfront",INPUTS!$J$139))="Back-loaded",TIMELINE!M153*2/(TIMELINE!$C$152*(TIMELINE!$C$152+1)),IF(IF(INPUTS!$J$139="Follow Project Life","Even",IF(INPUTS!$J$139="At Project End","Upfront",INPUTS!$J$139))="S-curve",SIN(PI()*(TIMELINE!M153-0.5)/TIMELINE!$C$152)*SIN(PI()/(2*TIMELINE!$C$152)),0))))))))))</f>
        <v>0.0661754531617545</v>
      </c>
      <c r="N146" s="118" t="n">
        <f aca="false">IF(INPUTS!$F$139&lt;&gt;"Yes",0,IF(INPUTS!$J$139="Follow Construction",N$100,IF(INPUTS!$J$139="Follow Sales",N$99,IF(INPUTS!$J$139="Follow Collections",N$108,IF(OR(TIMELINE!N153=0,TIMELINE!$C$152=0),0,IF(IF(INPUTS!$J$139="Follow Project Life","Even",IF(INPUTS!$J$139="At Project End","Upfront",INPUTS!$J$139))="Upfront",--(TIMELINE!N153=1),IF(IF(INPUTS!$J$139="Follow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End","Upfront",INPUTS!$J$139))="Front-loaded",(TIMELINE!$C$152-TIMELINE!N153+1)*2/(TIMELINE!$C$152*(TIMELINE!$C$152+1)),IF(IF(INPUTS!$J$139="Follow Project Life","Even",IF(INPUTS!$J$139="At Project End","Upfront",INPUTS!$J$139))="Back-loaded",TIMELINE!N153*2/(TIMELINE!$C$152*(TIMELINE!$C$152+1)),IF(IF(INPUTS!$J$139="Follow Project Life","Even",IF(INPUTS!$J$139="At Project End","Upfront",INPUTS!$J$139))="S-curve",SIN(PI()*(TIMELINE!N153-0.5)/TIMELINE!$C$152)*SIN(PI()/(2*TIMELINE!$C$152)),0))))))))))</f>
        <v>0.058115400581154</v>
      </c>
      <c r="O146" s="118" t="n">
        <f aca="false">IF(INPUTS!$F$139&lt;&gt;"Yes",0,IF(INPUTS!$J$139="Follow Construction",O$100,IF(INPUTS!$J$139="Follow Sales",O$99,IF(INPUTS!$J$139="Follow Collections",O$108,IF(OR(TIMELINE!O153=0,TIMELINE!$C$152=0),0,IF(IF(INPUTS!$J$139="Follow Project Life","Even",IF(INPUTS!$J$139="At Project End","Upfront",INPUTS!$J$139))="Upfront",--(TIMELINE!O153=1),IF(IF(INPUTS!$J$139="Follow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End","Upfront",INPUTS!$J$139))="Front-loaded",(TIMELINE!$C$152-TIMELINE!O153+1)*2/(TIMELINE!$C$152*(TIMELINE!$C$152+1)),IF(IF(INPUTS!$J$139="Follow Project Life","Even",IF(INPUTS!$J$139="At Project End","Upfront",INPUTS!$J$139))="Back-loaded",TIMELINE!O153*2/(TIMELINE!$C$152*(TIMELINE!$C$152+1)),IF(IF(INPUTS!$J$139="Follow Project Life","Even",IF(INPUTS!$J$139="At Project End","Upfront",INPUTS!$J$139))="S-curve",SIN(PI()*(TIMELINE!O153-0.5)/TIMELINE!$C$152)*SIN(PI()/(2*TIMELINE!$C$152)),0))))))))))</f>
        <v>0.0595682855956829</v>
      </c>
      <c r="P146" s="118" t="n">
        <f aca="false">IF(INPUTS!$F$139&lt;&gt;"Yes",0,IF(INPUTS!$J$139="Follow Construction",P$100,IF(INPUTS!$J$139="Follow Sales",P$99,IF(INPUTS!$J$139="Follow Collections",P$108,IF(OR(TIMELINE!P153=0,TIMELINE!$C$152=0),0,IF(IF(INPUTS!$J$139="Follow Project Life","Even",IF(INPUTS!$J$139="At Project End","Upfront",INPUTS!$J$139))="Upfront",--(TIMELINE!P153=1),IF(IF(INPUTS!$J$139="Follow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End","Upfront",INPUTS!$J$139))="Front-loaded",(TIMELINE!$C$152-TIMELINE!P153+1)*2/(TIMELINE!$C$152*(TIMELINE!$C$152+1)),IF(IF(INPUTS!$J$139="Follow Project Life","Even",IF(INPUTS!$J$139="At Project End","Upfront",INPUTS!$J$139))="Back-loaded",TIMELINE!P153*2/(TIMELINE!$C$152*(TIMELINE!$C$152+1)),IF(IF(INPUTS!$J$139="Follow Project Life","Even",IF(INPUTS!$J$139="At Project End","Upfront",INPUTS!$J$139))="S-curve",SIN(PI()*(TIMELINE!P153-0.5)/TIMELINE!$C$152)*SIN(PI()/(2*TIMELINE!$C$152)),0))))))))))</f>
        <v>0.0610211706102117</v>
      </c>
      <c r="Q146" s="118" t="n">
        <f aca="false">IF(INPUTS!$F$139&lt;&gt;"Yes",0,IF(INPUTS!$J$139="Follow Construction",Q$100,IF(INPUTS!$J$139="Follow Sales",Q$99,IF(INPUTS!$J$139="Follow Collections",Q$108,IF(OR(TIMELINE!Q153=0,TIMELINE!$C$152=0),0,IF(IF(INPUTS!$J$139="Follow Project Life","Even",IF(INPUTS!$J$139="At Project End","Upfront",INPUTS!$J$139))="Upfront",--(TIMELINE!Q153=1),IF(IF(INPUTS!$J$139="Follow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End","Upfront",INPUTS!$J$139))="Front-loaded",(TIMELINE!$C$152-TIMELINE!Q153+1)*2/(TIMELINE!$C$152*(TIMELINE!$C$152+1)),IF(IF(INPUTS!$J$139="Follow Project Life","Even",IF(INPUTS!$J$139="At Project End","Upfront",INPUTS!$J$139))="Back-loaded",TIMELINE!Q153*2/(TIMELINE!$C$152*(TIMELINE!$C$152+1)),IF(IF(INPUTS!$J$139="Follow Project Life","Even",IF(INPUTS!$J$139="At Project End","Upfront",INPUTS!$J$139))="S-curve",SIN(PI()*(TIMELINE!Q153-0.5)/TIMELINE!$C$152)*SIN(PI()/(2*TIMELINE!$C$152)),0))))))))))</f>
        <v>0.0568700705687007</v>
      </c>
      <c r="R146" s="118" t="n">
        <f aca="false">IF(INPUTS!$F$139&lt;&gt;"Yes",0,IF(INPUTS!$J$139="Follow Construction",R$100,IF(INPUTS!$J$139="Follow Sales",R$99,IF(INPUTS!$J$139="Follow Collections",R$108,IF(OR(TIMELINE!R153=0,TIMELINE!$C$152=0),0,IF(IF(INPUTS!$J$139="Follow Project Life","Even",IF(INPUTS!$J$139="At Project End","Upfront",INPUTS!$J$139))="Upfront",--(TIMELINE!R153=1),IF(IF(INPUTS!$J$139="Follow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End","Upfront",INPUTS!$J$139))="Front-loaded",(TIMELINE!$C$152-TIMELINE!R153+1)*2/(TIMELINE!$C$152*(TIMELINE!$C$152+1)),IF(IF(INPUTS!$J$139="Follow Project Life","Even",IF(INPUTS!$J$139="At Project End","Upfront",INPUTS!$J$139))="Back-loaded",TIMELINE!R153*2/(TIMELINE!$C$152*(TIMELINE!$C$152+1)),IF(IF(INPUTS!$J$139="Follow Project Life","Even",IF(INPUTS!$J$139="At Project End","Upfront",INPUTS!$J$139))="S-curve",SIN(PI()*(TIMELINE!R153-0.5)/TIMELINE!$C$152)*SIN(PI()/(2*TIMELINE!$C$152)),0))))))))))</f>
        <v>0.0583229555832296</v>
      </c>
      <c r="S146" s="118" t="n">
        <f aca="false">IF(INPUTS!$F$139&lt;&gt;"Yes",0,IF(INPUTS!$J$139="Follow Construction",S$100,IF(INPUTS!$J$139="Follow Sales",S$99,IF(INPUTS!$J$139="Follow Collections",S$108,IF(OR(TIMELINE!S153=0,TIMELINE!$C$152=0),0,IF(IF(INPUTS!$J$139="Follow Project Life","Even",IF(INPUTS!$J$139="At Project End","Upfront",INPUTS!$J$139))="Upfront",--(TIMELINE!S153=1),IF(IF(INPUTS!$J$139="Follow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End","Upfront",INPUTS!$J$139))="Front-loaded",(TIMELINE!$C$152-TIMELINE!S153+1)*2/(TIMELINE!$C$152*(TIMELINE!$C$152+1)),IF(IF(INPUTS!$J$139="Follow Project Life","Even",IF(INPUTS!$J$139="At Project End","Upfront",INPUTS!$J$139))="Back-loaded",TIMELINE!S153*2/(TIMELINE!$C$152*(TIMELINE!$C$152+1)),IF(IF(INPUTS!$J$139="Follow Project Life","Even",IF(INPUTS!$J$139="At Project End","Upfront",INPUTS!$J$139))="S-curve",SIN(PI()*(TIMELINE!S153-0.5)/TIMELINE!$C$152)*SIN(PI()/(2*TIMELINE!$C$152)),0))))))))))</f>
        <v>0</v>
      </c>
      <c r="T146" s="118" t="n">
        <f aca="false">IF(INPUTS!$F$139&lt;&gt;"Yes",0,IF(INPUTS!$J$139="Follow Construction",T$100,IF(INPUTS!$J$139="Follow Sales",T$99,IF(INPUTS!$J$139="Follow Collections",T$108,IF(OR(TIMELINE!T153=0,TIMELINE!$C$152=0),0,IF(IF(INPUTS!$J$139="Follow Project Life","Even",IF(INPUTS!$J$139="At Project End","Upfront",INPUTS!$J$139))="Upfront",--(TIMELINE!T153=1),IF(IF(INPUTS!$J$139="Follow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End","Upfront",INPUTS!$J$139))="Front-loaded",(TIMELINE!$C$152-TIMELINE!T153+1)*2/(TIMELINE!$C$152*(TIMELINE!$C$152+1)),IF(IF(INPUTS!$J$139="Follow Project Life","Even",IF(INPUTS!$J$139="At Project End","Upfront",INPUTS!$J$139))="Back-loaded",TIMELINE!T153*2/(TIMELINE!$C$152*(TIMELINE!$C$152+1)),IF(IF(INPUTS!$J$139="Follow Project Life","Even",IF(INPUTS!$J$139="At Project End","Upfront",INPUTS!$J$139))="S-curve",SIN(PI()*(TIMELINE!T153-0.5)/TIMELINE!$C$152)*SIN(PI()/(2*TIMELINE!$C$152)),0))))))))))</f>
        <v>0</v>
      </c>
      <c r="U146" s="118" t="n">
        <f aca="false">IF(INPUTS!$F$139&lt;&gt;"Yes",0,IF(INPUTS!$J$139="Follow Construction",U$100,IF(INPUTS!$J$139="Follow Sales",U$99,IF(INPUTS!$J$139="Follow Collections",U$108,IF(OR(TIMELINE!U153=0,TIMELINE!$C$152=0),0,IF(IF(INPUTS!$J$139="Follow Project Life","Even",IF(INPUTS!$J$139="At Project End","Upfront",INPUTS!$J$139))="Upfront",--(TIMELINE!U153=1),IF(IF(INPUTS!$J$139="Follow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End","Upfront",INPUTS!$J$139))="Front-loaded",(TIMELINE!$C$152-TIMELINE!U153+1)*2/(TIMELINE!$C$152*(TIMELINE!$C$152+1)),IF(IF(INPUTS!$J$139="Follow Project Life","Even",IF(INPUTS!$J$139="At Project End","Upfront",INPUTS!$J$139))="Back-loaded",TIMELINE!U153*2/(TIMELINE!$C$152*(TIMELINE!$C$152+1)),IF(IF(INPUTS!$J$139="Follow Project Life","Even",IF(INPUTS!$J$139="At Project End","Upfront",INPUTS!$J$139))="S-curve",SIN(PI()*(TIMELINE!U153-0.5)/TIMELINE!$C$152)*SIN(PI()/(2*TIMELINE!$C$152)),0))))))))))</f>
        <v>0</v>
      </c>
      <c r="V146" s="118" t="n">
        <f aca="false">IF(INPUTS!$F$139&lt;&gt;"Yes",0,IF(INPUTS!$J$139="Follow Construction",V$100,IF(INPUTS!$J$139="Follow Sales",V$99,IF(INPUTS!$J$139="Follow Collections",V$108,IF(OR(TIMELINE!V153=0,TIMELINE!$C$152=0),0,IF(IF(INPUTS!$J$139="Follow Project Life","Even",IF(INPUTS!$J$139="At Project End","Upfront",INPUTS!$J$139))="Upfront",--(TIMELINE!V153=1),IF(IF(INPUTS!$J$139="Follow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End","Upfront",INPUTS!$J$139))="Front-loaded",(TIMELINE!$C$152-TIMELINE!V153+1)*2/(TIMELINE!$C$152*(TIMELINE!$C$152+1)),IF(IF(INPUTS!$J$139="Follow Project Life","Even",IF(INPUTS!$J$139="At Project End","Upfront",INPUTS!$J$139))="Back-loaded",TIMELINE!V153*2/(TIMELINE!$C$152*(TIMELINE!$C$152+1)),IF(IF(INPUTS!$J$139="Follow Project Life","Even",IF(INPUTS!$J$139="At Project End","Upfront",INPUTS!$J$139))="S-curve",SIN(PI()*(TIMELINE!V153-0.5)/TIMELINE!$C$152)*SIN(PI()/(2*TIMELINE!$C$152)),0))))))))))</f>
        <v>0</v>
      </c>
      <c r="W146" s="118" t="n">
        <f aca="false">IF(INPUTS!$F$139&lt;&gt;"Yes",0,IF(INPUTS!$J$139="Follow Construction",W$100,IF(INPUTS!$J$139="Follow Sales",W$99,IF(INPUTS!$J$139="Follow Collections",W$108,IF(OR(TIMELINE!W153=0,TIMELINE!$C$152=0),0,IF(IF(INPUTS!$J$139="Follow Project Life","Even",IF(INPUTS!$J$139="At Project End","Upfront",INPUTS!$J$139))="Upfront",--(TIMELINE!W153=1),IF(IF(INPUTS!$J$139="Follow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End","Upfront",INPUTS!$J$139))="Front-loaded",(TIMELINE!$C$152-TIMELINE!W153+1)*2/(TIMELINE!$C$152*(TIMELINE!$C$152+1)),IF(IF(INPUTS!$J$139="Follow Project Life","Even",IF(INPUTS!$J$139="At Project End","Upfront",INPUTS!$J$139))="Back-loaded",TIMELINE!W153*2/(TIMELINE!$C$152*(TIMELINE!$C$152+1)),IF(IF(INPUTS!$J$139="Follow Project Life","Even",IF(INPUTS!$J$139="At Project End","Upfront",INPUTS!$J$139))="S-curve",SIN(PI()*(TIMELINE!W153-0.5)/TIMELINE!$C$152)*SIN(PI()/(2*TIMELINE!$C$152)),0))))))))))</f>
        <v>0</v>
      </c>
      <c r="X146" s="118" t="n">
        <f aca="false">IF(INPUTS!$F$139&lt;&gt;"Yes",0,IF(INPUTS!$J$139="Follow Construction",X$100,IF(INPUTS!$J$139="Follow Sales",X$99,IF(INPUTS!$J$139="Follow Collections",X$108,IF(OR(TIMELINE!X153=0,TIMELINE!$C$152=0),0,IF(IF(INPUTS!$J$139="Follow Project Life","Even",IF(INPUTS!$J$139="At Project End","Upfront",INPUTS!$J$139))="Upfront",--(TIMELINE!X153=1),IF(IF(INPUTS!$J$139="Follow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End","Upfront",INPUTS!$J$139))="Front-loaded",(TIMELINE!$C$152-TIMELINE!X153+1)*2/(TIMELINE!$C$152*(TIMELINE!$C$152+1)),IF(IF(INPUTS!$J$139="Follow Project Life","Even",IF(INPUTS!$J$139="At Project End","Upfront",INPUTS!$J$139))="Back-loaded",TIMELINE!X153*2/(TIMELINE!$C$152*(TIMELINE!$C$152+1)),IF(IF(INPUTS!$J$139="Follow Project Life","Even",IF(INPUTS!$J$139="At Project End","Upfront",INPUTS!$J$139))="S-curve",SIN(PI()*(TIMELINE!X153-0.5)/TIMELINE!$C$152)*SIN(PI()/(2*TIMELINE!$C$152)),0))))))))))</f>
        <v>0</v>
      </c>
      <c r="Y146" s="118" t="n">
        <f aca="false">IF(INPUTS!$F$139&lt;&gt;"Yes",0,IF(INPUTS!$J$139="Follow Construction",Y$100,IF(INPUTS!$J$139="Follow Sales",Y$99,IF(INPUTS!$J$139="Follow Collections",Y$108,IF(OR(TIMELINE!Y153=0,TIMELINE!$C$152=0),0,IF(IF(INPUTS!$J$139="Follow Project Life","Even",IF(INPUTS!$J$139="At Project End","Upfront",INPUTS!$J$139))="Upfront",--(TIMELINE!Y153=1),IF(IF(INPUTS!$J$139="Follow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End","Upfront",INPUTS!$J$139))="Front-loaded",(TIMELINE!$C$152-TIMELINE!Y153+1)*2/(TIMELINE!$C$152*(TIMELINE!$C$152+1)),IF(IF(INPUTS!$J$139="Follow Project Life","Even",IF(INPUTS!$J$139="At Project End","Upfront",INPUTS!$J$139))="Back-loaded",TIMELINE!Y153*2/(TIMELINE!$C$152*(TIMELINE!$C$152+1)),IF(IF(INPUTS!$J$139="Follow Project Life","Even",IF(INPUTS!$J$139="At Project End","Upfront",INPUTS!$J$139))="S-curve",SIN(PI()*(TIMELINE!Y153-0.5)/TIMELINE!$C$152)*SIN(PI()/(2*TIMELINE!$C$152)),0))))))))))</f>
        <v>0</v>
      </c>
      <c r="Z146" s="118" t="n">
        <f aca="false">IF(INPUTS!$F$139&lt;&gt;"Yes",0,IF(INPUTS!$J$139="Follow Construction",Z$100,IF(INPUTS!$J$139="Follow Sales",Z$99,IF(INPUTS!$J$139="Follow Collections",Z$108,IF(OR(TIMELINE!Z153=0,TIMELINE!$C$152=0),0,IF(IF(INPUTS!$J$139="Follow Project Life","Even",IF(INPUTS!$J$139="At Project End","Upfront",INPUTS!$J$139))="Upfront",--(TIMELINE!Z153=1),IF(IF(INPUTS!$J$139="Follow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End","Upfront",INPUTS!$J$139))="Front-loaded",(TIMELINE!$C$152-TIMELINE!Z153+1)*2/(TIMELINE!$C$152*(TIMELINE!$C$152+1)),IF(IF(INPUTS!$J$139="Follow Project Life","Even",IF(INPUTS!$J$139="At Project End","Upfront",INPUTS!$J$139))="Back-loaded",TIMELINE!Z153*2/(TIMELINE!$C$152*(TIMELINE!$C$152+1)),IF(IF(INPUTS!$J$139="Follow Project Life","Even",IF(INPUTS!$J$139="At Project End","Upfront",INPUTS!$J$139))="S-curve",SIN(PI()*(TIMELINE!Z153-0.5)/TIMELINE!$C$152)*SIN(PI()/(2*TIMELINE!$C$152)),0))))))))))</f>
        <v>0</v>
      </c>
      <c r="AA146" s="118" t="n">
        <f aca="false">IF(INPUTS!$F$139&lt;&gt;"Yes",0,IF(INPUTS!$J$139="Follow Construction",AA$100,IF(INPUTS!$J$139="Follow Sales",AA$99,IF(INPUTS!$J$139="Follow Collections",AA$108,IF(OR(TIMELINE!AA153=0,TIMELINE!$C$152=0),0,IF(IF(INPUTS!$J$139="Follow Project Life","Even",IF(INPUTS!$J$139="At Project End","Upfront",INPUTS!$J$139))="Upfront",--(TIMELINE!AA153=1),IF(IF(INPUTS!$J$139="Follow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End","Upfront",INPUTS!$J$139))="Front-loaded",(TIMELINE!$C$152-TIMELINE!AA153+1)*2/(TIMELINE!$C$152*(TIMELINE!$C$152+1)),IF(IF(INPUTS!$J$139="Follow Project Life","Even",IF(INPUTS!$J$139="At Project End","Upfront",INPUTS!$J$139))="Back-loaded",TIMELINE!AA153*2/(TIMELINE!$C$152*(TIMELINE!$C$152+1)),IF(IF(INPUTS!$J$139="Follow Project Life","Even",IF(INPUTS!$J$139="At Project End","Upfront",INPUTS!$J$139))="S-curve",SIN(PI()*(TIMELINE!AA153-0.5)/TIMELINE!$C$152)*SIN(PI()/(2*TIMELINE!$C$152)),0))))))))))</f>
        <v>0</v>
      </c>
      <c r="AB146" s="118" t="n">
        <f aca="false">IF(INPUTS!$F$139&lt;&gt;"Yes",0,IF(INPUTS!$J$139="Follow Construction",AB$100,IF(INPUTS!$J$139="Follow Sales",AB$99,IF(INPUTS!$J$139="Follow Collections",AB$108,IF(OR(TIMELINE!AB153=0,TIMELINE!$C$152=0),0,IF(IF(INPUTS!$J$139="Follow Project Life","Even",IF(INPUTS!$J$139="At Project End","Upfront",INPUTS!$J$139))="Upfront",--(TIMELINE!AB153=1),IF(IF(INPUTS!$J$139="Follow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End","Upfront",INPUTS!$J$139))="Front-loaded",(TIMELINE!$C$152-TIMELINE!AB153+1)*2/(TIMELINE!$C$152*(TIMELINE!$C$152+1)),IF(IF(INPUTS!$J$139="Follow Project Life","Even",IF(INPUTS!$J$139="At Project End","Upfront",INPUTS!$J$139))="Back-loaded",TIMELINE!AB153*2/(TIMELINE!$C$152*(TIMELINE!$C$152+1)),IF(IF(INPUTS!$J$139="Follow Project Life","Even",IF(INPUTS!$J$139="At Project End","Upfront",INPUTS!$J$139))="S-curve",SIN(PI()*(TIMELINE!AB153-0.5)/TIMELINE!$C$152)*SIN(PI()/(2*TIMELINE!$C$152)),0))))))))))</f>
        <v>0</v>
      </c>
      <c r="AC146" s="118" t="n">
        <f aca="false">IF(INPUTS!$F$139&lt;&gt;"Yes",0,IF(INPUTS!$J$139="Follow Construction",AC$100,IF(INPUTS!$J$139="Follow Sales",AC$99,IF(INPUTS!$J$139="Follow Collections",AC$108,IF(OR(TIMELINE!AC153=0,TIMELINE!$C$152=0),0,IF(IF(INPUTS!$J$139="Follow Project Life","Even",IF(INPUTS!$J$139="At Project End","Upfront",INPUTS!$J$139))="Upfront",--(TIMELINE!AC153=1),IF(IF(INPUTS!$J$139="Follow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End","Upfront",INPUTS!$J$139))="Front-loaded",(TIMELINE!$C$152-TIMELINE!AC153+1)*2/(TIMELINE!$C$152*(TIMELINE!$C$152+1)),IF(IF(INPUTS!$J$139="Follow Project Life","Even",IF(INPUTS!$J$139="At Project End","Upfront",INPUTS!$J$139))="Back-loaded",TIMELINE!AC153*2/(TIMELINE!$C$152*(TIMELINE!$C$152+1)),IF(IF(INPUTS!$J$139="Follow Project Life","Even",IF(INPUTS!$J$139="At Project End","Upfront",INPUTS!$J$139))="S-curve",SIN(PI()*(TIMELINE!AC153-0.5)/TIMELINE!$C$152)*SIN(PI()/(2*TIMELINE!$C$152)),0))))))))))</f>
        <v>0</v>
      </c>
      <c r="AD146" s="118" t="n">
        <f aca="false">IF(INPUTS!$F$139&lt;&gt;"Yes",0,IF(INPUTS!$J$139="Follow Construction",AD$100,IF(INPUTS!$J$139="Follow Sales",AD$99,IF(INPUTS!$J$139="Follow Collections",AD$108,IF(OR(TIMELINE!AD153=0,TIMELINE!$C$152=0),0,IF(IF(INPUTS!$J$139="Follow Project Life","Even",IF(INPUTS!$J$139="At Project End","Upfront",INPUTS!$J$139))="Upfront",--(TIMELINE!AD153=1),IF(IF(INPUTS!$J$139="Follow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End","Upfront",INPUTS!$J$139))="Front-loaded",(TIMELINE!$C$152-TIMELINE!AD153+1)*2/(TIMELINE!$C$152*(TIMELINE!$C$152+1)),IF(IF(INPUTS!$J$139="Follow Project Life","Even",IF(INPUTS!$J$139="At Project End","Upfront",INPUTS!$J$139))="Back-loaded",TIMELINE!AD153*2/(TIMELINE!$C$152*(TIMELINE!$C$152+1)),IF(IF(INPUTS!$J$139="Follow Project Life","Even",IF(INPUTS!$J$139="At Project End","Upfront",INPUTS!$J$139))="S-curve",SIN(PI()*(TIMELINE!AD153-0.5)/TIMELINE!$C$152)*SIN(PI()/(2*TIMELINE!$C$152)),0))))))))))</f>
        <v>0</v>
      </c>
      <c r="AE146" s="118" t="n">
        <f aca="false">IF(INPUTS!$F$139&lt;&gt;"Yes",0,IF(INPUTS!$J$139="Follow Construction",AE$100,IF(INPUTS!$J$139="Follow Sales",AE$99,IF(INPUTS!$J$139="Follow Collections",AE$108,IF(OR(TIMELINE!AE153=0,TIMELINE!$C$152=0),0,IF(IF(INPUTS!$J$139="Follow Project Life","Even",IF(INPUTS!$J$139="At Project End","Upfront",INPUTS!$J$139))="Upfront",--(TIMELINE!AE153=1),IF(IF(INPUTS!$J$139="Follow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End","Upfront",INPUTS!$J$139))="Front-loaded",(TIMELINE!$C$152-TIMELINE!AE153+1)*2/(TIMELINE!$C$152*(TIMELINE!$C$152+1)),IF(IF(INPUTS!$J$139="Follow Project Life","Even",IF(INPUTS!$J$139="At Project End","Upfront",INPUTS!$J$139))="Back-loaded",TIMELINE!AE153*2/(TIMELINE!$C$152*(TIMELINE!$C$152+1)),IF(IF(INPUTS!$J$139="Follow Project Life","Even",IF(INPUTS!$J$139="At Project End","Upfront",INPUTS!$J$139))="S-curve",SIN(PI()*(TIMELINE!AE153-0.5)/TIMELINE!$C$152)*SIN(PI()/(2*TIMELINE!$C$152)),0))))))))))</f>
        <v>0</v>
      </c>
      <c r="AF146" s="118" t="n">
        <f aca="false">IF(INPUTS!$F$139&lt;&gt;"Yes",0,IF(INPUTS!$J$139="Follow Construction",AF$100,IF(INPUTS!$J$139="Follow Sales",AF$99,IF(INPUTS!$J$139="Follow Collections",AF$108,IF(OR(TIMELINE!AF153=0,TIMELINE!$C$152=0),0,IF(IF(INPUTS!$J$139="Follow Project Life","Even",IF(INPUTS!$J$139="At Project End","Upfront",INPUTS!$J$139))="Upfront",--(TIMELINE!AF153=1),IF(IF(INPUTS!$J$139="Follow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End","Upfront",INPUTS!$J$139))="Front-loaded",(TIMELINE!$C$152-TIMELINE!AF153+1)*2/(TIMELINE!$C$152*(TIMELINE!$C$152+1)),IF(IF(INPUTS!$J$139="Follow Project Life","Even",IF(INPUTS!$J$139="At Project End","Upfront",INPUTS!$J$139))="Back-loaded",TIMELINE!AF153*2/(TIMELINE!$C$152*(TIMELINE!$C$152+1)),IF(IF(INPUTS!$J$139="Follow Project Life","Even",IF(INPUTS!$J$139="At Project End","Upfront",INPUTS!$J$139))="S-curve",SIN(PI()*(TIMELINE!AF153-0.5)/TIMELINE!$C$152)*SIN(PI()/(2*TIMELINE!$C$152)),0))))))))))</f>
        <v>0</v>
      </c>
      <c r="AG146" s="118" t="n">
        <f aca="false">IF(INPUTS!$F$139&lt;&gt;"Yes",0,IF(INPUTS!$J$139="Follow Construction",AG$100,IF(INPUTS!$J$139="Follow Sales",AG$99,IF(INPUTS!$J$139="Follow Collections",AG$108,IF(OR(TIMELINE!AG153=0,TIMELINE!$C$152=0),0,IF(IF(INPUTS!$J$139="Follow Project Life","Even",IF(INPUTS!$J$139="At Project End","Upfront",INPUTS!$J$139))="Upfront",--(TIMELINE!AG153=1),IF(IF(INPUTS!$J$139="Follow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End","Upfront",INPUTS!$J$139))="Front-loaded",(TIMELINE!$C$152-TIMELINE!AG153+1)*2/(TIMELINE!$C$152*(TIMELINE!$C$152+1)),IF(IF(INPUTS!$J$139="Follow Project Life","Even",IF(INPUTS!$J$139="At Project End","Upfront",INPUTS!$J$139))="Back-loaded",TIMELINE!AG153*2/(TIMELINE!$C$152*(TIMELINE!$C$152+1)),IF(IF(INPUTS!$J$139="Follow Project Life","Even",IF(INPUTS!$J$139="At Project End","Upfront",INPUTS!$J$139))="S-curve",SIN(PI()*(TIMELINE!AG153-0.5)/TIMELINE!$C$152)*SIN(PI()/(2*TIMELINE!$C$152)),0))))))))))</f>
        <v>0</v>
      </c>
      <c r="AH146" s="118" t="n">
        <f aca="false">IF(INPUTS!$F$139&lt;&gt;"Yes",0,IF(INPUTS!$J$139="Follow Construction",AH$100,IF(INPUTS!$J$139="Follow Sales",AH$99,IF(INPUTS!$J$139="Follow Collections",AH$108,IF(OR(TIMELINE!AH153=0,TIMELINE!$C$152=0),0,IF(IF(INPUTS!$J$139="Follow Project Life","Even",IF(INPUTS!$J$139="At Project End","Upfront",INPUTS!$J$139))="Upfront",--(TIMELINE!AH153=1),IF(IF(INPUTS!$J$139="Follow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End","Upfront",INPUTS!$J$139))="Front-loaded",(TIMELINE!$C$152-TIMELINE!AH153+1)*2/(TIMELINE!$C$152*(TIMELINE!$C$152+1)),IF(IF(INPUTS!$J$139="Follow Project Life","Even",IF(INPUTS!$J$139="At Project End","Upfront",INPUTS!$J$139))="Back-loaded",TIMELINE!AH153*2/(TIMELINE!$C$152*(TIMELINE!$C$152+1)),IF(IF(INPUTS!$J$139="Follow Project Life","Even",IF(INPUTS!$J$139="At Project End","Upfront",INPUTS!$J$139))="S-curve",SIN(PI()*(TIMELINE!AH153-0.5)/TIMELINE!$C$152)*SIN(PI()/(2*TIMELINE!$C$152)),0))))))))))</f>
        <v>0</v>
      </c>
      <c r="AI146" s="118" t="n">
        <f aca="false">IF(INPUTS!$F$139&lt;&gt;"Yes",0,IF(INPUTS!$J$139="Follow Construction",AI$100,IF(INPUTS!$J$139="Follow Sales",AI$99,IF(INPUTS!$J$139="Follow Collections",AI$108,IF(OR(TIMELINE!AI153=0,TIMELINE!$C$152=0),0,IF(IF(INPUTS!$J$139="Follow Project Life","Even",IF(INPUTS!$J$139="At Project End","Upfront",INPUTS!$J$139))="Upfront",--(TIMELINE!AI153=1),IF(IF(INPUTS!$J$139="Follow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End","Upfront",INPUTS!$J$139))="Front-loaded",(TIMELINE!$C$152-TIMELINE!AI153+1)*2/(TIMELINE!$C$152*(TIMELINE!$C$152+1)),IF(IF(INPUTS!$J$139="Follow Project Life","Even",IF(INPUTS!$J$139="At Project End","Upfront",INPUTS!$J$139))="Back-loaded",TIMELINE!AI153*2/(TIMELINE!$C$152*(TIMELINE!$C$152+1)),IF(IF(INPUTS!$J$139="Follow Project Life","Even",IF(INPUTS!$J$139="At Project End","Upfront",INPUTS!$J$139))="S-curve",SIN(PI()*(TIMELINE!AI153-0.5)/TIMELINE!$C$152)*SIN(PI()/(2*TIMELINE!$C$152)),0))))))))))</f>
        <v>0</v>
      </c>
      <c r="AJ146" s="118" t="n">
        <f aca="false">IF(INPUTS!$F$139&lt;&gt;"Yes",0,IF(INPUTS!$J$139="Follow Construction",AJ$100,IF(INPUTS!$J$139="Follow Sales",AJ$99,IF(INPUTS!$J$139="Follow Collections",AJ$108,IF(OR(TIMELINE!AJ153=0,TIMELINE!$C$152=0),0,IF(IF(INPUTS!$J$139="Follow Project Life","Even",IF(INPUTS!$J$139="At Project End","Upfront",INPUTS!$J$139))="Upfront",--(TIMELINE!AJ153=1),IF(IF(INPUTS!$J$139="Follow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End","Upfront",INPUTS!$J$139))="Front-loaded",(TIMELINE!$C$152-TIMELINE!AJ153+1)*2/(TIMELINE!$C$152*(TIMELINE!$C$152+1)),IF(IF(INPUTS!$J$139="Follow Project Life","Even",IF(INPUTS!$J$139="At Project End","Upfront",INPUTS!$J$139))="Back-loaded",TIMELINE!AJ153*2/(TIMELINE!$C$152*(TIMELINE!$C$152+1)),IF(IF(INPUTS!$J$139="Follow Project Life","Even",IF(INPUTS!$J$139="At Project End","Upfront",INPUTS!$J$139))="S-curve",SIN(PI()*(TIMELINE!AJ153-0.5)/TIMELINE!$C$152)*SIN(PI()/(2*TIMELINE!$C$152)),0))))))))))</f>
        <v>0</v>
      </c>
      <c r="AK146" s="118" t="n">
        <f aca="false">IF(INPUTS!$F$139&lt;&gt;"Yes",0,IF(INPUTS!$J$139="Follow Construction",AK$100,IF(INPUTS!$J$139="Follow Sales",AK$99,IF(INPUTS!$J$139="Follow Collections",AK$108,IF(OR(TIMELINE!AK153=0,TIMELINE!$C$152=0),0,IF(IF(INPUTS!$J$139="Follow Project Life","Even",IF(INPUTS!$J$139="At Project End","Upfront",INPUTS!$J$139))="Upfront",--(TIMELINE!AK153=1),IF(IF(INPUTS!$J$139="Follow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End","Upfront",INPUTS!$J$139))="Front-loaded",(TIMELINE!$C$152-TIMELINE!AK153+1)*2/(TIMELINE!$C$152*(TIMELINE!$C$152+1)),IF(IF(INPUTS!$J$139="Follow Project Life","Even",IF(INPUTS!$J$139="At Project End","Upfront",INPUTS!$J$139))="Back-loaded",TIMELINE!AK153*2/(TIMELINE!$C$152*(TIMELINE!$C$152+1)),IF(IF(INPUTS!$J$139="Follow Project Life","Even",IF(INPUTS!$J$139="At Project End","Upfront",INPUTS!$J$139))="S-curve",SIN(PI()*(TIMELINE!AK153-0.5)/TIMELINE!$C$152)*SIN(PI()/(2*TIMELINE!$C$152)),0))))))))))</f>
        <v>0</v>
      </c>
      <c r="AL146" s="118" t="n">
        <f aca="false">IF(INPUTS!$F$139&lt;&gt;"Yes",0,IF(INPUTS!$J$139="Follow Construction",AL$100,IF(INPUTS!$J$139="Follow Sales",AL$99,IF(INPUTS!$J$139="Follow Collections",AL$108,IF(OR(TIMELINE!AL153=0,TIMELINE!$C$152=0),0,IF(IF(INPUTS!$J$139="Follow Project Life","Even",IF(INPUTS!$J$139="At Project End","Upfront",INPUTS!$J$139))="Upfront",--(TIMELINE!AL153=1),IF(IF(INPUTS!$J$139="Follow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End","Upfront",INPUTS!$J$139))="Front-loaded",(TIMELINE!$C$152-TIMELINE!AL153+1)*2/(TIMELINE!$C$152*(TIMELINE!$C$152+1)),IF(IF(INPUTS!$J$139="Follow Project Life","Even",IF(INPUTS!$J$139="At Project End","Upfront",INPUTS!$J$139))="Back-loaded",TIMELINE!AL153*2/(TIMELINE!$C$152*(TIMELINE!$C$152+1)),IF(IF(INPUTS!$J$139="Follow Project Life","Even",IF(INPUTS!$J$139="At Project End","Upfront",INPUTS!$J$139))="S-curve",SIN(PI()*(TIMELINE!AL153-0.5)/TIMELINE!$C$152)*SIN(PI()/(2*TIMELINE!$C$152)),0))))))))))</f>
        <v>0</v>
      </c>
      <c r="AM146" s="118" t="n">
        <f aca="false">IF(INPUTS!$F$139&lt;&gt;"Yes",0,IF(INPUTS!$J$139="Follow Construction",AM$100,IF(INPUTS!$J$139="Follow Sales",AM$99,IF(INPUTS!$J$139="Follow Collections",AM$108,IF(OR(TIMELINE!AM153=0,TIMELINE!$C$152=0),0,IF(IF(INPUTS!$J$139="Follow Project Life","Even",IF(INPUTS!$J$139="At Project End","Upfront",INPUTS!$J$139))="Upfront",--(TIMELINE!AM153=1),IF(IF(INPUTS!$J$139="Follow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End","Upfront",INPUTS!$J$139))="Front-loaded",(TIMELINE!$C$152-TIMELINE!AM153+1)*2/(TIMELINE!$C$152*(TIMELINE!$C$152+1)),IF(IF(INPUTS!$J$139="Follow Project Life","Even",IF(INPUTS!$J$139="At Project End","Upfront",INPUTS!$J$139))="Back-loaded",TIMELINE!AM153*2/(TIMELINE!$C$152*(TIMELINE!$C$152+1)),IF(IF(INPUTS!$J$139="Follow Project Life","Even",IF(INPUTS!$J$139="At Project End","Upfront",INPUTS!$J$139))="S-curve",SIN(PI()*(TIMELINE!AM153-0.5)/TIMELINE!$C$152)*SIN(PI()/(2*TIMELINE!$C$152)),0))))))))))</f>
        <v>0</v>
      </c>
      <c r="AN146" s="118" t="n">
        <f aca="false">IF(INPUTS!$F$139&lt;&gt;"Yes",0,IF(INPUTS!$J$139="Follow Construction",AN$100,IF(INPUTS!$J$139="Follow Sales",AN$99,IF(INPUTS!$J$139="Follow Collections",AN$108,IF(OR(TIMELINE!AN153=0,TIMELINE!$C$152=0),0,IF(IF(INPUTS!$J$139="Follow Project Life","Even",IF(INPUTS!$J$139="At Project End","Upfront",INPUTS!$J$139))="Upfront",--(TIMELINE!AN153=1),IF(IF(INPUTS!$J$139="Follow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End","Upfront",INPUTS!$J$139))="Front-loaded",(TIMELINE!$C$152-TIMELINE!AN153+1)*2/(TIMELINE!$C$152*(TIMELINE!$C$152+1)),IF(IF(INPUTS!$J$139="Follow Project Life","Even",IF(INPUTS!$J$139="At Project End","Upfront",INPUTS!$J$139))="Back-loaded",TIMELINE!AN153*2/(TIMELINE!$C$152*(TIMELINE!$C$152+1)),IF(IF(INPUTS!$J$139="Follow Project Life","Even",IF(INPUTS!$J$139="At Project End","Upfront",INPUTS!$J$139))="S-curve",SIN(PI()*(TIMELINE!AN153-0.5)/TIMELINE!$C$152)*SIN(PI()/(2*TIMELINE!$C$152)),0))))))))))</f>
        <v>0</v>
      </c>
      <c r="AO146" s="118" t="n">
        <f aca="false">IF(INPUTS!$F$139&lt;&gt;"Yes",0,IF(INPUTS!$J$139="Follow Construction",AO$100,IF(INPUTS!$J$139="Follow Sales",AO$99,IF(INPUTS!$J$139="Follow Collections",AO$108,IF(OR(TIMELINE!AO153=0,TIMELINE!$C$152=0),0,IF(IF(INPUTS!$J$139="Follow Project Life","Even",IF(INPUTS!$J$139="At Project End","Upfront",INPUTS!$J$139))="Upfront",--(TIMELINE!AO153=1),IF(IF(INPUTS!$J$139="Follow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End","Upfront",INPUTS!$J$139))="Front-loaded",(TIMELINE!$C$152-TIMELINE!AO153+1)*2/(TIMELINE!$C$152*(TIMELINE!$C$152+1)),IF(IF(INPUTS!$J$139="Follow Project Life","Even",IF(INPUTS!$J$139="At Project End","Upfront",INPUTS!$J$139))="Back-loaded",TIMELINE!AO153*2/(TIMELINE!$C$152*(TIMELINE!$C$152+1)),IF(IF(INPUTS!$J$139="Follow Project Life","Even",IF(INPUTS!$J$139="At Project End","Upfront",INPUTS!$J$139))="S-curve",SIN(PI()*(TIMELINE!AO153-0.5)/TIMELINE!$C$152)*SIN(PI()/(2*TIMELINE!$C$152)),0))))))))))</f>
        <v>0</v>
      </c>
      <c r="AP146" s="118" t="n">
        <f aca="false">IF(INPUTS!$F$139&lt;&gt;"Yes",0,IF(INPUTS!$J$139="Follow Construction",AP$100,IF(INPUTS!$J$139="Follow Sales",AP$99,IF(INPUTS!$J$139="Follow Collections",AP$108,IF(OR(TIMELINE!AP153=0,TIMELINE!$C$152=0),0,IF(IF(INPUTS!$J$139="Follow Project Life","Even",IF(INPUTS!$J$139="At Project End","Upfront",INPUTS!$J$139))="Upfront",--(TIMELINE!AP153=1),IF(IF(INPUTS!$J$139="Follow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End","Upfront",INPUTS!$J$139))="Front-loaded",(TIMELINE!$C$152-TIMELINE!AP153+1)*2/(TIMELINE!$C$152*(TIMELINE!$C$152+1)),IF(IF(INPUTS!$J$139="Follow Project Life","Even",IF(INPUTS!$J$139="At Project End","Upfront",INPUTS!$J$139))="Back-loaded",TIMELINE!AP153*2/(TIMELINE!$C$152*(TIMELINE!$C$152+1)),IF(IF(INPUTS!$J$139="Follow Project Life","Even",IF(INPUTS!$J$139="At Project End","Upfront",INPUTS!$J$139))="S-curve",SIN(PI()*(TIMELINE!AP153-0.5)/TIMELINE!$C$152)*SIN(PI()/(2*TIMELINE!$C$152)),0))))))))))</f>
        <v>0</v>
      </c>
      <c r="AQ146" s="118" t="n">
        <f aca="false">IF(INPUTS!$F$139&lt;&gt;"Yes",0,IF(INPUTS!$J$139="Follow Construction",AQ$100,IF(INPUTS!$J$139="Follow Sales",AQ$99,IF(INPUTS!$J$139="Follow Collections",AQ$108,IF(OR(TIMELINE!AQ153=0,TIMELINE!$C$152=0),0,IF(IF(INPUTS!$J$139="Follow Project Life","Even",IF(INPUTS!$J$139="At Project End","Upfront",INPUTS!$J$139))="Upfront",--(TIMELINE!AQ153=1),IF(IF(INPUTS!$J$139="Follow Project Life","Even",IF(INPUTS!$J$139="At Project End","Upfront",INPUTS!$J$139))="Even",1/TIMELINE!$C$152,IF(IF(INPUTS!$J$139="Follow Project Life","Even",IF(INPUTS!$J$139="At Project End","Upfront",INPUTS!$J$139))="Front-loaded",(TIMELINE!$C$152-TIMELINE!AQ153+1)*2/(TIMELINE!$C$152*(TIMELINE!$C$152+1)),IF(IF(INPUTS!$J$139="Follow Project Life","Even",IF(INPUTS!$J$139="At Project End","Upfront",INPUTS!$J$139))="Back-loaded",TIMELINE!AQ153*2/(TIMELINE!$C$152*(TIMELINE!$C$152+1)),IF(IF(INPUTS!$J$139="Follow Project Life","Even",IF(INPUTS!$J$139="At Project End","Upfront",INPUTS!$J$139))="S-curve",SIN(PI()*(TIMELINE!AQ153-0.5)/TIMELINE!$C$152)*SIN(PI()/(2*TIMELINE!$C$152)),0))))))))))</f>
        <v>0</v>
      </c>
    </row>
    <row r="147" customFormat="false" ht="15" hidden="false" customHeight="false" outlineLevel="0" collapsed="false">
      <c r="B147" s="17" t="s">
        <v>689</v>
      </c>
      <c r="C147" s="105" t="str">
        <f aca="false">IF(INPUTS!$B$139="","",IF(INPUTS!$F$139&lt;&gt;"Yes","Off",IF(INPUTS!$M$139&lt;&gt;"OK","ERROR",IF(ABS(C146-1)&lt;0.000000001,"OK",IF(AND(C146=0,INPUTS!$G$139=0),"Zero","ERROR")))))</f>
        <v>OK</v>
      </c>
    </row>
    <row r="148" customFormat="false" ht="15" hidden="false" customHeight="false" outlineLevel="0" collapsed="false">
      <c r="B148" s="110" t="str">
        <f aca="false">IF(INPUTS!$B$140="","Spare cost row",INPUTS!$B$140)</f>
        <v>Legal &amp; Compliance (₹/Sq Ft SA)</v>
      </c>
      <c r="C148" s="111" t="str">
        <f aca="false">IF(INPUTS!$J$140="","",INPUTS!$J$140)</f>
        <v>Front-loaded</v>
      </c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</row>
    <row r="149" customFormat="false" ht="15" hidden="false" customHeight="false" outlineLevel="0" collapsed="false">
      <c r="B149" s="3" t="s">
        <v>688</v>
      </c>
      <c r="C149" s="117" t="n">
        <f aca="false">SUM(D149:AQ149)</f>
        <v>1</v>
      </c>
      <c r="D149" s="118" t="n">
        <f aca="false">IF(INPUTS!$F$140&lt;&gt;"Yes",0,IF(INPUTS!$J$140="Follow Construction",D$100,IF(INPUTS!$J$140="Follow Sales",D$99,IF(INPUTS!$J$140="Follow Collections",D$108,IF(OR(TIMELINE!D157=0,TIMELINE!$C$156=0),0,IF(IF(INPUTS!$J$140="Follow Project Life","Even",IF(INPUTS!$J$140="At Project End","Upfront",INPUTS!$J$140))="Upfront",--(TIMELINE!D157=1),IF(IF(INPUTS!$J$140="Follow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End","Upfront",INPUTS!$J$140))="Front-loaded",(TIMELINE!$C$156-TIMELINE!D157+1)*2/(TIMELINE!$C$156*(TIMELINE!$C$156+1)),IF(IF(INPUTS!$J$140="Follow Project Life","Even",IF(INPUTS!$J$140="At Project End","Upfront",INPUTS!$J$140))="Back-loaded",TIMELINE!D157*2/(TIMELINE!$C$156*(TIMELINE!$C$156+1)),IF(IF(INPUTS!$J$140="Follow Project Life","Even",IF(INPUTS!$J$140="At Project End","Upfront",INPUTS!$J$140))="S-curve",SIN(PI()*(TIMELINE!D157-0.5)/TIMELINE!$C$156)*SIN(PI()/(2*TIMELINE!$C$156)),0))))))))))</f>
        <v>0.222222222222222</v>
      </c>
      <c r="E149" s="118" t="n">
        <f aca="false">IF(INPUTS!$F$140&lt;&gt;"Yes",0,IF(INPUTS!$J$140="Follow Construction",E$100,IF(INPUTS!$J$140="Follow Sales",E$99,IF(INPUTS!$J$140="Follow Collections",E$108,IF(OR(TIMELINE!E157=0,TIMELINE!$C$156=0),0,IF(IF(INPUTS!$J$140="Follow Project Life","Even",IF(INPUTS!$J$140="At Project End","Upfront",INPUTS!$J$140))="Upfront",--(TIMELINE!E157=1),IF(IF(INPUTS!$J$140="Follow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End","Upfront",INPUTS!$J$140))="Front-loaded",(TIMELINE!$C$156-TIMELINE!E157+1)*2/(TIMELINE!$C$156*(TIMELINE!$C$156+1)),IF(IF(INPUTS!$J$140="Follow Project Life","Even",IF(INPUTS!$J$140="At Project End","Upfront",INPUTS!$J$140))="Back-loaded",TIMELINE!E157*2/(TIMELINE!$C$156*(TIMELINE!$C$156+1)),IF(IF(INPUTS!$J$140="Follow Project Life","Even",IF(INPUTS!$J$140="At Project End","Upfront",INPUTS!$J$140))="S-curve",SIN(PI()*(TIMELINE!E157-0.5)/TIMELINE!$C$156)*SIN(PI()/(2*TIMELINE!$C$156)),0))))))))))</f>
        <v>0.194444444444444</v>
      </c>
      <c r="F149" s="118" t="n">
        <f aca="false">IF(INPUTS!$F$140&lt;&gt;"Yes",0,IF(INPUTS!$J$140="Follow Construction",F$100,IF(INPUTS!$J$140="Follow Sales",F$99,IF(INPUTS!$J$140="Follow Collections",F$108,IF(OR(TIMELINE!F157=0,TIMELINE!$C$156=0),0,IF(IF(INPUTS!$J$140="Follow Project Life","Even",IF(INPUTS!$J$140="At Project End","Upfront",INPUTS!$J$140))="Upfront",--(TIMELINE!F157=1),IF(IF(INPUTS!$J$140="Follow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End","Upfront",INPUTS!$J$140))="Front-loaded",(TIMELINE!$C$156-TIMELINE!F157+1)*2/(TIMELINE!$C$156*(TIMELINE!$C$156+1)),IF(IF(INPUTS!$J$140="Follow Project Life","Even",IF(INPUTS!$J$140="At Project End","Upfront",INPUTS!$J$140))="Back-loaded",TIMELINE!F157*2/(TIMELINE!$C$156*(TIMELINE!$C$156+1)),IF(IF(INPUTS!$J$140="Follow Project Life","Even",IF(INPUTS!$J$140="At Project End","Upfront",INPUTS!$J$140))="S-curve",SIN(PI()*(TIMELINE!F157-0.5)/TIMELINE!$C$156)*SIN(PI()/(2*TIMELINE!$C$156)),0))))))))))</f>
        <v>0.166666666666667</v>
      </c>
      <c r="G149" s="118" t="n">
        <f aca="false">IF(INPUTS!$F$140&lt;&gt;"Yes",0,IF(INPUTS!$J$140="Follow Construction",G$100,IF(INPUTS!$J$140="Follow Sales",G$99,IF(INPUTS!$J$140="Follow Collections",G$108,IF(OR(TIMELINE!G157=0,TIMELINE!$C$156=0),0,IF(IF(INPUTS!$J$140="Follow Project Life","Even",IF(INPUTS!$J$140="At Project End","Upfront",INPUTS!$J$140))="Upfront",--(TIMELINE!G157=1),IF(IF(INPUTS!$J$140="Follow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End","Upfront",INPUTS!$J$140))="Front-loaded",(TIMELINE!$C$156-TIMELINE!G157+1)*2/(TIMELINE!$C$156*(TIMELINE!$C$156+1)),IF(IF(INPUTS!$J$140="Follow Project Life","Even",IF(INPUTS!$J$140="At Project End","Upfront",INPUTS!$J$140))="Back-loaded",TIMELINE!G157*2/(TIMELINE!$C$156*(TIMELINE!$C$156+1)),IF(IF(INPUTS!$J$140="Follow Project Life","Even",IF(INPUTS!$J$140="At Project End","Upfront",INPUTS!$J$140))="S-curve",SIN(PI()*(TIMELINE!G157-0.5)/TIMELINE!$C$156)*SIN(PI()/(2*TIMELINE!$C$156)),0))))))))))</f>
        <v>0.138888888888889</v>
      </c>
      <c r="H149" s="118" t="n">
        <f aca="false">IF(INPUTS!$F$140&lt;&gt;"Yes",0,IF(INPUTS!$J$140="Follow Construction",H$100,IF(INPUTS!$J$140="Follow Sales",H$99,IF(INPUTS!$J$140="Follow Collections",H$108,IF(OR(TIMELINE!H157=0,TIMELINE!$C$156=0),0,IF(IF(INPUTS!$J$140="Follow Project Life","Even",IF(INPUTS!$J$140="At Project End","Upfront",INPUTS!$J$140))="Upfront",--(TIMELINE!H157=1),IF(IF(INPUTS!$J$140="Follow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End","Upfront",INPUTS!$J$140))="Front-loaded",(TIMELINE!$C$156-TIMELINE!H157+1)*2/(TIMELINE!$C$156*(TIMELINE!$C$156+1)),IF(IF(INPUTS!$J$140="Follow Project Life","Even",IF(INPUTS!$J$140="At Project End","Upfront",INPUTS!$J$140))="Back-loaded",TIMELINE!H157*2/(TIMELINE!$C$156*(TIMELINE!$C$156+1)),IF(IF(INPUTS!$J$140="Follow Project Life","Even",IF(INPUTS!$J$140="At Project End","Upfront",INPUTS!$J$140))="S-curve",SIN(PI()*(TIMELINE!H157-0.5)/TIMELINE!$C$156)*SIN(PI()/(2*TIMELINE!$C$156)),0))))))))))</f>
        <v>0.111111111111111</v>
      </c>
      <c r="I149" s="118" t="n">
        <f aca="false">IF(INPUTS!$F$140&lt;&gt;"Yes",0,IF(INPUTS!$J$140="Follow Construction",I$100,IF(INPUTS!$J$140="Follow Sales",I$99,IF(INPUTS!$J$140="Follow Collections",I$108,IF(OR(TIMELINE!I157=0,TIMELINE!$C$156=0),0,IF(IF(INPUTS!$J$140="Follow Project Life","Even",IF(INPUTS!$J$140="At Project End","Upfront",INPUTS!$J$140))="Upfront",--(TIMELINE!I157=1),IF(IF(INPUTS!$J$140="Follow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End","Upfront",INPUTS!$J$140))="Front-loaded",(TIMELINE!$C$156-TIMELINE!I157+1)*2/(TIMELINE!$C$156*(TIMELINE!$C$156+1)),IF(IF(INPUTS!$J$140="Follow Project Life","Even",IF(INPUTS!$J$140="At Project End","Upfront",INPUTS!$J$140))="Back-loaded",TIMELINE!I157*2/(TIMELINE!$C$156*(TIMELINE!$C$156+1)),IF(IF(INPUTS!$J$140="Follow Project Life","Even",IF(INPUTS!$J$140="At Project End","Upfront",INPUTS!$J$140))="S-curve",SIN(PI()*(TIMELINE!I157-0.5)/TIMELINE!$C$156)*SIN(PI()/(2*TIMELINE!$C$156)),0))))))))))</f>
        <v>0.0833333333333333</v>
      </c>
      <c r="J149" s="118" t="n">
        <f aca="false">IF(INPUTS!$F$140&lt;&gt;"Yes",0,IF(INPUTS!$J$140="Follow Construction",J$100,IF(INPUTS!$J$140="Follow Sales",J$99,IF(INPUTS!$J$140="Follow Collections",J$108,IF(OR(TIMELINE!J157=0,TIMELINE!$C$156=0),0,IF(IF(INPUTS!$J$140="Follow Project Life","Even",IF(INPUTS!$J$140="At Project End","Upfront",INPUTS!$J$140))="Upfront",--(TIMELINE!J157=1),IF(IF(INPUTS!$J$140="Follow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End","Upfront",INPUTS!$J$140))="Front-loaded",(TIMELINE!$C$156-TIMELINE!J157+1)*2/(TIMELINE!$C$156*(TIMELINE!$C$156+1)),IF(IF(INPUTS!$J$140="Follow Project Life","Even",IF(INPUTS!$J$140="At Project End","Upfront",INPUTS!$J$140))="Back-loaded",TIMELINE!J157*2/(TIMELINE!$C$156*(TIMELINE!$C$156+1)),IF(IF(INPUTS!$J$140="Follow Project Life","Even",IF(INPUTS!$J$140="At Project End","Upfront",INPUTS!$J$140))="S-curve",SIN(PI()*(TIMELINE!J157-0.5)/TIMELINE!$C$156)*SIN(PI()/(2*TIMELINE!$C$156)),0))))))))))</f>
        <v>0.0555555555555556</v>
      </c>
      <c r="K149" s="118" t="n">
        <f aca="false">IF(INPUTS!$F$140&lt;&gt;"Yes",0,IF(INPUTS!$J$140="Follow Construction",K$100,IF(INPUTS!$J$140="Follow Sales",K$99,IF(INPUTS!$J$140="Follow Collections",K$108,IF(OR(TIMELINE!K157=0,TIMELINE!$C$156=0),0,IF(IF(INPUTS!$J$140="Follow Project Life","Even",IF(INPUTS!$J$140="At Project End","Upfront",INPUTS!$J$140))="Upfront",--(TIMELINE!K157=1),IF(IF(INPUTS!$J$140="Follow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End","Upfront",INPUTS!$J$140))="Front-loaded",(TIMELINE!$C$156-TIMELINE!K157+1)*2/(TIMELINE!$C$156*(TIMELINE!$C$156+1)),IF(IF(INPUTS!$J$140="Follow Project Life","Even",IF(INPUTS!$J$140="At Project End","Upfront",INPUTS!$J$140))="Back-loaded",TIMELINE!K157*2/(TIMELINE!$C$156*(TIMELINE!$C$156+1)),IF(IF(INPUTS!$J$140="Follow Project Life","Even",IF(INPUTS!$J$140="At Project End","Upfront",INPUTS!$J$140))="S-curve",SIN(PI()*(TIMELINE!K157-0.5)/TIMELINE!$C$156)*SIN(PI()/(2*TIMELINE!$C$156)),0))))))))))</f>
        <v>0.0277777777777778</v>
      </c>
      <c r="L149" s="118" t="n">
        <f aca="false">IF(INPUTS!$F$140&lt;&gt;"Yes",0,IF(INPUTS!$J$140="Follow Construction",L$100,IF(INPUTS!$J$140="Follow Sales",L$99,IF(INPUTS!$J$140="Follow Collections",L$108,IF(OR(TIMELINE!L157=0,TIMELINE!$C$156=0),0,IF(IF(INPUTS!$J$140="Follow Project Life","Even",IF(INPUTS!$J$140="At Project End","Upfront",INPUTS!$J$140))="Upfront",--(TIMELINE!L157=1),IF(IF(INPUTS!$J$140="Follow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End","Upfront",INPUTS!$J$140))="Front-loaded",(TIMELINE!$C$156-TIMELINE!L157+1)*2/(TIMELINE!$C$156*(TIMELINE!$C$156+1)),IF(IF(INPUTS!$J$140="Follow Project Life","Even",IF(INPUTS!$J$140="At Project End","Upfront",INPUTS!$J$140))="Back-loaded",TIMELINE!L157*2/(TIMELINE!$C$156*(TIMELINE!$C$156+1)),IF(IF(INPUTS!$J$140="Follow Project Life","Even",IF(INPUTS!$J$140="At Project End","Upfront",INPUTS!$J$140))="S-curve",SIN(PI()*(TIMELINE!L157-0.5)/TIMELINE!$C$156)*SIN(PI()/(2*TIMELINE!$C$156)),0))))))))))</f>
        <v>0</v>
      </c>
      <c r="M149" s="118" t="n">
        <f aca="false">IF(INPUTS!$F$140&lt;&gt;"Yes",0,IF(INPUTS!$J$140="Follow Construction",M$100,IF(INPUTS!$J$140="Follow Sales",M$99,IF(INPUTS!$J$140="Follow Collections",M$108,IF(OR(TIMELINE!M157=0,TIMELINE!$C$156=0),0,IF(IF(INPUTS!$J$140="Follow Project Life","Even",IF(INPUTS!$J$140="At Project End","Upfront",INPUTS!$J$140))="Upfront",--(TIMELINE!M157=1),IF(IF(INPUTS!$J$140="Follow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End","Upfront",INPUTS!$J$140))="Front-loaded",(TIMELINE!$C$156-TIMELINE!M157+1)*2/(TIMELINE!$C$156*(TIMELINE!$C$156+1)),IF(IF(INPUTS!$J$140="Follow Project Life","Even",IF(INPUTS!$J$140="At Project End","Upfront",INPUTS!$J$140))="Back-loaded",TIMELINE!M157*2/(TIMELINE!$C$156*(TIMELINE!$C$156+1)),IF(IF(INPUTS!$J$140="Follow Project Life","Even",IF(INPUTS!$J$140="At Project End","Upfront",INPUTS!$J$140))="S-curve",SIN(PI()*(TIMELINE!M157-0.5)/TIMELINE!$C$156)*SIN(PI()/(2*TIMELINE!$C$156)),0))))))))))</f>
        <v>0</v>
      </c>
      <c r="N149" s="118" t="n">
        <f aca="false">IF(INPUTS!$F$140&lt;&gt;"Yes",0,IF(INPUTS!$J$140="Follow Construction",N$100,IF(INPUTS!$J$140="Follow Sales",N$99,IF(INPUTS!$J$140="Follow Collections",N$108,IF(OR(TIMELINE!N157=0,TIMELINE!$C$156=0),0,IF(IF(INPUTS!$J$140="Follow Project Life","Even",IF(INPUTS!$J$140="At Project End","Upfront",INPUTS!$J$140))="Upfront",--(TIMELINE!N157=1),IF(IF(INPUTS!$J$140="Follow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End","Upfront",INPUTS!$J$140))="Front-loaded",(TIMELINE!$C$156-TIMELINE!N157+1)*2/(TIMELINE!$C$156*(TIMELINE!$C$156+1)),IF(IF(INPUTS!$J$140="Follow Project Life","Even",IF(INPUTS!$J$140="At Project End","Upfront",INPUTS!$J$140))="Back-loaded",TIMELINE!N157*2/(TIMELINE!$C$156*(TIMELINE!$C$156+1)),IF(IF(INPUTS!$J$140="Follow Project Life","Even",IF(INPUTS!$J$140="At Project End","Upfront",INPUTS!$J$140))="S-curve",SIN(PI()*(TIMELINE!N157-0.5)/TIMELINE!$C$156)*SIN(PI()/(2*TIMELINE!$C$156)),0))))))))))</f>
        <v>0</v>
      </c>
      <c r="O149" s="118" t="n">
        <f aca="false">IF(INPUTS!$F$140&lt;&gt;"Yes",0,IF(INPUTS!$J$140="Follow Construction",O$100,IF(INPUTS!$J$140="Follow Sales",O$99,IF(INPUTS!$J$140="Follow Collections",O$108,IF(OR(TIMELINE!O157=0,TIMELINE!$C$156=0),0,IF(IF(INPUTS!$J$140="Follow Project Life","Even",IF(INPUTS!$J$140="At Project End","Upfront",INPUTS!$J$140))="Upfront",--(TIMELINE!O157=1),IF(IF(INPUTS!$J$140="Follow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End","Upfront",INPUTS!$J$140))="Front-loaded",(TIMELINE!$C$156-TIMELINE!O157+1)*2/(TIMELINE!$C$156*(TIMELINE!$C$156+1)),IF(IF(INPUTS!$J$140="Follow Project Life","Even",IF(INPUTS!$J$140="At Project End","Upfront",INPUTS!$J$140))="Back-loaded",TIMELINE!O157*2/(TIMELINE!$C$156*(TIMELINE!$C$156+1)),IF(IF(INPUTS!$J$140="Follow Project Life","Even",IF(INPUTS!$J$140="At Project End","Upfront",INPUTS!$J$140))="S-curve",SIN(PI()*(TIMELINE!O157-0.5)/TIMELINE!$C$156)*SIN(PI()/(2*TIMELINE!$C$156)),0))))))))))</f>
        <v>0</v>
      </c>
      <c r="P149" s="118" t="n">
        <f aca="false">IF(INPUTS!$F$140&lt;&gt;"Yes",0,IF(INPUTS!$J$140="Follow Construction",P$100,IF(INPUTS!$J$140="Follow Sales",P$99,IF(INPUTS!$J$140="Follow Collections",P$108,IF(OR(TIMELINE!P157=0,TIMELINE!$C$156=0),0,IF(IF(INPUTS!$J$140="Follow Project Life","Even",IF(INPUTS!$J$140="At Project End","Upfront",INPUTS!$J$140))="Upfront",--(TIMELINE!P157=1),IF(IF(INPUTS!$J$140="Follow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End","Upfront",INPUTS!$J$140))="Front-loaded",(TIMELINE!$C$156-TIMELINE!P157+1)*2/(TIMELINE!$C$156*(TIMELINE!$C$156+1)),IF(IF(INPUTS!$J$140="Follow Project Life","Even",IF(INPUTS!$J$140="At Project End","Upfront",INPUTS!$J$140))="Back-loaded",TIMELINE!P157*2/(TIMELINE!$C$156*(TIMELINE!$C$156+1)),IF(IF(INPUTS!$J$140="Follow Project Life","Even",IF(INPUTS!$J$140="At Project End","Upfront",INPUTS!$J$140))="S-curve",SIN(PI()*(TIMELINE!P157-0.5)/TIMELINE!$C$156)*SIN(PI()/(2*TIMELINE!$C$156)),0))))))))))</f>
        <v>0</v>
      </c>
      <c r="Q149" s="118" t="n">
        <f aca="false">IF(INPUTS!$F$140&lt;&gt;"Yes",0,IF(INPUTS!$J$140="Follow Construction",Q$100,IF(INPUTS!$J$140="Follow Sales",Q$99,IF(INPUTS!$J$140="Follow Collections",Q$108,IF(OR(TIMELINE!Q157=0,TIMELINE!$C$156=0),0,IF(IF(INPUTS!$J$140="Follow Project Life","Even",IF(INPUTS!$J$140="At Project End","Upfront",INPUTS!$J$140))="Upfront",--(TIMELINE!Q157=1),IF(IF(INPUTS!$J$140="Follow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End","Upfront",INPUTS!$J$140))="Front-loaded",(TIMELINE!$C$156-TIMELINE!Q157+1)*2/(TIMELINE!$C$156*(TIMELINE!$C$156+1)),IF(IF(INPUTS!$J$140="Follow Project Life","Even",IF(INPUTS!$J$140="At Project End","Upfront",INPUTS!$J$140))="Back-loaded",TIMELINE!Q157*2/(TIMELINE!$C$156*(TIMELINE!$C$156+1)),IF(IF(INPUTS!$J$140="Follow Project Life","Even",IF(INPUTS!$J$140="At Project End","Upfront",INPUTS!$J$140))="S-curve",SIN(PI()*(TIMELINE!Q157-0.5)/TIMELINE!$C$156)*SIN(PI()/(2*TIMELINE!$C$156)),0))))))))))</f>
        <v>0</v>
      </c>
      <c r="R149" s="118" t="n">
        <f aca="false">IF(INPUTS!$F$140&lt;&gt;"Yes",0,IF(INPUTS!$J$140="Follow Construction",R$100,IF(INPUTS!$J$140="Follow Sales",R$99,IF(INPUTS!$J$140="Follow Collections",R$108,IF(OR(TIMELINE!R157=0,TIMELINE!$C$156=0),0,IF(IF(INPUTS!$J$140="Follow Project Life","Even",IF(INPUTS!$J$140="At Project End","Upfront",INPUTS!$J$140))="Upfront",--(TIMELINE!R157=1),IF(IF(INPUTS!$J$140="Follow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End","Upfront",INPUTS!$J$140))="Front-loaded",(TIMELINE!$C$156-TIMELINE!R157+1)*2/(TIMELINE!$C$156*(TIMELINE!$C$156+1)),IF(IF(INPUTS!$J$140="Follow Project Life","Even",IF(INPUTS!$J$140="At Project End","Upfront",INPUTS!$J$140))="Back-loaded",TIMELINE!R157*2/(TIMELINE!$C$156*(TIMELINE!$C$156+1)),IF(IF(INPUTS!$J$140="Follow Project Life","Even",IF(INPUTS!$J$140="At Project End","Upfront",INPUTS!$J$140))="S-curve",SIN(PI()*(TIMELINE!R157-0.5)/TIMELINE!$C$156)*SIN(PI()/(2*TIMELINE!$C$156)),0))))))))))</f>
        <v>0</v>
      </c>
      <c r="S149" s="118" t="n">
        <f aca="false">IF(INPUTS!$F$140&lt;&gt;"Yes",0,IF(INPUTS!$J$140="Follow Construction",S$100,IF(INPUTS!$J$140="Follow Sales",S$99,IF(INPUTS!$J$140="Follow Collections",S$108,IF(OR(TIMELINE!S157=0,TIMELINE!$C$156=0),0,IF(IF(INPUTS!$J$140="Follow Project Life","Even",IF(INPUTS!$J$140="At Project End","Upfront",INPUTS!$J$140))="Upfront",--(TIMELINE!S157=1),IF(IF(INPUTS!$J$140="Follow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End","Upfront",INPUTS!$J$140))="Front-loaded",(TIMELINE!$C$156-TIMELINE!S157+1)*2/(TIMELINE!$C$156*(TIMELINE!$C$156+1)),IF(IF(INPUTS!$J$140="Follow Project Life","Even",IF(INPUTS!$J$140="At Project End","Upfront",INPUTS!$J$140))="Back-loaded",TIMELINE!S157*2/(TIMELINE!$C$156*(TIMELINE!$C$156+1)),IF(IF(INPUTS!$J$140="Follow Project Life","Even",IF(INPUTS!$J$140="At Project End","Upfront",INPUTS!$J$140))="S-curve",SIN(PI()*(TIMELINE!S157-0.5)/TIMELINE!$C$156)*SIN(PI()/(2*TIMELINE!$C$156)),0))))))))))</f>
        <v>0</v>
      </c>
      <c r="T149" s="118" t="n">
        <f aca="false">IF(INPUTS!$F$140&lt;&gt;"Yes",0,IF(INPUTS!$J$140="Follow Construction",T$100,IF(INPUTS!$J$140="Follow Sales",T$99,IF(INPUTS!$J$140="Follow Collections",T$108,IF(OR(TIMELINE!T157=0,TIMELINE!$C$156=0),0,IF(IF(INPUTS!$J$140="Follow Project Life","Even",IF(INPUTS!$J$140="At Project End","Upfront",INPUTS!$J$140))="Upfront",--(TIMELINE!T157=1),IF(IF(INPUTS!$J$140="Follow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End","Upfront",INPUTS!$J$140))="Front-loaded",(TIMELINE!$C$156-TIMELINE!T157+1)*2/(TIMELINE!$C$156*(TIMELINE!$C$156+1)),IF(IF(INPUTS!$J$140="Follow Project Life","Even",IF(INPUTS!$J$140="At Project End","Upfront",INPUTS!$J$140))="Back-loaded",TIMELINE!T157*2/(TIMELINE!$C$156*(TIMELINE!$C$156+1)),IF(IF(INPUTS!$J$140="Follow Project Life","Even",IF(INPUTS!$J$140="At Project End","Upfront",INPUTS!$J$140))="S-curve",SIN(PI()*(TIMELINE!T157-0.5)/TIMELINE!$C$156)*SIN(PI()/(2*TIMELINE!$C$156)),0))))))))))</f>
        <v>0</v>
      </c>
      <c r="U149" s="118" t="n">
        <f aca="false">IF(INPUTS!$F$140&lt;&gt;"Yes",0,IF(INPUTS!$J$140="Follow Construction",U$100,IF(INPUTS!$J$140="Follow Sales",U$99,IF(INPUTS!$J$140="Follow Collections",U$108,IF(OR(TIMELINE!U157=0,TIMELINE!$C$156=0),0,IF(IF(INPUTS!$J$140="Follow Project Life","Even",IF(INPUTS!$J$140="At Project End","Upfront",INPUTS!$J$140))="Upfront",--(TIMELINE!U157=1),IF(IF(INPUTS!$J$140="Follow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End","Upfront",INPUTS!$J$140))="Front-loaded",(TIMELINE!$C$156-TIMELINE!U157+1)*2/(TIMELINE!$C$156*(TIMELINE!$C$156+1)),IF(IF(INPUTS!$J$140="Follow Project Life","Even",IF(INPUTS!$J$140="At Project End","Upfront",INPUTS!$J$140))="Back-loaded",TIMELINE!U157*2/(TIMELINE!$C$156*(TIMELINE!$C$156+1)),IF(IF(INPUTS!$J$140="Follow Project Life","Even",IF(INPUTS!$J$140="At Project End","Upfront",INPUTS!$J$140))="S-curve",SIN(PI()*(TIMELINE!U157-0.5)/TIMELINE!$C$156)*SIN(PI()/(2*TIMELINE!$C$156)),0))))))))))</f>
        <v>0</v>
      </c>
      <c r="V149" s="118" t="n">
        <f aca="false">IF(INPUTS!$F$140&lt;&gt;"Yes",0,IF(INPUTS!$J$140="Follow Construction",V$100,IF(INPUTS!$J$140="Follow Sales",V$99,IF(INPUTS!$J$140="Follow Collections",V$108,IF(OR(TIMELINE!V157=0,TIMELINE!$C$156=0),0,IF(IF(INPUTS!$J$140="Follow Project Life","Even",IF(INPUTS!$J$140="At Project End","Upfront",INPUTS!$J$140))="Upfront",--(TIMELINE!V157=1),IF(IF(INPUTS!$J$140="Follow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End","Upfront",INPUTS!$J$140))="Front-loaded",(TIMELINE!$C$156-TIMELINE!V157+1)*2/(TIMELINE!$C$156*(TIMELINE!$C$156+1)),IF(IF(INPUTS!$J$140="Follow Project Life","Even",IF(INPUTS!$J$140="At Project End","Upfront",INPUTS!$J$140))="Back-loaded",TIMELINE!V157*2/(TIMELINE!$C$156*(TIMELINE!$C$156+1)),IF(IF(INPUTS!$J$140="Follow Project Life","Even",IF(INPUTS!$J$140="At Project End","Upfront",INPUTS!$J$140))="S-curve",SIN(PI()*(TIMELINE!V157-0.5)/TIMELINE!$C$156)*SIN(PI()/(2*TIMELINE!$C$156)),0))))))))))</f>
        <v>0</v>
      </c>
      <c r="W149" s="118" t="n">
        <f aca="false">IF(INPUTS!$F$140&lt;&gt;"Yes",0,IF(INPUTS!$J$140="Follow Construction",W$100,IF(INPUTS!$J$140="Follow Sales",W$99,IF(INPUTS!$J$140="Follow Collections",W$108,IF(OR(TIMELINE!W157=0,TIMELINE!$C$156=0),0,IF(IF(INPUTS!$J$140="Follow Project Life","Even",IF(INPUTS!$J$140="At Project End","Upfront",INPUTS!$J$140))="Upfront",--(TIMELINE!W157=1),IF(IF(INPUTS!$J$140="Follow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End","Upfront",INPUTS!$J$140))="Front-loaded",(TIMELINE!$C$156-TIMELINE!W157+1)*2/(TIMELINE!$C$156*(TIMELINE!$C$156+1)),IF(IF(INPUTS!$J$140="Follow Project Life","Even",IF(INPUTS!$J$140="At Project End","Upfront",INPUTS!$J$140))="Back-loaded",TIMELINE!W157*2/(TIMELINE!$C$156*(TIMELINE!$C$156+1)),IF(IF(INPUTS!$J$140="Follow Project Life","Even",IF(INPUTS!$J$140="At Project End","Upfront",INPUTS!$J$140))="S-curve",SIN(PI()*(TIMELINE!W157-0.5)/TIMELINE!$C$156)*SIN(PI()/(2*TIMELINE!$C$156)),0))))))))))</f>
        <v>0</v>
      </c>
      <c r="X149" s="118" t="n">
        <f aca="false">IF(INPUTS!$F$140&lt;&gt;"Yes",0,IF(INPUTS!$J$140="Follow Construction",X$100,IF(INPUTS!$J$140="Follow Sales",X$99,IF(INPUTS!$J$140="Follow Collections",X$108,IF(OR(TIMELINE!X157=0,TIMELINE!$C$156=0),0,IF(IF(INPUTS!$J$140="Follow Project Life","Even",IF(INPUTS!$J$140="At Project End","Upfront",INPUTS!$J$140))="Upfront",--(TIMELINE!X157=1),IF(IF(INPUTS!$J$140="Follow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End","Upfront",INPUTS!$J$140))="Front-loaded",(TIMELINE!$C$156-TIMELINE!X157+1)*2/(TIMELINE!$C$156*(TIMELINE!$C$156+1)),IF(IF(INPUTS!$J$140="Follow Project Life","Even",IF(INPUTS!$J$140="At Project End","Upfront",INPUTS!$J$140))="Back-loaded",TIMELINE!X157*2/(TIMELINE!$C$156*(TIMELINE!$C$156+1)),IF(IF(INPUTS!$J$140="Follow Project Life","Even",IF(INPUTS!$J$140="At Project End","Upfront",INPUTS!$J$140))="S-curve",SIN(PI()*(TIMELINE!X157-0.5)/TIMELINE!$C$156)*SIN(PI()/(2*TIMELINE!$C$156)),0))))))))))</f>
        <v>0</v>
      </c>
      <c r="Y149" s="118" t="n">
        <f aca="false">IF(INPUTS!$F$140&lt;&gt;"Yes",0,IF(INPUTS!$J$140="Follow Construction",Y$100,IF(INPUTS!$J$140="Follow Sales",Y$99,IF(INPUTS!$J$140="Follow Collections",Y$108,IF(OR(TIMELINE!Y157=0,TIMELINE!$C$156=0),0,IF(IF(INPUTS!$J$140="Follow Project Life","Even",IF(INPUTS!$J$140="At Project End","Upfront",INPUTS!$J$140))="Upfront",--(TIMELINE!Y157=1),IF(IF(INPUTS!$J$140="Follow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End","Upfront",INPUTS!$J$140))="Front-loaded",(TIMELINE!$C$156-TIMELINE!Y157+1)*2/(TIMELINE!$C$156*(TIMELINE!$C$156+1)),IF(IF(INPUTS!$J$140="Follow Project Life","Even",IF(INPUTS!$J$140="At Project End","Upfront",INPUTS!$J$140))="Back-loaded",TIMELINE!Y157*2/(TIMELINE!$C$156*(TIMELINE!$C$156+1)),IF(IF(INPUTS!$J$140="Follow Project Life","Even",IF(INPUTS!$J$140="At Project End","Upfront",INPUTS!$J$140))="S-curve",SIN(PI()*(TIMELINE!Y157-0.5)/TIMELINE!$C$156)*SIN(PI()/(2*TIMELINE!$C$156)),0))))))))))</f>
        <v>0</v>
      </c>
      <c r="Z149" s="118" t="n">
        <f aca="false">IF(INPUTS!$F$140&lt;&gt;"Yes",0,IF(INPUTS!$J$140="Follow Construction",Z$100,IF(INPUTS!$J$140="Follow Sales",Z$99,IF(INPUTS!$J$140="Follow Collections",Z$108,IF(OR(TIMELINE!Z157=0,TIMELINE!$C$156=0),0,IF(IF(INPUTS!$J$140="Follow Project Life","Even",IF(INPUTS!$J$140="At Project End","Upfront",INPUTS!$J$140))="Upfront",--(TIMELINE!Z157=1),IF(IF(INPUTS!$J$140="Follow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End","Upfront",INPUTS!$J$140))="Front-loaded",(TIMELINE!$C$156-TIMELINE!Z157+1)*2/(TIMELINE!$C$156*(TIMELINE!$C$156+1)),IF(IF(INPUTS!$J$140="Follow Project Life","Even",IF(INPUTS!$J$140="At Project End","Upfront",INPUTS!$J$140))="Back-loaded",TIMELINE!Z157*2/(TIMELINE!$C$156*(TIMELINE!$C$156+1)),IF(IF(INPUTS!$J$140="Follow Project Life","Even",IF(INPUTS!$J$140="At Project End","Upfront",INPUTS!$J$140))="S-curve",SIN(PI()*(TIMELINE!Z157-0.5)/TIMELINE!$C$156)*SIN(PI()/(2*TIMELINE!$C$156)),0))))))))))</f>
        <v>0</v>
      </c>
      <c r="AA149" s="118" t="n">
        <f aca="false">IF(INPUTS!$F$140&lt;&gt;"Yes",0,IF(INPUTS!$J$140="Follow Construction",AA$100,IF(INPUTS!$J$140="Follow Sales",AA$99,IF(INPUTS!$J$140="Follow Collections",AA$108,IF(OR(TIMELINE!AA157=0,TIMELINE!$C$156=0),0,IF(IF(INPUTS!$J$140="Follow Project Life","Even",IF(INPUTS!$J$140="At Project End","Upfront",INPUTS!$J$140))="Upfront",--(TIMELINE!AA157=1),IF(IF(INPUTS!$J$140="Follow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End","Upfront",INPUTS!$J$140))="Front-loaded",(TIMELINE!$C$156-TIMELINE!AA157+1)*2/(TIMELINE!$C$156*(TIMELINE!$C$156+1)),IF(IF(INPUTS!$J$140="Follow Project Life","Even",IF(INPUTS!$J$140="At Project End","Upfront",INPUTS!$J$140))="Back-loaded",TIMELINE!AA157*2/(TIMELINE!$C$156*(TIMELINE!$C$156+1)),IF(IF(INPUTS!$J$140="Follow Project Life","Even",IF(INPUTS!$J$140="At Project End","Upfront",INPUTS!$J$140))="S-curve",SIN(PI()*(TIMELINE!AA157-0.5)/TIMELINE!$C$156)*SIN(PI()/(2*TIMELINE!$C$156)),0))))))))))</f>
        <v>0</v>
      </c>
      <c r="AB149" s="118" t="n">
        <f aca="false">IF(INPUTS!$F$140&lt;&gt;"Yes",0,IF(INPUTS!$J$140="Follow Construction",AB$100,IF(INPUTS!$J$140="Follow Sales",AB$99,IF(INPUTS!$J$140="Follow Collections",AB$108,IF(OR(TIMELINE!AB157=0,TIMELINE!$C$156=0),0,IF(IF(INPUTS!$J$140="Follow Project Life","Even",IF(INPUTS!$J$140="At Project End","Upfront",INPUTS!$J$140))="Upfront",--(TIMELINE!AB157=1),IF(IF(INPUTS!$J$140="Follow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End","Upfront",INPUTS!$J$140))="Front-loaded",(TIMELINE!$C$156-TIMELINE!AB157+1)*2/(TIMELINE!$C$156*(TIMELINE!$C$156+1)),IF(IF(INPUTS!$J$140="Follow Project Life","Even",IF(INPUTS!$J$140="At Project End","Upfront",INPUTS!$J$140))="Back-loaded",TIMELINE!AB157*2/(TIMELINE!$C$156*(TIMELINE!$C$156+1)),IF(IF(INPUTS!$J$140="Follow Project Life","Even",IF(INPUTS!$J$140="At Project End","Upfront",INPUTS!$J$140))="S-curve",SIN(PI()*(TIMELINE!AB157-0.5)/TIMELINE!$C$156)*SIN(PI()/(2*TIMELINE!$C$156)),0))))))))))</f>
        <v>0</v>
      </c>
      <c r="AC149" s="118" t="n">
        <f aca="false">IF(INPUTS!$F$140&lt;&gt;"Yes",0,IF(INPUTS!$J$140="Follow Construction",AC$100,IF(INPUTS!$J$140="Follow Sales",AC$99,IF(INPUTS!$J$140="Follow Collections",AC$108,IF(OR(TIMELINE!AC157=0,TIMELINE!$C$156=0),0,IF(IF(INPUTS!$J$140="Follow Project Life","Even",IF(INPUTS!$J$140="At Project End","Upfront",INPUTS!$J$140))="Upfront",--(TIMELINE!AC157=1),IF(IF(INPUTS!$J$140="Follow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End","Upfront",INPUTS!$J$140))="Front-loaded",(TIMELINE!$C$156-TIMELINE!AC157+1)*2/(TIMELINE!$C$156*(TIMELINE!$C$156+1)),IF(IF(INPUTS!$J$140="Follow Project Life","Even",IF(INPUTS!$J$140="At Project End","Upfront",INPUTS!$J$140))="Back-loaded",TIMELINE!AC157*2/(TIMELINE!$C$156*(TIMELINE!$C$156+1)),IF(IF(INPUTS!$J$140="Follow Project Life","Even",IF(INPUTS!$J$140="At Project End","Upfront",INPUTS!$J$140))="S-curve",SIN(PI()*(TIMELINE!AC157-0.5)/TIMELINE!$C$156)*SIN(PI()/(2*TIMELINE!$C$156)),0))))))))))</f>
        <v>0</v>
      </c>
      <c r="AD149" s="118" t="n">
        <f aca="false">IF(INPUTS!$F$140&lt;&gt;"Yes",0,IF(INPUTS!$J$140="Follow Construction",AD$100,IF(INPUTS!$J$140="Follow Sales",AD$99,IF(INPUTS!$J$140="Follow Collections",AD$108,IF(OR(TIMELINE!AD157=0,TIMELINE!$C$156=0),0,IF(IF(INPUTS!$J$140="Follow Project Life","Even",IF(INPUTS!$J$140="At Project End","Upfront",INPUTS!$J$140))="Upfront",--(TIMELINE!AD157=1),IF(IF(INPUTS!$J$140="Follow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End","Upfront",INPUTS!$J$140))="Front-loaded",(TIMELINE!$C$156-TIMELINE!AD157+1)*2/(TIMELINE!$C$156*(TIMELINE!$C$156+1)),IF(IF(INPUTS!$J$140="Follow Project Life","Even",IF(INPUTS!$J$140="At Project End","Upfront",INPUTS!$J$140))="Back-loaded",TIMELINE!AD157*2/(TIMELINE!$C$156*(TIMELINE!$C$156+1)),IF(IF(INPUTS!$J$140="Follow Project Life","Even",IF(INPUTS!$J$140="At Project End","Upfront",INPUTS!$J$140))="S-curve",SIN(PI()*(TIMELINE!AD157-0.5)/TIMELINE!$C$156)*SIN(PI()/(2*TIMELINE!$C$156)),0))))))))))</f>
        <v>0</v>
      </c>
      <c r="AE149" s="118" t="n">
        <f aca="false">IF(INPUTS!$F$140&lt;&gt;"Yes",0,IF(INPUTS!$J$140="Follow Construction",AE$100,IF(INPUTS!$J$140="Follow Sales",AE$99,IF(INPUTS!$J$140="Follow Collections",AE$108,IF(OR(TIMELINE!AE157=0,TIMELINE!$C$156=0),0,IF(IF(INPUTS!$J$140="Follow Project Life","Even",IF(INPUTS!$J$140="At Project End","Upfront",INPUTS!$J$140))="Upfront",--(TIMELINE!AE157=1),IF(IF(INPUTS!$J$140="Follow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End","Upfront",INPUTS!$J$140))="Front-loaded",(TIMELINE!$C$156-TIMELINE!AE157+1)*2/(TIMELINE!$C$156*(TIMELINE!$C$156+1)),IF(IF(INPUTS!$J$140="Follow Project Life","Even",IF(INPUTS!$J$140="At Project End","Upfront",INPUTS!$J$140))="Back-loaded",TIMELINE!AE157*2/(TIMELINE!$C$156*(TIMELINE!$C$156+1)),IF(IF(INPUTS!$J$140="Follow Project Life","Even",IF(INPUTS!$J$140="At Project End","Upfront",INPUTS!$J$140))="S-curve",SIN(PI()*(TIMELINE!AE157-0.5)/TIMELINE!$C$156)*SIN(PI()/(2*TIMELINE!$C$156)),0))))))))))</f>
        <v>0</v>
      </c>
      <c r="AF149" s="118" t="n">
        <f aca="false">IF(INPUTS!$F$140&lt;&gt;"Yes",0,IF(INPUTS!$J$140="Follow Construction",AF$100,IF(INPUTS!$J$140="Follow Sales",AF$99,IF(INPUTS!$J$140="Follow Collections",AF$108,IF(OR(TIMELINE!AF157=0,TIMELINE!$C$156=0),0,IF(IF(INPUTS!$J$140="Follow Project Life","Even",IF(INPUTS!$J$140="At Project End","Upfront",INPUTS!$J$140))="Upfront",--(TIMELINE!AF157=1),IF(IF(INPUTS!$J$140="Follow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End","Upfront",INPUTS!$J$140))="Front-loaded",(TIMELINE!$C$156-TIMELINE!AF157+1)*2/(TIMELINE!$C$156*(TIMELINE!$C$156+1)),IF(IF(INPUTS!$J$140="Follow Project Life","Even",IF(INPUTS!$J$140="At Project End","Upfront",INPUTS!$J$140))="Back-loaded",TIMELINE!AF157*2/(TIMELINE!$C$156*(TIMELINE!$C$156+1)),IF(IF(INPUTS!$J$140="Follow Project Life","Even",IF(INPUTS!$J$140="At Project End","Upfront",INPUTS!$J$140))="S-curve",SIN(PI()*(TIMELINE!AF157-0.5)/TIMELINE!$C$156)*SIN(PI()/(2*TIMELINE!$C$156)),0))))))))))</f>
        <v>0</v>
      </c>
      <c r="AG149" s="118" t="n">
        <f aca="false">IF(INPUTS!$F$140&lt;&gt;"Yes",0,IF(INPUTS!$J$140="Follow Construction",AG$100,IF(INPUTS!$J$140="Follow Sales",AG$99,IF(INPUTS!$J$140="Follow Collections",AG$108,IF(OR(TIMELINE!AG157=0,TIMELINE!$C$156=0),0,IF(IF(INPUTS!$J$140="Follow Project Life","Even",IF(INPUTS!$J$140="At Project End","Upfront",INPUTS!$J$140))="Upfront",--(TIMELINE!AG157=1),IF(IF(INPUTS!$J$140="Follow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End","Upfront",INPUTS!$J$140))="Front-loaded",(TIMELINE!$C$156-TIMELINE!AG157+1)*2/(TIMELINE!$C$156*(TIMELINE!$C$156+1)),IF(IF(INPUTS!$J$140="Follow Project Life","Even",IF(INPUTS!$J$140="At Project End","Upfront",INPUTS!$J$140))="Back-loaded",TIMELINE!AG157*2/(TIMELINE!$C$156*(TIMELINE!$C$156+1)),IF(IF(INPUTS!$J$140="Follow Project Life","Even",IF(INPUTS!$J$140="At Project End","Upfront",INPUTS!$J$140))="S-curve",SIN(PI()*(TIMELINE!AG157-0.5)/TIMELINE!$C$156)*SIN(PI()/(2*TIMELINE!$C$156)),0))))))))))</f>
        <v>0</v>
      </c>
      <c r="AH149" s="118" t="n">
        <f aca="false">IF(INPUTS!$F$140&lt;&gt;"Yes",0,IF(INPUTS!$J$140="Follow Construction",AH$100,IF(INPUTS!$J$140="Follow Sales",AH$99,IF(INPUTS!$J$140="Follow Collections",AH$108,IF(OR(TIMELINE!AH157=0,TIMELINE!$C$156=0),0,IF(IF(INPUTS!$J$140="Follow Project Life","Even",IF(INPUTS!$J$140="At Project End","Upfront",INPUTS!$J$140))="Upfront",--(TIMELINE!AH157=1),IF(IF(INPUTS!$J$140="Follow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End","Upfront",INPUTS!$J$140))="Front-loaded",(TIMELINE!$C$156-TIMELINE!AH157+1)*2/(TIMELINE!$C$156*(TIMELINE!$C$156+1)),IF(IF(INPUTS!$J$140="Follow Project Life","Even",IF(INPUTS!$J$140="At Project End","Upfront",INPUTS!$J$140))="Back-loaded",TIMELINE!AH157*2/(TIMELINE!$C$156*(TIMELINE!$C$156+1)),IF(IF(INPUTS!$J$140="Follow Project Life","Even",IF(INPUTS!$J$140="At Project End","Upfront",INPUTS!$J$140))="S-curve",SIN(PI()*(TIMELINE!AH157-0.5)/TIMELINE!$C$156)*SIN(PI()/(2*TIMELINE!$C$156)),0))))))))))</f>
        <v>0</v>
      </c>
      <c r="AI149" s="118" t="n">
        <f aca="false">IF(INPUTS!$F$140&lt;&gt;"Yes",0,IF(INPUTS!$J$140="Follow Construction",AI$100,IF(INPUTS!$J$140="Follow Sales",AI$99,IF(INPUTS!$J$140="Follow Collections",AI$108,IF(OR(TIMELINE!AI157=0,TIMELINE!$C$156=0),0,IF(IF(INPUTS!$J$140="Follow Project Life","Even",IF(INPUTS!$J$140="At Project End","Upfront",INPUTS!$J$140))="Upfront",--(TIMELINE!AI157=1),IF(IF(INPUTS!$J$140="Follow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End","Upfront",INPUTS!$J$140))="Front-loaded",(TIMELINE!$C$156-TIMELINE!AI157+1)*2/(TIMELINE!$C$156*(TIMELINE!$C$156+1)),IF(IF(INPUTS!$J$140="Follow Project Life","Even",IF(INPUTS!$J$140="At Project End","Upfront",INPUTS!$J$140))="Back-loaded",TIMELINE!AI157*2/(TIMELINE!$C$156*(TIMELINE!$C$156+1)),IF(IF(INPUTS!$J$140="Follow Project Life","Even",IF(INPUTS!$J$140="At Project End","Upfront",INPUTS!$J$140))="S-curve",SIN(PI()*(TIMELINE!AI157-0.5)/TIMELINE!$C$156)*SIN(PI()/(2*TIMELINE!$C$156)),0))))))))))</f>
        <v>0</v>
      </c>
      <c r="AJ149" s="118" t="n">
        <f aca="false">IF(INPUTS!$F$140&lt;&gt;"Yes",0,IF(INPUTS!$J$140="Follow Construction",AJ$100,IF(INPUTS!$J$140="Follow Sales",AJ$99,IF(INPUTS!$J$140="Follow Collections",AJ$108,IF(OR(TIMELINE!AJ157=0,TIMELINE!$C$156=0),0,IF(IF(INPUTS!$J$140="Follow Project Life","Even",IF(INPUTS!$J$140="At Project End","Upfront",INPUTS!$J$140))="Upfront",--(TIMELINE!AJ157=1),IF(IF(INPUTS!$J$140="Follow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End","Upfront",INPUTS!$J$140))="Front-loaded",(TIMELINE!$C$156-TIMELINE!AJ157+1)*2/(TIMELINE!$C$156*(TIMELINE!$C$156+1)),IF(IF(INPUTS!$J$140="Follow Project Life","Even",IF(INPUTS!$J$140="At Project End","Upfront",INPUTS!$J$140))="Back-loaded",TIMELINE!AJ157*2/(TIMELINE!$C$156*(TIMELINE!$C$156+1)),IF(IF(INPUTS!$J$140="Follow Project Life","Even",IF(INPUTS!$J$140="At Project End","Upfront",INPUTS!$J$140))="S-curve",SIN(PI()*(TIMELINE!AJ157-0.5)/TIMELINE!$C$156)*SIN(PI()/(2*TIMELINE!$C$156)),0))))))))))</f>
        <v>0</v>
      </c>
      <c r="AK149" s="118" t="n">
        <f aca="false">IF(INPUTS!$F$140&lt;&gt;"Yes",0,IF(INPUTS!$J$140="Follow Construction",AK$100,IF(INPUTS!$J$140="Follow Sales",AK$99,IF(INPUTS!$J$140="Follow Collections",AK$108,IF(OR(TIMELINE!AK157=0,TIMELINE!$C$156=0),0,IF(IF(INPUTS!$J$140="Follow Project Life","Even",IF(INPUTS!$J$140="At Project End","Upfront",INPUTS!$J$140))="Upfront",--(TIMELINE!AK157=1),IF(IF(INPUTS!$J$140="Follow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End","Upfront",INPUTS!$J$140))="Front-loaded",(TIMELINE!$C$156-TIMELINE!AK157+1)*2/(TIMELINE!$C$156*(TIMELINE!$C$156+1)),IF(IF(INPUTS!$J$140="Follow Project Life","Even",IF(INPUTS!$J$140="At Project End","Upfront",INPUTS!$J$140))="Back-loaded",TIMELINE!AK157*2/(TIMELINE!$C$156*(TIMELINE!$C$156+1)),IF(IF(INPUTS!$J$140="Follow Project Life","Even",IF(INPUTS!$J$140="At Project End","Upfront",INPUTS!$J$140))="S-curve",SIN(PI()*(TIMELINE!AK157-0.5)/TIMELINE!$C$156)*SIN(PI()/(2*TIMELINE!$C$156)),0))))))))))</f>
        <v>0</v>
      </c>
      <c r="AL149" s="118" t="n">
        <f aca="false">IF(INPUTS!$F$140&lt;&gt;"Yes",0,IF(INPUTS!$J$140="Follow Construction",AL$100,IF(INPUTS!$J$140="Follow Sales",AL$99,IF(INPUTS!$J$140="Follow Collections",AL$108,IF(OR(TIMELINE!AL157=0,TIMELINE!$C$156=0),0,IF(IF(INPUTS!$J$140="Follow Project Life","Even",IF(INPUTS!$J$140="At Project End","Upfront",INPUTS!$J$140))="Upfront",--(TIMELINE!AL157=1),IF(IF(INPUTS!$J$140="Follow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End","Upfront",INPUTS!$J$140))="Front-loaded",(TIMELINE!$C$156-TIMELINE!AL157+1)*2/(TIMELINE!$C$156*(TIMELINE!$C$156+1)),IF(IF(INPUTS!$J$140="Follow Project Life","Even",IF(INPUTS!$J$140="At Project End","Upfront",INPUTS!$J$140))="Back-loaded",TIMELINE!AL157*2/(TIMELINE!$C$156*(TIMELINE!$C$156+1)),IF(IF(INPUTS!$J$140="Follow Project Life","Even",IF(INPUTS!$J$140="At Project End","Upfront",INPUTS!$J$140))="S-curve",SIN(PI()*(TIMELINE!AL157-0.5)/TIMELINE!$C$156)*SIN(PI()/(2*TIMELINE!$C$156)),0))))))))))</f>
        <v>0</v>
      </c>
      <c r="AM149" s="118" t="n">
        <f aca="false">IF(INPUTS!$F$140&lt;&gt;"Yes",0,IF(INPUTS!$J$140="Follow Construction",AM$100,IF(INPUTS!$J$140="Follow Sales",AM$99,IF(INPUTS!$J$140="Follow Collections",AM$108,IF(OR(TIMELINE!AM157=0,TIMELINE!$C$156=0),0,IF(IF(INPUTS!$J$140="Follow Project Life","Even",IF(INPUTS!$J$140="At Project End","Upfront",INPUTS!$J$140))="Upfront",--(TIMELINE!AM157=1),IF(IF(INPUTS!$J$140="Follow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End","Upfront",INPUTS!$J$140))="Front-loaded",(TIMELINE!$C$156-TIMELINE!AM157+1)*2/(TIMELINE!$C$156*(TIMELINE!$C$156+1)),IF(IF(INPUTS!$J$140="Follow Project Life","Even",IF(INPUTS!$J$140="At Project End","Upfront",INPUTS!$J$140))="Back-loaded",TIMELINE!AM157*2/(TIMELINE!$C$156*(TIMELINE!$C$156+1)),IF(IF(INPUTS!$J$140="Follow Project Life","Even",IF(INPUTS!$J$140="At Project End","Upfront",INPUTS!$J$140))="S-curve",SIN(PI()*(TIMELINE!AM157-0.5)/TIMELINE!$C$156)*SIN(PI()/(2*TIMELINE!$C$156)),0))))))))))</f>
        <v>0</v>
      </c>
      <c r="AN149" s="118" t="n">
        <f aca="false">IF(INPUTS!$F$140&lt;&gt;"Yes",0,IF(INPUTS!$J$140="Follow Construction",AN$100,IF(INPUTS!$J$140="Follow Sales",AN$99,IF(INPUTS!$J$140="Follow Collections",AN$108,IF(OR(TIMELINE!AN157=0,TIMELINE!$C$156=0),0,IF(IF(INPUTS!$J$140="Follow Project Life","Even",IF(INPUTS!$J$140="At Project End","Upfront",INPUTS!$J$140))="Upfront",--(TIMELINE!AN157=1),IF(IF(INPUTS!$J$140="Follow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End","Upfront",INPUTS!$J$140))="Front-loaded",(TIMELINE!$C$156-TIMELINE!AN157+1)*2/(TIMELINE!$C$156*(TIMELINE!$C$156+1)),IF(IF(INPUTS!$J$140="Follow Project Life","Even",IF(INPUTS!$J$140="At Project End","Upfront",INPUTS!$J$140))="Back-loaded",TIMELINE!AN157*2/(TIMELINE!$C$156*(TIMELINE!$C$156+1)),IF(IF(INPUTS!$J$140="Follow Project Life","Even",IF(INPUTS!$J$140="At Project End","Upfront",INPUTS!$J$140))="S-curve",SIN(PI()*(TIMELINE!AN157-0.5)/TIMELINE!$C$156)*SIN(PI()/(2*TIMELINE!$C$156)),0))))))))))</f>
        <v>0</v>
      </c>
      <c r="AO149" s="118" t="n">
        <f aca="false">IF(INPUTS!$F$140&lt;&gt;"Yes",0,IF(INPUTS!$J$140="Follow Construction",AO$100,IF(INPUTS!$J$140="Follow Sales",AO$99,IF(INPUTS!$J$140="Follow Collections",AO$108,IF(OR(TIMELINE!AO157=0,TIMELINE!$C$156=0),0,IF(IF(INPUTS!$J$140="Follow Project Life","Even",IF(INPUTS!$J$140="At Project End","Upfront",INPUTS!$J$140))="Upfront",--(TIMELINE!AO157=1),IF(IF(INPUTS!$J$140="Follow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End","Upfront",INPUTS!$J$140))="Front-loaded",(TIMELINE!$C$156-TIMELINE!AO157+1)*2/(TIMELINE!$C$156*(TIMELINE!$C$156+1)),IF(IF(INPUTS!$J$140="Follow Project Life","Even",IF(INPUTS!$J$140="At Project End","Upfront",INPUTS!$J$140))="Back-loaded",TIMELINE!AO157*2/(TIMELINE!$C$156*(TIMELINE!$C$156+1)),IF(IF(INPUTS!$J$140="Follow Project Life","Even",IF(INPUTS!$J$140="At Project End","Upfront",INPUTS!$J$140))="S-curve",SIN(PI()*(TIMELINE!AO157-0.5)/TIMELINE!$C$156)*SIN(PI()/(2*TIMELINE!$C$156)),0))))))))))</f>
        <v>0</v>
      </c>
      <c r="AP149" s="118" t="n">
        <f aca="false">IF(INPUTS!$F$140&lt;&gt;"Yes",0,IF(INPUTS!$J$140="Follow Construction",AP$100,IF(INPUTS!$J$140="Follow Sales",AP$99,IF(INPUTS!$J$140="Follow Collections",AP$108,IF(OR(TIMELINE!AP157=0,TIMELINE!$C$156=0),0,IF(IF(INPUTS!$J$140="Follow Project Life","Even",IF(INPUTS!$J$140="At Project End","Upfront",INPUTS!$J$140))="Upfront",--(TIMELINE!AP157=1),IF(IF(INPUTS!$J$140="Follow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End","Upfront",INPUTS!$J$140))="Front-loaded",(TIMELINE!$C$156-TIMELINE!AP157+1)*2/(TIMELINE!$C$156*(TIMELINE!$C$156+1)),IF(IF(INPUTS!$J$140="Follow Project Life","Even",IF(INPUTS!$J$140="At Project End","Upfront",INPUTS!$J$140))="Back-loaded",TIMELINE!AP157*2/(TIMELINE!$C$156*(TIMELINE!$C$156+1)),IF(IF(INPUTS!$J$140="Follow Project Life","Even",IF(INPUTS!$J$140="At Project End","Upfront",INPUTS!$J$140))="S-curve",SIN(PI()*(TIMELINE!AP157-0.5)/TIMELINE!$C$156)*SIN(PI()/(2*TIMELINE!$C$156)),0))))))))))</f>
        <v>0</v>
      </c>
      <c r="AQ149" s="118" t="n">
        <f aca="false">IF(INPUTS!$F$140&lt;&gt;"Yes",0,IF(INPUTS!$J$140="Follow Construction",AQ$100,IF(INPUTS!$J$140="Follow Sales",AQ$99,IF(INPUTS!$J$140="Follow Collections",AQ$108,IF(OR(TIMELINE!AQ157=0,TIMELINE!$C$156=0),0,IF(IF(INPUTS!$J$140="Follow Project Life","Even",IF(INPUTS!$J$140="At Project End","Upfront",INPUTS!$J$140))="Upfront",--(TIMELINE!AQ157=1),IF(IF(INPUTS!$J$140="Follow Project Life","Even",IF(INPUTS!$J$140="At Project End","Upfront",INPUTS!$J$140))="Even",1/TIMELINE!$C$156,IF(IF(INPUTS!$J$140="Follow Project Life","Even",IF(INPUTS!$J$140="At Project End","Upfront",INPUTS!$J$140))="Front-loaded",(TIMELINE!$C$156-TIMELINE!AQ157+1)*2/(TIMELINE!$C$156*(TIMELINE!$C$156+1)),IF(IF(INPUTS!$J$140="Follow Project Life","Even",IF(INPUTS!$J$140="At Project End","Upfront",INPUTS!$J$140))="Back-loaded",TIMELINE!AQ157*2/(TIMELINE!$C$156*(TIMELINE!$C$156+1)),IF(IF(INPUTS!$J$140="Follow Project Life","Even",IF(INPUTS!$J$140="At Project End","Upfront",INPUTS!$J$140))="S-curve",SIN(PI()*(TIMELINE!AQ157-0.5)/TIMELINE!$C$156)*SIN(PI()/(2*TIMELINE!$C$156)),0))))))))))</f>
        <v>0</v>
      </c>
    </row>
    <row r="150" customFormat="false" ht="15" hidden="false" customHeight="false" outlineLevel="0" collapsed="false">
      <c r="B150" s="17" t="s">
        <v>689</v>
      </c>
      <c r="C150" s="105" t="str">
        <f aca="false">IF(INPUTS!$B$140="","",IF(INPUTS!$F$140&lt;&gt;"Yes","Off",IF(INPUTS!$M$140&lt;&gt;"OK","ERROR",IF(ABS(C149-1)&lt;0.000000001,"OK",IF(AND(C149=0,INPUTS!$G$140=0),"Zero","ERROR")))))</f>
        <v>OK</v>
      </c>
    </row>
    <row r="151" customFormat="false" ht="15" hidden="false" customHeight="false" outlineLevel="0" collapsed="false">
      <c r="B151" s="110" t="str">
        <f aca="false">IF(INPUTS!$B$141="","Spare cost row",INPUTS!$B$141)</f>
        <v>EWS / LIG @ ₹/Sq Ft (Builtup)</v>
      </c>
      <c r="C151" s="111" t="str">
        <f aca="false">IF(INPUTS!$J$141="","",INPUTS!$J$141)</f>
        <v>Follow Construction</v>
      </c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</row>
    <row r="152" customFormat="false" ht="15" hidden="false" customHeight="false" outlineLevel="0" collapsed="false">
      <c r="B152" s="3" t="s">
        <v>688</v>
      </c>
      <c r="C152" s="117" t="n">
        <f aca="false">SUM(D152:AQ152)</f>
        <v>1</v>
      </c>
      <c r="D152" s="118" t="n">
        <f aca="false">IF(INPUTS!$F$141&lt;&gt;"Yes",0,IF(INPUTS!$J$141="Follow Construction",D$100,IF(INPUTS!$J$141="Follow Sales",D$99,IF(INPUTS!$J$141="Follow Collections",D$108,IF(OR(TIMELINE!D161=0,TIMELINE!$C$160=0),0,IF(IF(INPUTS!$J$141="Follow Project Life","Even",IF(INPUTS!$J$141="At Project End","Upfront",INPUTS!$J$141))="Upfront",--(TIMELINE!D161=1),IF(IF(INPUTS!$J$141="Follow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End","Upfront",INPUTS!$J$141))="Front-loaded",(TIMELINE!$C$160-TIMELINE!D161+1)*2/(TIMELINE!$C$160*(TIMELINE!$C$160+1)),IF(IF(INPUTS!$J$141="Follow Project Life","Even",IF(INPUTS!$J$141="At Project End","Upfront",INPUTS!$J$141))="Back-loaded",TIMELINE!D161*2/(TIMELINE!$C$160*(TIMELINE!$C$160+1)),IF(IF(INPUTS!$J$141="Follow Project Life","Even",IF(INPUTS!$J$141="At Project End","Upfront",INPUTS!$J$141))="S-curve",SIN(PI()*(TIMELINE!D161-0.5)/TIMELINE!$C$160)*SIN(PI()/(2*TIMELINE!$C$160)),0))))))))))</f>
        <v>0</v>
      </c>
      <c r="E152" s="118" t="n">
        <f aca="false">IF(INPUTS!$F$141&lt;&gt;"Yes",0,IF(INPUTS!$J$141="Follow Construction",E$100,IF(INPUTS!$J$141="Follow Sales",E$99,IF(INPUTS!$J$141="Follow Collections",E$108,IF(OR(TIMELINE!E161=0,TIMELINE!$C$160=0),0,IF(IF(INPUTS!$J$141="Follow Project Life","Even",IF(INPUTS!$J$141="At Project End","Upfront",INPUTS!$J$141))="Upfront",--(TIMELINE!E161=1),IF(IF(INPUTS!$J$141="Follow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End","Upfront",INPUTS!$J$141))="Front-loaded",(TIMELINE!$C$160-TIMELINE!E161+1)*2/(TIMELINE!$C$160*(TIMELINE!$C$160+1)),IF(IF(INPUTS!$J$141="Follow Project Life","Even",IF(INPUTS!$J$141="At Project End","Upfront",INPUTS!$J$141))="Back-loaded",TIMELINE!E161*2/(TIMELINE!$C$160*(TIMELINE!$C$160+1)),IF(IF(INPUTS!$J$141="Follow Project Life","Even",IF(INPUTS!$J$141="At Project End","Upfront",INPUTS!$J$141))="S-curve",SIN(PI()*(TIMELINE!E161-0.5)/TIMELINE!$C$160)*SIN(PI()/(2*TIMELINE!$C$160)),0))))))))))</f>
        <v>0</v>
      </c>
      <c r="F152" s="118" t="n">
        <f aca="false">IF(INPUTS!$F$141&lt;&gt;"Yes",0,IF(INPUTS!$J$141="Follow Construction",F$100,IF(INPUTS!$J$141="Follow Sales",F$99,IF(INPUTS!$J$141="Follow Collections",F$108,IF(OR(TIMELINE!F161=0,TIMELINE!$C$160=0),0,IF(IF(INPUTS!$J$141="Follow Project Life","Even",IF(INPUTS!$J$141="At Project End","Upfront",INPUTS!$J$141))="Upfront",--(TIMELINE!F161=1),IF(IF(INPUTS!$J$141="Follow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End","Upfront",INPUTS!$J$141))="Front-loaded",(TIMELINE!$C$160-TIMELINE!F161+1)*2/(TIMELINE!$C$160*(TIMELINE!$C$160+1)),IF(IF(INPUTS!$J$141="Follow Project Life","Even",IF(INPUTS!$J$141="At Project End","Upfront",INPUTS!$J$141))="Back-loaded",TIMELINE!F161*2/(TIMELINE!$C$160*(TIMELINE!$C$160+1)),IF(IF(INPUTS!$J$141="Follow Project Life","Even",IF(INPUTS!$J$141="At Project End","Upfront",INPUTS!$J$141))="S-curve",SIN(PI()*(TIMELINE!F161-0.5)/TIMELINE!$C$160)*SIN(PI()/(2*TIMELINE!$C$160)),0))))))))))</f>
        <v>0</v>
      </c>
      <c r="G152" s="118" t="n">
        <f aca="false">IF(INPUTS!$F$141&lt;&gt;"Yes",0,IF(INPUTS!$J$141="Follow Construction",G$100,IF(INPUTS!$J$141="Follow Sales",G$99,IF(INPUTS!$J$141="Follow Collections",G$108,IF(OR(TIMELINE!G161=0,TIMELINE!$C$160=0),0,IF(IF(INPUTS!$J$141="Follow Project Life","Even",IF(INPUTS!$J$141="At Project End","Upfront",INPUTS!$J$141))="Upfront",--(TIMELINE!G161=1),IF(IF(INPUTS!$J$141="Follow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End","Upfront",INPUTS!$J$141))="Front-loaded",(TIMELINE!$C$160-TIMELINE!G161+1)*2/(TIMELINE!$C$160*(TIMELINE!$C$160+1)),IF(IF(INPUTS!$J$141="Follow Project Life","Even",IF(INPUTS!$J$141="At Project End","Upfront",INPUTS!$J$141))="Back-loaded",TIMELINE!G161*2/(TIMELINE!$C$160*(TIMELINE!$C$160+1)),IF(IF(INPUTS!$J$141="Follow Project Life","Even",IF(INPUTS!$J$141="At Project End","Upfront",INPUTS!$J$141))="S-curve",SIN(PI()*(TIMELINE!G161-0.5)/TIMELINE!$C$160)*SIN(PI()/(2*TIMELINE!$C$160)),0))))))))))</f>
        <v>0.00456800590614377</v>
      </c>
      <c r="H152" s="118" t="n">
        <f aca="false">IF(INPUTS!$F$141&lt;&gt;"Yes",0,IF(INPUTS!$J$141="Follow Construction",H$100,IF(INPUTS!$J$141="Follow Sales",H$99,IF(INPUTS!$J$141="Follow Collections",H$108,IF(OR(TIMELINE!H161=0,TIMELINE!$C$160=0),0,IF(IF(INPUTS!$J$141="Follow Project Life","Even",IF(INPUTS!$J$141="At Project End","Upfront",INPUTS!$J$141))="Upfront",--(TIMELINE!H161=1),IF(IF(INPUTS!$J$141="Follow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End","Upfront",INPUTS!$J$141))="Front-loaded",(TIMELINE!$C$160-TIMELINE!H161+1)*2/(TIMELINE!$C$160*(TIMELINE!$C$160+1)),IF(IF(INPUTS!$J$141="Follow Project Life","Even",IF(INPUTS!$J$141="At Project End","Upfront",INPUTS!$J$141))="Back-loaded",TIMELINE!H161*2/(TIMELINE!$C$160*(TIMELINE!$C$160+1)),IF(IF(INPUTS!$J$141="Follow Project Life","Even",IF(INPUTS!$J$141="At Project End","Upfront",INPUTS!$J$141))="S-curve",SIN(PI()*(TIMELINE!H161-0.5)/TIMELINE!$C$160)*SIN(PI()/(2*TIMELINE!$C$160)),0))))))))))</f>
        <v>0.0195749664227507</v>
      </c>
      <c r="I152" s="118" t="n">
        <f aca="false">IF(INPUTS!$F$141&lt;&gt;"Yes",0,IF(INPUTS!$J$141="Follow Construction",I$100,IF(INPUTS!$J$141="Follow Sales",I$99,IF(INPUTS!$J$141="Follow Collections",I$108,IF(OR(TIMELINE!I161=0,TIMELINE!$C$160=0),0,IF(IF(INPUTS!$J$141="Follow Project Life","Even",IF(INPUTS!$J$141="At Project End","Upfront",INPUTS!$J$141))="Upfront",--(TIMELINE!I161=1),IF(IF(INPUTS!$J$141="Follow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End","Upfront",INPUTS!$J$141))="Front-loaded",(TIMELINE!$C$160-TIMELINE!I161+1)*2/(TIMELINE!$C$160*(TIMELINE!$C$160+1)),IF(IF(INPUTS!$J$141="Follow Project Life","Even",IF(INPUTS!$J$141="At Project End","Upfront",INPUTS!$J$141))="Back-loaded",TIMELINE!I161*2/(TIMELINE!$C$160*(TIMELINE!$C$160+1)),IF(IF(INPUTS!$J$141="Follow Project Life","Even",IF(INPUTS!$J$141="At Project End","Upfront",INPUTS!$J$141))="S-curve",SIN(PI()*(TIMELINE!I161-0.5)/TIMELINE!$C$160)*SIN(PI()/(2*TIMELINE!$C$160)),0))))))))))</f>
        <v>0.0411197726021386</v>
      </c>
      <c r="J152" s="118" t="n">
        <f aca="false">IF(INPUTS!$F$141&lt;&gt;"Yes",0,IF(INPUTS!$J$141="Follow Construction",J$100,IF(INPUTS!$J$141="Follow Sales",J$99,IF(INPUTS!$J$141="Follow Collections",J$108,IF(OR(TIMELINE!J161=0,TIMELINE!$C$160=0),0,IF(IF(INPUTS!$J$141="Follow Project Life","Even",IF(INPUTS!$J$141="At Project End","Upfront",INPUTS!$J$141))="Upfront",--(TIMELINE!J161=1),IF(IF(INPUTS!$J$141="Follow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End","Upfront",INPUTS!$J$141))="Front-loaded",(TIMELINE!$C$160-TIMELINE!J161+1)*2/(TIMELINE!$C$160*(TIMELINE!$C$160+1)),IF(IF(INPUTS!$J$141="Follow Project Life","Even",IF(INPUTS!$J$141="At Project End","Upfront",INPUTS!$J$141))="Back-loaded",TIMELINE!J161*2/(TIMELINE!$C$160*(TIMELINE!$C$160+1)),IF(IF(INPUTS!$J$141="Follow Project Life","Even",IF(INPUTS!$J$141="At Project End","Upfront",INPUTS!$J$141))="S-curve",SIN(PI()*(TIMELINE!J161-0.5)/TIMELINE!$C$160)*SIN(PI()/(2*TIMELINE!$C$160)),0))))))))))</f>
        <v>0.0619123296046715</v>
      </c>
      <c r="K152" s="118" t="n">
        <f aca="false">IF(INPUTS!$F$141&lt;&gt;"Yes",0,IF(INPUTS!$J$141="Follow Construction",K$100,IF(INPUTS!$J$141="Follow Sales",K$99,IF(INPUTS!$J$141="Follow Collections",K$108,IF(OR(TIMELINE!K161=0,TIMELINE!$C$160=0),0,IF(IF(INPUTS!$J$141="Follow Project Life","Even",IF(INPUTS!$J$141="At Project End","Upfront",INPUTS!$J$141))="Upfront",--(TIMELINE!K161=1),IF(IF(INPUTS!$J$141="Follow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End","Upfront",INPUTS!$J$141))="Front-loaded",(TIMELINE!$C$160-TIMELINE!K161+1)*2/(TIMELINE!$C$160*(TIMELINE!$C$160+1)),IF(IF(INPUTS!$J$141="Follow Project Life","Even",IF(INPUTS!$J$141="At Project End","Upfront",INPUTS!$J$141))="Back-loaded",TIMELINE!K161*2/(TIMELINE!$C$160*(TIMELINE!$C$160+1)),IF(IF(INPUTS!$J$141="Follow Project Life","Even",IF(INPUTS!$J$141="At Project End","Upfront",INPUTS!$J$141))="S-curve",SIN(PI()*(TIMELINE!K161-0.5)/TIMELINE!$C$160)*SIN(PI()/(2*TIMELINE!$C$160)),0))))))))))</f>
        <v>0.0793692805553633</v>
      </c>
      <c r="L152" s="118" t="n">
        <f aca="false">IF(INPUTS!$F$141&lt;&gt;"Yes",0,IF(INPUTS!$J$141="Follow Construction",L$100,IF(INPUTS!$J$141="Follow Sales",L$99,IF(INPUTS!$J$141="Follow Collections",L$108,IF(OR(TIMELINE!L161=0,TIMELINE!$C$160=0),0,IF(IF(INPUTS!$J$141="Follow Project Life","Even",IF(INPUTS!$J$141="At Project End","Upfront",INPUTS!$J$141))="Upfront",--(TIMELINE!L161=1),IF(IF(INPUTS!$J$141="Follow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End","Upfront",INPUTS!$J$141))="Front-loaded",(TIMELINE!$C$160-TIMELINE!L161+1)*2/(TIMELINE!$C$160*(TIMELINE!$C$160+1)),IF(IF(INPUTS!$J$141="Follow Project Life","Even",IF(INPUTS!$J$141="At Project End","Upfront",INPUTS!$J$141))="Back-loaded",TIMELINE!L161*2/(TIMELINE!$C$160*(TIMELINE!$C$160+1)),IF(IF(INPUTS!$J$141="Follow Project Life","Even",IF(INPUTS!$J$141="At Project End","Upfront",INPUTS!$J$141))="S-curve",SIN(PI()*(TIMELINE!L161-0.5)/TIMELINE!$C$160)*SIN(PI()/(2*TIMELINE!$C$160)),0))))))))))</f>
        <v>0.0926064944921223</v>
      </c>
      <c r="M152" s="118" t="n">
        <f aca="false">IF(INPUTS!$F$141&lt;&gt;"Yes",0,IF(INPUTS!$J$141="Follow Construction",M$100,IF(INPUTS!$J$141="Follow Sales",M$99,IF(INPUTS!$J$141="Follow Collections",M$108,IF(OR(TIMELINE!M161=0,TIMELINE!$C$160=0),0,IF(IF(INPUTS!$J$141="Follow Project Life","Even",IF(INPUTS!$J$141="At Project End","Upfront",INPUTS!$J$141))="Upfront",--(TIMELINE!M161=1),IF(IF(INPUTS!$J$141="Follow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End","Upfront",INPUTS!$J$141))="Front-loaded",(TIMELINE!$C$160-TIMELINE!M161+1)*2/(TIMELINE!$C$160*(TIMELINE!$C$160+1)),IF(IF(INPUTS!$J$141="Follow Project Life","Even",IF(INPUTS!$J$141="At Project End","Upfront",INPUTS!$J$141))="Back-loaded",TIMELINE!M161*2/(TIMELINE!$C$160*(TIMELINE!$C$160+1)),IF(IF(INPUTS!$J$141="Follow Project Life","Even",IF(INPUTS!$J$141="At Project End","Upfront",INPUTS!$J$141))="S-curve",SIN(PI()*(TIMELINE!M161-0.5)/TIMELINE!$C$160)*SIN(PI()/(2*TIMELINE!$C$160)),0))))))))))</f>
        <v>0.100981710254933</v>
      </c>
      <c r="N152" s="118" t="n">
        <f aca="false">IF(INPUTS!$F$141&lt;&gt;"Yes",0,IF(INPUTS!$J$141="Follow Construction",N$100,IF(INPUTS!$J$141="Follow Sales",N$99,IF(INPUTS!$J$141="Follow Collections",N$108,IF(OR(TIMELINE!N161=0,TIMELINE!$C$160=0),0,IF(IF(INPUTS!$J$141="Follow Project Life","Even",IF(INPUTS!$J$141="At Project End","Upfront",INPUTS!$J$141))="Upfront",--(TIMELINE!N161=1),IF(IF(INPUTS!$J$141="Follow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End","Upfront",INPUTS!$J$141))="Front-loaded",(TIMELINE!$C$160-TIMELINE!N161+1)*2/(TIMELINE!$C$160*(TIMELINE!$C$160+1)),IF(IF(INPUTS!$J$141="Follow Project Life","Even",IF(INPUTS!$J$141="At Project End","Upfront",INPUTS!$J$141))="Back-loaded",TIMELINE!N161*2/(TIMELINE!$C$160*(TIMELINE!$C$160+1)),IF(IF(INPUTS!$J$141="Follow Project Life","Even",IF(INPUTS!$J$141="At Project End","Upfront",INPUTS!$J$141))="S-curve",SIN(PI()*(TIMELINE!N161-0.5)/TIMELINE!$C$160)*SIN(PI()/(2*TIMELINE!$C$160)),0))))))))))</f>
        <v>0.104128320282428</v>
      </c>
      <c r="O152" s="118" t="n">
        <f aca="false">IF(INPUTS!$F$141&lt;&gt;"Yes",0,IF(INPUTS!$J$141="Follow Construction",O$100,IF(INPUTS!$J$141="Follow Sales",O$99,IF(INPUTS!$J$141="Follow Collections",O$108,IF(OR(TIMELINE!O161=0,TIMELINE!$C$160=0),0,IF(IF(INPUTS!$J$141="Follow Project Life","Even",IF(INPUTS!$J$141="At Project End","Upfront",INPUTS!$J$141))="Upfront",--(TIMELINE!O161=1),IF(IF(INPUTS!$J$141="Follow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End","Upfront",INPUTS!$J$141))="Front-loaded",(TIMELINE!$C$160-TIMELINE!O161+1)*2/(TIMELINE!$C$160*(TIMELINE!$C$160+1)),IF(IF(INPUTS!$J$141="Follow Project Life","Even",IF(INPUTS!$J$141="At Project End","Upfront",INPUTS!$J$141))="Back-loaded",TIMELINE!O161*2/(TIMELINE!$C$160*(TIMELINE!$C$160+1)),IF(IF(INPUTS!$J$141="Follow Project Life","Even",IF(INPUTS!$J$141="At Project End","Upfront",INPUTS!$J$141))="S-curve",SIN(PI()*(TIMELINE!O161-0.5)/TIMELINE!$C$160)*SIN(PI()/(2*TIMELINE!$C$160)),0))))))))))</f>
        <v>0.101972508958545</v>
      </c>
      <c r="P152" s="118" t="n">
        <f aca="false">IF(INPUTS!$F$141&lt;&gt;"Yes",0,IF(INPUTS!$J$141="Follow Construction",P$100,IF(INPUTS!$J$141="Follow Sales",P$99,IF(INPUTS!$J$141="Follow Collections",P$108,IF(OR(TIMELINE!P161=0,TIMELINE!$C$160=0),0,IF(IF(INPUTS!$J$141="Follow Project Life","Even",IF(INPUTS!$J$141="At Project End","Upfront",INPUTS!$J$141))="Upfront",--(TIMELINE!P161=1),IF(IF(INPUTS!$J$141="Follow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End","Upfront",INPUTS!$J$141))="Front-loaded",(TIMELINE!$C$160-TIMELINE!P161+1)*2/(TIMELINE!$C$160*(TIMELINE!$C$160+1)),IF(IF(INPUTS!$J$141="Follow Project Life","Even",IF(INPUTS!$J$141="At Project End","Upfront",INPUTS!$J$141))="Back-loaded",TIMELINE!P161*2/(TIMELINE!$C$160*(TIMELINE!$C$160+1)),IF(IF(INPUTS!$J$141="Follow Project Life","Even",IF(INPUTS!$J$141="At Project End","Upfront",INPUTS!$J$141))="S-curve",SIN(PI()*(TIMELINE!P161-0.5)/TIMELINE!$C$160)*SIN(PI()/(2*TIMELINE!$C$160)),0))))))))))</f>
        <v>0.094732879051781</v>
      </c>
      <c r="Q152" s="118" t="n">
        <f aca="false">IF(INPUTS!$F$141&lt;&gt;"Yes",0,IF(INPUTS!$J$141="Follow Construction",Q$100,IF(INPUTS!$J$141="Follow Sales",Q$99,IF(INPUTS!$J$141="Follow Collections",Q$108,IF(OR(TIMELINE!Q161=0,TIMELINE!$C$160=0),0,IF(IF(INPUTS!$J$141="Follow Project Life","Even",IF(INPUTS!$J$141="At Project End","Upfront",INPUTS!$J$141))="Upfront",--(TIMELINE!Q161=1),IF(IF(INPUTS!$J$141="Follow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End","Upfront",INPUTS!$J$141))="Front-loaded",(TIMELINE!$C$160-TIMELINE!Q161+1)*2/(TIMELINE!$C$160*(TIMELINE!$C$160+1)),IF(IF(INPUTS!$J$141="Follow Project Life","Even",IF(INPUTS!$J$141="At Project End","Upfront",INPUTS!$J$141))="Back-loaded",TIMELINE!Q161*2/(TIMELINE!$C$160*(TIMELINE!$C$160+1)),IF(IF(INPUTS!$J$141="Follow Project Life","Even",IF(INPUTS!$J$141="At Project End","Upfront",INPUTS!$J$141))="S-curve",SIN(PI()*(TIMELINE!Q161-0.5)/TIMELINE!$C$160)*SIN(PI()/(2*TIMELINE!$C$160)),0))))))))))</f>
        <v>0.0829027993762268</v>
      </c>
      <c r="R152" s="118" t="n">
        <f aca="false">IF(INPUTS!$F$141&lt;&gt;"Yes",0,IF(INPUTS!$J$141="Follow Construction",R$100,IF(INPUTS!$J$141="Follow Sales",R$99,IF(INPUTS!$J$141="Follow Collections",R$108,IF(OR(TIMELINE!R161=0,TIMELINE!$C$160=0),0,IF(IF(INPUTS!$J$141="Follow Project Life","Even",IF(INPUTS!$J$141="At Project End","Upfront",INPUTS!$J$141))="Upfront",--(TIMELINE!R161=1),IF(IF(INPUTS!$J$141="Follow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End","Upfront",INPUTS!$J$141))="Front-loaded",(TIMELINE!$C$160-TIMELINE!R161+1)*2/(TIMELINE!$C$160*(TIMELINE!$C$160+1)),IF(IF(INPUTS!$J$141="Follow Project Life","Even",IF(INPUTS!$J$141="At Project End","Upfront",INPUTS!$J$141))="Back-loaded",TIMELINE!R161*2/(TIMELINE!$C$160*(TIMELINE!$C$160+1)),IF(IF(INPUTS!$J$141="Follow Project Life","Even",IF(INPUTS!$J$141="At Project End","Upfront",INPUTS!$J$141))="S-curve",SIN(PI()*(TIMELINE!R161-0.5)/TIMELINE!$C$160)*SIN(PI()/(2*TIMELINE!$C$160)),0))))))))))</f>
        <v>0.0672167825222214</v>
      </c>
      <c r="S152" s="118" t="n">
        <f aca="false">IF(INPUTS!$F$141&lt;&gt;"Yes",0,IF(INPUTS!$J$141="Follow Construction",S$100,IF(INPUTS!$J$141="Follow Sales",S$99,IF(INPUTS!$J$141="Follow Collections",S$108,IF(OR(TIMELINE!S161=0,TIMELINE!$C$160=0),0,IF(IF(INPUTS!$J$141="Follow Project Life","Even",IF(INPUTS!$J$141="At Project End","Upfront",INPUTS!$J$141))="Upfront",--(TIMELINE!S161=1),IF(IF(INPUTS!$J$141="Follow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End","Upfront",INPUTS!$J$141))="Front-loaded",(TIMELINE!$C$160-TIMELINE!S161+1)*2/(TIMELINE!$C$160*(TIMELINE!$C$160+1)),IF(IF(INPUTS!$J$141="Follow Project Life","Even",IF(INPUTS!$J$141="At Project End","Upfront",INPUTS!$J$141))="Back-loaded",TIMELINE!S161*2/(TIMELINE!$C$160*(TIMELINE!$C$160+1)),IF(IF(INPUTS!$J$141="Follow Project Life","Even",IF(INPUTS!$J$141="At Project End","Upfront",INPUTS!$J$141))="S-curve",SIN(PI()*(TIMELINE!S161-0.5)/TIMELINE!$C$160)*SIN(PI()/(2*TIMELINE!$C$160)),0))))))))))</f>
        <v>0.0531711898648468</v>
      </c>
      <c r="T152" s="118" t="n">
        <f aca="false">IF(INPUTS!$F$141&lt;&gt;"Yes",0,IF(INPUTS!$J$141="Follow Construction",T$100,IF(INPUTS!$J$141="Follow Sales",T$99,IF(INPUTS!$J$141="Follow Collections",T$108,IF(OR(TIMELINE!T161=0,TIMELINE!$C$160=0),0,IF(IF(INPUTS!$J$141="Follow Project Life","Even",IF(INPUTS!$J$141="At Project End","Upfront",INPUTS!$J$141))="Upfront",--(TIMELINE!T161=1),IF(IF(INPUTS!$J$141="Follow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End","Upfront",INPUTS!$J$141))="Front-loaded",(TIMELINE!$C$160-TIMELINE!T161+1)*2/(TIMELINE!$C$160*(TIMELINE!$C$160+1)),IF(IF(INPUTS!$J$141="Follow Project Life","Even",IF(INPUTS!$J$141="At Project End","Upfront",INPUTS!$J$141))="Back-loaded",TIMELINE!T161*2/(TIMELINE!$C$160*(TIMELINE!$C$160+1)),IF(IF(INPUTS!$J$141="Follow Project Life","Even",IF(INPUTS!$J$141="At Project End","Upfront",INPUTS!$J$141))="S-curve",SIN(PI()*(TIMELINE!T161-0.5)/TIMELINE!$C$160)*SIN(PI()/(2*TIMELINE!$C$160)),0))))))))))</f>
        <v>0.0415190557800941</v>
      </c>
      <c r="U152" s="118" t="n">
        <f aca="false">IF(INPUTS!$F$141&lt;&gt;"Yes",0,IF(INPUTS!$J$141="Follow Construction",U$100,IF(INPUTS!$J$141="Follow Sales",U$99,IF(INPUTS!$J$141="Follow Collections",U$108,IF(OR(TIMELINE!U161=0,TIMELINE!$C$160=0),0,IF(IF(INPUTS!$J$141="Follow Project Life","Even",IF(INPUTS!$J$141="At Project End","Upfront",INPUTS!$J$141))="Upfront",--(TIMELINE!U161=1),IF(IF(INPUTS!$J$141="Follow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End","Upfront",INPUTS!$J$141))="Front-loaded",(TIMELINE!$C$160-TIMELINE!U161+1)*2/(TIMELINE!$C$160*(TIMELINE!$C$160+1)),IF(IF(INPUTS!$J$141="Follow Project Life","Even",IF(INPUTS!$J$141="At Project End","Upfront",INPUTS!$J$141))="Back-loaded",TIMELINE!U161*2/(TIMELINE!$C$160*(TIMELINE!$C$160+1)),IF(IF(INPUTS!$J$141="Follow Project Life","Even",IF(INPUTS!$J$141="At Project End","Upfront",INPUTS!$J$141))="S-curve",SIN(PI()*(TIMELINE!U161-0.5)/TIMELINE!$C$160)*SIN(PI()/(2*TIMELINE!$C$160)),0))))))))))</f>
        <v>0.0297324817239664</v>
      </c>
      <c r="V152" s="118" t="n">
        <f aca="false">IF(INPUTS!$F$141&lt;&gt;"Yes",0,IF(INPUTS!$J$141="Follow Construction",V$100,IF(INPUTS!$J$141="Follow Sales",V$99,IF(INPUTS!$J$141="Follow Collections",V$108,IF(OR(TIMELINE!V161=0,TIMELINE!$C$160=0),0,IF(IF(INPUTS!$J$141="Follow Project Life","Even",IF(INPUTS!$J$141="At Project End","Upfront",INPUTS!$J$141))="Upfront",--(TIMELINE!V161=1),IF(IF(INPUTS!$J$141="Follow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End","Upfront",INPUTS!$J$141))="Front-loaded",(TIMELINE!$C$160-TIMELINE!V161+1)*2/(TIMELINE!$C$160*(TIMELINE!$C$160+1)),IF(IF(INPUTS!$J$141="Follow Project Life","Even",IF(INPUTS!$J$141="At Project End","Upfront",INPUTS!$J$141))="Back-loaded",TIMELINE!V161*2/(TIMELINE!$C$160*(TIMELINE!$C$160+1)),IF(IF(INPUTS!$J$141="Follow Project Life","Even",IF(INPUTS!$J$141="At Project End","Upfront",INPUTS!$J$141))="S-curve",SIN(PI()*(TIMELINE!V161-0.5)/TIMELINE!$C$160)*SIN(PI()/(2*TIMELINE!$C$160)),0))))))))))</f>
        <v>0.0183091718439316</v>
      </c>
      <c r="W152" s="118" t="n">
        <f aca="false">IF(INPUTS!$F$141&lt;&gt;"Yes",0,IF(INPUTS!$J$141="Follow Construction",W$100,IF(INPUTS!$J$141="Follow Sales",W$99,IF(INPUTS!$J$141="Follow Collections",W$108,IF(OR(TIMELINE!W161=0,TIMELINE!$C$160=0),0,IF(IF(INPUTS!$J$141="Follow Project Life","Even",IF(INPUTS!$J$141="At Project End","Upfront",INPUTS!$J$141))="Upfront",--(TIMELINE!W161=1),IF(IF(INPUTS!$J$141="Follow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End","Upfront",INPUTS!$J$141))="Front-loaded",(TIMELINE!$C$160-TIMELINE!W161+1)*2/(TIMELINE!$C$160*(TIMELINE!$C$160+1)),IF(IF(INPUTS!$J$141="Follow Project Life","Even",IF(INPUTS!$J$141="At Project End","Upfront",INPUTS!$J$141))="Back-loaded",TIMELINE!W161*2/(TIMELINE!$C$160*(TIMELINE!$C$160+1)),IF(IF(INPUTS!$J$141="Follow Project Life","Even",IF(INPUTS!$J$141="At Project End","Upfront",INPUTS!$J$141))="S-curve",SIN(PI()*(TIMELINE!W161-0.5)/TIMELINE!$C$160)*SIN(PI()/(2*TIMELINE!$C$160)),0))))))))))</f>
        <v>0.00618225075783637</v>
      </c>
      <c r="X152" s="118" t="n">
        <f aca="false">IF(INPUTS!$F$141&lt;&gt;"Yes",0,IF(INPUTS!$J$141="Follow Construction",X$100,IF(INPUTS!$J$141="Follow Sales",X$99,IF(INPUTS!$J$141="Follow Collections",X$108,IF(OR(TIMELINE!X161=0,TIMELINE!$C$160=0),0,IF(IF(INPUTS!$J$141="Follow Project Life","Even",IF(INPUTS!$J$141="At Project End","Upfront",INPUTS!$J$141))="Upfront",--(TIMELINE!X161=1),IF(IF(INPUTS!$J$141="Follow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End","Upfront",INPUTS!$J$141))="Front-loaded",(TIMELINE!$C$160-TIMELINE!X161+1)*2/(TIMELINE!$C$160*(TIMELINE!$C$160+1)),IF(IF(INPUTS!$J$141="Follow Project Life","Even",IF(INPUTS!$J$141="At Project End","Upfront",INPUTS!$J$141))="Back-loaded",TIMELINE!X161*2/(TIMELINE!$C$160*(TIMELINE!$C$160+1)),IF(IF(INPUTS!$J$141="Follow Project Life","Even",IF(INPUTS!$J$141="At Project End","Upfront",INPUTS!$J$141))="S-curve",SIN(PI()*(TIMELINE!X161-0.5)/TIMELINE!$C$160)*SIN(PI()/(2*TIMELINE!$C$160)),0))))))))))</f>
        <v>0</v>
      </c>
      <c r="Y152" s="118" t="n">
        <f aca="false">IF(INPUTS!$F$141&lt;&gt;"Yes",0,IF(INPUTS!$J$141="Follow Construction",Y$100,IF(INPUTS!$J$141="Follow Sales",Y$99,IF(INPUTS!$J$141="Follow Collections",Y$108,IF(OR(TIMELINE!Y161=0,TIMELINE!$C$160=0),0,IF(IF(INPUTS!$J$141="Follow Project Life","Even",IF(INPUTS!$J$141="At Project End","Upfront",INPUTS!$J$141))="Upfront",--(TIMELINE!Y161=1),IF(IF(INPUTS!$J$141="Follow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End","Upfront",INPUTS!$J$141))="Front-loaded",(TIMELINE!$C$160-TIMELINE!Y161+1)*2/(TIMELINE!$C$160*(TIMELINE!$C$160+1)),IF(IF(INPUTS!$J$141="Follow Project Life","Even",IF(INPUTS!$J$141="At Project End","Upfront",INPUTS!$J$141))="Back-loaded",TIMELINE!Y161*2/(TIMELINE!$C$160*(TIMELINE!$C$160+1)),IF(IF(INPUTS!$J$141="Follow Project Life","Even",IF(INPUTS!$J$141="At Project End","Upfront",INPUTS!$J$141))="S-curve",SIN(PI()*(TIMELINE!Y161-0.5)/TIMELINE!$C$160)*SIN(PI()/(2*TIMELINE!$C$160)),0))))))))))</f>
        <v>0</v>
      </c>
      <c r="Z152" s="118" t="n">
        <f aca="false">IF(INPUTS!$F$141&lt;&gt;"Yes",0,IF(INPUTS!$J$141="Follow Construction",Z$100,IF(INPUTS!$J$141="Follow Sales",Z$99,IF(INPUTS!$J$141="Follow Collections",Z$108,IF(OR(TIMELINE!Z161=0,TIMELINE!$C$160=0),0,IF(IF(INPUTS!$J$141="Follow Project Life","Even",IF(INPUTS!$J$141="At Project End","Upfront",INPUTS!$J$141))="Upfront",--(TIMELINE!Z161=1),IF(IF(INPUTS!$J$141="Follow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End","Upfront",INPUTS!$J$141))="Front-loaded",(TIMELINE!$C$160-TIMELINE!Z161+1)*2/(TIMELINE!$C$160*(TIMELINE!$C$160+1)),IF(IF(INPUTS!$J$141="Follow Project Life","Even",IF(INPUTS!$J$141="At Project End","Upfront",INPUTS!$J$141))="Back-loaded",TIMELINE!Z161*2/(TIMELINE!$C$160*(TIMELINE!$C$160+1)),IF(IF(INPUTS!$J$141="Follow Project Life","Even",IF(INPUTS!$J$141="At Project End","Upfront",INPUTS!$J$141))="S-curve",SIN(PI()*(TIMELINE!Z161-0.5)/TIMELINE!$C$160)*SIN(PI()/(2*TIMELINE!$C$160)),0))))))))))</f>
        <v>0</v>
      </c>
      <c r="AA152" s="118" t="n">
        <f aca="false">IF(INPUTS!$F$141&lt;&gt;"Yes",0,IF(INPUTS!$J$141="Follow Construction",AA$100,IF(INPUTS!$J$141="Follow Sales",AA$99,IF(INPUTS!$J$141="Follow Collections",AA$108,IF(OR(TIMELINE!AA161=0,TIMELINE!$C$160=0),0,IF(IF(INPUTS!$J$141="Follow Project Life","Even",IF(INPUTS!$J$141="At Project End","Upfront",INPUTS!$J$141))="Upfront",--(TIMELINE!AA161=1),IF(IF(INPUTS!$J$141="Follow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End","Upfront",INPUTS!$J$141))="Front-loaded",(TIMELINE!$C$160-TIMELINE!AA161+1)*2/(TIMELINE!$C$160*(TIMELINE!$C$160+1)),IF(IF(INPUTS!$J$141="Follow Project Life","Even",IF(INPUTS!$J$141="At Project End","Upfront",INPUTS!$J$141))="Back-loaded",TIMELINE!AA161*2/(TIMELINE!$C$160*(TIMELINE!$C$160+1)),IF(IF(INPUTS!$J$141="Follow Project Life","Even",IF(INPUTS!$J$141="At Project End","Upfront",INPUTS!$J$141))="S-curve",SIN(PI()*(TIMELINE!AA161-0.5)/TIMELINE!$C$160)*SIN(PI()/(2*TIMELINE!$C$160)),0))))))))))</f>
        <v>0</v>
      </c>
      <c r="AB152" s="118" t="n">
        <f aca="false">IF(INPUTS!$F$141&lt;&gt;"Yes",0,IF(INPUTS!$J$141="Follow Construction",AB$100,IF(INPUTS!$J$141="Follow Sales",AB$99,IF(INPUTS!$J$141="Follow Collections",AB$108,IF(OR(TIMELINE!AB161=0,TIMELINE!$C$160=0),0,IF(IF(INPUTS!$J$141="Follow Project Life","Even",IF(INPUTS!$J$141="At Project End","Upfront",INPUTS!$J$141))="Upfront",--(TIMELINE!AB161=1),IF(IF(INPUTS!$J$141="Follow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End","Upfront",INPUTS!$J$141))="Front-loaded",(TIMELINE!$C$160-TIMELINE!AB161+1)*2/(TIMELINE!$C$160*(TIMELINE!$C$160+1)),IF(IF(INPUTS!$J$141="Follow Project Life","Even",IF(INPUTS!$J$141="At Project End","Upfront",INPUTS!$J$141))="Back-loaded",TIMELINE!AB161*2/(TIMELINE!$C$160*(TIMELINE!$C$160+1)),IF(IF(INPUTS!$J$141="Follow Project Life","Even",IF(INPUTS!$J$141="At Project End","Upfront",INPUTS!$J$141))="S-curve",SIN(PI()*(TIMELINE!AB161-0.5)/TIMELINE!$C$160)*SIN(PI()/(2*TIMELINE!$C$160)),0))))))))))</f>
        <v>0</v>
      </c>
      <c r="AC152" s="118" t="n">
        <f aca="false">IF(INPUTS!$F$141&lt;&gt;"Yes",0,IF(INPUTS!$J$141="Follow Construction",AC$100,IF(INPUTS!$J$141="Follow Sales",AC$99,IF(INPUTS!$J$141="Follow Collections",AC$108,IF(OR(TIMELINE!AC161=0,TIMELINE!$C$160=0),0,IF(IF(INPUTS!$J$141="Follow Project Life","Even",IF(INPUTS!$J$141="At Project End","Upfront",INPUTS!$J$141))="Upfront",--(TIMELINE!AC161=1),IF(IF(INPUTS!$J$141="Follow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End","Upfront",INPUTS!$J$141))="Front-loaded",(TIMELINE!$C$160-TIMELINE!AC161+1)*2/(TIMELINE!$C$160*(TIMELINE!$C$160+1)),IF(IF(INPUTS!$J$141="Follow Project Life","Even",IF(INPUTS!$J$141="At Project End","Upfront",INPUTS!$J$141))="Back-loaded",TIMELINE!AC161*2/(TIMELINE!$C$160*(TIMELINE!$C$160+1)),IF(IF(INPUTS!$J$141="Follow Project Life","Even",IF(INPUTS!$J$141="At Project End","Upfront",INPUTS!$J$141))="S-curve",SIN(PI()*(TIMELINE!AC161-0.5)/TIMELINE!$C$160)*SIN(PI()/(2*TIMELINE!$C$160)),0))))))))))</f>
        <v>0</v>
      </c>
      <c r="AD152" s="118" t="n">
        <f aca="false">IF(INPUTS!$F$141&lt;&gt;"Yes",0,IF(INPUTS!$J$141="Follow Construction",AD$100,IF(INPUTS!$J$141="Follow Sales",AD$99,IF(INPUTS!$J$141="Follow Collections",AD$108,IF(OR(TIMELINE!AD161=0,TIMELINE!$C$160=0),0,IF(IF(INPUTS!$J$141="Follow Project Life","Even",IF(INPUTS!$J$141="At Project End","Upfront",INPUTS!$J$141))="Upfront",--(TIMELINE!AD161=1),IF(IF(INPUTS!$J$141="Follow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End","Upfront",INPUTS!$J$141))="Front-loaded",(TIMELINE!$C$160-TIMELINE!AD161+1)*2/(TIMELINE!$C$160*(TIMELINE!$C$160+1)),IF(IF(INPUTS!$J$141="Follow Project Life","Even",IF(INPUTS!$J$141="At Project End","Upfront",INPUTS!$J$141))="Back-loaded",TIMELINE!AD161*2/(TIMELINE!$C$160*(TIMELINE!$C$160+1)),IF(IF(INPUTS!$J$141="Follow Project Life","Even",IF(INPUTS!$J$141="At Project End","Upfront",INPUTS!$J$141))="S-curve",SIN(PI()*(TIMELINE!AD161-0.5)/TIMELINE!$C$160)*SIN(PI()/(2*TIMELINE!$C$160)),0))))))))))</f>
        <v>0</v>
      </c>
      <c r="AE152" s="118" t="n">
        <f aca="false">IF(INPUTS!$F$141&lt;&gt;"Yes",0,IF(INPUTS!$J$141="Follow Construction",AE$100,IF(INPUTS!$J$141="Follow Sales",AE$99,IF(INPUTS!$J$141="Follow Collections",AE$108,IF(OR(TIMELINE!AE161=0,TIMELINE!$C$160=0),0,IF(IF(INPUTS!$J$141="Follow Project Life","Even",IF(INPUTS!$J$141="At Project End","Upfront",INPUTS!$J$141))="Upfront",--(TIMELINE!AE161=1),IF(IF(INPUTS!$J$141="Follow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End","Upfront",INPUTS!$J$141))="Front-loaded",(TIMELINE!$C$160-TIMELINE!AE161+1)*2/(TIMELINE!$C$160*(TIMELINE!$C$160+1)),IF(IF(INPUTS!$J$141="Follow Project Life","Even",IF(INPUTS!$J$141="At Project End","Upfront",INPUTS!$J$141))="Back-loaded",TIMELINE!AE161*2/(TIMELINE!$C$160*(TIMELINE!$C$160+1)),IF(IF(INPUTS!$J$141="Follow Project Life","Even",IF(INPUTS!$J$141="At Project End","Upfront",INPUTS!$J$141))="S-curve",SIN(PI()*(TIMELINE!AE161-0.5)/TIMELINE!$C$160)*SIN(PI()/(2*TIMELINE!$C$160)),0))))))))))</f>
        <v>0</v>
      </c>
      <c r="AF152" s="118" t="n">
        <f aca="false">IF(INPUTS!$F$141&lt;&gt;"Yes",0,IF(INPUTS!$J$141="Follow Construction",AF$100,IF(INPUTS!$J$141="Follow Sales",AF$99,IF(INPUTS!$J$141="Follow Collections",AF$108,IF(OR(TIMELINE!AF161=0,TIMELINE!$C$160=0),0,IF(IF(INPUTS!$J$141="Follow Project Life","Even",IF(INPUTS!$J$141="At Project End","Upfront",INPUTS!$J$141))="Upfront",--(TIMELINE!AF161=1),IF(IF(INPUTS!$J$141="Follow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End","Upfront",INPUTS!$J$141))="Front-loaded",(TIMELINE!$C$160-TIMELINE!AF161+1)*2/(TIMELINE!$C$160*(TIMELINE!$C$160+1)),IF(IF(INPUTS!$J$141="Follow Project Life","Even",IF(INPUTS!$J$141="At Project End","Upfront",INPUTS!$J$141))="Back-loaded",TIMELINE!AF161*2/(TIMELINE!$C$160*(TIMELINE!$C$160+1)),IF(IF(INPUTS!$J$141="Follow Project Life","Even",IF(INPUTS!$J$141="At Project End","Upfront",INPUTS!$J$141))="S-curve",SIN(PI()*(TIMELINE!AF161-0.5)/TIMELINE!$C$160)*SIN(PI()/(2*TIMELINE!$C$160)),0))))))))))</f>
        <v>0</v>
      </c>
      <c r="AG152" s="118" t="n">
        <f aca="false">IF(INPUTS!$F$141&lt;&gt;"Yes",0,IF(INPUTS!$J$141="Follow Construction",AG$100,IF(INPUTS!$J$141="Follow Sales",AG$99,IF(INPUTS!$J$141="Follow Collections",AG$108,IF(OR(TIMELINE!AG161=0,TIMELINE!$C$160=0),0,IF(IF(INPUTS!$J$141="Follow Project Life","Even",IF(INPUTS!$J$141="At Project End","Upfront",INPUTS!$J$141))="Upfront",--(TIMELINE!AG161=1),IF(IF(INPUTS!$J$141="Follow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End","Upfront",INPUTS!$J$141))="Front-loaded",(TIMELINE!$C$160-TIMELINE!AG161+1)*2/(TIMELINE!$C$160*(TIMELINE!$C$160+1)),IF(IF(INPUTS!$J$141="Follow Project Life","Even",IF(INPUTS!$J$141="At Project End","Upfront",INPUTS!$J$141))="Back-loaded",TIMELINE!AG161*2/(TIMELINE!$C$160*(TIMELINE!$C$160+1)),IF(IF(INPUTS!$J$141="Follow Project Life","Even",IF(INPUTS!$J$141="At Project End","Upfront",INPUTS!$J$141))="S-curve",SIN(PI()*(TIMELINE!AG161-0.5)/TIMELINE!$C$160)*SIN(PI()/(2*TIMELINE!$C$160)),0))))))))))</f>
        <v>0</v>
      </c>
      <c r="AH152" s="118" t="n">
        <f aca="false">IF(INPUTS!$F$141&lt;&gt;"Yes",0,IF(INPUTS!$J$141="Follow Construction",AH$100,IF(INPUTS!$J$141="Follow Sales",AH$99,IF(INPUTS!$J$141="Follow Collections",AH$108,IF(OR(TIMELINE!AH161=0,TIMELINE!$C$160=0),0,IF(IF(INPUTS!$J$141="Follow Project Life","Even",IF(INPUTS!$J$141="At Project End","Upfront",INPUTS!$J$141))="Upfront",--(TIMELINE!AH161=1),IF(IF(INPUTS!$J$141="Follow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End","Upfront",INPUTS!$J$141))="Front-loaded",(TIMELINE!$C$160-TIMELINE!AH161+1)*2/(TIMELINE!$C$160*(TIMELINE!$C$160+1)),IF(IF(INPUTS!$J$141="Follow Project Life","Even",IF(INPUTS!$J$141="At Project End","Upfront",INPUTS!$J$141))="Back-loaded",TIMELINE!AH161*2/(TIMELINE!$C$160*(TIMELINE!$C$160+1)),IF(IF(INPUTS!$J$141="Follow Project Life","Even",IF(INPUTS!$J$141="At Project End","Upfront",INPUTS!$J$141))="S-curve",SIN(PI()*(TIMELINE!AH161-0.5)/TIMELINE!$C$160)*SIN(PI()/(2*TIMELINE!$C$160)),0))))))))))</f>
        <v>0</v>
      </c>
      <c r="AI152" s="118" t="n">
        <f aca="false">IF(INPUTS!$F$141&lt;&gt;"Yes",0,IF(INPUTS!$J$141="Follow Construction",AI$100,IF(INPUTS!$J$141="Follow Sales",AI$99,IF(INPUTS!$J$141="Follow Collections",AI$108,IF(OR(TIMELINE!AI161=0,TIMELINE!$C$160=0),0,IF(IF(INPUTS!$J$141="Follow Project Life","Even",IF(INPUTS!$J$141="At Project End","Upfront",INPUTS!$J$141))="Upfront",--(TIMELINE!AI161=1),IF(IF(INPUTS!$J$141="Follow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End","Upfront",INPUTS!$J$141))="Front-loaded",(TIMELINE!$C$160-TIMELINE!AI161+1)*2/(TIMELINE!$C$160*(TIMELINE!$C$160+1)),IF(IF(INPUTS!$J$141="Follow Project Life","Even",IF(INPUTS!$J$141="At Project End","Upfront",INPUTS!$J$141))="Back-loaded",TIMELINE!AI161*2/(TIMELINE!$C$160*(TIMELINE!$C$160+1)),IF(IF(INPUTS!$J$141="Follow Project Life","Even",IF(INPUTS!$J$141="At Project End","Upfront",INPUTS!$J$141))="S-curve",SIN(PI()*(TIMELINE!AI161-0.5)/TIMELINE!$C$160)*SIN(PI()/(2*TIMELINE!$C$160)),0))))))))))</f>
        <v>0</v>
      </c>
      <c r="AJ152" s="118" t="n">
        <f aca="false">IF(INPUTS!$F$141&lt;&gt;"Yes",0,IF(INPUTS!$J$141="Follow Construction",AJ$100,IF(INPUTS!$J$141="Follow Sales",AJ$99,IF(INPUTS!$J$141="Follow Collections",AJ$108,IF(OR(TIMELINE!AJ161=0,TIMELINE!$C$160=0),0,IF(IF(INPUTS!$J$141="Follow Project Life","Even",IF(INPUTS!$J$141="At Project End","Upfront",INPUTS!$J$141))="Upfront",--(TIMELINE!AJ161=1),IF(IF(INPUTS!$J$141="Follow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End","Upfront",INPUTS!$J$141))="Front-loaded",(TIMELINE!$C$160-TIMELINE!AJ161+1)*2/(TIMELINE!$C$160*(TIMELINE!$C$160+1)),IF(IF(INPUTS!$J$141="Follow Project Life","Even",IF(INPUTS!$J$141="At Project End","Upfront",INPUTS!$J$141))="Back-loaded",TIMELINE!AJ161*2/(TIMELINE!$C$160*(TIMELINE!$C$160+1)),IF(IF(INPUTS!$J$141="Follow Project Life","Even",IF(INPUTS!$J$141="At Project End","Upfront",INPUTS!$J$141))="S-curve",SIN(PI()*(TIMELINE!AJ161-0.5)/TIMELINE!$C$160)*SIN(PI()/(2*TIMELINE!$C$160)),0))))))))))</f>
        <v>0</v>
      </c>
      <c r="AK152" s="118" t="n">
        <f aca="false">IF(INPUTS!$F$141&lt;&gt;"Yes",0,IF(INPUTS!$J$141="Follow Construction",AK$100,IF(INPUTS!$J$141="Follow Sales",AK$99,IF(INPUTS!$J$141="Follow Collections",AK$108,IF(OR(TIMELINE!AK161=0,TIMELINE!$C$160=0),0,IF(IF(INPUTS!$J$141="Follow Project Life","Even",IF(INPUTS!$J$141="At Project End","Upfront",INPUTS!$J$141))="Upfront",--(TIMELINE!AK161=1),IF(IF(INPUTS!$J$141="Follow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End","Upfront",INPUTS!$J$141))="Front-loaded",(TIMELINE!$C$160-TIMELINE!AK161+1)*2/(TIMELINE!$C$160*(TIMELINE!$C$160+1)),IF(IF(INPUTS!$J$141="Follow Project Life","Even",IF(INPUTS!$J$141="At Project End","Upfront",INPUTS!$J$141))="Back-loaded",TIMELINE!AK161*2/(TIMELINE!$C$160*(TIMELINE!$C$160+1)),IF(IF(INPUTS!$J$141="Follow Project Life","Even",IF(INPUTS!$J$141="At Project End","Upfront",INPUTS!$J$141))="S-curve",SIN(PI()*(TIMELINE!AK161-0.5)/TIMELINE!$C$160)*SIN(PI()/(2*TIMELINE!$C$160)),0))))))))))</f>
        <v>0</v>
      </c>
      <c r="AL152" s="118" t="n">
        <f aca="false">IF(INPUTS!$F$141&lt;&gt;"Yes",0,IF(INPUTS!$J$141="Follow Construction",AL$100,IF(INPUTS!$J$141="Follow Sales",AL$99,IF(INPUTS!$J$141="Follow Collections",AL$108,IF(OR(TIMELINE!AL161=0,TIMELINE!$C$160=0),0,IF(IF(INPUTS!$J$141="Follow Project Life","Even",IF(INPUTS!$J$141="At Project End","Upfront",INPUTS!$J$141))="Upfront",--(TIMELINE!AL161=1),IF(IF(INPUTS!$J$141="Follow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End","Upfront",INPUTS!$J$141))="Front-loaded",(TIMELINE!$C$160-TIMELINE!AL161+1)*2/(TIMELINE!$C$160*(TIMELINE!$C$160+1)),IF(IF(INPUTS!$J$141="Follow Project Life","Even",IF(INPUTS!$J$141="At Project End","Upfront",INPUTS!$J$141))="Back-loaded",TIMELINE!AL161*2/(TIMELINE!$C$160*(TIMELINE!$C$160+1)),IF(IF(INPUTS!$J$141="Follow Project Life","Even",IF(INPUTS!$J$141="At Project End","Upfront",INPUTS!$J$141))="S-curve",SIN(PI()*(TIMELINE!AL161-0.5)/TIMELINE!$C$160)*SIN(PI()/(2*TIMELINE!$C$160)),0))))))))))</f>
        <v>0</v>
      </c>
      <c r="AM152" s="118" t="n">
        <f aca="false">IF(INPUTS!$F$141&lt;&gt;"Yes",0,IF(INPUTS!$J$141="Follow Construction",AM$100,IF(INPUTS!$J$141="Follow Sales",AM$99,IF(INPUTS!$J$141="Follow Collections",AM$108,IF(OR(TIMELINE!AM161=0,TIMELINE!$C$160=0),0,IF(IF(INPUTS!$J$141="Follow Project Life","Even",IF(INPUTS!$J$141="At Project End","Upfront",INPUTS!$J$141))="Upfront",--(TIMELINE!AM161=1),IF(IF(INPUTS!$J$141="Follow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End","Upfront",INPUTS!$J$141))="Front-loaded",(TIMELINE!$C$160-TIMELINE!AM161+1)*2/(TIMELINE!$C$160*(TIMELINE!$C$160+1)),IF(IF(INPUTS!$J$141="Follow Project Life","Even",IF(INPUTS!$J$141="At Project End","Upfront",INPUTS!$J$141))="Back-loaded",TIMELINE!AM161*2/(TIMELINE!$C$160*(TIMELINE!$C$160+1)),IF(IF(INPUTS!$J$141="Follow Project Life","Even",IF(INPUTS!$J$141="At Project End","Upfront",INPUTS!$J$141))="S-curve",SIN(PI()*(TIMELINE!AM161-0.5)/TIMELINE!$C$160)*SIN(PI()/(2*TIMELINE!$C$160)),0))))))))))</f>
        <v>0</v>
      </c>
      <c r="AN152" s="118" t="n">
        <f aca="false">IF(INPUTS!$F$141&lt;&gt;"Yes",0,IF(INPUTS!$J$141="Follow Construction",AN$100,IF(INPUTS!$J$141="Follow Sales",AN$99,IF(INPUTS!$J$141="Follow Collections",AN$108,IF(OR(TIMELINE!AN161=0,TIMELINE!$C$160=0),0,IF(IF(INPUTS!$J$141="Follow Project Life","Even",IF(INPUTS!$J$141="At Project End","Upfront",INPUTS!$J$141))="Upfront",--(TIMELINE!AN161=1),IF(IF(INPUTS!$J$141="Follow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End","Upfront",INPUTS!$J$141))="Front-loaded",(TIMELINE!$C$160-TIMELINE!AN161+1)*2/(TIMELINE!$C$160*(TIMELINE!$C$160+1)),IF(IF(INPUTS!$J$141="Follow Project Life","Even",IF(INPUTS!$J$141="At Project End","Upfront",INPUTS!$J$141))="Back-loaded",TIMELINE!AN161*2/(TIMELINE!$C$160*(TIMELINE!$C$160+1)),IF(IF(INPUTS!$J$141="Follow Project Life","Even",IF(INPUTS!$J$141="At Project End","Upfront",INPUTS!$J$141))="S-curve",SIN(PI()*(TIMELINE!AN161-0.5)/TIMELINE!$C$160)*SIN(PI()/(2*TIMELINE!$C$160)),0))))))))))</f>
        <v>0</v>
      </c>
      <c r="AO152" s="118" t="n">
        <f aca="false">IF(INPUTS!$F$141&lt;&gt;"Yes",0,IF(INPUTS!$J$141="Follow Construction",AO$100,IF(INPUTS!$J$141="Follow Sales",AO$99,IF(INPUTS!$J$141="Follow Collections",AO$108,IF(OR(TIMELINE!AO161=0,TIMELINE!$C$160=0),0,IF(IF(INPUTS!$J$141="Follow Project Life","Even",IF(INPUTS!$J$141="At Project End","Upfront",INPUTS!$J$141))="Upfront",--(TIMELINE!AO161=1),IF(IF(INPUTS!$J$141="Follow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End","Upfront",INPUTS!$J$141))="Front-loaded",(TIMELINE!$C$160-TIMELINE!AO161+1)*2/(TIMELINE!$C$160*(TIMELINE!$C$160+1)),IF(IF(INPUTS!$J$141="Follow Project Life","Even",IF(INPUTS!$J$141="At Project End","Upfront",INPUTS!$J$141))="Back-loaded",TIMELINE!AO161*2/(TIMELINE!$C$160*(TIMELINE!$C$160+1)),IF(IF(INPUTS!$J$141="Follow Project Life","Even",IF(INPUTS!$J$141="At Project End","Upfront",INPUTS!$J$141))="S-curve",SIN(PI()*(TIMELINE!AO161-0.5)/TIMELINE!$C$160)*SIN(PI()/(2*TIMELINE!$C$160)),0))))))))))</f>
        <v>0</v>
      </c>
      <c r="AP152" s="118" t="n">
        <f aca="false">IF(INPUTS!$F$141&lt;&gt;"Yes",0,IF(INPUTS!$J$141="Follow Construction",AP$100,IF(INPUTS!$J$141="Follow Sales",AP$99,IF(INPUTS!$J$141="Follow Collections",AP$108,IF(OR(TIMELINE!AP161=0,TIMELINE!$C$160=0),0,IF(IF(INPUTS!$J$141="Follow Project Life","Even",IF(INPUTS!$J$141="At Project End","Upfront",INPUTS!$J$141))="Upfront",--(TIMELINE!AP161=1),IF(IF(INPUTS!$J$141="Follow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End","Upfront",INPUTS!$J$141))="Front-loaded",(TIMELINE!$C$160-TIMELINE!AP161+1)*2/(TIMELINE!$C$160*(TIMELINE!$C$160+1)),IF(IF(INPUTS!$J$141="Follow Project Life","Even",IF(INPUTS!$J$141="At Project End","Upfront",INPUTS!$J$141))="Back-loaded",TIMELINE!AP161*2/(TIMELINE!$C$160*(TIMELINE!$C$160+1)),IF(IF(INPUTS!$J$141="Follow Project Life","Even",IF(INPUTS!$J$141="At Project End","Upfront",INPUTS!$J$141))="S-curve",SIN(PI()*(TIMELINE!AP161-0.5)/TIMELINE!$C$160)*SIN(PI()/(2*TIMELINE!$C$160)),0))))))))))</f>
        <v>0</v>
      </c>
      <c r="AQ152" s="118" t="n">
        <f aca="false">IF(INPUTS!$F$141&lt;&gt;"Yes",0,IF(INPUTS!$J$141="Follow Construction",AQ$100,IF(INPUTS!$J$141="Follow Sales",AQ$99,IF(INPUTS!$J$141="Follow Collections",AQ$108,IF(OR(TIMELINE!AQ161=0,TIMELINE!$C$160=0),0,IF(IF(INPUTS!$J$141="Follow Project Life","Even",IF(INPUTS!$J$141="At Project End","Upfront",INPUTS!$J$141))="Upfront",--(TIMELINE!AQ161=1),IF(IF(INPUTS!$J$141="Follow Project Life","Even",IF(INPUTS!$J$141="At Project End","Upfront",INPUTS!$J$141))="Even",1/TIMELINE!$C$160,IF(IF(INPUTS!$J$141="Follow Project Life","Even",IF(INPUTS!$J$141="At Project End","Upfront",INPUTS!$J$141))="Front-loaded",(TIMELINE!$C$160-TIMELINE!AQ161+1)*2/(TIMELINE!$C$160*(TIMELINE!$C$160+1)),IF(IF(INPUTS!$J$141="Follow Project Life","Even",IF(INPUTS!$J$141="At Project End","Upfront",INPUTS!$J$141))="Back-loaded",TIMELINE!AQ161*2/(TIMELINE!$C$160*(TIMELINE!$C$160+1)),IF(IF(INPUTS!$J$141="Follow Project Life","Even",IF(INPUTS!$J$141="At Project End","Upfront",INPUTS!$J$141))="S-curve",SIN(PI()*(TIMELINE!AQ161-0.5)/TIMELINE!$C$160)*SIN(PI()/(2*TIMELINE!$C$160)),0))))))))))</f>
        <v>0</v>
      </c>
    </row>
    <row r="153" customFormat="false" ht="15" hidden="false" customHeight="false" outlineLevel="0" collapsed="false">
      <c r="B153" s="17" t="s">
        <v>689</v>
      </c>
      <c r="C153" s="105" t="str">
        <f aca="false">IF(INPUTS!$B$141="","",IF(INPUTS!$F$141&lt;&gt;"Yes","Off",IF(INPUTS!$M$141&lt;&gt;"OK","ERROR",IF(ABS(C152-1)&lt;0.000000001,"OK",IF(AND(C152=0,INPUTS!$G$141=0),"Zero","ERROR")))))</f>
        <v>OK</v>
      </c>
    </row>
    <row r="154" customFormat="false" ht="15" hidden="false" customHeight="false" outlineLevel="0" collapsed="false">
      <c r="B154" s="110" t="str">
        <f aca="false">IF(INPUTS!$B$142="","Spare cost row",INPUTS!$B$142)</f>
        <v>Contingency @ %</v>
      </c>
      <c r="C154" s="111" t="str">
        <f aca="false">IF(INPUTS!$J$142="","",INPUTS!$J$142)</f>
        <v>Follow Construction</v>
      </c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</row>
    <row r="155" customFormat="false" ht="15" hidden="false" customHeight="false" outlineLevel="0" collapsed="false">
      <c r="B155" s="3" t="s">
        <v>688</v>
      </c>
      <c r="C155" s="117" t="n">
        <f aca="false">SUM(D155:AQ155)</f>
        <v>1</v>
      </c>
      <c r="D155" s="118" t="n">
        <f aca="false">IF(INPUTS!$F$142&lt;&gt;"Yes",0,IF(INPUTS!$J$142="Follow Construction",D$100,IF(INPUTS!$J$142="Follow Sales",D$99,IF(INPUTS!$J$142="Follow Collections",D$108,IF(OR(TIMELINE!D165=0,TIMELINE!$C$164=0),0,IF(IF(INPUTS!$J$142="Follow Project Life","Even",IF(INPUTS!$J$142="At Project End","Upfront",INPUTS!$J$142))="Upfront",--(TIMELINE!D165=1),IF(IF(INPUTS!$J$142="Follow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End","Upfront",INPUTS!$J$142))="Front-loaded",(TIMELINE!$C$164-TIMELINE!D165+1)*2/(TIMELINE!$C$164*(TIMELINE!$C$164+1)),IF(IF(INPUTS!$J$142="Follow Project Life","Even",IF(INPUTS!$J$142="At Project End","Upfront",INPUTS!$J$142))="Back-loaded",TIMELINE!D165*2/(TIMELINE!$C$164*(TIMELINE!$C$164+1)),IF(IF(INPUTS!$J$142="Follow Project Life","Even",IF(INPUTS!$J$142="At Project End","Upfront",INPUTS!$J$142))="S-curve",SIN(PI()*(TIMELINE!D165-0.5)/TIMELINE!$C$164)*SIN(PI()/(2*TIMELINE!$C$164)),0))))))))))</f>
        <v>0</v>
      </c>
      <c r="E155" s="118" t="n">
        <f aca="false">IF(INPUTS!$F$142&lt;&gt;"Yes",0,IF(INPUTS!$J$142="Follow Construction",E$100,IF(INPUTS!$J$142="Follow Sales",E$99,IF(INPUTS!$J$142="Follow Collections",E$108,IF(OR(TIMELINE!E165=0,TIMELINE!$C$164=0),0,IF(IF(INPUTS!$J$142="Follow Project Life","Even",IF(INPUTS!$J$142="At Project End","Upfront",INPUTS!$J$142))="Upfront",--(TIMELINE!E165=1),IF(IF(INPUTS!$J$142="Follow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End","Upfront",INPUTS!$J$142))="Front-loaded",(TIMELINE!$C$164-TIMELINE!E165+1)*2/(TIMELINE!$C$164*(TIMELINE!$C$164+1)),IF(IF(INPUTS!$J$142="Follow Project Life","Even",IF(INPUTS!$J$142="At Project End","Upfront",INPUTS!$J$142))="Back-loaded",TIMELINE!E165*2/(TIMELINE!$C$164*(TIMELINE!$C$164+1)),IF(IF(INPUTS!$J$142="Follow Project Life","Even",IF(INPUTS!$J$142="At Project End","Upfront",INPUTS!$J$142))="S-curve",SIN(PI()*(TIMELINE!E165-0.5)/TIMELINE!$C$164)*SIN(PI()/(2*TIMELINE!$C$164)),0))))))))))</f>
        <v>0</v>
      </c>
      <c r="F155" s="118" t="n">
        <f aca="false">IF(INPUTS!$F$142&lt;&gt;"Yes",0,IF(INPUTS!$J$142="Follow Construction",F$100,IF(INPUTS!$J$142="Follow Sales",F$99,IF(INPUTS!$J$142="Follow Collections",F$108,IF(OR(TIMELINE!F165=0,TIMELINE!$C$164=0),0,IF(IF(INPUTS!$J$142="Follow Project Life","Even",IF(INPUTS!$J$142="At Project End","Upfront",INPUTS!$J$142))="Upfront",--(TIMELINE!F165=1),IF(IF(INPUTS!$J$142="Follow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End","Upfront",INPUTS!$J$142))="Front-loaded",(TIMELINE!$C$164-TIMELINE!F165+1)*2/(TIMELINE!$C$164*(TIMELINE!$C$164+1)),IF(IF(INPUTS!$J$142="Follow Project Life","Even",IF(INPUTS!$J$142="At Project End","Upfront",INPUTS!$J$142))="Back-loaded",TIMELINE!F165*2/(TIMELINE!$C$164*(TIMELINE!$C$164+1)),IF(IF(INPUTS!$J$142="Follow Project Life","Even",IF(INPUTS!$J$142="At Project End","Upfront",INPUTS!$J$142))="S-curve",SIN(PI()*(TIMELINE!F165-0.5)/TIMELINE!$C$164)*SIN(PI()/(2*TIMELINE!$C$164)),0))))))))))</f>
        <v>0</v>
      </c>
      <c r="G155" s="118" t="n">
        <f aca="false">IF(INPUTS!$F$142&lt;&gt;"Yes",0,IF(INPUTS!$J$142="Follow Construction",G$100,IF(INPUTS!$J$142="Follow Sales",G$99,IF(INPUTS!$J$142="Follow Collections",G$108,IF(OR(TIMELINE!G165=0,TIMELINE!$C$164=0),0,IF(IF(INPUTS!$J$142="Follow Project Life","Even",IF(INPUTS!$J$142="At Project End","Upfront",INPUTS!$J$142))="Upfront",--(TIMELINE!G165=1),IF(IF(INPUTS!$J$142="Follow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End","Upfront",INPUTS!$J$142))="Front-loaded",(TIMELINE!$C$164-TIMELINE!G165+1)*2/(TIMELINE!$C$164*(TIMELINE!$C$164+1)),IF(IF(INPUTS!$J$142="Follow Project Life","Even",IF(INPUTS!$J$142="At Project End","Upfront",INPUTS!$J$142))="Back-loaded",TIMELINE!G165*2/(TIMELINE!$C$164*(TIMELINE!$C$164+1)),IF(IF(INPUTS!$J$142="Follow Project Life","Even",IF(INPUTS!$J$142="At Project End","Upfront",INPUTS!$J$142))="S-curve",SIN(PI()*(TIMELINE!G165-0.5)/TIMELINE!$C$164)*SIN(PI()/(2*TIMELINE!$C$164)),0))))))))))</f>
        <v>0.00456800590614377</v>
      </c>
      <c r="H155" s="118" t="n">
        <f aca="false">IF(INPUTS!$F$142&lt;&gt;"Yes",0,IF(INPUTS!$J$142="Follow Construction",H$100,IF(INPUTS!$J$142="Follow Sales",H$99,IF(INPUTS!$J$142="Follow Collections",H$108,IF(OR(TIMELINE!H165=0,TIMELINE!$C$164=0),0,IF(IF(INPUTS!$J$142="Follow Project Life","Even",IF(INPUTS!$J$142="At Project End","Upfront",INPUTS!$J$142))="Upfront",--(TIMELINE!H165=1),IF(IF(INPUTS!$J$142="Follow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End","Upfront",INPUTS!$J$142))="Front-loaded",(TIMELINE!$C$164-TIMELINE!H165+1)*2/(TIMELINE!$C$164*(TIMELINE!$C$164+1)),IF(IF(INPUTS!$J$142="Follow Project Life","Even",IF(INPUTS!$J$142="At Project End","Upfront",INPUTS!$J$142))="Back-loaded",TIMELINE!H165*2/(TIMELINE!$C$164*(TIMELINE!$C$164+1)),IF(IF(INPUTS!$J$142="Follow Project Life","Even",IF(INPUTS!$J$142="At Project End","Upfront",INPUTS!$J$142))="S-curve",SIN(PI()*(TIMELINE!H165-0.5)/TIMELINE!$C$164)*SIN(PI()/(2*TIMELINE!$C$164)),0))))))))))</f>
        <v>0.0195749664227507</v>
      </c>
      <c r="I155" s="118" t="n">
        <f aca="false">IF(INPUTS!$F$142&lt;&gt;"Yes",0,IF(INPUTS!$J$142="Follow Construction",I$100,IF(INPUTS!$J$142="Follow Sales",I$99,IF(INPUTS!$J$142="Follow Collections",I$108,IF(OR(TIMELINE!I165=0,TIMELINE!$C$164=0),0,IF(IF(INPUTS!$J$142="Follow Project Life","Even",IF(INPUTS!$J$142="At Project End","Upfront",INPUTS!$J$142))="Upfront",--(TIMELINE!I165=1),IF(IF(INPUTS!$J$142="Follow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End","Upfront",INPUTS!$J$142))="Front-loaded",(TIMELINE!$C$164-TIMELINE!I165+1)*2/(TIMELINE!$C$164*(TIMELINE!$C$164+1)),IF(IF(INPUTS!$J$142="Follow Project Life","Even",IF(INPUTS!$J$142="At Project End","Upfront",INPUTS!$J$142))="Back-loaded",TIMELINE!I165*2/(TIMELINE!$C$164*(TIMELINE!$C$164+1)),IF(IF(INPUTS!$J$142="Follow Project Life","Even",IF(INPUTS!$J$142="At Project End","Upfront",INPUTS!$J$142))="S-curve",SIN(PI()*(TIMELINE!I165-0.5)/TIMELINE!$C$164)*SIN(PI()/(2*TIMELINE!$C$164)),0))))))))))</f>
        <v>0.0411197726021386</v>
      </c>
      <c r="J155" s="118" t="n">
        <f aca="false">IF(INPUTS!$F$142&lt;&gt;"Yes",0,IF(INPUTS!$J$142="Follow Construction",J$100,IF(INPUTS!$J$142="Follow Sales",J$99,IF(INPUTS!$J$142="Follow Collections",J$108,IF(OR(TIMELINE!J165=0,TIMELINE!$C$164=0),0,IF(IF(INPUTS!$J$142="Follow Project Life","Even",IF(INPUTS!$J$142="At Project End","Upfront",INPUTS!$J$142))="Upfront",--(TIMELINE!J165=1),IF(IF(INPUTS!$J$142="Follow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End","Upfront",INPUTS!$J$142))="Front-loaded",(TIMELINE!$C$164-TIMELINE!J165+1)*2/(TIMELINE!$C$164*(TIMELINE!$C$164+1)),IF(IF(INPUTS!$J$142="Follow Project Life","Even",IF(INPUTS!$J$142="At Project End","Upfront",INPUTS!$J$142))="Back-loaded",TIMELINE!J165*2/(TIMELINE!$C$164*(TIMELINE!$C$164+1)),IF(IF(INPUTS!$J$142="Follow Project Life","Even",IF(INPUTS!$J$142="At Project End","Upfront",INPUTS!$J$142))="S-curve",SIN(PI()*(TIMELINE!J165-0.5)/TIMELINE!$C$164)*SIN(PI()/(2*TIMELINE!$C$164)),0))))))))))</f>
        <v>0.0619123296046715</v>
      </c>
      <c r="K155" s="118" t="n">
        <f aca="false">IF(INPUTS!$F$142&lt;&gt;"Yes",0,IF(INPUTS!$J$142="Follow Construction",K$100,IF(INPUTS!$J$142="Follow Sales",K$99,IF(INPUTS!$J$142="Follow Collections",K$108,IF(OR(TIMELINE!K165=0,TIMELINE!$C$164=0),0,IF(IF(INPUTS!$J$142="Follow Project Life","Even",IF(INPUTS!$J$142="At Project End","Upfront",INPUTS!$J$142))="Upfront",--(TIMELINE!K165=1),IF(IF(INPUTS!$J$142="Follow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End","Upfront",INPUTS!$J$142))="Front-loaded",(TIMELINE!$C$164-TIMELINE!K165+1)*2/(TIMELINE!$C$164*(TIMELINE!$C$164+1)),IF(IF(INPUTS!$J$142="Follow Project Life","Even",IF(INPUTS!$J$142="At Project End","Upfront",INPUTS!$J$142))="Back-loaded",TIMELINE!K165*2/(TIMELINE!$C$164*(TIMELINE!$C$164+1)),IF(IF(INPUTS!$J$142="Follow Project Life","Even",IF(INPUTS!$J$142="At Project End","Upfront",INPUTS!$J$142))="S-curve",SIN(PI()*(TIMELINE!K165-0.5)/TIMELINE!$C$164)*SIN(PI()/(2*TIMELINE!$C$164)),0))))))))))</f>
        <v>0.0793692805553633</v>
      </c>
      <c r="L155" s="118" t="n">
        <f aca="false">IF(INPUTS!$F$142&lt;&gt;"Yes",0,IF(INPUTS!$J$142="Follow Construction",L$100,IF(INPUTS!$J$142="Follow Sales",L$99,IF(INPUTS!$J$142="Follow Collections",L$108,IF(OR(TIMELINE!L165=0,TIMELINE!$C$164=0),0,IF(IF(INPUTS!$J$142="Follow Project Life","Even",IF(INPUTS!$J$142="At Project End","Upfront",INPUTS!$J$142))="Upfront",--(TIMELINE!L165=1),IF(IF(INPUTS!$J$142="Follow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End","Upfront",INPUTS!$J$142))="Front-loaded",(TIMELINE!$C$164-TIMELINE!L165+1)*2/(TIMELINE!$C$164*(TIMELINE!$C$164+1)),IF(IF(INPUTS!$J$142="Follow Project Life","Even",IF(INPUTS!$J$142="At Project End","Upfront",INPUTS!$J$142))="Back-loaded",TIMELINE!L165*2/(TIMELINE!$C$164*(TIMELINE!$C$164+1)),IF(IF(INPUTS!$J$142="Follow Project Life","Even",IF(INPUTS!$J$142="At Project End","Upfront",INPUTS!$J$142))="S-curve",SIN(PI()*(TIMELINE!L165-0.5)/TIMELINE!$C$164)*SIN(PI()/(2*TIMELINE!$C$164)),0))))))))))</f>
        <v>0.0926064944921223</v>
      </c>
      <c r="M155" s="118" t="n">
        <f aca="false">IF(INPUTS!$F$142&lt;&gt;"Yes",0,IF(INPUTS!$J$142="Follow Construction",M$100,IF(INPUTS!$J$142="Follow Sales",M$99,IF(INPUTS!$J$142="Follow Collections",M$108,IF(OR(TIMELINE!M165=0,TIMELINE!$C$164=0),0,IF(IF(INPUTS!$J$142="Follow Project Life","Even",IF(INPUTS!$J$142="At Project End","Upfront",INPUTS!$J$142))="Upfront",--(TIMELINE!M165=1),IF(IF(INPUTS!$J$142="Follow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End","Upfront",INPUTS!$J$142))="Front-loaded",(TIMELINE!$C$164-TIMELINE!M165+1)*2/(TIMELINE!$C$164*(TIMELINE!$C$164+1)),IF(IF(INPUTS!$J$142="Follow Project Life","Even",IF(INPUTS!$J$142="At Project End","Upfront",INPUTS!$J$142))="Back-loaded",TIMELINE!M165*2/(TIMELINE!$C$164*(TIMELINE!$C$164+1)),IF(IF(INPUTS!$J$142="Follow Project Life","Even",IF(INPUTS!$J$142="At Project End","Upfront",INPUTS!$J$142))="S-curve",SIN(PI()*(TIMELINE!M165-0.5)/TIMELINE!$C$164)*SIN(PI()/(2*TIMELINE!$C$164)),0))))))))))</f>
        <v>0.100981710254933</v>
      </c>
      <c r="N155" s="118" t="n">
        <f aca="false">IF(INPUTS!$F$142&lt;&gt;"Yes",0,IF(INPUTS!$J$142="Follow Construction",N$100,IF(INPUTS!$J$142="Follow Sales",N$99,IF(INPUTS!$J$142="Follow Collections",N$108,IF(OR(TIMELINE!N165=0,TIMELINE!$C$164=0),0,IF(IF(INPUTS!$J$142="Follow Project Life","Even",IF(INPUTS!$J$142="At Project End","Upfront",INPUTS!$J$142))="Upfront",--(TIMELINE!N165=1),IF(IF(INPUTS!$J$142="Follow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End","Upfront",INPUTS!$J$142))="Front-loaded",(TIMELINE!$C$164-TIMELINE!N165+1)*2/(TIMELINE!$C$164*(TIMELINE!$C$164+1)),IF(IF(INPUTS!$J$142="Follow Project Life","Even",IF(INPUTS!$J$142="At Project End","Upfront",INPUTS!$J$142))="Back-loaded",TIMELINE!N165*2/(TIMELINE!$C$164*(TIMELINE!$C$164+1)),IF(IF(INPUTS!$J$142="Follow Project Life","Even",IF(INPUTS!$J$142="At Project End","Upfront",INPUTS!$J$142))="S-curve",SIN(PI()*(TIMELINE!N165-0.5)/TIMELINE!$C$164)*SIN(PI()/(2*TIMELINE!$C$164)),0))))))))))</f>
        <v>0.104128320282428</v>
      </c>
      <c r="O155" s="118" t="n">
        <f aca="false">IF(INPUTS!$F$142&lt;&gt;"Yes",0,IF(INPUTS!$J$142="Follow Construction",O$100,IF(INPUTS!$J$142="Follow Sales",O$99,IF(INPUTS!$J$142="Follow Collections",O$108,IF(OR(TIMELINE!O165=0,TIMELINE!$C$164=0),0,IF(IF(INPUTS!$J$142="Follow Project Life","Even",IF(INPUTS!$J$142="At Project End","Upfront",INPUTS!$J$142))="Upfront",--(TIMELINE!O165=1),IF(IF(INPUTS!$J$142="Follow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End","Upfront",INPUTS!$J$142))="Front-loaded",(TIMELINE!$C$164-TIMELINE!O165+1)*2/(TIMELINE!$C$164*(TIMELINE!$C$164+1)),IF(IF(INPUTS!$J$142="Follow Project Life","Even",IF(INPUTS!$J$142="At Project End","Upfront",INPUTS!$J$142))="Back-loaded",TIMELINE!O165*2/(TIMELINE!$C$164*(TIMELINE!$C$164+1)),IF(IF(INPUTS!$J$142="Follow Project Life","Even",IF(INPUTS!$J$142="At Project End","Upfront",INPUTS!$J$142))="S-curve",SIN(PI()*(TIMELINE!O165-0.5)/TIMELINE!$C$164)*SIN(PI()/(2*TIMELINE!$C$164)),0))))))))))</f>
        <v>0.101972508958545</v>
      </c>
      <c r="P155" s="118" t="n">
        <f aca="false">IF(INPUTS!$F$142&lt;&gt;"Yes",0,IF(INPUTS!$J$142="Follow Construction",P$100,IF(INPUTS!$J$142="Follow Sales",P$99,IF(INPUTS!$J$142="Follow Collections",P$108,IF(OR(TIMELINE!P165=0,TIMELINE!$C$164=0),0,IF(IF(INPUTS!$J$142="Follow Project Life","Even",IF(INPUTS!$J$142="At Project End","Upfront",INPUTS!$J$142))="Upfront",--(TIMELINE!P165=1),IF(IF(INPUTS!$J$142="Follow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End","Upfront",INPUTS!$J$142))="Front-loaded",(TIMELINE!$C$164-TIMELINE!P165+1)*2/(TIMELINE!$C$164*(TIMELINE!$C$164+1)),IF(IF(INPUTS!$J$142="Follow Project Life","Even",IF(INPUTS!$J$142="At Project End","Upfront",INPUTS!$J$142))="Back-loaded",TIMELINE!P165*2/(TIMELINE!$C$164*(TIMELINE!$C$164+1)),IF(IF(INPUTS!$J$142="Follow Project Life","Even",IF(INPUTS!$J$142="At Project End","Upfront",INPUTS!$J$142))="S-curve",SIN(PI()*(TIMELINE!P165-0.5)/TIMELINE!$C$164)*SIN(PI()/(2*TIMELINE!$C$164)),0))))))))))</f>
        <v>0.094732879051781</v>
      </c>
      <c r="Q155" s="118" t="n">
        <f aca="false">IF(INPUTS!$F$142&lt;&gt;"Yes",0,IF(INPUTS!$J$142="Follow Construction",Q$100,IF(INPUTS!$J$142="Follow Sales",Q$99,IF(INPUTS!$J$142="Follow Collections",Q$108,IF(OR(TIMELINE!Q165=0,TIMELINE!$C$164=0),0,IF(IF(INPUTS!$J$142="Follow Project Life","Even",IF(INPUTS!$J$142="At Project End","Upfront",INPUTS!$J$142))="Upfront",--(TIMELINE!Q165=1),IF(IF(INPUTS!$J$142="Follow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End","Upfront",INPUTS!$J$142))="Front-loaded",(TIMELINE!$C$164-TIMELINE!Q165+1)*2/(TIMELINE!$C$164*(TIMELINE!$C$164+1)),IF(IF(INPUTS!$J$142="Follow Project Life","Even",IF(INPUTS!$J$142="At Project End","Upfront",INPUTS!$J$142))="Back-loaded",TIMELINE!Q165*2/(TIMELINE!$C$164*(TIMELINE!$C$164+1)),IF(IF(INPUTS!$J$142="Follow Project Life","Even",IF(INPUTS!$J$142="At Project End","Upfront",INPUTS!$J$142))="S-curve",SIN(PI()*(TIMELINE!Q165-0.5)/TIMELINE!$C$164)*SIN(PI()/(2*TIMELINE!$C$164)),0))))))))))</f>
        <v>0.0829027993762268</v>
      </c>
      <c r="R155" s="118" t="n">
        <f aca="false">IF(INPUTS!$F$142&lt;&gt;"Yes",0,IF(INPUTS!$J$142="Follow Construction",R$100,IF(INPUTS!$J$142="Follow Sales",R$99,IF(INPUTS!$J$142="Follow Collections",R$108,IF(OR(TIMELINE!R165=0,TIMELINE!$C$164=0),0,IF(IF(INPUTS!$J$142="Follow Project Life","Even",IF(INPUTS!$J$142="At Project End","Upfront",INPUTS!$J$142))="Upfront",--(TIMELINE!R165=1),IF(IF(INPUTS!$J$142="Follow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End","Upfront",INPUTS!$J$142))="Front-loaded",(TIMELINE!$C$164-TIMELINE!R165+1)*2/(TIMELINE!$C$164*(TIMELINE!$C$164+1)),IF(IF(INPUTS!$J$142="Follow Project Life","Even",IF(INPUTS!$J$142="At Project End","Upfront",INPUTS!$J$142))="Back-loaded",TIMELINE!R165*2/(TIMELINE!$C$164*(TIMELINE!$C$164+1)),IF(IF(INPUTS!$J$142="Follow Project Life","Even",IF(INPUTS!$J$142="At Project End","Upfront",INPUTS!$J$142))="S-curve",SIN(PI()*(TIMELINE!R165-0.5)/TIMELINE!$C$164)*SIN(PI()/(2*TIMELINE!$C$164)),0))))))))))</f>
        <v>0.0672167825222214</v>
      </c>
      <c r="S155" s="118" t="n">
        <f aca="false">IF(INPUTS!$F$142&lt;&gt;"Yes",0,IF(INPUTS!$J$142="Follow Construction",S$100,IF(INPUTS!$J$142="Follow Sales",S$99,IF(INPUTS!$J$142="Follow Collections",S$108,IF(OR(TIMELINE!S165=0,TIMELINE!$C$164=0),0,IF(IF(INPUTS!$J$142="Follow Project Life","Even",IF(INPUTS!$J$142="At Project End","Upfront",INPUTS!$J$142))="Upfront",--(TIMELINE!S165=1),IF(IF(INPUTS!$J$142="Follow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End","Upfront",INPUTS!$J$142))="Front-loaded",(TIMELINE!$C$164-TIMELINE!S165+1)*2/(TIMELINE!$C$164*(TIMELINE!$C$164+1)),IF(IF(INPUTS!$J$142="Follow Project Life","Even",IF(INPUTS!$J$142="At Project End","Upfront",INPUTS!$J$142))="Back-loaded",TIMELINE!S165*2/(TIMELINE!$C$164*(TIMELINE!$C$164+1)),IF(IF(INPUTS!$J$142="Follow Project Life","Even",IF(INPUTS!$J$142="At Project End","Upfront",INPUTS!$J$142))="S-curve",SIN(PI()*(TIMELINE!S165-0.5)/TIMELINE!$C$164)*SIN(PI()/(2*TIMELINE!$C$164)),0))))))))))</f>
        <v>0.0531711898648468</v>
      </c>
      <c r="T155" s="118" t="n">
        <f aca="false">IF(INPUTS!$F$142&lt;&gt;"Yes",0,IF(INPUTS!$J$142="Follow Construction",T$100,IF(INPUTS!$J$142="Follow Sales",T$99,IF(INPUTS!$J$142="Follow Collections",T$108,IF(OR(TIMELINE!T165=0,TIMELINE!$C$164=0),0,IF(IF(INPUTS!$J$142="Follow Project Life","Even",IF(INPUTS!$J$142="At Project End","Upfront",INPUTS!$J$142))="Upfront",--(TIMELINE!T165=1),IF(IF(INPUTS!$J$142="Follow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End","Upfront",INPUTS!$J$142))="Front-loaded",(TIMELINE!$C$164-TIMELINE!T165+1)*2/(TIMELINE!$C$164*(TIMELINE!$C$164+1)),IF(IF(INPUTS!$J$142="Follow Project Life","Even",IF(INPUTS!$J$142="At Project End","Upfront",INPUTS!$J$142))="Back-loaded",TIMELINE!T165*2/(TIMELINE!$C$164*(TIMELINE!$C$164+1)),IF(IF(INPUTS!$J$142="Follow Project Life","Even",IF(INPUTS!$J$142="At Project End","Upfront",INPUTS!$J$142))="S-curve",SIN(PI()*(TIMELINE!T165-0.5)/TIMELINE!$C$164)*SIN(PI()/(2*TIMELINE!$C$164)),0))))))))))</f>
        <v>0.0415190557800941</v>
      </c>
      <c r="U155" s="118" t="n">
        <f aca="false">IF(INPUTS!$F$142&lt;&gt;"Yes",0,IF(INPUTS!$J$142="Follow Construction",U$100,IF(INPUTS!$J$142="Follow Sales",U$99,IF(INPUTS!$J$142="Follow Collections",U$108,IF(OR(TIMELINE!U165=0,TIMELINE!$C$164=0),0,IF(IF(INPUTS!$J$142="Follow Project Life","Even",IF(INPUTS!$J$142="At Project End","Upfront",INPUTS!$J$142))="Upfront",--(TIMELINE!U165=1),IF(IF(INPUTS!$J$142="Follow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End","Upfront",INPUTS!$J$142))="Front-loaded",(TIMELINE!$C$164-TIMELINE!U165+1)*2/(TIMELINE!$C$164*(TIMELINE!$C$164+1)),IF(IF(INPUTS!$J$142="Follow Project Life","Even",IF(INPUTS!$J$142="At Project End","Upfront",INPUTS!$J$142))="Back-loaded",TIMELINE!U165*2/(TIMELINE!$C$164*(TIMELINE!$C$164+1)),IF(IF(INPUTS!$J$142="Follow Project Life","Even",IF(INPUTS!$J$142="At Project End","Upfront",INPUTS!$J$142))="S-curve",SIN(PI()*(TIMELINE!U165-0.5)/TIMELINE!$C$164)*SIN(PI()/(2*TIMELINE!$C$164)),0))))))))))</f>
        <v>0.0297324817239664</v>
      </c>
      <c r="V155" s="118" t="n">
        <f aca="false">IF(INPUTS!$F$142&lt;&gt;"Yes",0,IF(INPUTS!$J$142="Follow Construction",V$100,IF(INPUTS!$J$142="Follow Sales",V$99,IF(INPUTS!$J$142="Follow Collections",V$108,IF(OR(TIMELINE!V165=0,TIMELINE!$C$164=0),0,IF(IF(INPUTS!$J$142="Follow Project Life","Even",IF(INPUTS!$J$142="At Project End","Upfront",INPUTS!$J$142))="Upfront",--(TIMELINE!V165=1),IF(IF(INPUTS!$J$142="Follow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End","Upfront",INPUTS!$J$142))="Front-loaded",(TIMELINE!$C$164-TIMELINE!V165+1)*2/(TIMELINE!$C$164*(TIMELINE!$C$164+1)),IF(IF(INPUTS!$J$142="Follow Project Life","Even",IF(INPUTS!$J$142="At Project End","Upfront",INPUTS!$J$142))="Back-loaded",TIMELINE!V165*2/(TIMELINE!$C$164*(TIMELINE!$C$164+1)),IF(IF(INPUTS!$J$142="Follow Project Life","Even",IF(INPUTS!$J$142="At Project End","Upfront",INPUTS!$J$142))="S-curve",SIN(PI()*(TIMELINE!V165-0.5)/TIMELINE!$C$164)*SIN(PI()/(2*TIMELINE!$C$164)),0))))))))))</f>
        <v>0.0183091718439316</v>
      </c>
      <c r="W155" s="118" t="n">
        <f aca="false">IF(INPUTS!$F$142&lt;&gt;"Yes",0,IF(INPUTS!$J$142="Follow Construction",W$100,IF(INPUTS!$J$142="Follow Sales",W$99,IF(INPUTS!$J$142="Follow Collections",W$108,IF(OR(TIMELINE!W165=0,TIMELINE!$C$164=0),0,IF(IF(INPUTS!$J$142="Follow Project Life","Even",IF(INPUTS!$J$142="At Project End","Upfront",INPUTS!$J$142))="Upfront",--(TIMELINE!W165=1),IF(IF(INPUTS!$J$142="Follow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End","Upfront",INPUTS!$J$142))="Front-loaded",(TIMELINE!$C$164-TIMELINE!W165+1)*2/(TIMELINE!$C$164*(TIMELINE!$C$164+1)),IF(IF(INPUTS!$J$142="Follow Project Life","Even",IF(INPUTS!$J$142="At Project End","Upfront",INPUTS!$J$142))="Back-loaded",TIMELINE!W165*2/(TIMELINE!$C$164*(TIMELINE!$C$164+1)),IF(IF(INPUTS!$J$142="Follow Project Life","Even",IF(INPUTS!$J$142="At Project End","Upfront",INPUTS!$J$142))="S-curve",SIN(PI()*(TIMELINE!W165-0.5)/TIMELINE!$C$164)*SIN(PI()/(2*TIMELINE!$C$164)),0))))))))))</f>
        <v>0.00618225075783637</v>
      </c>
      <c r="X155" s="118" t="n">
        <f aca="false">IF(INPUTS!$F$142&lt;&gt;"Yes",0,IF(INPUTS!$J$142="Follow Construction",X$100,IF(INPUTS!$J$142="Follow Sales",X$99,IF(INPUTS!$J$142="Follow Collections",X$108,IF(OR(TIMELINE!X165=0,TIMELINE!$C$164=0),0,IF(IF(INPUTS!$J$142="Follow Project Life","Even",IF(INPUTS!$J$142="At Project End","Upfront",INPUTS!$J$142))="Upfront",--(TIMELINE!X165=1),IF(IF(INPUTS!$J$142="Follow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End","Upfront",INPUTS!$J$142))="Front-loaded",(TIMELINE!$C$164-TIMELINE!X165+1)*2/(TIMELINE!$C$164*(TIMELINE!$C$164+1)),IF(IF(INPUTS!$J$142="Follow Project Life","Even",IF(INPUTS!$J$142="At Project End","Upfront",INPUTS!$J$142))="Back-loaded",TIMELINE!X165*2/(TIMELINE!$C$164*(TIMELINE!$C$164+1)),IF(IF(INPUTS!$J$142="Follow Project Life","Even",IF(INPUTS!$J$142="At Project End","Upfront",INPUTS!$J$142))="S-curve",SIN(PI()*(TIMELINE!X165-0.5)/TIMELINE!$C$164)*SIN(PI()/(2*TIMELINE!$C$164)),0))))))))))</f>
        <v>0</v>
      </c>
      <c r="Y155" s="118" t="n">
        <f aca="false">IF(INPUTS!$F$142&lt;&gt;"Yes",0,IF(INPUTS!$J$142="Follow Construction",Y$100,IF(INPUTS!$J$142="Follow Sales",Y$99,IF(INPUTS!$J$142="Follow Collections",Y$108,IF(OR(TIMELINE!Y165=0,TIMELINE!$C$164=0),0,IF(IF(INPUTS!$J$142="Follow Project Life","Even",IF(INPUTS!$J$142="At Project End","Upfront",INPUTS!$J$142))="Upfront",--(TIMELINE!Y165=1),IF(IF(INPUTS!$J$142="Follow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End","Upfront",INPUTS!$J$142))="Front-loaded",(TIMELINE!$C$164-TIMELINE!Y165+1)*2/(TIMELINE!$C$164*(TIMELINE!$C$164+1)),IF(IF(INPUTS!$J$142="Follow Project Life","Even",IF(INPUTS!$J$142="At Project End","Upfront",INPUTS!$J$142))="Back-loaded",TIMELINE!Y165*2/(TIMELINE!$C$164*(TIMELINE!$C$164+1)),IF(IF(INPUTS!$J$142="Follow Project Life","Even",IF(INPUTS!$J$142="At Project End","Upfront",INPUTS!$J$142))="S-curve",SIN(PI()*(TIMELINE!Y165-0.5)/TIMELINE!$C$164)*SIN(PI()/(2*TIMELINE!$C$164)),0))))))))))</f>
        <v>0</v>
      </c>
      <c r="Z155" s="118" t="n">
        <f aca="false">IF(INPUTS!$F$142&lt;&gt;"Yes",0,IF(INPUTS!$J$142="Follow Construction",Z$100,IF(INPUTS!$J$142="Follow Sales",Z$99,IF(INPUTS!$J$142="Follow Collections",Z$108,IF(OR(TIMELINE!Z165=0,TIMELINE!$C$164=0),0,IF(IF(INPUTS!$J$142="Follow Project Life","Even",IF(INPUTS!$J$142="At Project End","Upfront",INPUTS!$J$142))="Upfront",--(TIMELINE!Z165=1),IF(IF(INPUTS!$J$142="Follow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End","Upfront",INPUTS!$J$142))="Front-loaded",(TIMELINE!$C$164-TIMELINE!Z165+1)*2/(TIMELINE!$C$164*(TIMELINE!$C$164+1)),IF(IF(INPUTS!$J$142="Follow Project Life","Even",IF(INPUTS!$J$142="At Project End","Upfront",INPUTS!$J$142))="Back-loaded",TIMELINE!Z165*2/(TIMELINE!$C$164*(TIMELINE!$C$164+1)),IF(IF(INPUTS!$J$142="Follow Project Life","Even",IF(INPUTS!$J$142="At Project End","Upfront",INPUTS!$J$142))="S-curve",SIN(PI()*(TIMELINE!Z165-0.5)/TIMELINE!$C$164)*SIN(PI()/(2*TIMELINE!$C$164)),0))))))))))</f>
        <v>0</v>
      </c>
      <c r="AA155" s="118" t="n">
        <f aca="false">IF(INPUTS!$F$142&lt;&gt;"Yes",0,IF(INPUTS!$J$142="Follow Construction",AA$100,IF(INPUTS!$J$142="Follow Sales",AA$99,IF(INPUTS!$J$142="Follow Collections",AA$108,IF(OR(TIMELINE!AA165=0,TIMELINE!$C$164=0),0,IF(IF(INPUTS!$J$142="Follow Project Life","Even",IF(INPUTS!$J$142="At Project End","Upfront",INPUTS!$J$142))="Upfront",--(TIMELINE!AA165=1),IF(IF(INPUTS!$J$142="Follow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End","Upfront",INPUTS!$J$142))="Front-loaded",(TIMELINE!$C$164-TIMELINE!AA165+1)*2/(TIMELINE!$C$164*(TIMELINE!$C$164+1)),IF(IF(INPUTS!$J$142="Follow Project Life","Even",IF(INPUTS!$J$142="At Project End","Upfront",INPUTS!$J$142))="Back-loaded",TIMELINE!AA165*2/(TIMELINE!$C$164*(TIMELINE!$C$164+1)),IF(IF(INPUTS!$J$142="Follow Project Life","Even",IF(INPUTS!$J$142="At Project End","Upfront",INPUTS!$J$142))="S-curve",SIN(PI()*(TIMELINE!AA165-0.5)/TIMELINE!$C$164)*SIN(PI()/(2*TIMELINE!$C$164)),0))))))))))</f>
        <v>0</v>
      </c>
      <c r="AB155" s="118" t="n">
        <f aca="false">IF(INPUTS!$F$142&lt;&gt;"Yes",0,IF(INPUTS!$J$142="Follow Construction",AB$100,IF(INPUTS!$J$142="Follow Sales",AB$99,IF(INPUTS!$J$142="Follow Collections",AB$108,IF(OR(TIMELINE!AB165=0,TIMELINE!$C$164=0),0,IF(IF(INPUTS!$J$142="Follow Project Life","Even",IF(INPUTS!$J$142="At Project End","Upfront",INPUTS!$J$142))="Upfront",--(TIMELINE!AB165=1),IF(IF(INPUTS!$J$142="Follow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End","Upfront",INPUTS!$J$142))="Front-loaded",(TIMELINE!$C$164-TIMELINE!AB165+1)*2/(TIMELINE!$C$164*(TIMELINE!$C$164+1)),IF(IF(INPUTS!$J$142="Follow Project Life","Even",IF(INPUTS!$J$142="At Project End","Upfront",INPUTS!$J$142))="Back-loaded",TIMELINE!AB165*2/(TIMELINE!$C$164*(TIMELINE!$C$164+1)),IF(IF(INPUTS!$J$142="Follow Project Life","Even",IF(INPUTS!$J$142="At Project End","Upfront",INPUTS!$J$142))="S-curve",SIN(PI()*(TIMELINE!AB165-0.5)/TIMELINE!$C$164)*SIN(PI()/(2*TIMELINE!$C$164)),0))))))))))</f>
        <v>0</v>
      </c>
      <c r="AC155" s="118" t="n">
        <f aca="false">IF(INPUTS!$F$142&lt;&gt;"Yes",0,IF(INPUTS!$J$142="Follow Construction",AC$100,IF(INPUTS!$J$142="Follow Sales",AC$99,IF(INPUTS!$J$142="Follow Collections",AC$108,IF(OR(TIMELINE!AC165=0,TIMELINE!$C$164=0),0,IF(IF(INPUTS!$J$142="Follow Project Life","Even",IF(INPUTS!$J$142="At Project End","Upfront",INPUTS!$J$142))="Upfront",--(TIMELINE!AC165=1),IF(IF(INPUTS!$J$142="Follow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End","Upfront",INPUTS!$J$142))="Front-loaded",(TIMELINE!$C$164-TIMELINE!AC165+1)*2/(TIMELINE!$C$164*(TIMELINE!$C$164+1)),IF(IF(INPUTS!$J$142="Follow Project Life","Even",IF(INPUTS!$J$142="At Project End","Upfront",INPUTS!$J$142))="Back-loaded",TIMELINE!AC165*2/(TIMELINE!$C$164*(TIMELINE!$C$164+1)),IF(IF(INPUTS!$J$142="Follow Project Life","Even",IF(INPUTS!$J$142="At Project End","Upfront",INPUTS!$J$142))="S-curve",SIN(PI()*(TIMELINE!AC165-0.5)/TIMELINE!$C$164)*SIN(PI()/(2*TIMELINE!$C$164)),0))))))))))</f>
        <v>0</v>
      </c>
      <c r="AD155" s="118" t="n">
        <f aca="false">IF(INPUTS!$F$142&lt;&gt;"Yes",0,IF(INPUTS!$J$142="Follow Construction",AD$100,IF(INPUTS!$J$142="Follow Sales",AD$99,IF(INPUTS!$J$142="Follow Collections",AD$108,IF(OR(TIMELINE!AD165=0,TIMELINE!$C$164=0),0,IF(IF(INPUTS!$J$142="Follow Project Life","Even",IF(INPUTS!$J$142="At Project End","Upfront",INPUTS!$J$142))="Upfront",--(TIMELINE!AD165=1),IF(IF(INPUTS!$J$142="Follow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End","Upfront",INPUTS!$J$142))="Front-loaded",(TIMELINE!$C$164-TIMELINE!AD165+1)*2/(TIMELINE!$C$164*(TIMELINE!$C$164+1)),IF(IF(INPUTS!$J$142="Follow Project Life","Even",IF(INPUTS!$J$142="At Project End","Upfront",INPUTS!$J$142))="Back-loaded",TIMELINE!AD165*2/(TIMELINE!$C$164*(TIMELINE!$C$164+1)),IF(IF(INPUTS!$J$142="Follow Project Life","Even",IF(INPUTS!$J$142="At Project End","Upfront",INPUTS!$J$142))="S-curve",SIN(PI()*(TIMELINE!AD165-0.5)/TIMELINE!$C$164)*SIN(PI()/(2*TIMELINE!$C$164)),0))))))))))</f>
        <v>0</v>
      </c>
      <c r="AE155" s="118" t="n">
        <f aca="false">IF(INPUTS!$F$142&lt;&gt;"Yes",0,IF(INPUTS!$J$142="Follow Construction",AE$100,IF(INPUTS!$J$142="Follow Sales",AE$99,IF(INPUTS!$J$142="Follow Collections",AE$108,IF(OR(TIMELINE!AE165=0,TIMELINE!$C$164=0),0,IF(IF(INPUTS!$J$142="Follow Project Life","Even",IF(INPUTS!$J$142="At Project End","Upfront",INPUTS!$J$142))="Upfront",--(TIMELINE!AE165=1),IF(IF(INPUTS!$J$142="Follow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End","Upfront",INPUTS!$J$142))="Front-loaded",(TIMELINE!$C$164-TIMELINE!AE165+1)*2/(TIMELINE!$C$164*(TIMELINE!$C$164+1)),IF(IF(INPUTS!$J$142="Follow Project Life","Even",IF(INPUTS!$J$142="At Project End","Upfront",INPUTS!$J$142))="Back-loaded",TIMELINE!AE165*2/(TIMELINE!$C$164*(TIMELINE!$C$164+1)),IF(IF(INPUTS!$J$142="Follow Project Life","Even",IF(INPUTS!$J$142="At Project End","Upfront",INPUTS!$J$142))="S-curve",SIN(PI()*(TIMELINE!AE165-0.5)/TIMELINE!$C$164)*SIN(PI()/(2*TIMELINE!$C$164)),0))))))))))</f>
        <v>0</v>
      </c>
      <c r="AF155" s="118" t="n">
        <f aca="false">IF(INPUTS!$F$142&lt;&gt;"Yes",0,IF(INPUTS!$J$142="Follow Construction",AF$100,IF(INPUTS!$J$142="Follow Sales",AF$99,IF(INPUTS!$J$142="Follow Collections",AF$108,IF(OR(TIMELINE!AF165=0,TIMELINE!$C$164=0),0,IF(IF(INPUTS!$J$142="Follow Project Life","Even",IF(INPUTS!$J$142="At Project End","Upfront",INPUTS!$J$142))="Upfront",--(TIMELINE!AF165=1),IF(IF(INPUTS!$J$142="Follow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End","Upfront",INPUTS!$J$142))="Front-loaded",(TIMELINE!$C$164-TIMELINE!AF165+1)*2/(TIMELINE!$C$164*(TIMELINE!$C$164+1)),IF(IF(INPUTS!$J$142="Follow Project Life","Even",IF(INPUTS!$J$142="At Project End","Upfront",INPUTS!$J$142))="Back-loaded",TIMELINE!AF165*2/(TIMELINE!$C$164*(TIMELINE!$C$164+1)),IF(IF(INPUTS!$J$142="Follow Project Life","Even",IF(INPUTS!$J$142="At Project End","Upfront",INPUTS!$J$142))="S-curve",SIN(PI()*(TIMELINE!AF165-0.5)/TIMELINE!$C$164)*SIN(PI()/(2*TIMELINE!$C$164)),0))))))))))</f>
        <v>0</v>
      </c>
      <c r="AG155" s="118" t="n">
        <f aca="false">IF(INPUTS!$F$142&lt;&gt;"Yes",0,IF(INPUTS!$J$142="Follow Construction",AG$100,IF(INPUTS!$J$142="Follow Sales",AG$99,IF(INPUTS!$J$142="Follow Collections",AG$108,IF(OR(TIMELINE!AG165=0,TIMELINE!$C$164=0),0,IF(IF(INPUTS!$J$142="Follow Project Life","Even",IF(INPUTS!$J$142="At Project End","Upfront",INPUTS!$J$142))="Upfront",--(TIMELINE!AG165=1),IF(IF(INPUTS!$J$142="Follow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End","Upfront",INPUTS!$J$142))="Front-loaded",(TIMELINE!$C$164-TIMELINE!AG165+1)*2/(TIMELINE!$C$164*(TIMELINE!$C$164+1)),IF(IF(INPUTS!$J$142="Follow Project Life","Even",IF(INPUTS!$J$142="At Project End","Upfront",INPUTS!$J$142))="Back-loaded",TIMELINE!AG165*2/(TIMELINE!$C$164*(TIMELINE!$C$164+1)),IF(IF(INPUTS!$J$142="Follow Project Life","Even",IF(INPUTS!$J$142="At Project End","Upfront",INPUTS!$J$142))="S-curve",SIN(PI()*(TIMELINE!AG165-0.5)/TIMELINE!$C$164)*SIN(PI()/(2*TIMELINE!$C$164)),0))))))))))</f>
        <v>0</v>
      </c>
      <c r="AH155" s="118" t="n">
        <f aca="false">IF(INPUTS!$F$142&lt;&gt;"Yes",0,IF(INPUTS!$J$142="Follow Construction",AH$100,IF(INPUTS!$J$142="Follow Sales",AH$99,IF(INPUTS!$J$142="Follow Collections",AH$108,IF(OR(TIMELINE!AH165=0,TIMELINE!$C$164=0),0,IF(IF(INPUTS!$J$142="Follow Project Life","Even",IF(INPUTS!$J$142="At Project End","Upfront",INPUTS!$J$142))="Upfront",--(TIMELINE!AH165=1),IF(IF(INPUTS!$J$142="Follow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End","Upfront",INPUTS!$J$142))="Front-loaded",(TIMELINE!$C$164-TIMELINE!AH165+1)*2/(TIMELINE!$C$164*(TIMELINE!$C$164+1)),IF(IF(INPUTS!$J$142="Follow Project Life","Even",IF(INPUTS!$J$142="At Project End","Upfront",INPUTS!$J$142))="Back-loaded",TIMELINE!AH165*2/(TIMELINE!$C$164*(TIMELINE!$C$164+1)),IF(IF(INPUTS!$J$142="Follow Project Life","Even",IF(INPUTS!$J$142="At Project End","Upfront",INPUTS!$J$142))="S-curve",SIN(PI()*(TIMELINE!AH165-0.5)/TIMELINE!$C$164)*SIN(PI()/(2*TIMELINE!$C$164)),0))))))))))</f>
        <v>0</v>
      </c>
      <c r="AI155" s="118" t="n">
        <f aca="false">IF(INPUTS!$F$142&lt;&gt;"Yes",0,IF(INPUTS!$J$142="Follow Construction",AI$100,IF(INPUTS!$J$142="Follow Sales",AI$99,IF(INPUTS!$J$142="Follow Collections",AI$108,IF(OR(TIMELINE!AI165=0,TIMELINE!$C$164=0),0,IF(IF(INPUTS!$J$142="Follow Project Life","Even",IF(INPUTS!$J$142="At Project End","Upfront",INPUTS!$J$142))="Upfront",--(TIMELINE!AI165=1),IF(IF(INPUTS!$J$142="Follow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End","Upfront",INPUTS!$J$142))="Front-loaded",(TIMELINE!$C$164-TIMELINE!AI165+1)*2/(TIMELINE!$C$164*(TIMELINE!$C$164+1)),IF(IF(INPUTS!$J$142="Follow Project Life","Even",IF(INPUTS!$J$142="At Project End","Upfront",INPUTS!$J$142))="Back-loaded",TIMELINE!AI165*2/(TIMELINE!$C$164*(TIMELINE!$C$164+1)),IF(IF(INPUTS!$J$142="Follow Project Life","Even",IF(INPUTS!$J$142="At Project End","Upfront",INPUTS!$J$142))="S-curve",SIN(PI()*(TIMELINE!AI165-0.5)/TIMELINE!$C$164)*SIN(PI()/(2*TIMELINE!$C$164)),0))))))))))</f>
        <v>0</v>
      </c>
      <c r="AJ155" s="118" t="n">
        <f aca="false">IF(INPUTS!$F$142&lt;&gt;"Yes",0,IF(INPUTS!$J$142="Follow Construction",AJ$100,IF(INPUTS!$J$142="Follow Sales",AJ$99,IF(INPUTS!$J$142="Follow Collections",AJ$108,IF(OR(TIMELINE!AJ165=0,TIMELINE!$C$164=0),0,IF(IF(INPUTS!$J$142="Follow Project Life","Even",IF(INPUTS!$J$142="At Project End","Upfront",INPUTS!$J$142))="Upfront",--(TIMELINE!AJ165=1),IF(IF(INPUTS!$J$142="Follow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End","Upfront",INPUTS!$J$142))="Front-loaded",(TIMELINE!$C$164-TIMELINE!AJ165+1)*2/(TIMELINE!$C$164*(TIMELINE!$C$164+1)),IF(IF(INPUTS!$J$142="Follow Project Life","Even",IF(INPUTS!$J$142="At Project End","Upfront",INPUTS!$J$142))="Back-loaded",TIMELINE!AJ165*2/(TIMELINE!$C$164*(TIMELINE!$C$164+1)),IF(IF(INPUTS!$J$142="Follow Project Life","Even",IF(INPUTS!$J$142="At Project End","Upfront",INPUTS!$J$142))="S-curve",SIN(PI()*(TIMELINE!AJ165-0.5)/TIMELINE!$C$164)*SIN(PI()/(2*TIMELINE!$C$164)),0))))))))))</f>
        <v>0</v>
      </c>
      <c r="AK155" s="118" t="n">
        <f aca="false">IF(INPUTS!$F$142&lt;&gt;"Yes",0,IF(INPUTS!$J$142="Follow Construction",AK$100,IF(INPUTS!$J$142="Follow Sales",AK$99,IF(INPUTS!$J$142="Follow Collections",AK$108,IF(OR(TIMELINE!AK165=0,TIMELINE!$C$164=0),0,IF(IF(INPUTS!$J$142="Follow Project Life","Even",IF(INPUTS!$J$142="At Project End","Upfront",INPUTS!$J$142))="Upfront",--(TIMELINE!AK165=1),IF(IF(INPUTS!$J$142="Follow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End","Upfront",INPUTS!$J$142))="Front-loaded",(TIMELINE!$C$164-TIMELINE!AK165+1)*2/(TIMELINE!$C$164*(TIMELINE!$C$164+1)),IF(IF(INPUTS!$J$142="Follow Project Life","Even",IF(INPUTS!$J$142="At Project End","Upfront",INPUTS!$J$142))="Back-loaded",TIMELINE!AK165*2/(TIMELINE!$C$164*(TIMELINE!$C$164+1)),IF(IF(INPUTS!$J$142="Follow Project Life","Even",IF(INPUTS!$J$142="At Project End","Upfront",INPUTS!$J$142))="S-curve",SIN(PI()*(TIMELINE!AK165-0.5)/TIMELINE!$C$164)*SIN(PI()/(2*TIMELINE!$C$164)),0))))))))))</f>
        <v>0</v>
      </c>
      <c r="AL155" s="118" t="n">
        <f aca="false">IF(INPUTS!$F$142&lt;&gt;"Yes",0,IF(INPUTS!$J$142="Follow Construction",AL$100,IF(INPUTS!$J$142="Follow Sales",AL$99,IF(INPUTS!$J$142="Follow Collections",AL$108,IF(OR(TIMELINE!AL165=0,TIMELINE!$C$164=0),0,IF(IF(INPUTS!$J$142="Follow Project Life","Even",IF(INPUTS!$J$142="At Project End","Upfront",INPUTS!$J$142))="Upfront",--(TIMELINE!AL165=1),IF(IF(INPUTS!$J$142="Follow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End","Upfront",INPUTS!$J$142))="Front-loaded",(TIMELINE!$C$164-TIMELINE!AL165+1)*2/(TIMELINE!$C$164*(TIMELINE!$C$164+1)),IF(IF(INPUTS!$J$142="Follow Project Life","Even",IF(INPUTS!$J$142="At Project End","Upfront",INPUTS!$J$142))="Back-loaded",TIMELINE!AL165*2/(TIMELINE!$C$164*(TIMELINE!$C$164+1)),IF(IF(INPUTS!$J$142="Follow Project Life","Even",IF(INPUTS!$J$142="At Project End","Upfront",INPUTS!$J$142))="S-curve",SIN(PI()*(TIMELINE!AL165-0.5)/TIMELINE!$C$164)*SIN(PI()/(2*TIMELINE!$C$164)),0))))))))))</f>
        <v>0</v>
      </c>
      <c r="AM155" s="118" t="n">
        <f aca="false">IF(INPUTS!$F$142&lt;&gt;"Yes",0,IF(INPUTS!$J$142="Follow Construction",AM$100,IF(INPUTS!$J$142="Follow Sales",AM$99,IF(INPUTS!$J$142="Follow Collections",AM$108,IF(OR(TIMELINE!AM165=0,TIMELINE!$C$164=0),0,IF(IF(INPUTS!$J$142="Follow Project Life","Even",IF(INPUTS!$J$142="At Project End","Upfront",INPUTS!$J$142))="Upfront",--(TIMELINE!AM165=1),IF(IF(INPUTS!$J$142="Follow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End","Upfront",INPUTS!$J$142))="Front-loaded",(TIMELINE!$C$164-TIMELINE!AM165+1)*2/(TIMELINE!$C$164*(TIMELINE!$C$164+1)),IF(IF(INPUTS!$J$142="Follow Project Life","Even",IF(INPUTS!$J$142="At Project End","Upfront",INPUTS!$J$142))="Back-loaded",TIMELINE!AM165*2/(TIMELINE!$C$164*(TIMELINE!$C$164+1)),IF(IF(INPUTS!$J$142="Follow Project Life","Even",IF(INPUTS!$J$142="At Project End","Upfront",INPUTS!$J$142))="S-curve",SIN(PI()*(TIMELINE!AM165-0.5)/TIMELINE!$C$164)*SIN(PI()/(2*TIMELINE!$C$164)),0))))))))))</f>
        <v>0</v>
      </c>
      <c r="AN155" s="118" t="n">
        <f aca="false">IF(INPUTS!$F$142&lt;&gt;"Yes",0,IF(INPUTS!$J$142="Follow Construction",AN$100,IF(INPUTS!$J$142="Follow Sales",AN$99,IF(INPUTS!$J$142="Follow Collections",AN$108,IF(OR(TIMELINE!AN165=0,TIMELINE!$C$164=0),0,IF(IF(INPUTS!$J$142="Follow Project Life","Even",IF(INPUTS!$J$142="At Project End","Upfront",INPUTS!$J$142))="Upfront",--(TIMELINE!AN165=1),IF(IF(INPUTS!$J$142="Follow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End","Upfront",INPUTS!$J$142))="Front-loaded",(TIMELINE!$C$164-TIMELINE!AN165+1)*2/(TIMELINE!$C$164*(TIMELINE!$C$164+1)),IF(IF(INPUTS!$J$142="Follow Project Life","Even",IF(INPUTS!$J$142="At Project End","Upfront",INPUTS!$J$142))="Back-loaded",TIMELINE!AN165*2/(TIMELINE!$C$164*(TIMELINE!$C$164+1)),IF(IF(INPUTS!$J$142="Follow Project Life","Even",IF(INPUTS!$J$142="At Project End","Upfront",INPUTS!$J$142))="S-curve",SIN(PI()*(TIMELINE!AN165-0.5)/TIMELINE!$C$164)*SIN(PI()/(2*TIMELINE!$C$164)),0))))))))))</f>
        <v>0</v>
      </c>
      <c r="AO155" s="118" t="n">
        <f aca="false">IF(INPUTS!$F$142&lt;&gt;"Yes",0,IF(INPUTS!$J$142="Follow Construction",AO$100,IF(INPUTS!$J$142="Follow Sales",AO$99,IF(INPUTS!$J$142="Follow Collections",AO$108,IF(OR(TIMELINE!AO165=0,TIMELINE!$C$164=0),0,IF(IF(INPUTS!$J$142="Follow Project Life","Even",IF(INPUTS!$J$142="At Project End","Upfront",INPUTS!$J$142))="Upfront",--(TIMELINE!AO165=1),IF(IF(INPUTS!$J$142="Follow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End","Upfront",INPUTS!$J$142))="Front-loaded",(TIMELINE!$C$164-TIMELINE!AO165+1)*2/(TIMELINE!$C$164*(TIMELINE!$C$164+1)),IF(IF(INPUTS!$J$142="Follow Project Life","Even",IF(INPUTS!$J$142="At Project End","Upfront",INPUTS!$J$142))="Back-loaded",TIMELINE!AO165*2/(TIMELINE!$C$164*(TIMELINE!$C$164+1)),IF(IF(INPUTS!$J$142="Follow Project Life","Even",IF(INPUTS!$J$142="At Project End","Upfront",INPUTS!$J$142))="S-curve",SIN(PI()*(TIMELINE!AO165-0.5)/TIMELINE!$C$164)*SIN(PI()/(2*TIMELINE!$C$164)),0))))))))))</f>
        <v>0</v>
      </c>
      <c r="AP155" s="118" t="n">
        <f aca="false">IF(INPUTS!$F$142&lt;&gt;"Yes",0,IF(INPUTS!$J$142="Follow Construction",AP$100,IF(INPUTS!$J$142="Follow Sales",AP$99,IF(INPUTS!$J$142="Follow Collections",AP$108,IF(OR(TIMELINE!AP165=0,TIMELINE!$C$164=0),0,IF(IF(INPUTS!$J$142="Follow Project Life","Even",IF(INPUTS!$J$142="At Project End","Upfront",INPUTS!$J$142))="Upfront",--(TIMELINE!AP165=1),IF(IF(INPUTS!$J$142="Follow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End","Upfront",INPUTS!$J$142))="Front-loaded",(TIMELINE!$C$164-TIMELINE!AP165+1)*2/(TIMELINE!$C$164*(TIMELINE!$C$164+1)),IF(IF(INPUTS!$J$142="Follow Project Life","Even",IF(INPUTS!$J$142="At Project End","Upfront",INPUTS!$J$142))="Back-loaded",TIMELINE!AP165*2/(TIMELINE!$C$164*(TIMELINE!$C$164+1)),IF(IF(INPUTS!$J$142="Follow Project Life","Even",IF(INPUTS!$J$142="At Project End","Upfront",INPUTS!$J$142))="S-curve",SIN(PI()*(TIMELINE!AP165-0.5)/TIMELINE!$C$164)*SIN(PI()/(2*TIMELINE!$C$164)),0))))))))))</f>
        <v>0</v>
      </c>
      <c r="AQ155" s="118" t="n">
        <f aca="false">IF(INPUTS!$F$142&lt;&gt;"Yes",0,IF(INPUTS!$J$142="Follow Construction",AQ$100,IF(INPUTS!$J$142="Follow Sales",AQ$99,IF(INPUTS!$J$142="Follow Collections",AQ$108,IF(OR(TIMELINE!AQ165=0,TIMELINE!$C$164=0),0,IF(IF(INPUTS!$J$142="Follow Project Life","Even",IF(INPUTS!$J$142="At Project End","Upfront",INPUTS!$J$142))="Upfront",--(TIMELINE!AQ165=1),IF(IF(INPUTS!$J$142="Follow Project Life","Even",IF(INPUTS!$J$142="At Project End","Upfront",INPUTS!$J$142))="Even",1/TIMELINE!$C$164,IF(IF(INPUTS!$J$142="Follow Project Life","Even",IF(INPUTS!$J$142="At Project End","Upfront",INPUTS!$J$142))="Front-loaded",(TIMELINE!$C$164-TIMELINE!AQ165+1)*2/(TIMELINE!$C$164*(TIMELINE!$C$164+1)),IF(IF(INPUTS!$J$142="Follow Project Life","Even",IF(INPUTS!$J$142="At Project End","Upfront",INPUTS!$J$142))="Back-loaded",TIMELINE!AQ165*2/(TIMELINE!$C$164*(TIMELINE!$C$164+1)),IF(IF(INPUTS!$J$142="Follow Project Life","Even",IF(INPUTS!$J$142="At Project End","Upfront",INPUTS!$J$142))="S-curve",SIN(PI()*(TIMELINE!AQ165-0.5)/TIMELINE!$C$164)*SIN(PI()/(2*TIMELINE!$C$164)),0))))))))))</f>
        <v>0</v>
      </c>
    </row>
    <row r="156" customFormat="false" ht="15" hidden="false" customHeight="false" outlineLevel="0" collapsed="false">
      <c r="B156" s="17" t="s">
        <v>689</v>
      </c>
      <c r="C156" s="105" t="str">
        <f aca="false">IF(INPUTS!$B$142="","",IF(INPUTS!$F$142&lt;&gt;"Yes","Off",IF(INPUTS!$M$142&lt;&gt;"OK","ERROR",IF(ABS(C155-1)&lt;0.000000001,"OK",IF(AND(C155=0,INPUTS!$G$142=0),"Zero","ERROR")))))</f>
        <v>OK</v>
      </c>
    </row>
    <row r="157" customFormat="false" ht="15" hidden="false" customHeight="false" outlineLevel="0" collapsed="false">
      <c r="B157" s="110" t="str">
        <f aca="false">IF(INPUTS!$B$143="","Spare cost row",INPUTS!$B$143)</f>
        <v>External Development &amp; Landscaping</v>
      </c>
      <c r="C157" s="111" t="str">
        <f aca="false">IF(INPUTS!$J$143="","",INPUTS!$J$143)</f>
        <v>Follow Construction</v>
      </c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</row>
    <row r="158" customFormat="false" ht="15" hidden="false" customHeight="false" outlineLevel="0" collapsed="false">
      <c r="B158" s="3" t="s">
        <v>688</v>
      </c>
      <c r="C158" s="117" t="n">
        <f aca="false">SUM(D158:AQ158)</f>
        <v>1</v>
      </c>
      <c r="D158" s="118" t="n">
        <f aca="false">IF(INPUTS!$F$143&lt;&gt;"Yes",0,IF(INPUTS!$J$143="Follow Construction",D$100,IF(INPUTS!$J$143="Follow Sales",D$99,IF(INPUTS!$J$143="Follow Collections",D$108,IF(OR(TIMELINE!D169=0,TIMELINE!$C$168=0),0,IF(IF(INPUTS!$J$143="Follow Project Life","Even",IF(INPUTS!$J$143="At Project End","Upfront",INPUTS!$J$143))="Upfront",--(TIMELINE!D169=1),IF(IF(INPUTS!$J$143="Follow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End","Upfront",INPUTS!$J$143))="Front-loaded",(TIMELINE!$C$168-TIMELINE!D169+1)*2/(TIMELINE!$C$168*(TIMELINE!$C$168+1)),IF(IF(INPUTS!$J$143="Follow Project Life","Even",IF(INPUTS!$J$143="At Project End","Upfront",INPUTS!$J$143))="Back-loaded",TIMELINE!D169*2/(TIMELINE!$C$168*(TIMELINE!$C$168+1)),IF(IF(INPUTS!$J$143="Follow Project Life","Even",IF(INPUTS!$J$143="At Project End","Upfront",INPUTS!$J$143))="S-curve",SIN(PI()*(TIMELINE!D169-0.5)/TIMELINE!$C$168)*SIN(PI()/(2*TIMELINE!$C$168)),0))))))))))</f>
        <v>0</v>
      </c>
      <c r="E158" s="118" t="n">
        <f aca="false">IF(INPUTS!$F$143&lt;&gt;"Yes",0,IF(INPUTS!$J$143="Follow Construction",E$100,IF(INPUTS!$J$143="Follow Sales",E$99,IF(INPUTS!$J$143="Follow Collections",E$108,IF(OR(TIMELINE!E169=0,TIMELINE!$C$168=0),0,IF(IF(INPUTS!$J$143="Follow Project Life","Even",IF(INPUTS!$J$143="At Project End","Upfront",INPUTS!$J$143))="Upfront",--(TIMELINE!E169=1),IF(IF(INPUTS!$J$143="Follow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End","Upfront",INPUTS!$J$143))="Front-loaded",(TIMELINE!$C$168-TIMELINE!E169+1)*2/(TIMELINE!$C$168*(TIMELINE!$C$168+1)),IF(IF(INPUTS!$J$143="Follow Project Life","Even",IF(INPUTS!$J$143="At Project End","Upfront",INPUTS!$J$143))="Back-loaded",TIMELINE!E169*2/(TIMELINE!$C$168*(TIMELINE!$C$168+1)),IF(IF(INPUTS!$J$143="Follow Project Life","Even",IF(INPUTS!$J$143="At Project End","Upfront",INPUTS!$J$143))="S-curve",SIN(PI()*(TIMELINE!E169-0.5)/TIMELINE!$C$168)*SIN(PI()/(2*TIMELINE!$C$168)),0))))))))))</f>
        <v>0</v>
      </c>
      <c r="F158" s="118" t="n">
        <f aca="false">IF(INPUTS!$F$143&lt;&gt;"Yes",0,IF(INPUTS!$J$143="Follow Construction",F$100,IF(INPUTS!$J$143="Follow Sales",F$99,IF(INPUTS!$J$143="Follow Collections",F$108,IF(OR(TIMELINE!F169=0,TIMELINE!$C$168=0),0,IF(IF(INPUTS!$J$143="Follow Project Life","Even",IF(INPUTS!$J$143="At Project End","Upfront",INPUTS!$J$143))="Upfront",--(TIMELINE!F169=1),IF(IF(INPUTS!$J$143="Follow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End","Upfront",INPUTS!$J$143))="Front-loaded",(TIMELINE!$C$168-TIMELINE!F169+1)*2/(TIMELINE!$C$168*(TIMELINE!$C$168+1)),IF(IF(INPUTS!$J$143="Follow Project Life","Even",IF(INPUTS!$J$143="At Project End","Upfront",INPUTS!$J$143))="Back-loaded",TIMELINE!F169*2/(TIMELINE!$C$168*(TIMELINE!$C$168+1)),IF(IF(INPUTS!$J$143="Follow Project Life","Even",IF(INPUTS!$J$143="At Project End","Upfront",INPUTS!$J$143))="S-curve",SIN(PI()*(TIMELINE!F169-0.5)/TIMELINE!$C$168)*SIN(PI()/(2*TIMELINE!$C$168)),0))))))))))</f>
        <v>0</v>
      </c>
      <c r="G158" s="118" t="n">
        <f aca="false">IF(INPUTS!$F$143&lt;&gt;"Yes",0,IF(INPUTS!$J$143="Follow Construction",G$100,IF(INPUTS!$J$143="Follow Sales",G$99,IF(INPUTS!$J$143="Follow Collections",G$108,IF(OR(TIMELINE!G169=0,TIMELINE!$C$168=0),0,IF(IF(INPUTS!$J$143="Follow Project Life","Even",IF(INPUTS!$J$143="At Project End","Upfront",INPUTS!$J$143))="Upfront",--(TIMELINE!G169=1),IF(IF(INPUTS!$J$143="Follow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End","Upfront",INPUTS!$J$143))="Front-loaded",(TIMELINE!$C$168-TIMELINE!G169+1)*2/(TIMELINE!$C$168*(TIMELINE!$C$168+1)),IF(IF(INPUTS!$J$143="Follow Project Life","Even",IF(INPUTS!$J$143="At Project End","Upfront",INPUTS!$J$143))="Back-loaded",TIMELINE!G169*2/(TIMELINE!$C$168*(TIMELINE!$C$168+1)),IF(IF(INPUTS!$J$143="Follow Project Life","Even",IF(INPUTS!$J$143="At Project End","Upfront",INPUTS!$J$143))="S-curve",SIN(PI()*(TIMELINE!G169-0.5)/TIMELINE!$C$168)*SIN(PI()/(2*TIMELINE!$C$168)),0))))))))))</f>
        <v>0.00456800590614377</v>
      </c>
      <c r="H158" s="118" t="n">
        <f aca="false">IF(INPUTS!$F$143&lt;&gt;"Yes",0,IF(INPUTS!$J$143="Follow Construction",H$100,IF(INPUTS!$J$143="Follow Sales",H$99,IF(INPUTS!$J$143="Follow Collections",H$108,IF(OR(TIMELINE!H169=0,TIMELINE!$C$168=0),0,IF(IF(INPUTS!$J$143="Follow Project Life","Even",IF(INPUTS!$J$143="At Project End","Upfront",INPUTS!$J$143))="Upfront",--(TIMELINE!H169=1),IF(IF(INPUTS!$J$143="Follow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End","Upfront",INPUTS!$J$143))="Front-loaded",(TIMELINE!$C$168-TIMELINE!H169+1)*2/(TIMELINE!$C$168*(TIMELINE!$C$168+1)),IF(IF(INPUTS!$J$143="Follow Project Life","Even",IF(INPUTS!$J$143="At Project End","Upfront",INPUTS!$J$143))="Back-loaded",TIMELINE!H169*2/(TIMELINE!$C$168*(TIMELINE!$C$168+1)),IF(IF(INPUTS!$J$143="Follow Project Life","Even",IF(INPUTS!$J$143="At Project End","Upfront",INPUTS!$J$143))="S-curve",SIN(PI()*(TIMELINE!H169-0.5)/TIMELINE!$C$168)*SIN(PI()/(2*TIMELINE!$C$168)),0))))))))))</f>
        <v>0.0195749664227507</v>
      </c>
      <c r="I158" s="118" t="n">
        <f aca="false">IF(INPUTS!$F$143&lt;&gt;"Yes",0,IF(INPUTS!$J$143="Follow Construction",I$100,IF(INPUTS!$J$143="Follow Sales",I$99,IF(INPUTS!$J$143="Follow Collections",I$108,IF(OR(TIMELINE!I169=0,TIMELINE!$C$168=0),0,IF(IF(INPUTS!$J$143="Follow Project Life","Even",IF(INPUTS!$J$143="At Project End","Upfront",INPUTS!$J$143))="Upfront",--(TIMELINE!I169=1),IF(IF(INPUTS!$J$143="Follow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End","Upfront",INPUTS!$J$143))="Front-loaded",(TIMELINE!$C$168-TIMELINE!I169+1)*2/(TIMELINE!$C$168*(TIMELINE!$C$168+1)),IF(IF(INPUTS!$J$143="Follow Project Life","Even",IF(INPUTS!$J$143="At Project End","Upfront",INPUTS!$J$143))="Back-loaded",TIMELINE!I169*2/(TIMELINE!$C$168*(TIMELINE!$C$168+1)),IF(IF(INPUTS!$J$143="Follow Project Life","Even",IF(INPUTS!$J$143="At Project End","Upfront",INPUTS!$J$143))="S-curve",SIN(PI()*(TIMELINE!I169-0.5)/TIMELINE!$C$168)*SIN(PI()/(2*TIMELINE!$C$168)),0))))))))))</f>
        <v>0.0411197726021386</v>
      </c>
      <c r="J158" s="118" t="n">
        <f aca="false">IF(INPUTS!$F$143&lt;&gt;"Yes",0,IF(INPUTS!$J$143="Follow Construction",J$100,IF(INPUTS!$J$143="Follow Sales",J$99,IF(INPUTS!$J$143="Follow Collections",J$108,IF(OR(TIMELINE!J169=0,TIMELINE!$C$168=0),0,IF(IF(INPUTS!$J$143="Follow Project Life","Even",IF(INPUTS!$J$143="At Project End","Upfront",INPUTS!$J$143))="Upfront",--(TIMELINE!J169=1),IF(IF(INPUTS!$J$143="Follow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End","Upfront",INPUTS!$J$143))="Front-loaded",(TIMELINE!$C$168-TIMELINE!J169+1)*2/(TIMELINE!$C$168*(TIMELINE!$C$168+1)),IF(IF(INPUTS!$J$143="Follow Project Life","Even",IF(INPUTS!$J$143="At Project End","Upfront",INPUTS!$J$143))="Back-loaded",TIMELINE!J169*2/(TIMELINE!$C$168*(TIMELINE!$C$168+1)),IF(IF(INPUTS!$J$143="Follow Project Life","Even",IF(INPUTS!$J$143="At Project End","Upfront",INPUTS!$J$143))="S-curve",SIN(PI()*(TIMELINE!J169-0.5)/TIMELINE!$C$168)*SIN(PI()/(2*TIMELINE!$C$168)),0))))))))))</f>
        <v>0.0619123296046715</v>
      </c>
      <c r="K158" s="118" t="n">
        <f aca="false">IF(INPUTS!$F$143&lt;&gt;"Yes",0,IF(INPUTS!$J$143="Follow Construction",K$100,IF(INPUTS!$J$143="Follow Sales",K$99,IF(INPUTS!$J$143="Follow Collections",K$108,IF(OR(TIMELINE!K169=0,TIMELINE!$C$168=0),0,IF(IF(INPUTS!$J$143="Follow Project Life","Even",IF(INPUTS!$J$143="At Project End","Upfront",INPUTS!$J$143))="Upfront",--(TIMELINE!K169=1),IF(IF(INPUTS!$J$143="Follow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End","Upfront",INPUTS!$J$143))="Front-loaded",(TIMELINE!$C$168-TIMELINE!K169+1)*2/(TIMELINE!$C$168*(TIMELINE!$C$168+1)),IF(IF(INPUTS!$J$143="Follow Project Life","Even",IF(INPUTS!$J$143="At Project End","Upfront",INPUTS!$J$143))="Back-loaded",TIMELINE!K169*2/(TIMELINE!$C$168*(TIMELINE!$C$168+1)),IF(IF(INPUTS!$J$143="Follow Project Life","Even",IF(INPUTS!$J$143="At Project End","Upfront",INPUTS!$J$143))="S-curve",SIN(PI()*(TIMELINE!K169-0.5)/TIMELINE!$C$168)*SIN(PI()/(2*TIMELINE!$C$168)),0))))))))))</f>
        <v>0.0793692805553633</v>
      </c>
      <c r="L158" s="118" t="n">
        <f aca="false">IF(INPUTS!$F$143&lt;&gt;"Yes",0,IF(INPUTS!$J$143="Follow Construction",L$100,IF(INPUTS!$J$143="Follow Sales",L$99,IF(INPUTS!$J$143="Follow Collections",L$108,IF(OR(TIMELINE!L169=0,TIMELINE!$C$168=0),0,IF(IF(INPUTS!$J$143="Follow Project Life","Even",IF(INPUTS!$J$143="At Project End","Upfront",INPUTS!$J$143))="Upfront",--(TIMELINE!L169=1),IF(IF(INPUTS!$J$143="Follow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End","Upfront",INPUTS!$J$143))="Front-loaded",(TIMELINE!$C$168-TIMELINE!L169+1)*2/(TIMELINE!$C$168*(TIMELINE!$C$168+1)),IF(IF(INPUTS!$J$143="Follow Project Life","Even",IF(INPUTS!$J$143="At Project End","Upfront",INPUTS!$J$143))="Back-loaded",TIMELINE!L169*2/(TIMELINE!$C$168*(TIMELINE!$C$168+1)),IF(IF(INPUTS!$J$143="Follow Project Life","Even",IF(INPUTS!$J$143="At Project End","Upfront",INPUTS!$J$143))="S-curve",SIN(PI()*(TIMELINE!L169-0.5)/TIMELINE!$C$168)*SIN(PI()/(2*TIMELINE!$C$168)),0))))))))))</f>
        <v>0.0926064944921223</v>
      </c>
      <c r="M158" s="118" t="n">
        <f aca="false">IF(INPUTS!$F$143&lt;&gt;"Yes",0,IF(INPUTS!$J$143="Follow Construction",M$100,IF(INPUTS!$J$143="Follow Sales",M$99,IF(INPUTS!$J$143="Follow Collections",M$108,IF(OR(TIMELINE!M169=0,TIMELINE!$C$168=0),0,IF(IF(INPUTS!$J$143="Follow Project Life","Even",IF(INPUTS!$J$143="At Project End","Upfront",INPUTS!$J$143))="Upfront",--(TIMELINE!M169=1),IF(IF(INPUTS!$J$143="Follow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End","Upfront",INPUTS!$J$143))="Front-loaded",(TIMELINE!$C$168-TIMELINE!M169+1)*2/(TIMELINE!$C$168*(TIMELINE!$C$168+1)),IF(IF(INPUTS!$J$143="Follow Project Life","Even",IF(INPUTS!$J$143="At Project End","Upfront",INPUTS!$J$143))="Back-loaded",TIMELINE!M169*2/(TIMELINE!$C$168*(TIMELINE!$C$168+1)),IF(IF(INPUTS!$J$143="Follow Project Life","Even",IF(INPUTS!$J$143="At Project End","Upfront",INPUTS!$J$143))="S-curve",SIN(PI()*(TIMELINE!M169-0.5)/TIMELINE!$C$168)*SIN(PI()/(2*TIMELINE!$C$168)),0))))))))))</f>
        <v>0.100981710254933</v>
      </c>
      <c r="N158" s="118" t="n">
        <f aca="false">IF(INPUTS!$F$143&lt;&gt;"Yes",0,IF(INPUTS!$J$143="Follow Construction",N$100,IF(INPUTS!$J$143="Follow Sales",N$99,IF(INPUTS!$J$143="Follow Collections",N$108,IF(OR(TIMELINE!N169=0,TIMELINE!$C$168=0),0,IF(IF(INPUTS!$J$143="Follow Project Life","Even",IF(INPUTS!$J$143="At Project End","Upfront",INPUTS!$J$143))="Upfront",--(TIMELINE!N169=1),IF(IF(INPUTS!$J$143="Follow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End","Upfront",INPUTS!$J$143))="Front-loaded",(TIMELINE!$C$168-TIMELINE!N169+1)*2/(TIMELINE!$C$168*(TIMELINE!$C$168+1)),IF(IF(INPUTS!$J$143="Follow Project Life","Even",IF(INPUTS!$J$143="At Project End","Upfront",INPUTS!$J$143))="Back-loaded",TIMELINE!N169*2/(TIMELINE!$C$168*(TIMELINE!$C$168+1)),IF(IF(INPUTS!$J$143="Follow Project Life","Even",IF(INPUTS!$J$143="At Project End","Upfront",INPUTS!$J$143))="S-curve",SIN(PI()*(TIMELINE!N169-0.5)/TIMELINE!$C$168)*SIN(PI()/(2*TIMELINE!$C$168)),0))))))))))</f>
        <v>0.104128320282428</v>
      </c>
      <c r="O158" s="118" t="n">
        <f aca="false">IF(INPUTS!$F$143&lt;&gt;"Yes",0,IF(INPUTS!$J$143="Follow Construction",O$100,IF(INPUTS!$J$143="Follow Sales",O$99,IF(INPUTS!$J$143="Follow Collections",O$108,IF(OR(TIMELINE!O169=0,TIMELINE!$C$168=0),0,IF(IF(INPUTS!$J$143="Follow Project Life","Even",IF(INPUTS!$J$143="At Project End","Upfront",INPUTS!$J$143))="Upfront",--(TIMELINE!O169=1),IF(IF(INPUTS!$J$143="Follow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End","Upfront",INPUTS!$J$143))="Front-loaded",(TIMELINE!$C$168-TIMELINE!O169+1)*2/(TIMELINE!$C$168*(TIMELINE!$C$168+1)),IF(IF(INPUTS!$J$143="Follow Project Life","Even",IF(INPUTS!$J$143="At Project End","Upfront",INPUTS!$J$143))="Back-loaded",TIMELINE!O169*2/(TIMELINE!$C$168*(TIMELINE!$C$168+1)),IF(IF(INPUTS!$J$143="Follow Project Life","Even",IF(INPUTS!$J$143="At Project End","Upfront",INPUTS!$J$143))="S-curve",SIN(PI()*(TIMELINE!O169-0.5)/TIMELINE!$C$168)*SIN(PI()/(2*TIMELINE!$C$168)),0))))))))))</f>
        <v>0.101972508958545</v>
      </c>
      <c r="P158" s="118" t="n">
        <f aca="false">IF(INPUTS!$F$143&lt;&gt;"Yes",0,IF(INPUTS!$J$143="Follow Construction",P$100,IF(INPUTS!$J$143="Follow Sales",P$99,IF(INPUTS!$J$143="Follow Collections",P$108,IF(OR(TIMELINE!P169=0,TIMELINE!$C$168=0),0,IF(IF(INPUTS!$J$143="Follow Project Life","Even",IF(INPUTS!$J$143="At Project End","Upfront",INPUTS!$J$143))="Upfront",--(TIMELINE!P169=1),IF(IF(INPUTS!$J$143="Follow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End","Upfront",INPUTS!$J$143))="Front-loaded",(TIMELINE!$C$168-TIMELINE!P169+1)*2/(TIMELINE!$C$168*(TIMELINE!$C$168+1)),IF(IF(INPUTS!$J$143="Follow Project Life","Even",IF(INPUTS!$J$143="At Project End","Upfront",INPUTS!$J$143))="Back-loaded",TIMELINE!P169*2/(TIMELINE!$C$168*(TIMELINE!$C$168+1)),IF(IF(INPUTS!$J$143="Follow Project Life","Even",IF(INPUTS!$J$143="At Project End","Upfront",INPUTS!$J$143))="S-curve",SIN(PI()*(TIMELINE!P169-0.5)/TIMELINE!$C$168)*SIN(PI()/(2*TIMELINE!$C$168)),0))))))))))</f>
        <v>0.094732879051781</v>
      </c>
      <c r="Q158" s="118" t="n">
        <f aca="false">IF(INPUTS!$F$143&lt;&gt;"Yes",0,IF(INPUTS!$J$143="Follow Construction",Q$100,IF(INPUTS!$J$143="Follow Sales",Q$99,IF(INPUTS!$J$143="Follow Collections",Q$108,IF(OR(TIMELINE!Q169=0,TIMELINE!$C$168=0),0,IF(IF(INPUTS!$J$143="Follow Project Life","Even",IF(INPUTS!$J$143="At Project End","Upfront",INPUTS!$J$143))="Upfront",--(TIMELINE!Q169=1),IF(IF(INPUTS!$J$143="Follow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End","Upfront",INPUTS!$J$143))="Front-loaded",(TIMELINE!$C$168-TIMELINE!Q169+1)*2/(TIMELINE!$C$168*(TIMELINE!$C$168+1)),IF(IF(INPUTS!$J$143="Follow Project Life","Even",IF(INPUTS!$J$143="At Project End","Upfront",INPUTS!$J$143))="Back-loaded",TIMELINE!Q169*2/(TIMELINE!$C$168*(TIMELINE!$C$168+1)),IF(IF(INPUTS!$J$143="Follow Project Life","Even",IF(INPUTS!$J$143="At Project End","Upfront",INPUTS!$J$143))="S-curve",SIN(PI()*(TIMELINE!Q169-0.5)/TIMELINE!$C$168)*SIN(PI()/(2*TIMELINE!$C$168)),0))))))))))</f>
        <v>0.0829027993762268</v>
      </c>
      <c r="R158" s="118" t="n">
        <f aca="false">IF(INPUTS!$F$143&lt;&gt;"Yes",0,IF(INPUTS!$J$143="Follow Construction",R$100,IF(INPUTS!$J$143="Follow Sales",R$99,IF(INPUTS!$J$143="Follow Collections",R$108,IF(OR(TIMELINE!R169=0,TIMELINE!$C$168=0),0,IF(IF(INPUTS!$J$143="Follow Project Life","Even",IF(INPUTS!$J$143="At Project End","Upfront",INPUTS!$J$143))="Upfront",--(TIMELINE!R169=1),IF(IF(INPUTS!$J$143="Follow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End","Upfront",INPUTS!$J$143))="Front-loaded",(TIMELINE!$C$168-TIMELINE!R169+1)*2/(TIMELINE!$C$168*(TIMELINE!$C$168+1)),IF(IF(INPUTS!$J$143="Follow Project Life","Even",IF(INPUTS!$J$143="At Project End","Upfront",INPUTS!$J$143))="Back-loaded",TIMELINE!R169*2/(TIMELINE!$C$168*(TIMELINE!$C$168+1)),IF(IF(INPUTS!$J$143="Follow Project Life","Even",IF(INPUTS!$J$143="At Project End","Upfront",INPUTS!$J$143))="S-curve",SIN(PI()*(TIMELINE!R169-0.5)/TIMELINE!$C$168)*SIN(PI()/(2*TIMELINE!$C$168)),0))))))))))</f>
        <v>0.0672167825222214</v>
      </c>
      <c r="S158" s="118" t="n">
        <f aca="false">IF(INPUTS!$F$143&lt;&gt;"Yes",0,IF(INPUTS!$J$143="Follow Construction",S$100,IF(INPUTS!$J$143="Follow Sales",S$99,IF(INPUTS!$J$143="Follow Collections",S$108,IF(OR(TIMELINE!S169=0,TIMELINE!$C$168=0),0,IF(IF(INPUTS!$J$143="Follow Project Life","Even",IF(INPUTS!$J$143="At Project End","Upfront",INPUTS!$J$143))="Upfront",--(TIMELINE!S169=1),IF(IF(INPUTS!$J$143="Follow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End","Upfront",INPUTS!$J$143))="Front-loaded",(TIMELINE!$C$168-TIMELINE!S169+1)*2/(TIMELINE!$C$168*(TIMELINE!$C$168+1)),IF(IF(INPUTS!$J$143="Follow Project Life","Even",IF(INPUTS!$J$143="At Project End","Upfront",INPUTS!$J$143))="Back-loaded",TIMELINE!S169*2/(TIMELINE!$C$168*(TIMELINE!$C$168+1)),IF(IF(INPUTS!$J$143="Follow Project Life","Even",IF(INPUTS!$J$143="At Project End","Upfront",INPUTS!$J$143))="S-curve",SIN(PI()*(TIMELINE!S169-0.5)/TIMELINE!$C$168)*SIN(PI()/(2*TIMELINE!$C$168)),0))))))))))</f>
        <v>0.0531711898648468</v>
      </c>
      <c r="T158" s="118" t="n">
        <f aca="false">IF(INPUTS!$F$143&lt;&gt;"Yes",0,IF(INPUTS!$J$143="Follow Construction",T$100,IF(INPUTS!$J$143="Follow Sales",T$99,IF(INPUTS!$J$143="Follow Collections",T$108,IF(OR(TIMELINE!T169=0,TIMELINE!$C$168=0),0,IF(IF(INPUTS!$J$143="Follow Project Life","Even",IF(INPUTS!$J$143="At Project End","Upfront",INPUTS!$J$143))="Upfront",--(TIMELINE!T169=1),IF(IF(INPUTS!$J$143="Follow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End","Upfront",INPUTS!$J$143))="Front-loaded",(TIMELINE!$C$168-TIMELINE!T169+1)*2/(TIMELINE!$C$168*(TIMELINE!$C$168+1)),IF(IF(INPUTS!$J$143="Follow Project Life","Even",IF(INPUTS!$J$143="At Project End","Upfront",INPUTS!$J$143))="Back-loaded",TIMELINE!T169*2/(TIMELINE!$C$168*(TIMELINE!$C$168+1)),IF(IF(INPUTS!$J$143="Follow Project Life","Even",IF(INPUTS!$J$143="At Project End","Upfront",INPUTS!$J$143))="S-curve",SIN(PI()*(TIMELINE!T169-0.5)/TIMELINE!$C$168)*SIN(PI()/(2*TIMELINE!$C$168)),0))))))))))</f>
        <v>0.0415190557800941</v>
      </c>
      <c r="U158" s="118" t="n">
        <f aca="false">IF(INPUTS!$F$143&lt;&gt;"Yes",0,IF(INPUTS!$J$143="Follow Construction",U$100,IF(INPUTS!$J$143="Follow Sales",U$99,IF(INPUTS!$J$143="Follow Collections",U$108,IF(OR(TIMELINE!U169=0,TIMELINE!$C$168=0),0,IF(IF(INPUTS!$J$143="Follow Project Life","Even",IF(INPUTS!$J$143="At Project End","Upfront",INPUTS!$J$143))="Upfront",--(TIMELINE!U169=1),IF(IF(INPUTS!$J$143="Follow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End","Upfront",INPUTS!$J$143))="Front-loaded",(TIMELINE!$C$168-TIMELINE!U169+1)*2/(TIMELINE!$C$168*(TIMELINE!$C$168+1)),IF(IF(INPUTS!$J$143="Follow Project Life","Even",IF(INPUTS!$J$143="At Project End","Upfront",INPUTS!$J$143))="Back-loaded",TIMELINE!U169*2/(TIMELINE!$C$168*(TIMELINE!$C$168+1)),IF(IF(INPUTS!$J$143="Follow Project Life","Even",IF(INPUTS!$J$143="At Project End","Upfront",INPUTS!$J$143))="S-curve",SIN(PI()*(TIMELINE!U169-0.5)/TIMELINE!$C$168)*SIN(PI()/(2*TIMELINE!$C$168)),0))))))))))</f>
        <v>0.0297324817239664</v>
      </c>
      <c r="V158" s="118" t="n">
        <f aca="false">IF(INPUTS!$F$143&lt;&gt;"Yes",0,IF(INPUTS!$J$143="Follow Construction",V$100,IF(INPUTS!$J$143="Follow Sales",V$99,IF(INPUTS!$J$143="Follow Collections",V$108,IF(OR(TIMELINE!V169=0,TIMELINE!$C$168=0),0,IF(IF(INPUTS!$J$143="Follow Project Life","Even",IF(INPUTS!$J$143="At Project End","Upfront",INPUTS!$J$143))="Upfront",--(TIMELINE!V169=1),IF(IF(INPUTS!$J$143="Follow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End","Upfront",INPUTS!$J$143))="Front-loaded",(TIMELINE!$C$168-TIMELINE!V169+1)*2/(TIMELINE!$C$168*(TIMELINE!$C$168+1)),IF(IF(INPUTS!$J$143="Follow Project Life","Even",IF(INPUTS!$J$143="At Project End","Upfront",INPUTS!$J$143))="Back-loaded",TIMELINE!V169*2/(TIMELINE!$C$168*(TIMELINE!$C$168+1)),IF(IF(INPUTS!$J$143="Follow Project Life","Even",IF(INPUTS!$J$143="At Project End","Upfront",INPUTS!$J$143))="S-curve",SIN(PI()*(TIMELINE!V169-0.5)/TIMELINE!$C$168)*SIN(PI()/(2*TIMELINE!$C$168)),0))))))))))</f>
        <v>0.0183091718439316</v>
      </c>
      <c r="W158" s="118" t="n">
        <f aca="false">IF(INPUTS!$F$143&lt;&gt;"Yes",0,IF(INPUTS!$J$143="Follow Construction",W$100,IF(INPUTS!$J$143="Follow Sales",W$99,IF(INPUTS!$J$143="Follow Collections",W$108,IF(OR(TIMELINE!W169=0,TIMELINE!$C$168=0),0,IF(IF(INPUTS!$J$143="Follow Project Life","Even",IF(INPUTS!$J$143="At Project End","Upfront",INPUTS!$J$143))="Upfront",--(TIMELINE!W169=1),IF(IF(INPUTS!$J$143="Follow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End","Upfront",INPUTS!$J$143))="Front-loaded",(TIMELINE!$C$168-TIMELINE!W169+1)*2/(TIMELINE!$C$168*(TIMELINE!$C$168+1)),IF(IF(INPUTS!$J$143="Follow Project Life","Even",IF(INPUTS!$J$143="At Project End","Upfront",INPUTS!$J$143))="Back-loaded",TIMELINE!W169*2/(TIMELINE!$C$168*(TIMELINE!$C$168+1)),IF(IF(INPUTS!$J$143="Follow Project Life","Even",IF(INPUTS!$J$143="At Project End","Upfront",INPUTS!$J$143))="S-curve",SIN(PI()*(TIMELINE!W169-0.5)/TIMELINE!$C$168)*SIN(PI()/(2*TIMELINE!$C$168)),0))))))))))</f>
        <v>0.00618225075783637</v>
      </c>
      <c r="X158" s="118" t="n">
        <f aca="false">IF(INPUTS!$F$143&lt;&gt;"Yes",0,IF(INPUTS!$J$143="Follow Construction",X$100,IF(INPUTS!$J$143="Follow Sales",X$99,IF(INPUTS!$J$143="Follow Collections",X$108,IF(OR(TIMELINE!X169=0,TIMELINE!$C$168=0),0,IF(IF(INPUTS!$J$143="Follow Project Life","Even",IF(INPUTS!$J$143="At Project End","Upfront",INPUTS!$J$143))="Upfront",--(TIMELINE!X169=1),IF(IF(INPUTS!$J$143="Follow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End","Upfront",INPUTS!$J$143))="Front-loaded",(TIMELINE!$C$168-TIMELINE!X169+1)*2/(TIMELINE!$C$168*(TIMELINE!$C$168+1)),IF(IF(INPUTS!$J$143="Follow Project Life","Even",IF(INPUTS!$J$143="At Project End","Upfront",INPUTS!$J$143))="Back-loaded",TIMELINE!X169*2/(TIMELINE!$C$168*(TIMELINE!$C$168+1)),IF(IF(INPUTS!$J$143="Follow Project Life","Even",IF(INPUTS!$J$143="At Project End","Upfront",INPUTS!$J$143))="S-curve",SIN(PI()*(TIMELINE!X169-0.5)/TIMELINE!$C$168)*SIN(PI()/(2*TIMELINE!$C$168)),0))))))))))</f>
        <v>0</v>
      </c>
      <c r="Y158" s="118" t="n">
        <f aca="false">IF(INPUTS!$F$143&lt;&gt;"Yes",0,IF(INPUTS!$J$143="Follow Construction",Y$100,IF(INPUTS!$J$143="Follow Sales",Y$99,IF(INPUTS!$J$143="Follow Collections",Y$108,IF(OR(TIMELINE!Y169=0,TIMELINE!$C$168=0),0,IF(IF(INPUTS!$J$143="Follow Project Life","Even",IF(INPUTS!$J$143="At Project End","Upfront",INPUTS!$J$143))="Upfront",--(TIMELINE!Y169=1),IF(IF(INPUTS!$J$143="Follow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End","Upfront",INPUTS!$J$143))="Front-loaded",(TIMELINE!$C$168-TIMELINE!Y169+1)*2/(TIMELINE!$C$168*(TIMELINE!$C$168+1)),IF(IF(INPUTS!$J$143="Follow Project Life","Even",IF(INPUTS!$J$143="At Project End","Upfront",INPUTS!$J$143))="Back-loaded",TIMELINE!Y169*2/(TIMELINE!$C$168*(TIMELINE!$C$168+1)),IF(IF(INPUTS!$J$143="Follow Project Life","Even",IF(INPUTS!$J$143="At Project End","Upfront",INPUTS!$J$143))="S-curve",SIN(PI()*(TIMELINE!Y169-0.5)/TIMELINE!$C$168)*SIN(PI()/(2*TIMELINE!$C$168)),0))))))))))</f>
        <v>0</v>
      </c>
      <c r="Z158" s="118" t="n">
        <f aca="false">IF(INPUTS!$F$143&lt;&gt;"Yes",0,IF(INPUTS!$J$143="Follow Construction",Z$100,IF(INPUTS!$J$143="Follow Sales",Z$99,IF(INPUTS!$J$143="Follow Collections",Z$108,IF(OR(TIMELINE!Z169=0,TIMELINE!$C$168=0),0,IF(IF(INPUTS!$J$143="Follow Project Life","Even",IF(INPUTS!$J$143="At Project End","Upfront",INPUTS!$J$143))="Upfront",--(TIMELINE!Z169=1),IF(IF(INPUTS!$J$143="Follow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End","Upfront",INPUTS!$J$143))="Front-loaded",(TIMELINE!$C$168-TIMELINE!Z169+1)*2/(TIMELINE!$C$168*(TIMELINE!$C$168+1)),IF(IF(INPUTS!$J$143="Follow Project Life","Even",IF(INPUTS!$J$143="At Project End","Upfront",INPUTS!$J$143))="Back-loaded",TIMELINE!Z169*2/(TIMELINE!$C$168*(TIMELINE!$C$168+1)),IF(IF(INPUTS!$J$143="Follow Project Life","Even",IF(INPUTS!$J$143="At Project End","Upfront",INPUTS!$J$143))="S-curve",SIN(PI()*(TIMELINE!Z169-0.5)/TIMELINE!$C$168)*SIN(PI()/(2*TIMELINE!$C$168)),0))))))))))</f>
        <v>0</v>
      </c>
      <c r="AA158" s="118" t="n">
        <f aca="false">IF(INPUTS!$F$143&lt;&gt;"Yes",0,IF(INPUTS!$J$143="Follow Construction",AA$100,IF(INPUTS!$J$143="Follow Sales",AA$99,IF(INPUTS!$J$143="Follow Collections",AA$108,IF(OR(TIMELINE!AA169=0,TIMELINE!$C$168=0),0,IF(IF(INPUTS!$J$143="Follow Project Life","Even",IF(INPUTS!$J$143="At Project End","Upfront",INPUTS!$J$143))="Upfront",--(TIMELINE!AA169=1),IF(IF(INPUTS!$J$143="Follow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End","Upfront",INPUTS!$J$143))="Front-loaded",(TIMELINE!$C$168-TIMELINE!AA169+1)*2/(TIMELINE!$C$168*(TIMELINE!$C$168+1)),IF(IF(INPUTS!$J$143="Follow Project Life","Even",IF(INPUTS!$J$143="At Project End","Upfront",INPUTS!$J$143))="Back-loaded",TIMELINE!AA169*2/(TIMELINE!$C$168*(TIMELINE!$C$168+1)),IF(IF(INPUTS!$J$143="Follow Project Life","Even",IF(INPUTS!$J$143="At Project End","Upfront",INPUTS!$J$143))="S-curve",SIN(PI()*(TIMELINE!AA169-0.5)/TIMELINE!$C$168)*SIN(PI()/(2*TIMELINE!$C$168)),0))))))))))</f>
        <v>0</v>
      </c>
      <c r="AB158" s="118" t="n">
        <f aca="false">IF(INPUTS!$F$143&lt;&gt;"Yes",0,IF(INPUTS!$J$143="Follow Construction",AB$100,IF(INPUTS!$J$143="Follow Sales",AB$99,IF(INPUTS!$J$143="Follow Collections",AB$108,IF(OR(TIMELINE!AB169=0,TIMELINE!$C$168=0),0,IF(IF(INPUTS!$J$143="Follow Project Life","Even",IF(INPUTS!$J$143="At Project End","Upfront",INPUTS!$J$143))="Upfront",--(TIMELINE!AB169=1),IF(IF(INPUTS!$J$143="Follow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End","Upfront",INPUTS!$J$143))="Front-loaded",(TIMELINE!$C$168-TIMELINE!AB169+1)*2/(TIMELINE!$C$168*(TIMELINE!$C$168+1)),IF(IF(INPUTS!$J$143="Follow Project Life","Even",IF(INPUTS!$J$143="At Project End","Upfront",INPUTS!$J$143))="Back-loaded",TIMELINE!AB169*2/(TIMELINE!$C$168*(TIMELINE!$C$168+1)),IF(IF(INPUTS!$J$143="Follow Project Life","Even",IF(INPUTS!$J$143="At Project End","Upfront",INPUTS!$J$143))="S-curve",SIN(PI()*(TIMELINE!AB169-0.5)/TIMELINE!$C$168)*SIN(PI()/(2*TIMELINE!$C$168)),0))))))))))</f>
        <v>0</v>
      </c>
      <c r="AC158" s="118" t="n">
        <f aca="false">IF(INPUTS!$F$143&lt;&gt;"Yes",0,IF(INPUTS!$J$143="Follow Construction",AC$100,IF(INPUTS!$J$143="Follow Sales",AC$99,IF(INPUTS!$J$143="Follow Collections",AC$108,IF(OR(TIMELINE!AC169=0,TIMELINE!$C$168=0),0,IF(IF(INPUTS!$J$143="Follow Project Life","Even",IF(INPUTS!$J$143="At Project End","Upfront",INPUTS!$J$143))="Upfront",--(TIMELINE!AC169=1),IF(IF(INPUTS!$J$143="Follow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End","Upfront",INPUTS!$J$143))="Front-loaded",(TIMELINE!$C$168-TIMELINE!AC169+1)*2/(TIMELINE!$C$168*(TIMELINE!$C$168+1)),IF(IF(INPUTS!$J$143="Follow Project Life","Even",IF(INPUTS!$J$143="At Project End","Upfront",INPUTS!$J$143))="Back-loaded",TIMELINE!AC169*2/(TIMELINE!$C$168*(TIMELINE!$C$168+1)),IF(IF(INPUTS!$J$143="Follow Project Life","Even",IF(INPUTS!$J$143="At Project End","Upfront",INPUTS!$J$143))="S-curve",SIN(PI()*(TIMELINE!AC169-0.5)/TIMELINE!$C$168)*SIN(PI()/(2*TIMELINE!$C$168)),0))))))))))</f>
        <v>0</v>
      </c>
      <c r="AD158" s="118" t="n">
        <f aca="false">IF(INPUTS!$F$143&lt;&gt;"Yes",0,IF(INPUTS!$J$143="Follow Construction",AD$100,IF(INPUTS!$J$143="Follow Sales",AD$99,IF(INPUTS!$J$143="Follow Collections",AD$108,IF(OR(TIMELINE!AD169=0,TIMELINE!$C$168=0),0,IF(IF(INPUTS!$J$143="Follow Project Life","Even",IF(INPUTS!$J$143="At Project End","Upfront",INPUTS!$J$143))="Upfront",--(TIMELINE!AD169=1),IF(IF(INPUTS!$J$143="Follow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End","Upfront",INPUTS!$J$143))="Front-loaded",(TIMELINE!$C$168-TIMELINE!AD169+1)*2/(TIMELINE!$C$168*(TIMELINE!$C$168+1)),IF(IF(INPUTS!$J$143="Follow Project Life","Even",IF(INPUTS!$J$143="At Project End","Upfront",INPUTS!$J$143))="Back-loaded",TIMELINE!AD169*2/(TIMELINE!$C$168*(TIMELINE!$C$168+1)),IF(IF(INPUTS!$J$143="Follow Project Life","Even",IF(INPUTS!$J$143="At Project End","Upfront",INPUTS!$J$143))="S-curve",SIN(PI()*(TIMELINE!AD169-0.5)/TIMELINE!$C$168)*SIN(PI()/(2*TIMELINE!$C$168)),0))))))))))</f>
        <v>0</v>
      </c>
      <c r="AE158" s="118" t="n">
        <f aca="false">IF(INPUTS!$F$143&lt;&gt;"Yes",0,IF(INPUTS!$J$143="Follow Construction",AE$100,IF(INPUTS!$J$143="Follow Sales",AE$99,IF(INPUTS!$J$143="Follow Collections",AE$108,IF(OR(TIMELINE!AE169=0,TIMELINE!$C$168=0),0,IF(IF(INPUTS!$J$143="Follow Project Life","Even",IF(INPUTS!$J$143="At Project End","Upfront",INPUTS!$J$143))="Upfront",--(TIMELINE!AE169=1),IF(IF(INPUTS!$J$143="Follow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End","Upfront",INPUTS!$J$143))="Front-loaded",(TIMELINE!$C$168-TIMELINE!AE169+1)*2/(TIMELINE!$C$168*(TIMELINE!$C$168+1)),IF(IF(INPUTS!$J$143="Follow Project Life","Even",IF(INPUTS!$J$143="At Project End","Upfront",INPUTS!$J$143))="Back-loaded",TIMELINE!AE169*2/(TIMELINE!$C$168*(TIMELINE!$C$168+1)),IF(IF(INPUTS!$J$143="Follow Project Life","Even",IF(INPUTS!$J$143="At Project End","Upfront",INPUTS!$J$143))="S-curve",SIN(PI()*(TIMELINE!AE169-0.5)/TIMELINE!$C$168)*SIN(PI()/(2*TIMELINE!$C$168)),0))))))))))</f>
        <v>0</v>
      </c>
      <c r="AF158" s="118" t="n">
        <f aca="false">IF(INPUTS!$F$143&lt;&gt;"Yes",0,IF(INPUTS!$J$143="Follow Construction",AF$100,IF(INPUTS!$J$143="Follow Sales",AF$99,IF(INPUTS!$J$143="Follow Collections",AF$108,IF(OR(TIMELINE!AF169=0,TIMELINE!$C$168=0),0,IF(IF(INPUTS!$J$143="Follow Project Life","Even",IF(INPUTS!$J$143="At Project End","Upfront",INPUTS!$J$143))="Upfront",--(TIMELINE!AF169=1),IF(IF(INPUTS!$J$143="Follow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End","Upfront",INPUTS!$J$143))="Front-loaded",(TIMELINE!$C$168-TIMELINE!AF169+1)*2/(TIMELINE!$C$168*(TIMELINE!$C$168+1)),IF(IF(INPUTS!$J$143="Follow Project Life","Even",IF(INPUTS!$J$143="At Project End","Upfront",INPUTS!$J$143))="Back-loaded",TIMELINE!AF169*2/(TIMELINE!$C$168*(TIMELINE!$C$168+1)),IF(IF(INPUTS!$J$143="Follow Project Life","Even",IF(INPUTS!$J$143="At Project End","Upfront",INPUTS!$J$143))="S-curve",SIN(PI()*(TIMELINE!AF169-0.5)/TIMELINE!$C$168)*SIN(PI()/(2*TIMELINE!$C$168)),0))))))))))</f>
        <v>0</v>
      </c>
      <c r="AG158" s="118" t="n">
        <f aca="false">IF(INPUTS!$F$143&lt;&gt;"Yes",0,IF(INPUTS!$J$143="Follow Construction",AG$100,IF(INPUTS!$J$143="Follow Sales",AG$99,IF(INPUTS!$J$143="Follow Collections",AG$108,IF(OR(TIMELINE!AG169=0,TIMELINE!$C$168=0),0,IF(IF(INPUTS!$J$143="Follow Project Life","Even",IF(INPUTS!$J$143="At Project End","Upfront",INPUTS!$J$143))="Upfront",--(TIMELINE!AG169=1),IF(IF(INPUTS!$J$143="Follow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End","Upfront",INPUTS!$J$143))="Front-loaded",(TIMELINE!$C$168-TIMELINE!AG169+1)*2/(TIMELINE!$C$168*(TIMELINE!$C$168+1)),IF(IF(INPUTS!$J$143="Follow Project Life","Even",IF(INPUTS!$J$143="At Project End","Upfront",INPUTS!$J$143))="Back-loaded",TIMELINE!AG169*2/(TIMELINE!$C$168*(TIMELINE!$C$168+1)),IF(IF(INPUTS!$J$143="Follow Project Life","Even",IF(INPUTS!$J$143="At Project End","Upfront",INPUTS!$J$143))="S-curve",SIN(PI()*(TIMELINE!AG169-0.5)/TIMELINE!$C$168)*SIN(PI()/(2*TIMELINE!$C$168)),0))))))))))</f>
        <v>0</v>
      </c>
      <c r="AH158" s="118" t="n">
        <f aca="false">IF(INPUTS!$F$143&lt;&gt;"Yes",0,IF(INPUTS!$J$143="Follow Construction",AH$100,IF(INPUTS!$J$143="Follow Sales",AH$99,IF(INPUTS!$J$143="Follow Collections",AH$108,IF(OR(TIMELINE!AH169=0,TIMELINE!$C$168=0),0,IF(IF(INPUTS!$J$143="Follow Project Life","Even",IF(INPUTS!$J$143="At Project End","Upfront",INPUTS!$J$143))="Upfront",--(TIMELINE!AH169=1),IF(IF(INPUTS!$J$143="Follow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End","Upfront",INPUTS!$J$143))="Front-loaded",(TIMELINE!$C$168-TIMELINE!AH169+1)*2/(TIMELINE!$C$168*(TIMELINE!$C$168+1)),IF(IF(INPUTS!$J$143="Follow Project Life","Even",IF(INPUTS!$J$143="At Project End","Upfront",INPUTS!$J$143))="Back-loaded",TIMELINE!AH169*2/(TIMELINE!$C$168*(TIMELINE!$C$168+1)),IF(IF(INPUTS!$J$143="Follow Project Life","Even",IF(INPUTS!$J$143="At Project End","Upfront",INPUTS!$J$143))="S-curve",SIN(PI()*(TIMELINE!AH169-0.5)/TIMELINE!$C$168)*SIN(PI()/(2*TIMELINE!$C$168)),0))))))))))</f>
        <v>0</v>
      </c>
      <c r="AI158" s="118" t="n">
        <f aca="false">IF(INPUTS!$F$143&lt;&gt;"Yes",0,IF(INPUTS!$J$143="Follow Construction",AI$100,IF(INPUTS!$J$143="Follow Sales",AI$99,IF(INPUTS!$J$143="Follow Collections",AI$108,IF(OR(TIMELINE!AI169=0,TIMELINE!$C$168=0),0,IF(IF(INPUTS!$J$143="Follow Project Life","Even",IF(INPUTS!$J$143="At Project End","Upfront",INPUTS!$J$143))="Upfront",--(TIMELINE!AI169=1),IF(IF(INPUTS!$J$143="Follow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End","Upfront",INPUTS!$J$143))="Front-loaded",(TIMELINE!$C$168-TIMELINE!AI169+1)*2/(TIMELINE!$C$168*(TIMELINE!$C$168+1)),IF(IF(INPUTS!$J$143="Follow Project Life","Even",IF(INPUTS!$J$143="At Project End","Upfront",INPUTS!$J$143))="Back-loaded",TIMELINE!AI169*2/(TIMELINE!$C$168*(TIMELINE!$C$168+1)),IF(IF(INPUTS!$J$143="Follow Project Life","Even",IF(INPUTS!$J$143="At Project End","Upfront",INPUTS!$J$143))="S-curve",SIN(PI()*(TIMELINE!AI169-0.5)/TIMELINE!$C$168)*SIN(PI()/(2*TIMELINE!$C$168)),0))))))))))</f>
        <v>0</v>
      </c>
      <c r="AJ158" s="118" t="n">
        <f aca="false">IF(INPUTS!$F$143&lt;&gt;"Yes",0,IF(INPUTS!$J$143="Follow Construction",AJ$100,IF(INPUTS!$J$143="Follow Sales",AJ$99,IF(INPUTS!$J$143="Follow Collections",AJ$108,IF(OR(TIMELINE!AJ169=0,TIMELINE!$C$168=0),0,IF(IF(INPUTS!$J$143="Follow Project Life","Even",IF(INPUTS!$J$143="At Project End","Upfront",INPUTS!$J$143))="Upfront",--(TIMELINE!AJ169=1),IF(IF(INPUTS!$J$143="Follow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End","Upfront",INPUTS!$J$143))="Front-loaded",(TIMELINE!$C$168-TIMELINE!AJ169+1)*2/(TIMELINE!$C$168*(TIMELINE!$C$168+1)),IF(IF(INPUTS!$J$143="Follow Project Life","Even",IF(INPUTS!$J$143="At Project End","Upfront",INPUTS!$J$143))="Back-loaded",TIMELINE!AJ169*2/(TIMELINE!$C$168*(TIMELINE!$C$168+1)),IF(IF(INPUTS!$J$143="Follow Project Life","Even",IF(INPUTS!$J$143="At Project End","Upfront",INPUTS!$J$143))="S-curve",SIN(PI()*(TIMELINE!AJ169-0.5)/TIMELINE!$C$168)*SIN(PI()/(2*TIMELINE!$C$168)),0))))))))))</f>
        <v>0</v>
      </c>
      <c r="AK158" s="118" t="n">
        <f aca="false">IF(INPUTS!$F$143&lt;&gt;"Yes",0,IF(INPUTS!$J$143="Follow Construction",AK$100,IF(INPUTS!$J$143="Follow Sales",AK$99,IF(INPUTS!$J$143="Follow Collections",AK$108,IF(OR(TIMELINE!AK169=0,TIMELINE!$C$168=0),0,IF(IF(INPUTS!$J$143="Follow Project Life","Even",IF(INPUTS!$J$143="At Project End","Upfront",INPUTS!$J$143))="Upfront",--(TIMELINE!AK169=1),IF(IF(INPUTS!$J$143="Follow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End","Upfront",INPUTS!$J$143))="Front-loaded",(TIMELINE!$C$168-TIMELINE!AK169+1)*2/(TIMELINE!$C$168*(TIMELINE!$C$168+1)),IF(IF(INPUTS!$J$143="Follow Project Life","Even",IF(INPUTS!$J$143="At Project End","Upfront",INPUTS!$J$143))="Back-loaded",TIMELINE!AK169*2/(TIMELINE!$C$168*(TIMELINE!$C$168+1)),IF(IF(INPUTS!$J$143="Follow Project Life","Even",IF(INPUTS!$J$143="At Project End","Upfront",INPUTS!$J$143))="S-curve",SIN(PI()*(TIMELINE!AK169-0.5)/TIMELINE!$C$168)*SIN(PI()/(2*TIMELINE!$C$168)),0))))))))))</f>
        <v>0</v>
      </c>
      <c r="AL158" s="118" t="n">
        <f aca="false">IF(INPUTS!$F$143&lt;&gt;"Yes",0,IF(INPUTS!$J$143="Follow Construction",AL$100,IF(INPUTS!$J$143="Follow Sales",AL$99,IF(INPUTS!$J$143="Follow Collections",AL$108,IF(OR(TIMELINE!AL169=0,TIMELINE!$C$168=0),0,IF(IF(INPUTS!$J$143="Follow Project Life","Even",IF(INPUTS!$J$143="At Project End","Upfront",INPUTS!$J$143))="Upfront",--(TIMELINE!AL169=1),IF(IF(INPUTS!$J$143="Follow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End","Upfront",INPUTS!$J$143))="Front-loaded",(TIMELINE!$C$168-TIMELINE!AL169+1)*2/(TIMELINE!$C$168*(TIMELINE!$C$168+1)),IF(IF(INPUTS!$J$143="Follow Project Life","Even",IF(INPUTS!$J$143="At Project End","Upfront",INPUTS!$J$143))="Back-loaded",TIMELINE!AL169*2/(TIMELINE!$C$168*(TIMELINE!$C$168+1)),IF(IF(INPUTS!$J$143="Follow Project Life","Even",IF(INPUTS!$J$143="At Project End","Upfront",INPUTS!$J$143))="S-curve",SIN(PI()*(TIMELINE!AL169-0.5)/TIMELINE!$C$168)*SIN(PI()/(2*TIMELINE!$C$168)),0))))))))))</f>
        <v>0</v>
      </c>
      <c r="AM158" s="118" t="n">
        <f aca="false">IF(INPUTS!$F$143&lt;&gt;"Yes",0,IF(INPUTS!$J$143="Follow Construction",AM$100,IF(INPUTS!$J$143="Follow Sales",AM$99,IF(INPUTS!$J$143="Follow Collections",AM$108,IF(OR(TIMELINE!AM169=0,TIMELINE!$C$168=0),0,IF(IF(INPUTS!$J$143="Follow Project Life","Even",IF(INPUTS!$J$143="At Project End","Upfront",INPUTS!$J$143))="Upfront",--(TIMELINE!AM169=1),IF(IF(INPUTS!$J$143="Follow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End","Upfront",INPUTS!$J$143))="Front-loaded",(TIMELINE!$C$168-TIMELINE!AM169+1)*2/(TIMELINE!$C$168*(TIMELINE!$C$168+1)),IF(IF(INPUTS!$J$143="Follow Project Life","Even",IF(INPUTS!$J$143="At Project End","Upfront",INPUTS!$J$143))="Back-loaded",TIMELINE!AM169*2/(TIMELINE!$C$168*(TIMELINE!$C$168+1)),IF(IF(INPUTS!$J$143="Follow Project Life","Even",IF(INPUTS!$J$143="At Project End","Upfront",INPUTS!$J$143))="S-curve",SIN(PI()*(TIMELINE!AM169-0.5)/TIMELINE!$C$168)*SIN(PI()/(2*TIMELINE!$C$168)),0))))))))))</f>
        <v>0</v>
      </c>
      <c r="AN158" s="118" t="n">
        <f aca="false">IF(INPUTS!$F$143&lt;&gt;"Yes",0,IF(INPUTS!$J$143="Follow Construction",AN$100,IF(INPUTS!$J$143="Follow Sales",AN$99,IF(INPUTS!$J$143="Follow Collections",AN$108,IF(OR(TIMELINE!AN169=0,TIMELINE!$C$168=0),0,IF(IF(INPUTS!$J$143="Follow Project Life","Even",IF(INPUTS!$J$143="At Project End","Upfront",INPUTS!$J$143))="Upfront",--(TIMELINE!AN169=1),IF(IF(INPUTS!$J$143="Follow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End","Upfront",INPUTS!$J$143))="Front-loaded",(TIMELINE!$C$168-TIMELINE!AN169+1)*2/(TIMELINE!$C$168*(TIMELINE!$C$168+1)),IF(IF(INPUTS!$J$143="Follow Project Life","Even",IF(INPUTS!$J$143="At Project End","Upfront",INPUTS!$J$143))="Back-loaded",TIMELINE!AN169*2/(TIMELINE!$C$168*(TIMELINE!$C$168+1)),IF(IF(INPUTS!$J$143="Follow Project Life","Even",IF(INPUTS!$J$143="At Project End","Upfront",INPUTS!$J$143))="S-curve",SIN(PI()*(TIMELINE!AN169-0.5)/TIMELINE!$C$168)*SIN(PI()/(2*TIMELINE!$C$168)),0))))))))))</f>
        <v>0</v>
      </c>
      <c r="AO158" s="118" t="n">
        <f aca="false">IF(INPUTS!$F$143&lt;&gt;"Yes",0,IF(INPUTS!$J$143="Follow Construction",AO$100,IF(INPUTS!$J$143="Follow Sales",AO$99,IF(INPUTS!$J$143="Follow Collections",AO$108,IF(OR(TIMELINE!AO169=0,TIMELINE!$C$168=0),0,IF(IF(INPUTS!$J$143="Follow Project Life","Even",IF(INPUTS!$J$143="At Project End","Upfront",INPUTS!$J$143))="Upfront",--(TIMELINE!AO169=1),IF(IF(INPUTS!$J$143="Follow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End","Upfront",INPUTS!$J$143))="Front-loaded",(TIMELINE!$C$168-TIMELINE!AO169+1)*2/(TIMELINE!$C$168*(TIMELINE!$C$168+1)),IF(IF(INPUTS!$J$143="Follow Project Life","Even",IF(INPUTS!$J$143="At Project End","Upfront",INPUTS!$J$143))="Back-loaded",TIMELINE!AO169*2/(TIMELINE!$C$168*(TIMELINE!$C$168+1)),IF(IF(INPUTS!$J$143="Follow Project Life","Even",IF(INPUTS!$J$143="At Project End","Upfront",INPUTS!$J$143))="S-curve",SIN(PI()*(TIMELINE!AO169-0.5)/TIMELINE!$C$168)*SIN(PI()/(2*TIMELINE!$C$168)),0))))))))))</f>
        <v>0</v>
      </c>
      <c r="AP158" s="118" t="n">
        <f aca="false">IF(INPUTS!$F$143&lt;&gt;"Yes",0,IF(INPUTS!$J$143="Follow Construction",AP$100,IF(INPUTS!$J$143="Follow Sales",AP$99,IF(INPUTS!$J$143="Follow Collections",AP$108,IF(OR(TIMELINE!AP169=0,TIMELINE!$C$168=0),0,IF(IF(INPUTS!$J$143="Follow Project Life","Even",IF(INPUTS!$J$143="At Project End","Upfront",INPUTS!$J$143))="Upfront",--(TIMELINE!AP169=1),IF(IF(INPUTS!$J$143="Follow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End","Upfront",INPUTS!$J$143))="Front-loaded",(TIMELINE!$C$168-TIMELINE!AP169+1)*2/(TIMELINE!$C$168*(TIMELINE!$C$168+1)),IF(IF(INPUTS!$J$143="Follow Project Life","Even",IF(INPUTS!$J$143="At Project End","Upfront",INPUTS!$J$143))="Back-loaded",TIMELINE!AP169*2/(TIMELINE!$C$168*(TIMELINE!$C$168+1)),IF(IF(INPUTS!$J$143="Follow Project Life","Even",IF(INPUTS!$J$143="At Project End","Upfront",INPUTS!$J$143))="S-curve",SIN(PI()*(TIMELINE!AP169-0.5)/TIMELINE!$C$168)*SIN(PI()/(2*TIMELINE!$C$168)),0))))))))))</f>
        <v>0</v>
      </c>
      <c r="AQ158" s="118" t="n">
        <f aca="false">IF(INPUTS!$F$143&lt;&gt;"Yes",0,IF(INPUTS!$J$143="Follow Construction",AQ$100,IF(INPUTS!$J$143="Follow Sales",AQ$99,IF(INPUTS!$J$143="Follow Collections",AQ$108,IF(OR(TIMELINE!AQ169=0,TIMELINE!$C$168=0),0,IF(IF(INPUTS!$J$143="Follow Project Life","Even",IF(INPUTS!$J$143="At Project End","Upfront",INPUTS!$J$143))="Upfront",--(TIMELINE!AQ169=1),IF(IF(INPUTS!$J$143="Follow Project Life","Even",IF(INPUTS!$J$143="At Project End","Upfront",INPUTS!$J$143))="Even",1/TIMELINE!$C$168,IF(IF(INPUTS!$J$143="Follow Project Life","Even",IF(INPUTS!$J$143="At Project End","Upfront",INPUTS!$J$143))="Front-loaded",(TIMELINE!$C$168-TIMELINE!AQ169+1)*2/(TIMELINE!$C$168*(TIMELINE!$C$168+1)),IF(IF(INPUTS!$J$143="Follow Project Life","Even",IF(INPUTS!$J$143="At Project End","Upfront",INPUTS!$J$143))="Back-loaded",TIMELINE!AQ169*2/(TIMELINE!$C$168*(TIMELINE!$C$168+1)),IF(IF(INPUTS!$J$143="Follow Project Life","Even",IF(INPUTS!$J$143="At Project End","Upfront",INPUTS!$J$143))="S-curve",SIN(PI()*(TIMELINE!AQ169-0.5)/TIMELINE!$C$168)*SIN(PI()/(2*TIMELINE!$C$168)),0))))))))))</f>
        <v>0</v>
      </c>
    </row>
    <row r="159" customFormat="false" ht="15" hidden="false" customHeight="false" outlineLevel="0" collapsed="false">
      <c r="B159" s="17" t="s">
        <v>689</v>
      </c>
      <c r="C159" s="105" t="str">
        <f aca="false">IF(INPUTS!$B$143="","",IF(INPUTS!$F$143&lt;&gt;"Yes","Off",IF(INPUTS!$M$143&lt;&gt;"OK","ERROR",IF(ABS(C158-1)&lt;0.000000001,"OK",IF(AND(C158=0,INPUTS!$G$143=0),"Zero","ERROR")))))</f>
        <v>OK</v>
      </c>
    </row>
    <row r="160" customFormat="false" ht="15" hidden="false" customHeight="false" outlineLevel="0" collapsed="false">
      <c r="B160" s="110" t="str">
        <f aca="false">IF(INPUTS!$B$144="","Spare cost row",INPUTS!$B$144)</f>
        <v>Hotel Brand Key fee ₹50K per Key for smaller brand</v>
      </c>
      <c r="C160" s="111" t="str">
        <f aca="false">IF(INPUTS!$J$144="","",INPUTS!$J$144)</f>
        <v>Follow Construction</v>
      </c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</row>
    <row r="161" customFormat="false" ht="15" hidden="false" customHeight="false" outlineLevel="0" collapsed="false">
      <c r="B161" s="3" t="s">
        <v>688</v>
      </c>
      <c r="C161" s="117" t="n">
        <f aca="false">SUM(D161:AQ161)</f>
        <v>1</v>
      </c>
      <c r="D161" s="118" t="n">
        <f aca="false">IF(INPUTS!$F$144&lt;&gt;"Yes",0,IF(INPUTS!$J$144="Follow Construction",D$100,IF(INPUTS!$J$144="Follow Sales",D$99,IF(INPUTS!$J$144="Follow Collections",D$108,IF(OR(TIMELINE!D173=0,TIMELINE!$C$172=0),0,IF(IF(INPUTS!$J$144="Follow Project Life","Even",IF(INPUTS!$J$144="At Project End","Upfront",INPUTS!$J$144))="Upfront",--(TIMELINE!D173=1),IF(IF(INPUTS!$J$144="Follow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End","Upfront",INPUTS!$J$144))="Front-loaded",(TIMELINE!$C$172-TIMELINE!D173+1)*2/(TIMELINE!$C$172*(TIMELINE!$C$172+1)),IF(IF(INPUTS!$J$144="Follow Project Life","Even",IF(INPUTS!$J$144="At Project End","Upfront",INPUTS!$J$144))="Back-loaded",TIMELINE!D173*2/(TIMELINE!$C$172*(TIMELINE!$C$172+1)),IF(IF(INPUTS!$J$144="Follow Project Life","Even",IF(INPUTS!$J$144="At Project End","Upfront",INPUTS!$J$144))="S-curve",SIN(PI()*(TIMELINE!D173-0.5)/TIMELINE!$C$172)*SIN(PI()/(2*TIMELINE!$C$172)),0))))))))))</f>
        <v>0</v>
      </c>
      <c r="E161" s="118" t="n">
        <f aca="false">IF(INPUTS!$F$144&lt;&gt;"Yes",0,IF(INPUTS!$J$144="Follow Construction",E$100,IF(INPUTS!$J$144="Follow Sales",E$99,IF(INPUTS!$J$144="Follow Collections",E$108,IF(OR(TIMELINE!E173=0,TIMELINE!$C$172=0),0,IF(IF(INPUTS!$J$144="Follow Project Life","Even",IF(INPUTS!$J$144="At Project End","Upfront",INPUTS!$J$144))="Upfront",--(TIMELINE!E173=1),IF(IF(INPUTS!$J$144="Follow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End","Upfront",INPUTS!$J$144))="Front-loaded",(TIMELINE!$C$172-TIMELINE!E173+1)*2/(TIMELINE!$C$172*(TIMELINE!$C$172+1)),IF(IF(INPUTS!$J$144="Follow Project Life","Even",IF(INPUTS!$J$144="At Project End","Upfront",INPUTS!$J$144))="Back-loaded",TIMELINE!E173*2/(TIMELINE!$C$172*(TIMELINE!$C$172+1)),IF(IF(INPUTS!$J$144="Follow Project Life","Even",IF(INPUTS!$J$144="At Project End","Upfront",INPUTS!$J$144))="S-curve",SIN(PI()*(TIMELINE!E173-0.5)/TIMELINE!$C$172)*SIN(PI()/(2*TIMELINE!$C$172)),0))))))))))</f>
        <v>0</v>
      </c>
      <c r="F161" s="118" t="n">
        <f aca="false">IF(INPUTS!$F$144&lt;&gt;"Yes",0,IF(INPUTS!$J$144="Follow Construction",F$100,IF(INPUTS!$J$144="Follow Sales",F$99,IF(INPUTS!$J$144="Follow Collections",F$108,IF(OR(TIMELINE!F173=0,TIMELINE!$C$172=0),0,IF(IF(INPUTS!$J$144="Follow Project Life","Even",IF(INPUTS!$J$144="At Project End","Upfront",INPUTS!$J$144))="Upfront",--(TIMELINE!F173=1),IF(IF(INPUTS!$J$144="Follow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End","Upfront",INPUTS!$J$144))="Front-loaded",(TIMELINE!$C$172-TIMELINE!F173+1)*2/(TIMELINE!$C$172*(TIMELINE!$C$172+1)),IF(IF(INPUTS!$J$144="Follow Project Life","Even",IF(INPUTS!$J$144="At Project End","Upfront",INPUTS!$J$144))="Back-loaded",TIMELINE!F173*2/(TIMELINE!$C$172*(TIMELINE!$C$172+1)),IF(IF(INPUTS!$J$144="Follow Project Life","Even",IF(INPUTS!$J$144="At Project End","Upfront",INPUTS!$J$144))="S-curve",SIN(PI()*(TIMELINE!F173-0.5)/TIMELINE!$C$172)*SIN(PI()/(2*TIMELINE!$C$172)),0))))))))))</f>
        <v>0</v>
      </c>
      <c r="G161" s="118" t="n">
        <f aca="false">IF(INPUTS!$F$144&lt;&gt;"Yes",0,IF(INPUTS!$J$144="Follow Construction",G$100,IF(INPUTS!$J$144="Follow Sales",G$99,IF(INPUTS!$J$144="Follow Collections",G$108,IF(OR(TIMELINE!G173=0,TIMELINE!$C$172=0),0,IF(IF(INPUTS!$J$144="Follow Project Life","Even",IF(INPUTS!$J$144="At Project End","Upfront",INPUTS!$J$144))="Upfront",--(TIMELINE!G173=1),IF(IF(INPUTS!$J$144="Follow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End","Upfront",INPUTS!$J$144))="Front-loaded",(TIMELINE!$C$172-TIMELINE!G173+1)*2/(TIMELINE!$C$172*(TIMELINE!$C$172+1)),IF(IF(INPUTS!$J$144="Follow Project Life","Even",IF(INPUTS!$J$144="At Project End","Upfront",INPUTS!$J$144))="Back-loaded",TIMELINE!G173*2/(TIMELINE!$C$172*(TIMELINE!$C$172+1)),IF(IF(INPUTS!$J$144="Follow Project Life","Even",IF(INPUTS!$J$144="At Project End","Upfront",INPUTS!$J$144))="S-curve",SIN(PI()*(TIMELINE!G173-0.5)/TIMELINE!$C$172)*SIN(PI()/(2*TIMELINE!$C$172)),0))))))))))</f>
        <v>0.00456800590614377</v>
      </c>
      <c r="H161" s="118" t="n">
        <f aca="false">IF(INPUTS!$F$144&lt;&gt;"Yes",0,IF(INPUTS!$J$144="Follow Construction",H$100,IF(INPUTS!$J$144="Follow Sales",H$99,IF(INPUTS!$J$144="Follow Collections",H$108,IF(OR(TIMELINE!H173=0,TIMELINE!$C$172=0),0,IF(IF(INPUTS!$J$144="Follow Project Life","Even",IF(INPUTS!$J$144="At Project End","Upfront",INPUTS!$J$144))="Upfront",--(TIMELINE!H173=1),IF(IF(INPUTS!$J$144="Follow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End","Upfront",INPUTS!$J$144))="Front-loaded",(TIMELINE!$C$172-TIMELINE!H173+1)*2/(TIMELINE!$C$172*(TIMELINE!$C$172+1)),IF(IF(INPUTS!$J$144="Follow Project Life","Even",IF(INPUTS!$J$144="At Project End","Upfront",INPUTS!$J$144))="Back-loaded",TIMELINE!H173*2/(TIMELINE!$C$172*(TIMELINE!$C$172+1)),IF(IF(INPUTS!$J$144="Follow Project Life","Even",IF(INPUTS!$J$144="At Project End","Upfront",INPUTS!$J$144))="S-curve",SIN(PI()*(TIMELINE!H173-0.5)/TIMELINE!$C$172)*SIN(PI()/(2*TIMELINE!$C$172)),0))))))))))</f>
        <v>0.0195749664227507</v>
      </c>
      <c r="I161" s="118" t="n">
        <f aca="false">IF(INPUTS!$F$144&lt;&gt;"Yes",0,IF(INPUTS!$J$144="Follow Construction",I$100,IF(INPUTS!$J$144="Follow Sales",I$99,IF(INPUTS!$J$144="Follow Collections",I$108,IF(OR(TIMELINE!I173=0,TIMELINE!$C$172=0),0,IF(IF(INPUTS!$J$144="Follow Project Life","Even",IF(INPUTS!$J$144="At Project End","Upfront",INPUTS!$J$144))="Upfront",--(TIMELINE!I173=1),IF(IF(INPUTS!$J$144="Follow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End","Upfront",INPUTS!$J$144))="Front-loaded",(TIMELINE!$C$172-TIMELINE!I173+1)*2/(TIMELINE!$C$172*(TIMELINE!$C$172+1)),IF(IF(INPUTS!$J$144="Follow Project Life","Even",IF(INPUTS!$J$144="At Project End","Upfront",INPUTS!$J$144))="Back-loaded",TIMELINE!I173*2/(TIMELINE!$C$172*(TIMELINE!$C$172+1)),IF(IF(INPUTS!$J$144="Follow Project Life","Even",IF(INPUTS!$J$144="At Project End","Upfront",INPUTS!$J$144))="S-curve",SIN(PI()*(TIMELINE!I173-0.5)/TIMELINE!$C$172)*SIN(PI()/(2*TIMELINE!$C$172)),0))))))))))</f>
        <v>0.0411197726021386</v>
      </c>
      <c r="J161" s="118" t="n">
        <f aca="false">IF(INPUTS!$F$144&lt;&gt;"Yes",0,IF(INPUTS!$J$144="Follow Construction",J$100,IF(INPUTS!$J$144="Follow Sales",J$99,IF(INPUTS!$J$144="Follow Collections",J$108,IF(OR(TIMELINE!J173=0,TIMELINE!$C$172=0),0,IF(IF(INPUTS!$J$144="Follow Project Life","Even",IF(INPUTS!$J$144="At Project End","Upfront",INPUTS!$J$144))="Upfront",--(TIMELINE!J173=1),IF(IF(INPUTS!$J$144="Follow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End","Upfront",INPUTS!$J$144))="Front-loaded",(TIMELINE!$C$172-TIMELINE!J173+1)*2/(TIMELINE!$C$172*(TIMELINE!$C$172+1)),IF(IF(INPUTS!$J$144="Follow Project Life","Even",IF(INPUTS!$J$144="At Project End","Upfront",INPUTS!$J$144))="Back-loaded",TIMELINE!J173*2/(TIMELINE!$C$172*(TIMELINE!$C$172+1)),IF(IF(INPUTS!$J$144="Follow Project Life","Even",IF(INPUTS!$J$144="At Project End","Upfront",INPUTS!$J$144))="S-curve",SIN(PI()*(TIMELINE!J173-0.5)/TIMELINE!$C$172)*SIN(PI()/(2*TIMELINE!$C$172)),0))))))))))</f>
        <v>0.0619123296046715</v>
      </c>
      <c r="K161" s="118" t="n">
        <f aca="false">IF(INPUTS!$F$144&lt;&gt;"Yes",0,IF(INPUTS!$J$144="Follow Construction",K$100,IF(INPUTS!$J$144="Follow Sales",K$99,IF(INPUTS!$J$144="Follow Collections",K$108,IF(OR(TIMELINE!K173=0,TIMELINE!$C$172=0),0,IF(IF(INPUTS!$J$144="Follow Project Life","Even",IF(INPUTS!$J$144="At Project End","Upfront",INPUTS!$J$144))="Upfront",--(TIMELINE!K173=1),IF(IF(INPUTS!$J$144="Follow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End","Upfront",INPUTS!$J$144))="Front-loaded",(TIMELINE!$C$172-TIMELINE!K173+1)*2/(TIMELINE!$C$172*(TIMELINE!$C$172+1)),IF(IF(INPUTS!$J$144="Follow Project Life","Even",IF(INPUTS!$J$144="At Project End","Upfront",INPUTS!$J$144))="Back-loaded",TIMELINE!K173*2/(TIMELINE!$C$172*(TIMELINE!$C$172+1)),IF(IF(INPUTS!$J$144="Follow Project Life","Even",IF(INPUTS!$J$144="At Project End","Upfront",INPUTS!$J$144))="S-curve",SIN(PI()*(TIMELINE!K173-0.5)/TIMELINE!$C$172)*SIN(PI()/(2*TIMELINE!$C$172)),0))))))))))</f>
        <v>0.0793692805553633</v>
      </c>
      <c r="L161" s="118" t="n">
        <f aca="false">IF(INPUTS!$F$144&lt;&gt;"Yes",0,IF(INPUTS!$J$144="Follow Construction",L$100,IF(INPUTS!$J$144="Follow Sales",L$99,IF(INPUTS!$J$144="Follow Collections",L$108,IF(OR(TIMELINE!L173=0,TIMELINE!$C$172=0),0,IF(IF(INPUTS!$J$144="Follow Project Life","Even",IF(INPUTS!$J$144="At Project End","Upfront",INPUTS!$J$144))="Upfront",--(TIMELINE!L173=1),IF(IF(INPUTS!$J$144="Follow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End","Upfront",INPUTS!$J$144))="Front-loaded",(TIMELINE!$C$172-TIMELINE!L173+1)*2/(TIMELINE!$C$172*(TIMELINE!$C$172+1)),IF(IF(INPUTS!$J$144="Follow Project Life","Even",IF(INPUTS!$J$144="At Project End","Upfront",INPUTS!$J$144))="Back-loaded",TIMELINE!L173*2/(TIMELINE!$C$172*(TIMELINE!$C$172+1)),IF(IF(INPUTS!$J$144="Follow Project Life","Even",IF(INPUTS!$J$144="At Project End","Upfront",INPUTS!$J$144))="S-curve",SIN(PI()*(TIMELINE!L173-0.5)/TIMELINE!$C$172)*SIN(PI()/(2*TIMELINE!$C$172)),0))))))))))</f>
        <v>0.0926064944921223</v>
      </c>
      <c r="M161" s="118" t="n">
        <f aca="false">IF(INPUTS!$F$144&lt;&gt;"Yes",0,IF(INPUTS!$J$144="Follow Construction",M$100,IF(INPUTS!$J$144="Follow Sales",M$99,IF(INPUTS!$J$144="Follow Collections",M$108,IF(OR(TIMELINE!M173=0,TIMELINE!$C$172=0),0,IF(IF(INPUTS!$J$144="Follow Project Life","Even",IF(INPUTS!$J$144="At Project End","Upfront",INPUTS!$J$144))="Upfront",--(TIMELINE!M173=1),IF(IF(INPUTS!$J$144="Follow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End","Upfront",INPUTS!$J$144))="Front-loaded",(TIMELINE!$C$172-TIMELINE!M173+1)*2/(TIMELINE!$C$172*(TIMELINE!$C$172+1)),IF(IF(INPUTS!$J$144="Follow Project Life","Even",IF(INPUTS!$J$144="At Project End","Upfront",INPUTS!$J$144))="Back-loaded",TIMELINE!M173*2/(TIMELINE!$C$172*(TIMELINE!$C$172+1)),IF(IF(INPUTS!$J$144="Follow Project Life","Even",IF(INPUTS!$J$144="At Project End","Upfront",INPUTS!$J$144))="S-curve",SIN(PI()*(TIMELINE!M173-0.5)/TIMELINE!$C$172)*SIN(PI()/(2*TIMELINE!$C$172)),0))))))))))</f>
        <v>0.100981710254933</v>
      </c>
      <c r="N161" s="118" t="n">
        <f aca="false">IF(INPUTS!$F$144&lt;&gt;"Yes",0,IF(INPUTS!$J$144="Follow Construction",N$100,IF(INPUTS!$J$144="Follow Sales",N$99,IF(INPUTS!$J$144="Follow Collections",N$108,IF(OR(TIMELINE!N173=0,TIMELINE!$C$172=0),0,IF(IF(INPUTS!$J$144="Follow Project Life","Even",IF(INPUTS!$J$144="At Project End","Upfront",INPUTS!$J$144))="Upfront",--(TIMELINE!N173=1),IF(IF(INPUTS!$J$144="Follow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End","Upfront",INPUTS!$J$144))="Front-loaded",(TIMELINE!$C$172-TIMELINE!N173+1)*2/(TIMELINE!$C$172*(TIMELINE!$C$172+1)),IF(IF(INPUTS!$J$144="Follow Project Life","Even",IF(INPUTS!$J$144="At Project End","Upfront",INPUTS!$J$144))="Back-loaded",TIMELINE!N173*2/(TIMELINE!$C$172*(TIMELINE!$C$172+1)),IF(IF(INPUTS!$J$144="Follow Project Life","Even",IF(INPUTS!$J$144="At Project End","Upfront",INPUTS!$J$144))="S-curve",SIN(PI()*(TIMELINE!N173-0.5)/TIMELINE!$C$172)*SIN(PI()/(2*TIMELINE!$C$172)),0))))))))))</f>
        <v>0.104128320282428</v>
      </c>
      <c r="O161" s="118" t="n">
        <f aca="false">IF(INPUTS!$F$144&lt;&gt;"Yes",0,IF(INPUTS!$J$144="Follow Construction",O$100,IF(INPUTS!$J$144="Follow Sales",O$99,IF(INPUTS!$J$144="Follow Collections",O$108,IF(OR(TIMELINE!O173=0,TIMELINE!$C$172=0),0,IF(IF(INPUTS!$J$144="Follow Project Life","Even",IF(INPUTS!$J$144="At Project End","Upfront",INPUTS!$J$144))="Upfront",--(TIMELINE!O173=1),IF(IF(INPUTS!$J$144="Follow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End","Upfront",INPUTS!$J$144))="Front-loaded",(TIMELINE!$C$172-TIMELINE!O173+1)*2/(TIMELINE!$C$172*(TIMELINE!$C$172+1)),IF(IF(INPUTS!$J$144="Follow Project Life","Even",IF(INPUTS!$J$144="At Project End","Upfront",INPUTS!$J$144))="Back-loaded",TIMELINE!O173*2/(TIMELINE!$C$172*(TIMELINE!$C$172+1)),IF(IF(INPUTS!$J$144="Follow Project Life","Even",IF(INPUTS!$J$144="At Project End","Upfront",INPUTS!$J$144))="S-curve",SIN(PI()*(TIMELINE!O173-0.5)/TIMELINE!$C$172)*SIN(PI()/(2*TIMELINE!$C$172)),0))))))))))</f>
        <v>0.101972508958545</v>
      </c>
      <c r="P161" s="118" t="n">
        <f aca="false">IF(INPUTS!$F$144&lt;&gt;"Yes",0,IF(INPUTS!$J$144="Follow Construction",P$100,IF(INPUTS!$J$144="Follow Sales",P$99,IF(INPUTS!$J$144="Follow Collections",P$108,IF(OR(TIMELINE!P173=0,TIMELINE!$C$172=0),0,IF(IF(INPUTS!$J$144="Follow Project Life","Even",IF(INPUTS!$J$144="At Project End","Upfront",INPUTS!$J$144))="Upfront",--(TIMELINE!P173=1),IF(IF(INPUTS!$J$144="Follow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End","Upfront",INPUTS!$J$144))="Front-loaded",(TIMELINE!$C$172-TIMELINE!P173+1)*2/(TIMELINE!$C$172*(TIMELINE!$C$172+1)),IF(IF(INPUTS!$J$144="Follow Project Life","Even",IF(INPUTS!$J$144="At Project End","Upfront",INPUTS!$J$144))="Back-loaded",TIMELINE!P173*2/(TIMELINE!$C$172*(TIMELINE!$C$172+1)),IF(IF(INPUTS!$J$144="Follow Project Life","Even",IF(INPUTS!$J$144="At Project End","Upfront",INPUTS!$J$144))="S-curve",SIN(PI()*(TIMELINE!P173-0.5)/TIMELINE!$C$172)*SIN(PI()/(2*TIMELINE!$C$172)),0))))))))))</f>
        <v>0.094732879051781</v>
      </c>
      <c r="Q161" s="118" t="n">
        <f aca="false">IF(INPUTS!$F$144&lt;&gt;"Yes",0,IF(INPUTS!$J$144="Follow Construction",Q$100,IF(INPUTS!$J$144="Follow Sales",Q$99,IF(INPUTS!$J$144="Follow Collections",Q$108,IF(OR(TIMELINE!Q173=0,TIMELINE!$C$172=0),0,IF(IF(INPUTS!$J$144="Follow Project Life","Even",IF(INPUTS!$J$144="At Project End","Upfront",INPUTS!$J$144))="Upfront",--(TIMELINE!Q173=1),IF(IF(INPUTS!$J$144="Follow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End","Upfront",INPUTS!$J$144))="Front-loaded",(TIMELINE!$C$172-TIMELINE!Q173+1)*2/(TIMELINE!$C$172*(TIMELINE!$C$172+1)),IF(IF(INPUTS!$J$144="Follow Project Life","Even",IF(INPUTS!$J$144="At Project End","Upfront",INPUTS!$J$144))="Back-loaded",TIMELINE!Q173*2/(TIMELINE!$C$172*(TIMELINE!$C$172+1)),IF(IF(INPUTS!$J$144="Follow Project Life","Even",IF(INPUTS!$J$144="At Project End","Upfront",INPUTS!$J$144))="S-curve",SIN(PI()*(TIMELINE!Q173-0.5)/TIMELINE!$C$172)*SIN(PI()/(2*TIMELINE!$C$172)),0))))))))))</f>
        <v>0.0829027993762268</v>
      </c>
      <c r="R161" s="118" t="n">
        <f aca="false">IF(INPUTS!$F$144&lt;&gt;"Yes",0,IF(INPUTS!$J$144="Follow Construction",R$100,IF(INPUTS!$J$144="Follow Sales",R$99,IF(INPUTS!$J$144="Follow Collections",R$108,IF(OR(TIMELINE!R173=0,TIMELINE!$C$172=0),0,IF(IF(INPUTS!$J$144="Follow Project Life","Even",IF(INPUTS!$J$144="At Project End","Upfront",INPUTS!$J$144))="Upfront",--(TIMELINE!R173=1),IF(IF(INPUTS!$J$144="Follow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End","Upfront",INPUTS!$J$144))="Front-loaded",(TIMELINE!$C$172-TIMELINE!R173+1)*2/(TIMELINE!$C$172*(TIMELINE!$C$172+1)),IF(IF(INPUTS!$J$144="Follow Project Life","Even",IF(INPUTS!$J$144="At Project End","Upfront",INPUTS!$J$144))="Back-loaded",TIMELINE!R173*2/(TIMELINE!$C$172*(TIMELINE!$C$172+1)),IF(IF(INPUTS!$J$144="Follow Project Life","Even",IF(INPUTS!$J$144="At Project End","Upfront",INPUTS!$J$144))="S-curve",SIN(PI()*(TIMELINE!R173-0.5)/TIMELINE!$C$172)*SIN(PI()/(2*TIMELINE!$C$172)),0))))))))))</f>
        <v>0.0672167825222214</v>
      </c>
      <c r="S161" s="118" t="n">
        <f aca="false">IF(INPUTS!$F$144&lt;&gt;"Yes",0,IF(INPUTS!$J$144="Follow Construction",S$100,IF(INPUTS!$J$144="Follow Sales",S$99,IF(INPUTS!$J$144="Follow Collections",S$108,IF(OR(TIMELINE!S173=0,TIMELINE!$C$172=0),0,IF(IF(INPUTS!$J$144="Follow Project Life","Even",IF(INPUTS!$J$144="At Project End","Upfront",INPUTS!$J$144))="Upfront",--(TIMELINE!S173=1),IF(IF(INPUTS!$J$144="Follow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End","Upfront",INPUTS!$J$144))="Front-loaded",(TIMELINE!$C$172-TIMELINE!S173+1)*2/(TIMELINE!$C$172*(TIMELINE!$C$172+1)),IF(IF(INPUTS!$J$144="Follow Project Life","Even",IF(INPUTS!$J$144="At Project End","Upfront",INPUTS!$J$144))="Back-loaded",TIMELINE!S173*2/(TIMELINE!$C$172*(TIMELINE!$C$172+1)),IF(IF(INPUTS!$J$144="Follow Project Life","Even",IF(INPUTS!$J$144="At Project End","Upfront",INPUTS!$J$144))="S-curve",SIN(PI()*(TIMELINE!S173-0.5)/TIMELINE!$C$172)*SIN(PI()/(2*TIMELINE!$C$172)),0))))))))))</f>
        <v>0.0531711898648468</v>
      </c>
      <c r="T161" s="118" t="n">
        <f aca="false">IF(INPUTS!$F$144&lt;&gt;"Yes",0,IF(INPUTS!$J$144="Follow Construction",T$100,IF(INPUTS!$J$144="Follow Sales",T$99,IF(INPUTS!$J$144="Follow Collections",T$108,IF(OR(TIMELINE!T173=0,TIMELINE!$C$172=0),0,IF(IF(INPUTS!$J$144="Follow Project Life","Even",IF(INPUTS!$J$144="At Project End","Upfront",INPUTS!$J$144))="Upfront",--(TIMELINE!T173=1),IF(IF(INPUTS!$J$144="Follow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End","Upfront",INPUTS!$J$144))="Front-loaded",(TIMELINE!$C$172-TIMELINE!T173+1)*2/(TIMELINE!$C$172*(TIMELINE!$C$172+1)),IF(IF(INPUTS!$J$144="Follow Project Life","Even",IF(INPUTS!$J$144="At Project End","Upfront",INPUTS!$J$144))="Back-loaded",TIMELINE!T173*2/(TIMELINE!$C$172*(TIMELINE!$C$172+1)),IF(IF(INPUTS!$J$144="Follow Project Life","Even",IF(INPUTS!$J$144="At Project End","Upfront",INPUTS!$J$144))="S-curve",SIN(PI()*(TIMELINE!T173-0.5)/TIMELINE!$C$172)*SIN(PI()/(2*TIMELINE!$C$172)),0))))))))))</f>
        <v>0.0415190557800941</v>
      </c>
      <c r="U161" s="118" t="n">
        <f aca="false">IF(INPUTS!$F$144&lt;&gt;"Yes",0,IF(INPUTS!$J$144="Follow Construction",U$100,IF(INPUTS!$J$144="Follow Sales",U$99,IF(INPUTS!$J$144="Follow Collections",U$108,IF(OR(TIMELINE!U173=0,TIMELINE!$C$172=0),0,IF(IF(INPUTS!$J$144="Follow Project Life","Even",IF(INPUTS!$J$144="At Project End","Upfront",INPUTS!$J$144))="Upfront",--(TIMELINE!U173=1),IF(IF(INPUTS!$J$144="Follow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End","Upfront",INPUTS!$J$144))="Front-loaded",(TIMELINE!$C$172-TIMELINE!U173+1)*2/(TIMELINE!$C$172*(TIMELINE!$C$172+1)),IF(IF(INPUTS!$J$144="Follow Project Life","Even",IF(INPUTS!$J$144="At Project End","Upfront",INPUTS!$J$144))="Back-loaded",TIMELINE!U173*2/(TIMELINE!$C$172*(TIMELINE!$C$172+1)),IF(IF(INPUTS!$J$144="Follow Project Life","Even",IF(INPUTS!$J$144="At Project End","Upfront",INPUTS!$J$144))="S-curve",SIN(PI()*(TIMELINE!U173-0.5)/TIMELINE!$C$172)*SIN(PI()/(2*TIMELINE!$C$172)),0))))))))))</f>
        <v>0.0297324817239664</v>
      </c>
      <c r="V161" s="118" t="n">
        <f aca="false">IF(INPUTS!$F$144&lt;&gt;"Yes",0,IF(INPUTS!$J$144="Follow Construction",V$100,IF(INPUTS!$J$144="Follow Sales",V$99,IF(INPUTS!$J$144="Follow Collections",V$108,IF(OR(TIMELINE!V173=0,TIMELINE!$C$172=0),0,IF(IF(INPUTS!$J$144="Follow Project Life","Even",IF(INPUTS!$J$144="At Project End","Upfront",INPUTS!$J$144))="Upfront",--(TIMELINE!V173=1),IF(IF(INPUTS!$J$144="Follow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End","Upfront",INPUTS!$J$144))="Front-loaded",(TIMELINE!$C$172-TIMELINE!V173+1)*2/(TIMELINE!$C$172*(TIMELINE!$C$172+1)),IF(IF(INPUTS!$J$144="Follow Project Life","Even",IF(INPUTS!$J$144="At Project End","Upfront",INPUTS!$J$144))="Back-loaded",TIMELINE!V173*2/(TIMELINE!$C$172*(TIMELINE!$C$172+1)),IF(IF(INPUTS!$J$144="Follow Project Life","Even",IF(INPUTS!$J$144="At Project End","Upfront",INPUTS!$J$144))="S-curve",SIN(PI()*(TIMELINE!V173-0.5)/TIMELINE!$C$172)*SIN(PI()/(2*TIMELINE!$C$172)),0))))))))))</f>
        <v>0.0183091718439316</v>
      </c>
      <c r="W161" s="118" t="n">
        <f aca="false">IF(INPUTS!$F$144&lt;&gt;"Yes",0,IF(INPUTS!$J$144="Follow Construction",W$100,IF(INPUTS!$J$144="Follow Sales",W$99,IF(INPUTS!$J$144="Follow Collections",W$108,IF(OR(TIMELINE!W173=0,TIMELINE!$C$172=0),0,IF(IF(INPUTS!$J$144="Follow Project Life","Even",IF(INPUTS!$J$144="At Project End","Upfront",INPUTS!$J$144))="Upfront",--(TIMELINE!W173=1),IF(IF(INPUTS!$J$144="Follow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End","Upfront",INPUTS!$J$144))="Front-loaded",(TIMELINE!$C$172-TIMELINE!W173+1)*2/(TIMELINE!$C$172*(TIMELINE!$C$172+1)),IF(IF(INPUTS!$J$144="Follow Project Life","Even",IF(INPUTS!$J$144="At Project End","Upfront",INPUTS!$J$144))="Back-loaded",TIMELINE!W173*2/(TIMELINE!$C$172*(TIMELINE!$C$172+1)),IF(IF(INPUTS!$J$144="Follow Project Life","Even",IF(INPUTS!$J$144="At Project End","Upfront",INPUTS!$J$144))="S-curve",SIN(PI()*(TIMELINE!W173-0.5)/TIMELINE!$C$172)*SIN(PI()/(2*TIMELINE!$C$172)),0))))))))))</f>
        <v>0.00618225075783637</v>
      </c>
      <c r="X161" s="118" t="n">
        <f aca="false">IF(INPUTS!$F$144&lt;&gt;"Yes",0,IF(INPUTS!$J$144="Follow Construction",X$100,IF(INPUTS!$J$144="Follow Sales",X$99,IF(INPUTS!$J$144="Follow Collections",X$108,IF(OR(TIMELINE!X173=0,TIMELINE!$C$172=0),0,IF(IF(INPUTS!$J$144="Follow Project Life","Even",IF(INPUTS!$J$144="At Project End","Upfront",INPUTS!$J$144))="Upfront",--(TIMELINE!X173=1),IF(IF(INPUTS!$J$144="Follow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End","Upfront",INPUTS!$J$144))="Front-loaded",(TIMELINE!$C$172-TIMELINE!X173+1)*2/(TIMELINE!$C$172*(TIMELINE!$C$172+1)),IF(IF(INPUTS!$J$144="Follow Project Life","Even",IF(INPUTS!$J$144="At Project End","Upfront",INPUTS!$J$144))="Back-loaded",TIMELINE!X173*2/(TIMELINE!$C$172*(TIMELINE!$C$172+1)),IF(IF(INPUTS!$J$144="Follow Project Life","Even",IF(INPUTS!$J$144="At Project End","Upfront",INPUTS!$J$144))="S-curve",SIN(PI()*(TIMELINE!X173-0.5)/TIMELINE!$C$172)*SIN(PI()/(2*TIMELINE!$C$172)),0))))))))))</f>
        <v>0</v>
      </c>
      <c r="Y161" s="118" t="n">
        <f aca="false">IF(INPUTS!$F$144&lt;&gt;"Yes",0,IF(INPUTS!$J$144="Follow Construction",Y$100,IF(INPUTS!$J$144="Follow Sales",Y$99,IF(INPUTS!$J$144="Follow Collections",Y$108,IF(OR(TIMELINE!Y173=0,TIMELINE!$C$172=0),0,IF(IF(INPUTS!$J$144="Follow Project Life","Even",IF(INPUTS!$J$144="At Project End","Upfront",INPUTS!$J$144))="Upfront",--(TIMELINE!Y173=1),IF(IF(INPUTS!$J$144="Follow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End","Upfront",INPUTS!$J$144))="Front-loaded",(TIMELINE!$C$172-TIMELINE!Y173+1)*2/(TIMELINE!$C$172*(TIMELINE!$C$172+1)),IF(IF(INPUTS!$J$144="Follow Project Life","Even",IF(INPUTS!$J$144="At Project End","Upfront",INPUTS!$J$144))="Back-loaded",TIMELINE!Y173*2/(TIMELINE!$C$172*(TIMELINE!$C$172+1)),IF(IF(INPUTS!$J$144="Follow Project Life","Even",IF(INPUTS!$J$144="At Project End","Upfront",INPUTS!$J$144))="S-curve",SIN(PI()*(TIMELINE!Y173-0.5)/TIMELINE!$C$172)*SIN(PI()/(2*TIMELINE!$C$172)),0))))))))))</f>
        <v>0</v>
      </c>
      <c r="Z161" s="118" t="n">
        <f aca="false">IF(INPUTS!$F$144&lt;&gt;"Yes",0,IF(INPUTS!$J$144="Follow Construction",Z$100,IF(INPUTS!$J$144="Follow Sales",Z$99,IF(INPUTS!$J$144="Follow Collections",Z$108,IF(OR(TIMELINE!Z173=0,TIMELINE!$C$172=0),0,IF(IF(INPUTS!$J$144="Follow Project Life","Even",IF(INPUTS!$J$144="At Project End","Upfront",INPUTS!$J$144))="Upfront",--(TIMELINE!Z173=1),IF(IF(INPUTS!$J$144="Follow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End","Upfront",INPUTS!$J$144))="Front-loaded",(TIMELINE!$C$172-TIMELINE!Z173+1)*2/(TIMELINE!$C$172*(TIMELINE!$C$172+1)),IF(IF(INPUTS!$J$144="Follow Project Life","Even",IF(INPUTS!$J$144="At Project End","Upfront",INPUTS!$J$144))="Back-loaded",TIMELINE!Z173*2/(TIMELINE!$C$172*(TIMELINE!$C$172+1)),IF(IF(INPUTS!$J$144="Follow Project Life","Even",IF(INPUTS!$J$144="At Project End","Upfront",INPUTS!$J$144))="S-curve",SIN(PI()*(TIMELINE!Z173-0.5)/TIMELINE!$C$172)*SIN(PI()/(2*TIMELINE!$C$172)),0))))))))))</f>
        <v>0</v>
      </c>
      <c r="AA161" s="118" t="n">
        <f aca="false">IF(INPUTS!$F$144&lt;&gt;"Yes",0,IF(INPUTS!$J$144="Follow Construction",AA$100,IF(INPUTS!$J$144="Follow Sales",AA$99,IF(INPUTS!$J$144="Follow Collections",AA$108,IF(OR(TIMELINE!AA173=0,TIMELINE!$C$172=0),0,IF(IF(INPUTS!$J$144="Follow Project Life","Even",IF(INPUTS!$J$144="At Project End","Upfront",INPUTS!$J$144))="Upfront",--(TIMELINE!AA173=1),IF(IF(INPUTS!$J$144="Follow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End","Upfront",INPUTS!$J$144))="Front-loaded",(TIMELINE!$C$172-TIMELINE!AA173+1)*2/(TIMELINE!$C$172*(TIMELINE!$C$172+1)),IF(IF(INPUTS!$J$144="Follow Project Life","Even",IF(INPUTS!$J$144="At Project End","Upfront",INPUTS!$J$144))="Back-loaded",TIMELINE!AA173*2/(TIMELINE!$C$172*(TIMELINE!$C$172+1)),IF(IF(INPUTS!$J$144="Follow Project Life","Even",IF(INPUTS!$J$144="At Project End","Upfront",INPUTS!$J$144))="S-curve",SIN(PI()*(TIMELINE!AA173-0.5)/TIMELINE!$C$172)*SIN(PI()/(2*TIMELINE!$C$172)),0))))))))))</f>
        <v>0</v>
      </c>
      <c r="AB161" s="118" t="n">
        <f aca="false">IF(INPUTS!$F$144&lt;&gt;"Yes",0,IF(INPUTS!$J$144="Follow Construction",AB$100,IF(INPUTS!$J$144="Follow Sales",AB$99,IF(INPUTS!$J$144="Follow Collections",AB$108,IF(OR(TIMELINE!AB173=0,TIMELINE!$C$172=0),0,IF(IF(INPUTS!$J$144="Follow Project Life","Even",IF(INPUTS!$J$144="At Project End","Upfront",INPUTS!$J$144))="Upfront",--(TIMELINE!AB173=1),IF(IF(INPUTS!$J$144="Follow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End","Upfront",INPUTS!$J$144))="Front-loaded",(TIMELINE!$C$172-TIMELINE!AB173+1)*2/(TIMELINE!$C$172*(TIMELINE!$C$172+1)),IF(IF(INPUTS!$J$144="Follow Project Life","Even",IF(INPUTS!$J$144="At Project End","Upfront",INPUTS!$J$144))="Back-loaded",TIMELINE!AB173*2/(TIMELINE!$C$172*(TIMELINE!$C$172+1)),IF(IF(INPUTS!$J$144="Follow Project Life","Even",IF(INPUTS!$J$144="At Project End","Upfront",INPUTS!$J$144))="S-curve",SIN(PI()*(TIMELINE!AB173-0.5)/TIMELINE!$C$172)*SIN(PI()/(2*TIMELINE!$C$172)),0))))))))))</f>
        <v>0</v>
      </c>
      <c r="AC161" s="118" t="n">
        <f aca="false">IF(INPUTS!$F$144&lt;&gt;"Yes",0,IF(INPUTS!$J$144="Follow Construction",AC$100,IF(INPUTS!$J$144="Follow Sales",AC$99,IF(INPUTS!$J$144="Follow Collections",AC$108,IF(OR(TIMELINE!AC173=0,TIMELINE!$C$172=0),0,IF(IF(INPUTS!$J$144="Follow Project Life","Even",IF(INPUTS!$J$144="At Project End","Upfront",INPUTS!$J$144))="Upfront",--(TIMELINE!AC173=1),IF(IF(INPUTS!$J$144="Follow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End","Upfront",INPUTS!$J$144))="Front-loaded",(TIMELINE!$C$172-TIMELINE!AC173+1)*2/(TIMELINE!$C$172*(TIMELINE!$C$172+1)),IF(IF(INPUTS!$J$144="Follow Project Life","Even",IF(INPUTS!$J$144="At Project End","Upfront",INPUTS!$J$144))="Back-loaded",TIMELINE!AC173*2/(TIMELINE!$C$172*(TIMELINE!$C$172+1)),IF(IF(INPUTS!$J$144="Follow Project Life","Even",IF(INPUTS!$J$144="At Project End","Upfront",INPUTS!$J$144))="S-curve",SIN(PI()*(TIMELINE!AC173-0.5)/TIMELINE!$C$172)*SIN(PI()/(2*TIMELINE!$C$172)),0))))))))))</f>
        <v>0</v>
      </c>
      <c r="AD161" s="118" t="n">
        <f aca="false">IF(INPUTS!$F$144&lt;&gt;"Yes",0,IF(INPUTS!$J$144="Follow Construction",AD$100,IF(INPUTS!$J$144="Follow Sales",AD$99,IF(INPUTS!$J$144="Follow Collections",AD$108,IF(OR(TIMELINE!AD173=0,TIMELINE!$C$172=0),0,IF(IF(INPUTS!$J$144="Follow Project Life","Even",IF(INPUTS!$J$144="At Project End","Upfront",INPUTS!$J$144))="Upfront",--(TIMELINE!AD173=1),IF(IF(INPUTS!$J$144="Follow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End","Upfront",INPUTS!$J$144))="Front-loaded",(TIMELINE!$C$172-TIMELINE!AD173+1)*2/(TIMELINE!$C$172*(TIMELINE!$C$172+1)),IF(IF(INPUTS!$J$144="Follow Project Life","Even",IF(INPUTS!$J$144="At Project End","Upfront",INPUTS!$J$144))="Back-loaded",TIMELINE!AD173*2/(TIMELINE!$C$172*(TIMELINE!$C$172+1)),IF(IF(INPUTS!$J$144="Follow Project Life","Even",IF(INPUTS!$J$144="At Project End","Upfront",INPUTS!$J$144))="S-curve",SIN(PI()*(TIMELINE!AD173-0.5)/TIMELINE!$C$172)*SIN(PI()/(2*TIMELINE!$C$172)),0))))))))))</f>
        <v>0</v>
      </c>
      <c r="AE161" s="118" t="n">
        <f aca="false">IF(INPUTS!$F$144&lt;&gt;"Yes",0,IF(INPUTS!$J$144="Follow Construction",AE$100,IF(INPUTS!$J$144="Follow Sales",AE$99,IF(INPUTS!$J$144="Follow Collections",AE$108,IF(OR(TIMELINE!AE173=0,TIMELINE!$C$172=0),0,IF(IF(INPUTS!$J$144="Follow Project Life","Even",IF(INPUTS!$J$144="At Project End","Upfront",INPUTS!$J$144))="Upfront",--(TIMELINE!AE173=1),IF(IF(INPUTS!$J$144="Follow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End","Upfront",INPUTS!$J$144))="Front-loaded",(TIMELINE!$C$172-TIMELINE!AE173+1)*2/(TIMELINE!$C$172*(TIMELINE!$C$172+1)),IF(IF(INPUTS!$J$144="Follow Project Life","Even",IF(INPUTS!$J$144="At Project End","Upfront",INPUTS!$J$144))="Back-loaded",TIMELINE!AE173*2/(TIMELINE!$C$172*(TIMELINE!$C$172+1)),IF(IF(INPUTS!$J$144="Follow Project Life","Even",IF(INPUTS!$J$144="At Project End","Upfront",INPUTS!$J$144))="S-curve",SIN(PI()*(TIMELINE!AE173-0.5)/TIMELINE!$C$172)*SIN(PI()/(2*TIMELINE!$C$172)),0))))))))))</f>
        <v>0</v>
      </c>
      <c r="AF161" s="118" t="n">
        <f aca="false">IF(INPUTS!$F$144&lt;&gt;"Yes",0,IF(INPUTS!$J$144="Follow Construction",AF$100,IF(INPUTS!$J$144="Follow Sales",AF$99,IF(INPUTS!$J$144="Follow Collections",AF$108,IF(OR(TIMELINE!AF173=0,TIMELINE!$C$172=0),0,IF(IF(INPUTS!$J$144="Follow Project Life","Even",IF(INPUTS!$J$144="At Project End","Upfront",INPUTS!$J$144))="Upfront",--(TIMELINE!AF173=1),IF(IF(INPUTS!$J$144="Follow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End","Upfront",INPUTS!$J$144))="Front-loaded",(TIMELINE!$C$172-TIMELINE!AF173+1)*2/(TIMELINE!$C$172*(TIMELINE!$C$172+1)),IF(IF(INPUTS!$J$144="Follow Project Life","Even",IF(INPUTS!$J$144="At Project End","Upfront",INPUTS!$J$144))="Back-loaded",TIMELINE!AF173*2/(TIMELINE!$C$172*(TIMELINE!$C$172+1)),IF(IF(INPUTS!$J$144="Follow Project Life","Even",IF(INPUTS!$J$144="At Project End","Upfront",INPUTS!$J$144))="S-curve",SIN(PI()*(TIMELINE!AF173-0.5)/TIMELINE!$C$172)*SIN(PI()/(2*TIMELINE!$C$172)),0))))))))))</f>
        <v>0</v>
      </c>
      <c r="AG161" s="118" t="n">
        <f aca="false">IF(INPUTS!$F$144&lt;&gt;"Yes",0,IF(INPUTS!$J$144="Follow Construction",AG$100,IF(INPUTS!$J$144="Follow Sales",AG$99,IF(INPUTS!$J$144="Follow Collections",AG$108,IF(OR(TIMELINE!AG173=0,TIMELINE!$C$172=0),0,IF(IF(INPUTS!$J$144="Follow Project Life","Even",IF(INPUTS!$J$144="At Project End","Upfront",INPUTS!$J$144))="Upfront",--(TIMELINE!AG173=1),IF(IF(INPUTS!$J$144="Follow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End","Upfront",INPUTS!$J$144))="Front-loaded",(TIMELINE!$C$172-TIMELINE!AG173+1)*2/(TIMELINE!$C$172*(TIMELINE!$C$172+1)),IF(IF(INPUTS!$J$144="Follow Project Life","Even",IF(INPUTS!$J$144="At Project End","Upfront",INPUTS!$J$144))="Back-loaded",TIMELINE!AG173*2/(TIMELINE!$C$172*(TIMELINE!$C$172+1)),IF(IF(INPUTS!$J$144="Follow Project Life","Even",IF(INPUTS!$J$144="At Project End","Upfront",INPUTS!$J$144))="S-curve",SIN(PI()*(TIMELINE!AG173-0.5)/TIMELINE!$C$172)*SIN(PI()/(2*TIMELINE!$C$172)),0))))))))))</f>
        <v>0</v>
      </c>
      <c r="AH161" s="118" t="n">
        <f aca="false">IF(INPUTS!$F$144&lt;&gt;"Yes",0,IF(INPUTS!$J$144="Follow Construction",AH$100,IF(INPUTS!$J$144="Follow Sales",AH$99,IF(INPUTS!$J$144="Follow Collections",AH$108,IF(OR(TIMELINE!AH173=0,TIMELINE!$C$172=0),0,IF(IF(INPUTS!$J$144="Follow Project Life","Even",IF(INPUTS!$J$144="At Project End","Upfront",INPUTS!$J$144))="Upfront",--(TIMELINE!AH173=1),IF(IF(INPUTS!$J$144="Follow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End","Upfront",INPUTS!$J$144))="Front-loaded",(TIMELINE!$C$172-TIMELINE!AH173+1)*2/(TIMELINE!$C$172*(TIMELINE!$C$172+1)),IF(IF(INPUTS!$J$144="Follow Project Life","Even",IF(INPUTS!$J$144="At Project End","Upfront",INPUTS!$J$144))="Back-loaded",TIMELINE!AH173*2/(TIMELINE!$C$172*(TIMELINE!$C$172+1)),IF(IF(INPUTS!$J$144="Follow Project Life","Even",IF(INPUTS!$J$144="At Project End","Upfront",INPUTS!$J$144))="S-curve",SIN(PI()*(TIMELINE!AH173-0.5)/TIMELINE!$C$172)*SIN(PI()/(2*TIMELINE!$C$172)),0))))))))))</f>
        <v>0</v>
      </c>
      <c r="AI161" s="118" t="n">
        <f aca="false">IF(INPUTS!$F$144&lt;&gt;"Yes",0,IF(INPUTS!$J$144="Follow Construction",AI$100,IF(INPUTS!$J$144="Follow Sales",AI$99,IF(INPUTS!$J$144="Follow Collections",AI$108,IF(OR(TIMELINE!AI173=0,TIMELINE!$C$172=0),0,IF(IF(INPUTS!$J$144="Follow Project Life","Even",IF(INPUTS!$J$144="At Project End","Upfront",INPUTS!$J$144))="Upfront",--(TIMELINE!AI173=1),IF(IF(INPUTS!$J$144="Follow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End","Upfront",INPUTS!$J$144))="Front-loaded",(TIMELINE!$C$172-TIMELINE!AI173+1)*2/(TIMELINE!$C$172*(TIMELINE!$C$172+1)),IF(IF(INPUTS!$J$144="Follow Project Life","Even",IF(INPUTS!$J$144="At Project End","Upfront",INPUTS!$J$144))="Back-loaded",TIMELINE!AI173*2/(TIMELINE!$C$172*(TIMELINE!$C$172+1)),IF(IF(INPUTS!$J$144="Follow Project Life","Even",IF(INPUTS!$J$144="At Project End","Upfront",INPUTS!$J$144))="S-curve",SIN(PI()*(TIMELINE!AI173-0.5)/TIMELINE!$C$172)*SIN(PI()/(2*TIMELINE!$C$172)),0))))))))))</f>
        <v>0</v>
      </c>
      <c r="AJ161" s="118" t="n">
        <f aca="false">IF(INPUTS!$F$144&lt;&gt;"Yes",0,IF(INPUTS!$J$144="Follow Construction",AJ$100,IF(INPUTS!$J$144="Follow Sales",AJ$99,IF(INPUTS!$J$144="Follow Collections",AJ$108,IF(OR(TIMELINE!AJ173=0,TIMELINE!$C$172=0),0,IF(IF(INPUTS!$J$144="Follow Project Life","Even",IF(INPUTS!$J$144="At Project End","Upfront",INPUTS!$J$144))="Upfront",--(TIMELINE!AJ173=1),IF(IF(INPUTS!$J$144="Follow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End","Upfront",INPUTS!$J$144))="Front-loaded",(TIMELINE!$C$172-TIMELINE!AJ173+1)*2/(TIMELINE!$C$172*(TIMELINE!$C$172+1)),IF(IF(INPUTS!$J$144="Follow Project Life","Even",IF(INPUTS!$J$144="At Project End","Upfront",INPUTS!$J$144))="Back-loaded",TIMELINE!AJ173*2/(TIMELINE!$C$172*(TIMELINE!$C$172+1)),IF(IF(INPUTS!$J$144="Follow Project Life","Even",IF(INPUTS!$J$144="At Project End","Upfront",INPUTS!$J$144))="S-curve",SIN(PI()*(TIMELINE!AJ173-0.5)/TIMELINE!$C$172)*SIN(PI()/(2*TIMELINE!$C$172)),0))))))))))</f>
        <v>0</v>
      </c>
      <c r="AK161" s="118" t="n">
        <f aca="false">IF(INPUTS!$F$144&lt;&gt;"Yes",0,IF(INPUTS!$J$144="Follow Construction",AK$100,IF(INPUTS!$J$144="Follow Sales",AK$99,IF(INPUTS!$J$144="Follow Collections",AK$108,IF(OR(TIMELINE!AK173=0,TIMELINE!$C$172=0),0,IF(IF(INPUTS!$J$144="Follow Project Life","Even",IF(INPUTS!$J$144="At Project End","Upfront",INPUTS!$J$144))="Upfront",--(TIMELINE!AK173=1),IF(IF(INPUTS!$J$144="Follow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End","Upfront",INPUTS!$J$144))="Front-loaded",(TIMELINE!$C$172-TIMELINE!AK173+1)*2/(TIMELINE!$C$172*(TIMELINE!$C$172+1)),IF(IF(INPUTS!$J$144="Follow Project Life","Even",IF(INPUTS!$J$144="At Project End","Upfront",INPUTS!$J$144))="Back-loaded",TIMELINE!AK173*2/(TIMELINE!$C$172*(TIMELINE!$C$172+1)),IF(IF(INPUTS!$J$144="Follow Project Life","Even",IF(INPUTS!$J$144="At Project End","Upfront",INPUTS!$J$144))="S-curve",SIN(PI()*(TIMELINE!AK173-0.5)/TIMELINE!$C$172)*SIN(PI()/(2*TIMELINE!$C$172)),0))))))))))</f>
        <v>0</v>
      </c>
      <c r="AL161" s="118" t="n">
        <f aca="false">IF(INPUTS!$F$144&lt;&gt;"Yes",0,IF(INPUTS!$J$144="Follow Construction",AL$100,IF(INPUTS!$J$144="Follow Sales",AL$99,IF(INPUTS!$J$144="Follow Collections",AL$108,IF(OR(TIMELINE!AL173=0,TIMELINE!$C$172=0),0,IF(IF(INPUTS!$J$144="Follow Project Life","Even",IF(INPUTS!$J$144="At Project End","Upfront",INPUTS!$J$144))="Upfront",--(TIMELINE!AL173=1),IF(IF(INPUTS!$J$144="Follow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End","Upfront",INPUTS!$J$144))="Front-loaded",(TIMELINE!$C$172-TIMELINE!AL173+1)*2/(TIMELINE!$C$172*(TIMELINE!$C$172+1)),IF(IF(INPUTS!$J$144="Follow Project Life","Even",IF(INPUTS!$J$144="At Project End","Upfront",INPUTS!$J$144))="Back-loaded",TIMELINE!AL173*2/(TIMELINE!$C$172*(TIMELINE!$C$172+1)),IF(IF(INPUTS!$J$144="Follow Project Life","Even",IF(INPUTS!$J$144="At Project End","Upfront",INPUTS!$J$144))="S-curve",SIN(PI()*(TIMELINE!AL173-0.5)/TIMELINE!$C$172)*SIN(PI()/(2*TIMELINE!$C$172)),0))))))))))</f>
        <v>0</v>
      </c>
      <c r="AM161" s="118" t="n">
        <f aca="false">IF(INPUTS!$F$144&lt;&gt;"Yes",0,IF(INPUTS!$J$144="Follow Construction",AM$100,IF(INPUTS!$J$144="Follow Sales",AM$99,IF(INPUTS!$J$144="Follow Collections",AM$108,IF(OR(TIMELINE!AM173=0,TIMELINE!$C$172=0),0,IF(IF(INPUTS!$J$144="Follow Project Life","Even",IF(INPUTS!$J$144="At Project End","Upfront",INPUTS!$J$144))="Upfront",--(TIMELINE!AM173=1),IF(IF(INPUTS!$J$144="Follow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End","Upfront",INPUTS!$J$144))="Front-loaded",(TIMELINE!$C$172-TIMELINE!AM173+1)*2/(TIMELINE!$C$172*(TIMELINE!$C$172+1)),IF(IF(INPUTS!$J$144="Follow Project Life","Even",IF(INPUTS!$J$144="At Project End","Upfront",INPUTS!$J$144))="Back-loaded",TIMELINE!AM173*2/(TIMELINE!$C$172*(TIMELINE!$C$172+1)),IF(IF(INPUTS!$J$144="Follow Project Life","Even",IF(INPUTS!$J$144="At Project End","Upfront",INPUTS!$J$144))="S-curve",SIN(PI()*(TIMELINE!AM173-0.5)/TIMELINE!$C$172)*SIN(PI()/(2*TIMELINE!$C$172)),0))))))))))</f>
        <v>0</v>
      </c>
      <c r="AN161" s="118" t="n">
        <f aca="false">IF(INPUTS!$F$144&lt;&gt;"Yes",0,IF(INPUTS!$J$144="Follow Construction",AN$100,IF(INPUTS!$J$144="Follow Sales",AN$99,IF(INPUTS!$J$144="Follow Collections",AN$108,IF(OR(TIMELINE!AN173=0,TIMELINE!$C$172=0),0,IF(IF(INPUTS!$J$144="Follow Project Life","Even",IF(INPUTS!$J$144="At Project End","Upfront",INPUTS!$J$144))="Upfront",--(TIMELINE!AN173=1),IF(IF(INPUTS!$J$144="Follow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End","Upfront",INPUTS!$J$144))="Front-loaded",(TIMELINE!$C$172-TIMELINE!AN173+1)*2/(TIMELINE!$C$172*(TIMELINE!$C$172+1)),IF(IF(INPUTS!$J$144="Follow Project Life","Even",IF(INPUTS!$J$144="At Project End","Upfront",INPUTS!$J$144))="Back-loaded",TIMELINE!AN173*2/(TIMELINE!$C$172*(TIMELINE!$C$172+1)),IF(IF(INPUTS!$J$144="Follow Project Life","Even",IF(INPUTS!$J$144="At Project End","Upfront",INPUTS!$J$144))="S-curve",SIN(PI()*(TIMELINE!AN173-0.5)/TIMELINE!$C$172)*SIN(PI()/(2*TIMELINE!$C$172)),0))))))))))</f>
        <v>0</v>
      </c>
      <c r="AO161" s="118" t="n">
        <f aca="false">IF(INPUTS!$F$144&lt;&gt;"Yes",0,IF(INPUTS!$J$144="Follow Construction",AO$100,IF(INPUTS!$J$144="Follow Sales",AO$99,IF(INPUTS!$J$144="Follow Collections",AO$108,IF(OR(TIMELINE!AO173=0,TIMELINE!$C$172=0),0,IF(IF(INPUTS!$J$144="Follow Project Life","Even",IF(INPUTS!$J$144="At Project End","Upfront",INPUTS!$J$144))="Upfront",--(TIMELINE!AO173=1),IF(IF(INPUTS!$J$144="Follow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End","Upfront",INPUTS!$J$144))="Front-loaded",(TIMELINE!$C$172-TIMELINE!AO173+1)*2/(TIMELINE!$C$172*(TIMELINE!$C$172+1)),IF(IF(INPUTS!$J$144="Follow Project Life","Even",IF(INPUTS!$J$144="At Project End","Upfront",INPUTS!$J$144))="Back-loaded",TIMELINE!AO173*2/(TIMELINE!$C$172*(TIMELINE!$C$172+1)),IF(IF(INPUTS!$J$144="Follow Project Life","Even",IF(INPUTS!$J$144="At Project End","Upfront",INPUTS!$J$144))="S-curve",SIN(PI()*(TIMELINE!AO173-0.5)/TIMELINE!$C$172)*SIN(PI()/(2*TIMELINE!$C$172)),0))))))))))</f>
        <v>0</v>
      </c>
      <c r="AP161" s="118" t="n">
        <f aca="false">IF(INPUTS!$F$144&lt;&gt;"Yes",0,IF(INPUTS!$J$144="Follow Construction",AP$100,IF(INPUTS!$J$144="Follow Sales",AP$99,IF(INPUTS!$J$144="Follow Collections",AP$108,IF(OR(TIMELINE!AP173=0,TIMELINE!$C$172=0),0,IF(IF(INPUTS!$J$144="Follow Project Life","Even",IF(INPUTS!$J$144="At Project End","Upfront",INPUTS!$J$144))="Upfront",--(TIMELINE!AP173=1),IF(IF(INPUTS!$J$144="Follow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End","Upfront",INPUTS!$J$144))="Front-loaded",(TIMELINE!$C$172-TIMELINE!AP173+1)*2/(TIMELINE!$C$172*(TIMELINE!$C$172+1)),IF(IF(INPUTS!$J$144="Follow Project Life","Even",IF(INPUTS!$J$144="At Project End","Upfront",INPUTS!$J$144))="Back-loaded",TIMELINE!AP173*2/(TIMELINE!$C$172*(TIMELINE!$C$172+1)),IF(IF(INPUTS!$J$144="Follow Project Life","Even",IF(INPUTS!$J$144="At Project End","Upfront",INPUTS!$J$144))="S-curve",SIN(PI()*(TIMELINE!AP173-0.5)/TIMELINE!$C$172)*SIN(PI()/(2*TIMELINE!$C$172)),0))))))))))</f>
        <v>0</v>
      </c>
      <c r="AQ161" s="118" t="n">
        <f aca="false">IF(INPUTS!$F$144&lt;&gt;"Yes",0,IF(INPUTS!$J$144="Follow Construction",AQ$100,IF(INPUTS!$J$144="Follow Sales",AQ$99,IF(INPUTS!$J$144="Follow Collections",AQ$108,IF(OR(TIMELINE!AQ173=0,TIMELINE!$C$172=0),0,IF(IF(INPUTS!$J$144="Follow Project Life","Even",IF(INPUTS!$J$144="At Project End","Upfront",INPUTS!$J$144))="Upfront",--(TIMELINE!AQ173=1),IF(IF(INPUTS!$J$144="Follow Project Life","Even",IF(INPUTS!$J$144="At Project End","Upfront",INPUTS!$J$144))="Even",1/TIMELINE!$C$172,IF(IF(INPUTS!$J$144="Follow Project Life","Even",IF(INPUTS!$J$144="At Project End","Upfront",INPUTS!$J$144))="Front-loaded",(TIMELINE!$C$172-TIMELINE!AQ173+1)*2/(TIMELINE!$C$172*(TIMELINE!$C$172+1)),IF(IF(INPUTS!$J$144="Follow Project Life","Even",IF(INPUTS!$J$144="At Project End","Upfront",INPUTS!$J$144))="Back-loaded",TIMELINE!AQ173*2/(TIMELINE!$C$172*(TIMELINE!$C$172+1)),IF(IF(INPUTS!$J$144="Follow Project Life","Even",IF(INPUTS!$J$144="At Project End","Upfront",INPUTS!$J$144))="S-curve",SIN(PI()*(TIMELINE!AQ173-0.5)/TIMELINE!$C$172)*SIN(PI()/(2*TIMELINE!$C$172)),0))))))))))</f>
        <v>0</v>
      </c>
    </row>
    <row r="162" customFormat="false" ht="15" hidden="false" customHeight="false" outlineLevel="0" collapsed="false">
      <c r="B162" s="17" t="s">
        <v>689</v>
      </c>
      <c r="C162" s="105" t="str">
        <f aca="false">IF(INPUTS!$B$144="","",IF(INPUTS!$F$144&lt;&gt;"Yes","Off",IF(INPUTS!$M$144&lt;&gt;"OK","ERROR",IF(ABS(C161-1)&lt;0.000000001,"OK",IF(AND(C161=0,INPUTS!$G$144=0),"Zero","ERROR")))))</f>
        <v>OK</v>
      </c>
    </row>
    <row r="163" customFormat="false" ht="15" hidden="false" customHeight="false" outlineLevel="0" collapsed="false">
      <c r="B163" s="110" t="str">
        <f aca="false">IF(INPUTS!$B$145="","Spare cost row",INPUTS!$B$145)</f>
        <v>Furnishing Cost for Studios</v>
      </c>
      <c r="C163" s="111" t="str">
        <f aca="false">IF(INPUTS!$J$145="","",INPUTS!$J$145)</f>
        <v>Follow Construction</v>
      </c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</row>
    <row r="164" customFormat="false" ht="15" hidden="false" customHeight="false" outlineLevel="0" collapsed="false">
      <c r="B164" s="3" t="s">
        <v>688</v>
      </c>
      <c r="C164" s="117" t="n">
        <f aca="false">SUM(D164:AQ164)</f>
        <v>0</v>
      </c>
      <c r="D164" s="118" t="n">
        <f aca="false">IF(INPUTS!$F$145&lt;&gt;"Yes",0,IF(INPUTS!$J$145="Follow Construction",D$100,IF(INPUTS!$J$145="Follow Sales",D$99,IF(INPUTS!$J$145="Follow Collections",D$108,IF(OR(TIMELINE!D177=0,TIMELINE!$C$176=0),0,IF(IF(INPUTS!$J$145="Follow Project Life","Even",IF(INPUTS!$J$145="At Project End","Upfront",INPUTS!$J$145))="Upfront",--(TIMELINE!D177=1),IF(IF(INPUTS!$J$145="Follow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End","Upfront",INPUTS!$J$145))="Front-loaded",(TIMELINE!$C$176-TIMELINE!D177+1)*2/(TIMELINE!$C$176*(TIMELINE!$C$176+1)),IF(IF(INPUTS!$J$145="Follow Project Life","Even",IF(INPUTS!$J$145="At Project End","Upfront",INPUTS!$J$145))="Back-loaded",TIMELINE!D177*2/(TIMELINE!$C$176*(TIMELINE!$C$176+1)),IF(IF(INPUTS!$J$145="Follow Project Life","Even",IF(INPUTS!$J$145="At Project End","Upfront",INPUTS!$J$145))="S-curve",SIN(PI()*(TIMELINE!D177-0.5)/TIMELINE!$C$176)*SIN(PI()/(2*TIMELINE!$C$176)),0))))))))))</f>
        <v>0</v>
      </c>
      <c r="E164" s="118" t="n">
        <f aca="false">IF(INPUTS!$F$145&lt;&gt;"Yes",0,IF(INPUTS!$J$145="Follow Construction",E$100,IF(INPUTS!$J$145="Follow Sales",E$99,IF(INPUTS!$J$145="Follow Collections",E$108,IF(OR(TIMELINE!E177=0,TIMELINE!$C$176=0),0,IF(IF(INPUTS!$J$145="Follow Project Life","Even",IF(INPUTS!$J$145="At Project End","Upfront",INPUTS!$J$145))="Upfront",--(TIMELINE!E177=1),IF(IF(INPUTS!$J$145="Follow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End","Upfront",INPUTS!$J$145))="Front-loaded",(TIMELINE!$C$176-TIMELINE!E177+1)*2/(TIMELINE!$C$176*(TIMELINE!$C$176+1)),IF(IF(INPUTS!$J$145="Follow Project Life","Even",IF(INPUTS!$J$145="At Project End","Upfront",INPUTS!$J$145))="Back-loaded",TIMELINE!E177*2/(TIMELINE!$C$176*(TIMELINE!$C$176+1)),IF(IF(INPUTS!$J$145="Follow Project Life","Even",IF(INPUTS!$J$145="At Project End","Upfront",INPUTS!$J$145))="S-curve",SIN(PI()*(TIMELINE!E177-0.5)/TIMELINE!$C$176)*SIN(PI()/(2*TIMELINE!$C$176)),0))))))))))</f>
        <v>0</v>
      </c>
      <c r="F164" s="118" t="n">
        <f aca="false">IF(INPUTS!$F$145&lt;&gt;"Yes",0,IF(INPUTS!$J$145="Follow Construction",F$100,IF(INPUTS!$J$145="Follow Sales",F$99,IF(INPUTS!$J$145="Follow Collections",F$108,IF(OR(TIMELINE!F177=0,TIMELINE!$C$176=0),0,IF(IF(INPUTS!$J$145="Follow Project Life","Even",IF(INPUTS!$J$145="At Project End","Upfront",INPUTS!$J$145))="Upfront",--(TIMELINE!F177=1),IF(IF(INPUTS!$J$145="Follow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End","Upfront",INPUTS!$J$145))="Front-loaded",(TIMELINE!$C$176-TIMELINE!F177+1)*2/(TIMELINE!$C$176*(TIMELINE!$C$176+1)),IF(IF(INPUTS!$J$145="Follow Project Life","Even",IF(INPUTS!$J$145="At Project End","Upfront",INPUTS!$J$145))="Back-loaded",TIMELINE!F177*2/(TIMELINE!$C$176*(TIMELINE!$C$176+1)),IF(IF(INPUTS!$J$145="Follow Project Life","Even",IF(INPUTS!$J$145="At Project End","Upfront",INPUTS!$J$145))="S-curve",SIN(PI()*(TIMELINE!F177-0.5)/TIMELINE!$C$176)*SIN(PI()/(2*TIMELINE!$C$176)),0))))))))))</f>
        <v>0</v>
      </c>
      <c r="G164" s="118" t="n">
        <f aca="false">IF(INPUTS!$F$145&lt;&gt;"Yes",0,IF(INPUTS!$J$145="Follow Construction",G$100,IF(INPUTS!$J$145="Follow Sales",G$99,IF(INPUTS!$J$145="Follow Collections",G$108,IF(OR(TIMELINE!G177=0,TIMELINE!$C$176=0),0,IF(IF(INPUTS!$J$145="Follow Project Life","Even",IF(INPUTS!$J$145="At Project End","Upfront",INPUTS!$J$145))="Upfront",--(TIMELINE!G177=1),IF(IF(INPUTS!$J$145="Follow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End","Upfront",INPUTS!$J$145))="Front-loaded",(TIMELINE!$C$176-TIMELINE!G177+1)*2/(TIMELINE!$C$176*(TIMELINE!$C$176+1)),IF(IF(INPUTS!$J$145="Follow Project Life","Even",IF(INPUTS!$J$145="At Project End","Upfront",INPUTS!$J$145))="Back-loaded",TIMELINE!G177*2/(TIMELINE!$C$176*(TIMELINE!$C$176+1)),IF(IF(INPUTS!$J$145="Follow Project Life","Even",IF(INPUTS!$J$145="At Project End","Upfront",INPUTS!$J$145))="S-curve",SIN(PI()*(TIMELINE!G177-0.5)/TIMELINE!$C$176)*SIN(PI()/(2*TIMELINE!$C$176)),0))))))))))</f>
        <v>0</v>
      </c>
      <c r="H164" s="118" t="n">
        <f aca="false">IF(INPUTS!$F$145&lt;&gt;"Yes",0,IF(INPUTS!$J$145="Follow Construction",H$100,IF(INPUTS!$J$145="Follow Sales",H$99,IF(INPUTS!$J$145="Follow Collections",H$108,IF(OR(TIMELINE!H177=0,TIMELINE!$C$176=0),0,IF(IF(INPUTS!$J$145="Follow Project Life","Even",IF(INPUTS!$J$145="At Project End","Upfront",INPUTS!$J$145))="Upfront",--(TIMELINE!H177=1),IF(IF(INPUTS!$J$145="Follow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End","Upfront",INPUTS!$J$145))="Front-loaded",(TIMELINE!$C$176-TIMELINE!H177+1)*2/(TIMELINE!$C$176*(TIMELINE!$C$176+1)),IF(IF(INPUTS!$J$145="Follow Project Life","Even",IF(INPUTS!$J$145="At Project End","Upfront",INPUTS!$J$145))="Back-loaded",TIMELINE!H177*2/(TIMELINE!$C$176*(TIMELINE!$C$176+1)),IF(IF(INPUTS!$J$145="Follow Project Life","Even",IF(INPUTS!$J$145="At Project End","Upfront",INPUTS!$J$145))="S-curve",SIN(PI()*(TIMELINE!H177-0.5)/TIMELINE!$C$176)*SIN(PI()/(2*TIMELINE!$C$176)),0))))))))))</f>
        <v>0</v>
      </c>
      <c r="I164" s="118" t="n">
        <f aca="false">IF(INPUTS!$F$145&lt;&gt;"Yes",0,IF(INPUTS!$J$145="Follow Construction",I$100,IF(INPUTS!$J$145="Follow Sales",I$99,IF(INPUTS!$J$145="Follow Collections",I$108,IF(OR(TIMELINE!I177=0,TIMELINE!$C$176=0),0,IF(IF(INPUTS!$J$145="Follow Project Life","Even",IF(INPUTS!$J$145="At Project End","Upfront",INPUTS!$J$145))="Upfront",--(TIMELINE!I177=1),IF(IF(INPUTS!$J$145="Follow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End","Upfront",INPUTS!$J$145))="Front-loaded",(TIMELINE!$C$176-TIMELINE!I177+1)*2/(TIMELINE!$C$176*(TIMELINE!$C$176+1)),IF(IF(INPUTS!$J$145="Follow Project Life","Even",IF(INPUTS!$J$145="At Project End","Upfront",INPUTS!$J$145))="Back-loaded",TIMELINE!I177*2/(TIMELINE!$C$176*(TIMELINE!$C$176+1)),IF(IF(INPUTS!$J$145="Follow Project Life","Even",IF(INPUTS!$J$145="At Project End","Upfront",INPUTS!$J$145))="S-curve",SIN(PI()*(TIMELINE!I177-0.5)/TIMELINE!$C$176)*SIN(PI()/(2*TIMELINE!$C$176)),0))))))))))</f>
        <v>0</v>
      </c>
      <c r="J164" s="118" t="n">
        <f aca="false">IF(INPUTS!$F$145&lt;&gt;"Yes",0,IF(INPUTS!$J$145="Follow Construction",J$100,IF(INPUTS!$J$145="Follow Sales",J$99,IF(INPUTS!$J$145="Follow Collections",J$108,IF(OR(TIMELINE!J177=0,TIMELINE!$C$176=0),0,IF(IF(INPUTS!$J$145="Follow Project Life","Even",IF(INPUTS!$J$145="At Project End","Upfront",INPUTS!$J$145))="Upfront",--(TIMELINE!J177=1),IF(IF(INPUTS!$J$145="Follow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End","Upfront",INPUTS!$J$145))="Front-loaded",(TIMELINE!$C$176-TIMELINE!J177+1)*2/(TIMELINE!$C$176*(TIMELINE!$C$176+1)),IF(IF(INPUTS!$J$145="Follow Project Life","Even",IF(INPUTS!$J$145="At Project End","Upfront",INPUTS!$J$145))="Back-loaded",TIMELINE!J177*2/(TIMELINE!$C$176*(TIMELINE!$C$176+1)),IF(IF(INPUTS!$J$145="Follow Project Life","Even",IF(INPUTS!$J$145="At Project End","Upfront",INPUTS!$J$145))="S-curve",SIN(PI()*(TIMELINE!J177-0.5)/TIMELINE!$C$176)*SIN(PI()/(2*TIMELINE!$C$176)),0))))))))))</f>
        <v>0</v>
      </c>
      <c r="K164" s="118" t="n">
        <f aca="false">IF(INPUTS!$F$145&lt;&gt;"Yes",0,IF(INPUTS!$J$145="Follow Construction",K$100,IF(INPUTS!$J$145="Follow Sales",K$99,IF(INPUTS!$J$145="Follow Collections",K$108,IF(OR(TIMELINE!K177=0,TIMELINE!$C$176=0),0,IF(IF(INPUTS!$J$145="Follow Project Life","Even",IF(INPUTS!$J$145="At Project End","Upfront",INPUTS!$J$145))="Upfront",--(TIMELINE!K177=1),IF(IF(INPUTS!$J$145="Follow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End","Upfront",INPUTS!$J$145))="Front-loaded",(TIMELINE!$C$176-TIMELINE!K177+1)*2/(TIMELINE!$C$176*(TIMELINE!$C$176+1)),IF(IF(INPUTS!$J$145="Follow Project Life","Even",IF(INPUTS!$J$145="At Project End","Upfront",INPUTS!$J$145))="Back-loaded",TIMELINE!K177*2/(TIMELINE!$C$176*(TIMELINE!$C$176+1)),IF(IF(INPUTS!$J$145="Follow Project Life","Even",IF(INPUTS!$J$145="At Project End","Upfront",INPUTS!$J$145))="S-curve",SIN(PI()*(TIMELINE!K177-0.5)/TIMELINE!$C$176)*SIN(PI()/(2*TIMELINE!$C$176)),0))))))))))</f>
        <v>0</v>
      </c>
      <c r="L164" s="118" t="n">
        <f aca="false">IF(INPUTS!$F$145&lt;&gt;"Yes",0,IF(INPUTS!$J$145="Follow Construction",L$100,IF(INPUTS!$J$145="Follow Sales",L$99,IF(INPUTS!$J$145="Follow Collections",L$108,IF(OR(TIMELINE!L177=0,TIMELINE!$C$176=0),0,IF(IF(INPUTS!$J$145="Follow Project Life","Even",IF(INPUTS!$J$145="At Project End","Upfront",INPUTS!$J$145))="Upfront",--(TIMELINE!L177=1),IF(IF(INPUTS!$J$145="Follow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End","Upfront",INPUTS!$J$145))="Front-loaded",(TIMELINE!$C$176-TIMELINE!L177+1)*2/(TIMELINE!$C$176*(TIMELINE!$C$176+1)),IF(IF(INPUTS!$J$145="Follow Project Life","Even",IF(INPUTS!$J$145="At Project End","Upfront",INPUTS!$J$145))="Back-loaded",TIMELINE!L177*2/(TIMELINE!$C$176*(TIMELINE!$C$176+1)),IF(IF(INPUTS!$J$145="Follow Project Life","Even",IF(INPUTS!$J$145="At Project End","Upfront",INPUTS!$J$145))="S-curve",SIN(PI()*(TIMELINE!L177-0.5)/TIMELINE!$C$176)*SIN(PI()/(2*TIMELINE!$C$176)),0))))))))))</f>
        <v>0</v>
      </c>
      <c r="M164" s="118" t="n">
        <f aca="false">IF(INPUTS!$F$145&lt;&gt;"Yes",0,IF(INPUTS!$J$145="Follow Construction",M$100,IF(INPUTS!$J$145="Follow Sales",M$99,IF(INPUTS!$J$145="Follow Collections",M$108,IF(OR(TIMELINE!M177=0,TIMELINE!$C$176=0),0,IF(IF(INPUTS!$J$145="Follow Project Life","Even",IF(INPUTS!$J$145="At Project End","Upfront",INPUTS!$J$145))="Upfront",--(TIMELINE!M177=1),IF(IF(INPUTS!$J$145="Follow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End","Upfront",INPUTS!$J$145))="Front-loaded",(TIMELINE!$C$176-TIMELINE!M177+1)*2/(TIMELINE!$C$176*(TIMELINE!$C$176+1)),IF(IF(INPUTS!$J$145="Follow Project Life","Even",IF(INPUTS!$J$145="At Project End","Upfront",INPUTS!$J$145))="Back-loaded",TIMELINE!M177*2/(TIMELINE!$C$176*(TIMELINE!$C$176+1)),IF(IF(INPUTS!$J$145="Follow Project Life","Even",IF(INPUTS!$J$145="At Project End","Upfront",INPUTS!$J$145))="S-curve",SIN(PI()*(TIMELINE!M177-0.5)/TIMELINE!$C$176)*SIN(PI()/(2*TIMELINE!$C$176)),0))))))))))</f>
        <v>0</v>
      </c>
      <c r="N164" s="118" t="n">
        <f aca="false">IF(INPUTS!$F$145&lt;&gt;"Yes",0,IF(INPUTS!$J$145="Follow Construction",N$100,IF(INPUTS!$J$145="Follow Sales",N$99,IF(INPUTS!$J$145="Follow Collections",N$108,IF(OR(TIMELINE!N177=0,TIMELINE!$C$176=0),0,IF(IF(INPUTS!$J$145="Follow Project Life","Even",IF(INPUTS!$J$145="At Project End","Upfront",INPUTS!$J$145))="Upfront",--(TIMELINE!N177=1),IF(IF(INPUTS!$J$145="Follow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End","Upfront",INPUTS!$J$145))="Front-loaded",(TIMELINE!$C$176-TIMELINE!N177+1)*2/(TIMELINE!$C$176*(TIMELINE!$C$176+1)),IF(IF(INPUTS!$J$145="Follow Project Life","Even",IF(INPUTS!$J$145="At Project End","Upfront",INPUTS!$J$145))="Back-loaded",TIMELINE!N177*2/(TIMELINE!$C$176*(TIMELINE!$C$176+1)),IF(IF(INPUTS!$J$145="Follow Project Life","Even",IF(INPUTS!$J$145="At Project End","Upfront",INPUTS!$J$145))="S-curve",SIN(PI()*(TIMELINE!N177-0.5)/TIMELINE!$C$176)*SIN(PI()/(2*TIMELINE!$C$176)),0))))))))))</f>
        <v>0</v>
      </c>
      <c r="O164" s="118" t="n">
        <f aca="false">IF(INPUTS!$F$145&lt;&gt;"Yes",0,IF(INPUTS!$J$145="Follow Construction",O$100,IF(INPUTS!$J$145="Follow Sales",O$99,IF(INPUTS!$J$145="Follow Collections",O$108,IF(OR(TIMELINE!O177=0,TIMELINE!$C$176=0),0,IF(IF(INPUTS!$J$145="Follow Project Life","Even",IF(INPUTS!$J$145="At Project End","Upfront",INPUTS!$J$145))="Upfront",--(TIMELINE!O177=1),IF(IF(INPUTS!$J$145="Follow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End","Upfront",INPUTS!$J$145))="Front-loaded",(TIMELINE!$C$176-TIMELINE!O177+1)*2/(TIMELINE!$C$176*(TIMELINE!$C$176+1)),IF(IF(INPUTS!$J$145="Follow Project Life","Even",IF(INPUTS!$J$145="At Project End","Upfront",INPUTS!$J$145))="Back-loaded",TIMELINE!O177*2/(TIMELINE!$C$176*(TIMELINE!$C$176+1)),IF(IF(INPUTS!$J$145="Follow Project Life","Even",IF(INPUTS!$J$145="At Project End","Upfront",INPUTS!$J$145))="S-curve",SIN(PI()*(TIMELINE!O177-0.5)/TIMELINE!$C$176)*SIN(PI()/(2*TIMELINE!$C$176)),0))))))))))</f>
        <v>0</v>
      </c>
      <c r="P164" s="118" t="n">
        <f aca="false">IF(INPUTS!$F$145&lt;&gt;"Yes",0,IF(INPUTS!$J$145="Follow Construction",P$100,IF(INPUTS!$J$145="Follow Sales",P$99,IF(INPUTS!$J$145="Follow Collections",P$108,IF(OR(TIMELINE!P177=0,TIMELINE!$C$176=0),0,IF(IF(INPUTS!$J$145="Follow Project Life","Even",IF(INPUTS!$J$145="At Project End","Upfront",INPUTS!$J$145))="Upfront",--(TIMELINE!P177=1),IF(IF(INPUTS!$J$145="Follow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End","Upfront",INPUTS!$J$145))="Front-loaded",(TIMELINE!$C$176-TIMELINE!P177+1)*2/(TIMELINE!$C$176*(TIMELINE!$C$176+1)),IF(IF(INPUTS!$J$145="Follow Project Life","Even",IF(INPUTS!$J$145="At Project End","Upfront",INPUTS!$J$145))="Back-loaded",TIMELINE!P177*2/(TIMELINE!$C$176*(TIMELINE!$C$176+1)),IF(IF(INPUTS!$J$145="Follow Project Life","Even",IF(INPUTS!$J$145="At Project End","Upfront",INPUTS!$J$145))="S-curve",SIN(PI()*(TIMELINE!P177-0.5)/TIMELINE!$C$176)*SIN(PI()/(2*TIMELINE!$C$176)),0))))))))))</f>
        <v>0</v>
      </c>
      <c r="Q164" s="118" t="n">
        <f aca="false">IF(INPUTS!$F$145&lt;&gt;"Yes",0,IF(INPUTS!$J$145="Follow Construction",Q$100,IF(INPUTS!$J$145="Follow Sales",Q$99,IF(INPUTS!$J$145="Follow Collections",Q$108,IF(OR(TIMELINE!Q177=0,TIMELINE!$C$176=0),0,IF(IF(INPUTS!$J$145="Follow Project Life","Even",IF(INPUTS!$J$145="At Project End","Upfront",INPUTS!$J$145))="Upfront",--(TIMELINE!Q177=1),IF(IF(INPUTS!$J$145="Follow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End","Upfront",INPUTS!$J$145))="Front-loaded",(TIMELINE!$C$176-TIMELINE!Q177+1)*2/(TIMELINE!$C$176*(TIMELINE!$C$176+1)),IF(IF(INPUTS!$J$145="Follow Project Life","Even",IF(INPUTS!$J$145="At Project End","Upfront",INPUTS!$J$145))="Back-loaded",TIMELINE!Q177*2/(TIMELINE!$C$176*(TIMELINE!$C$176+1)),IF(IF(INPUTS!$J$145="Follow Project Life","Even",IF(INPUTS!$J$145="At Project End","Upfront",INPUTS!$J$145))="S-curve",SIN(PI()*(TIMELINE!Q177-0.5)/TIMELINE!$C$176)*SIN(PI()/(2*TIMELINE!$C$176)),0))))))))))</f>
        <v>0</v>
      </c>
      <c r="R164" s="118" t="n">
        <f aca="false">IF(INPUTS!$F$145&lt;&gt;"Yes",0,IF(INPUTS!$J$145="Follow Construction",R$100,IF(INPUTS!$J$145="Follow Sales",R$99,IF(INPUTS!$J$145="Follow Collections",R$108,IF(OR(TIMELINE!R177=0,TIMELINE!$C$176=0),0,IF(IF(INPUTS!$J$145="Follow Project Life","Even",IF(INPUTS!$J$145="At Project End","Upfront",INPUTS!$J$145))="Upfront",--(TIMELINE!R177=1),IF(IF(INPUTS!$J$145="Follow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End","Upfront",INPUTS!$J$145))="Front-loaded",(TIMELINE!$C$176-TIMELINE!R177+1)*2/(TIMELINE!$C$176*(TIMELINE!$C$176+1)),IF(IF(INPUTS!$J$145="Follow Project Life","Even",IF(INPUTS!$J$145="At Project End","Upfront",INPUTS!$J$145))="Back-loaded",TIMELINE!R177*2/(TIMELINE!$C$176*(TIMELINE!$C$176+1)),IF(IF(INPUTS!$J$145="Follow Project Life","Even",IF(INPUTS!$J$145="At Project End","Upfront",INPUTS!$J$145))="S-curve",SIN(PI()*(TIMELINE!R177-0.5)/TIMELINE!$C$176)*SIN(PI()/(2*TIMELINE!$C$176)),0))))))))))</f>
        <v>0</v>
      </c>
      <c r="S164" s="118" t="n">
        <f aca="false">IF(INPUTS!$F$145&lt;&gt;"Yes",0,IF(INPUTS!$J$145="Follow Construction",S$100,IF(INPUTS!$J$145="Follow Sales",S$99,IF(INPUTS!$J$145="Follow Collections",S$108,IF(OR(TIMELINE!S177=0,TIMELINE!$C$176=0),0,IF(IF(INPUTS!$J$145="Follow Project Life","Even",IF(INPUTS!$J$145="At Project End","Upfront",INPUTS!$J$145))="Upfront",--(TIMELINE!S177=1),IF(IF(INPUTS!$J$145="Follow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End","Upfront",INPUTS!$J$145))="Front-loaded",(TIMELINE!$C$176-TIMELINE!S177+1)*2/(TIMELINE!$C$176*(TIMELINE!$C$176+1)),IF(IF(INPUTS!$J$145="Follow Project Life","Even",IF(INPUTS!$J$145="At Project End","Upfront",INPUTS!$J$145))="Back-loaded",TIMELINE!S177*2/(TIMELINE!$C$176*(TIMELINE!$C$176+1)),IF(IF(INPUTS!$J$145="Follow Project Life","Even",IF(INPUTS!$J$145="At Project End","Upfront",INPUTS!$J$145))="S-curve",SIN(PI()*(TIMELINE!S177-0.5)/TIMELINE!$C$176)*SIN(PI()/(2*TIMELINE!$C$176)),0))))))))))</f>
        <v>0</v>
      </c>
      <c r="T164" s="118" t="n">
        <f aca="false">IF(INPUTS!$F$145&lt;&gt;"Yes",0,IF(INPUTS!$J$145="Follow Construction",T$100,IF(INPUTS!$J$145="Follow Sales",T$99,IF(INPUTS!$J$145="Follow Collections",T$108,IF(OR(TIMELINE!T177=0,TIMELINE!$C$176=0),0,IF(IF(INPUTS!$J$145="Follow Project Life","Even",IF(INPUTS!$J$145="At Project End","Upfront",INPUTS!$J$145))="Upfront",--(TIMELINE!T177=1),IF(IF(INPUTS!$J$145="Follow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End","Upfront",INPUTS!$J$145))="Front-loaded",(TIMELINE!$C$176-TIMELINE!T177+1)*2/(TIMELINE!$C$176*(TIMELINE!$C$176+1)),IF(IF(INPUTS!$J$145="Follow Project Life","Even",IF(INPUTS!$J$145="At Project End","Upfront",INPUTS!$J$145))="Back-loaded",TIMELINE!T177*2/(TIMELINE!$C$176*(TIMELINE!$C$176+1)),IF(IF(INPUTS!$J$145="Follow Project Life","Even",IF(INPUTS!$J$145="At Project End","Upfront",INPUTS!$J$145))="S-curve",SIN(PI()*(TIMELINE!T177-0.5)/TIMELINE!$C$176)*SIN(PI()/(2*TIMELINE!$C$176)),0))))))))))</f>
        <v>0</v>
      </c>
      <c r="U164" s="118" t="n">
        <f aca="false">IF(INPUTS!$F$145&lt;&gt;"Yes",0,IF(INPUTS!$J$145="Follow Construction",U$100,IF(INPUTS!$J$145="Follow Sales",U$99,IF(INPUTS!$J$145="Follow Collections",U$108,IF(OR(TIMELINE!U177=0,TIMELINE!$C$176=0),0,IF(IF(INPUTS!$J$145="Follow Project Life","Even",IF(INPUTS!$J$145="At Project End","Upfront",INPUTS!$J$145))="Upfront",--(TIMELINE!U177=1),IF(IF(INPUTS!$J$145="Follow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End","Upfront",INPUTS!$J$145))="Front-loaded",(TIMELINE!$C$176-TIMELINE!U177+1)*2/(TIMELINE!$C$176*(TIMELINE!$C$176+1)),IF(IF(INPUTS!$J$145="Follow Project Life","Even",IF(INPUTS!$J$145="At Project End","Upfront",INPUTS!$J$145))="Back-loaded",TIMELINE!U177*2/(TIMELINE!$C$176*(TIMELINE!$C$176+1)),IF(IF(INPUTS!$J$145="Follow Project Life","Even",IF(INPUTS!$J$145="At Project End","Upfront",INPUTS!$J$145))="S-curve",SIN(PI()*(TIMELINE!U177-0.5)/TIMELINE!$C$176)*SIN(PI()/(2*TIMELINE!$C$176)),0))))))))))</f>
        <v>0</v>
      </c>
      <c r="V164" s="118" t="n">
        <f aca="false">IF(INPUTS!$F$145&lt;&gt;"Yes",0,IF(INPUTS!$J$145="Follow Construction",V$100,IF(INPUTS!$J$145="Follow Sales",V$99,IF(INPUTS!$J$145="Follow Collections",V$108,IF(OR(TIMELINE!V177=0,TIMELINE!$C$176=0),0,IF(IF(INPUTS!$J$145="Follow Project Life","Even",IF(INPUTS!$J$145="At Project End","Upfront",INPUTS!$J$145))="Upfront",--(TIMELINE!V177=1),IF(IF(INPUTS!$J$145="Follow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End","Upfront",INPUTS!$J$145))="Front-loaded",(TIMELINE!$C$176-TIMELINE!V177+1)*2/(TIMELINE!$C$176*(TIMELINE!$C$176+1)),IF(IF(INPUTS!$J$145="Follow Project Life","Even",IF(INPUTS!$J$145="At Project End","Upfront",INPUTS!$J$145))="Back-loaded",TIMELINE!V177*2/(TIMELINE!$C$176*(TIMELINE!$C$176+1)),IF(IF(INPUTS!$J$145="Follow Project Life","Even",IF(INPUTS!$J$145="At Project End","Upfront",INPUTS!$J$145))="S-curve",SIN(PI()*(TIMELINE!V177-0.5)/TIMELINE!$C$176)*SIN(PI()/(2*TIMELINE!$C$176)),0))))))))))</f>
        <v>0</v>
      </c>
      <c r="W164" s="118" t="n">
        <f aca="false">IF(INPUTS!$F$145&lt;&gt;"Yes",0,IF(INPUTS!$J$145="Follow Construction",W$100,IF(INPUTS!$J$145="Follow Sales",W$99,IF(INPUTS!$J$145="Follow Collections",W$108,IF(OR(TIMELINE!W177=0,TIMELINE!$C$176=0),0,IF(IF(INPUTS!$J$145="Follow Project Life","Even",IF(INPUTS!$J$145="At Project End","Upfront",INPUTS!$J$145))="Upfront",--(TIMELINE!W177=1),IF(IF(INPUTS!$J$145="Follow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End","Upfront",INPUTS!$J$145))="Front-loaded",(TIMELINE!$C$176-TIMELINE!W177+1)*2/(TIMELINE!$C$176*(TIMELINE!$C$176+1)),IF(IF(INPUTS!$J$145="Follow Project Life","Even",IF(INPUTS!$J$145="At Project End","Upfront",INPUTS!$J$145))="Back-loaded",TIMELINE!W177*2/(TIMELINE!$C$176*(TIMELINE!$C$176+1)),IF(IF(INPUTS!$J$145="Follow Project Life","Even",IF(INPUTS!$J$145="At Project End","Upfront",INPUTS!$J$145))="S-curve",SIN(PI()*(TIMELINE!W177-0.5)/TIMELINE!$C$176)*SIN(PI()/(2*TIMELINE!$C$176)),0))))))))))</f>
        <v>0</v>
      </c>
      <c r="X164" s="118" t="n">
        <f aca="false">IF(INPUTS!$F$145&lt;&gt;"Yes",0,IF(INPUTS!$J$145="Follow Construction",X$100,IF(INPUTS!$J$145="Follow Sales",X$99,IF(INPUTS!$J$145="Follow Collections",X$108,IF(OR(TIMELINE!X177=0,TIMELINE!$C$176=0),0,IF(IF(INPUTS!$J$145="Follow Project Life","Even",IF(INPUTS!$J$145="At Project End","Upfront",INPUTS!$J$145))="Upfront",--(TIMELINE!X177=1),IF(IF(INPUTS!$J$145="Follow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End","Upfront",INPUTS!$J$145))="Front-loaded",(TIMELINE!$C$176-TIMELINE!X177+1)*2/(TIMELINE!$C$176*(TIMELINE!$C$176+1)),IF(IF(INPUTS!$J$145="Follow Project Life","Even",IF(INPUTS!$J$145="At Project End","Upfront",INPUTS!$J$145))="Back-loaded",TIMELINE!X177*2/(TIMELINE!$C$176*(TIMELINE!$C$176+1)),IF(IF(INPUTS!$J$145="Follow Project Life","Even",IF(INPUTS!$J$145="At Project End","Upfront",INPUTS!$J$145))="S-curve",SIN(PI()*(TIMELINE!X177-0.5)/TIMELINE!$C$176)*SIN(PI()/(2*TIMELINE!$C$176)),0))))))))))</f>
        <v>0</v>
      </c>
      <c r="Y164" s="118" t="n">
        <f aca="false">IF(INPUTS!$F$145&lt;&gt;"Yes",0,IF(INPUTS!$J$145="Follow Construction",Y$100,IF(INPUTS!$J$145="Follow Sales",Y$99,IF(INPUTS!$J$145="Follow Collections",Y$108,IF(OR(TIMELINE!Y177=0,TIMELINE!$C$176=0),0,IF(IF(INPUTS!$J$145="Follow Project Life","Even",IF(INPUTS!$J$145="At Project End","Upfront",INPUTS!$J$145))="Upfront",--(TIMELINE!Y177=1),IF(IF(INPUTS!$J$145="Follow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End","Upfront",INPUTS!$J$145))="Front-loaded",(TIMELINE!$C$176-TIMELINE!Y177+1)*2/(TIMELINE!$C$176*(TIMELINE!$C$176+1)),IF(IF(INPUTS!$J$145="Follow Project Life","Even",IF(INPUTS!$J$145="At Project End","Upfront",INPUTS!$J$145))="Back-loaded",TIMELINE!Y177*2/(TIMELINE!$C$176*(TIMELINE!$C$176+1)),IF(IF(INPUTS!$J$145="Follow Project Life","Even",IF(INPUTS!$J$145="At Project End","Upfront",INPUTS!$J$145))="S-curve",SIN(PI()*(TIMELINE!Y177-0.5)/TIMELINE!$C$176)*SIN(PI()/(2*TIMELINE!$C$176)),0))))))))))</f>
        <v>0</v>
      </c>
      <c r="Z164" s="118" t="n">
        <f aca="false">IF(INPUTS!$F$145&lt;&gt;"Yes",0,IF(INPUTS!$J$145="Follow Construction",Z$100,IF(INPUTS!$J$145="Follow Sales",Z$99,IF(INPUTS!$J$145="Follow Collections",Z$108,IF(OR(TIMELINE!Z177=0,TIMELINE!$C$176=0),0,IF(IF(INPUTS!$J$145="Follow Project Life","Even",IF(INPUTS!$J$145="At Project End","Upfront",INPUTS!$J$145))="Upfront",--(TIMELINE!Z177=1),IF(IF(INPUTS!$J$145="Follow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End","Upfront",INPUTS!$J$145))="Front-loaded",(TIMELINE!$C$176-TIMELINE!Z177+1)*2/(TIMELINE!$C$176*(TIMELINE!$C$176+1)),IF(IF(INPUTS!$J$145="Follow Project Life","Even",IF(INPUTS!$J$145="At Project End","Upfront",INPUTS!$J$145))="Back-loaded",TIMELINE!Z177*2/(TIMELINE!$C$176*(TIMELINE!$C$176+1)),IF(IF(INPUTS!$J$145="Follow Project Life","Even",IF(INPUTS!$J$145="At Project End","Upfront",INPUTS!$J$145))="S-curve",SIN(PI()*(TIMELINE!Z177-0.5)/TIMELINE!$C$176)*SIN(PI()/(2*TIMELINE!$C$176)),0))))))))))</f>
        <v>0</v>
      </c>
      <c r="AA164" s="118" t="n">
        <f aca="false">IF(INPUTS!$F$145&lt;&gt;"Yes",0,IF(INPUTS!$J$145="Follow Construction",AA$100,IF(INPUTS!$J$145="Follow Sales",AA$99,IF(INPUTS!$J$145="Follow Collections",AA$108,IF(OR(TIMELINE!AA177=0,TIMELINE!$C$176=0),0,IF(IF(INPUTS!$J$145="Follow Project Life","Even",IF(INPUTS!$J$145="At Project End","Upfront",INPUTS!$J$145))="Upfront",--(TIMELINE!AA177=1),IF(IF(INPUTS!$J$145="Follow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End","Upfront",INPUTS!$J$145))="Front-loaded",(TIMELINE!$C$176-TIMELINE!AA177+1)*2/(TIMELINE!$C$176*(TIMELINE!$C$176+1)),IF(IF(INPUTS!$J$145="Follow Project Life","Even",IF(INPUTS!$J$145="At Project End","Upfront",INPUTS!$J$145))="Back-loaded",TIMELINE!AA177*2/(TIMELINE!$C$176*(TIMELINE!$C$176+1)),IF(IF(INPUTS!$J$145="Follow Project Life","Even",IF(INPUTS!$J$145="At Project End","Upfront",INPUTS!$J$145))="S-curve",SIN(PI()*(TIMELINE!AA177-0.5)/TIMELINE!$C$176)*SIN(PI()/(2*TIMELINE!$C$176)),0))))))))))</f>
        <v>0</v>
      </c>
      <c r="AB164" s="118" t="n">
        <f aca="false">IF(INPUTS!$F$145&lt;&gt;"Yes",0,IF(INPUTS!$J$145="Follow Construction",AB$100,IF(INPUTS!$J$145="Follow Sales",AB$99,IF(INPUTS!$J$145="Follow Collections",AB$108,IF(OR(TIMELINE!AB177=0,TIMELINE!$C$176=0),0,IF(IF(INPUTS!$J$145="Follow Project Life","Even",IF(INPUTS!$J$145="At Project End","Upfront",INPUTS!$J$145))="Upfront",--(TIMELINE!AB177=1),IF(IF(INPUTS!$J$145="Follow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End","Upfront",INPUTS!$J$145))="Front-loaded",(TIMELINE!$C$176-TIMELINE!AB177+1)*2/(TIMELINE!$C$176*(TIMELINE!$C$176+1)),IF(IF(INPUTS!$J$145="Follow Project Life","Even",IF(INPUTS!$J$145="At Project End","Upfront",INPUTS!$J$145))="Back-loaded",TIMELINE!AB177*2/(TIMELINE!$C$176*(TIMELINE!$C$176+1)),IF(IF(INPUTS!$J$145="Follow Project Life","Even",IF(INPUTS!$J$145="At Project End","Upfront",INPUTS!$J$145))="S-curve",SIN(PI()*(TIMELINE!AB177-0.5)/TIMELINE!$C$176)*SIN(PI()/(2*TIMELINE!$C$176)),0))))))))))</f>
        <v>0</v>
      </c>
      <c r="AC164" s="118" t="n">
        <f aca="false">IF(INPUTS!$F$145&lt;&gt;"Yes",0,IF(INPUTS!$J$145="Follow Construction",AC$100,IF(INPUTS!$J$145="Follow Sales",AC$99,IF(INPUTS!$J$145="Follow Collections",AC$108,IF(OR(TIMELINE!AC177=0,TIMELINE!$C$176=0),0,IF(IF(INPUTS!$J$145="Follow Project Life","Even",IF(INPUTS!$J$145="At Project End","Upfront",INPUTS!$J$145))="Upfront",--(TIMELINE!AC177=1),IF(IF(INPUTS!$J$145="Follow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End","Upfront",INPUTS!$J$145))="Front-loaded",(TIMELINE!$C$176-TIMELINE!AC177+1)*2/(TIMELINE!$C$176*(TIMELINE!$C$176+1)),IF(IF(INPUTS!$J$145="Follow Project Life","Even",IF(INPUTS!$J$145="At Project End","Upfront",INPUTS!$J$145))="Back-loaded",TIMELINE!AC177*2/(TIMELINE!$C$176*(TIMELINE!$C$176+1)),IF(IF(INPUTS!$J$145="Follow Project Life","Even",IF(INPUTS!$J$145="At Project End","Upfront",INPUTS!$J$145))="S-curve",SIN(PI()*(TIMELINE!AC177-0.5)/TIMELINE!$C$176)*SIN(PI()/(2*TIMELINE!$C$176)),0))))))))))</f>
        <v>0</v>
      </c>
      <c r="AD164" s="118" t="n">
        <f aca="false">IF(INPUTS!$F$145&lt;&gt;"Yes",0,IF(INPUTS!$J$145="Follow Construction",AD$100,IF(INPUTS!$J$145="Follow Sales",AD$99,IF(INPUTS!$J$145="Follow Collections",AD$108,IF(OR(TIMELINE!AD177=0,TIMELINE!$C$176=0),0,IF(IF(INPUTS!$J$145="Follow Project Life","Even",IF(INPUTS!$J$145="At Project End","Upfront",INPUTS!$J$145))="Upfront",--(TIMELINE!AD177=1),IF(IF(INPUTS!$J$145="Follow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End","Upfront",INPUTS!$J$145))="Front-loaded",(TIMELINE!$C$176-TIMELINE!AD177+1)*2/(TIMELINE!$C$176*(TIMELINE!$C$176+1)),IF(IF(INPUTS!$J$145="Follow Project Life","Even",IF(INPUTS!$J$145="At Project End","Upfront",INPUTS!$J$145))="Back-loaded",TIMELINE!AD177*2/(TIMELINE!$C$176*(TIMELINE!$C$176+1)),IF(IF(INPUTS!$J$145="Follow Project Life","Even",IF(INPUTS!$J$145="At Project End","Upfront",INPUTS!$J$145))="S-curve",SIN(PI()*(TIMELINE!AD177-0.5)/TIMELINE!$C$176)*SIN(PI()/(2*TIMELINE!$C$176)),0))))))))))</f>
        <v>0</v>
      </c>
      <c r="AE164" s="118" t="n">
        <f aca="false">IF(INPUTS!$F$145&lt;&gt;"Yes",0,IF(INPUTS!$J$145="Follow Construction",AE$100,IF(INPUTS!$J$145="Follow Sales",AE$99,IF(INPUTS!$J$145="Follow Collections",AE$108,IF(OR(TIMELINE!AE177=0,TIMELINE!$C$176=0),0,IF(IF(INPUTS!$J$145="Follow Project Life","Even",IF(INPUTS!$J$145="At Project End","Upfront",INPUTS!$J$145))="Upfront",--(TIMELINE!AE177=1),IF(IF(INPUTS!$J$145="Follow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End","Upfront",INPUTS!$J$145))="Front-loaded",(TIMELINE!$C$176-TIMELINE!AE177+1)*2/(TIMELINE!$C$176*(TIMELINE!$C$176+1)),IF(IF(INPUTS!$J$145="Follow Project Life","Even",IF(INPUTS!$J$145="At Project End","Upfront",INPUTS!$J$145))="Back-loaded",TIMELINE!AE177*2/(TIMELINE!$C$176*(TIMELINE!$C$176+1)),IF(IF(INPUTS!$J$145="Follow Project Life","Even",IF(INPUTS!$J$145="At Project End","Upfront",INPUTS!$J$145))="S-curve",SIN(PI()*(TIMELINE!AE177-0.5)/TIMELINE!$C$176)*SIN(PI()/(2*TIMELINE!$C$176)),0))))))))))</f>
        <v>0</v>
      </c>
      <c r="AF164" s="118" t="n">
        <f aca="false">IF(INPUTS!$F$145&lt;&gt;"Yes",0,IF(INPUTS!$J$145="Follow Construction",AF$100,IF(INPUTS!$J$145="Follow Sales",AF$99,IF(INPUTS!$J$145="Follow Collections",AF$108,IF(OR(TIMELINE!AF177=0,TIMELINE!$C$176=0),0,IF(IF(INPUTS!$J$145="Follow Project Life","Even",IF(INPUTS!$J$145="At Project End","Upfront",INPUTS!$J$145))="Upfront",--(TIMELINE!AF177=1),IF(IF(INPUTS!$J$145="Follow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End","Upfront",INPUTS!$J$145))="Front-loaded",(TIMELINE!$C$176-TIMELINE!AF177+1)*2/(TIMELINE!$C$176*(TIMELINE!$C$176+1)),IF(IF(INPUTS!$J$145="Follow Project Life","Even",IF(INPUTS!$J$145="At Project End","Upfront",INPUTS!$J$145))="Back-loaded",TIMELINE!AF177*2/(TIMELINE!$C$176*(TIMELINE!$C$176+1)),IF(IF(INPUTS!$J$145="Follow Project Life","Even",IF(INPUTS!$J$145="At Project End","Upfront",INPUTS!$J$145))="S-curve",SIN(PI()*(TIMELINE!AF177-0.5)/TIMELINE!$C$176)*SIN(PI()/(2*TIMELINE!$C$176)),0))))))))))</f>
        <v>0</v>
      </c>
      <c r="AG164" s="118" t="n">
        <f aca="false">IF(INPUTS!$F$145&lt;&gt;"Yes",0,IF(INPUTS!$J$145="Follow Construction",AG$100,IF(INPUTS!$J$145="Follow Sales",AG$99,IF(INPUTS!$J$145="Follow Collections",AG$108,IF(OR(TIMELINE!AG177=0,TIMELINE!$C$176=0),0,IF(IF(INPUTS!$J$145="Follow Project Life","Even",IF(INPUTS!$J$145="At Project End","Upfront",INPUTS!$J$145))="Upfront",--(TIMELINE!AG177=1),IF(IF(INPUTS!$J$145="Follow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End","Upfront",INPUTS!$J$145))="Front-loaded",(TIMELINE!$C$176-TIMELINE!AG177+1)*2/(TIMELINE!$C$176*(TIMELINE!$C$176+1)),IF(IF(INPUTS!$J$145="Follow Project Life","Even",IF(INPUTS!$J$145="At Project End","Upfront",INPUTS!$J$145))="Back-loaded",TIMELINE!AG177*2/(TIMELINE!$C$176*(TIMELINE!$C$176+1)),IF(IF(INPUTS!$J$145="Follow Project Life","Even",IF(INPUTS!$J$145="At Project End","Upfront",INPUTS!$J$145))="S-curve",SIN(PI()*(TIMELINE!AG177-0.5)/TIMELINE!$C$176)*SIN(PI()/(2*TIMELINE!$C$176)),0))))))))))</f>
        <v>0</v>
      </c>
      <c r="AH164" s="118" t="n">
        <f aca="false">IF(INPUTS!$F$145&lt;&gt;"Yes",0,IF(INPUTS!$J$145="Follow Construction",AH$100,IF(INPUTS!$J$145="Follow Sales",AH$99,IF(INPUTS!$J$145="Follow Collections",AH$108,IF(OR(TIMELINE!AH177=0,TIMELINE!$C$176=0),0,IF(IF(INPUTS!$J$145="Follow Project Life","Even",IF(INPUTS!$J$145="At Project End","Upfront",INPUTS!$J$145))="Upfront",--(TIMELINE!AH177=1),IF(IF(INPUTS!$J$145="Follow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End","Upfront",INPUTS!$J$145))="Front-loaded",(TIMELINE!$C$176-TIMELINE!AH177+1)*2/(TIMELINE!$C$176*(TIMELINE!$C$176+1)),IF(IF(INPUTS!$J$145="Follow Project Life","Even",IF(INPUTS!$J$145="At Project End","Upfront",INPUTS!$J$145))="Back-loaded",TIMELINE!AH177*2/(TIMELINE!$C$176*(TIMELINE!$C$176+1)),IF(IF(INPUTS!$J$145="Follow Project Life","Even",IF(INPUTS!$J$145="At Project End","Upfront",INPUTS!$J$145))="S-curve",SIN(PI()*(TIMELINE!AH177-0.5)/TIMELINE!$C$176)*SIN(PI()/(2*TIMELINE!$C$176)),0))))))))))</f>
        <v>0</v>
      </c>
      <c r="AI164" s="118" t="n">
        <f aca="false">IF(INPUTS!$F$145&lt;&gt;"Yes",0,IF(INPUTS!$J$145="Follow Construction",AI$100,IF(INPUTS!$J$145="Follow Sales",AI$99,IF(INPUTS!$J$145="Follow Collections",AI$108,IF(OR(TIMELINE!AI177=0,TIMELINE!$C$176=0),0,IF(IF(INPUTS!$J$145="Follow Project Life","Even",IF(INPUTS!$J$145="At Project End","Upfront",INPUTS!$J$145))="Upfront",--(TIMELINE!AI177=1),IF(IF(INPUTS!$J$145="Follow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End","Upfront",INPUTS!$J$145))="Front-loaded",(TIMELINE!$C$176-TIMELINE!AI177+1)*2/(TIMELINE!$C$176*(TIMELINE!$C$176+1)),IF(IF(INPUTS!$J$145="Follow Project Life","Even",IF(INPUTS!$J$145="At Project End","Upfront",INPUTS!$J$145))="Back-loaded",TIMELINE!AI177*2/(TIMELINE!$C$176*(TIMELINE!$C$176+1)),IF(IF(INPUTS!$J$145="Follow Project Life","Even",IF(INPUTS!$J$145="At Project End","Upfront",INPUTS!$J$145))="S-curve",SIN(PI()*(TIMELINE!AI177-0.5)/TIMELINE!$C$176)*SIN(PI()/(2*TIMELINE!$C$176)),0))))))))))</f>
        <v>0</v>
      </c>
      <c r="AJ164" s="118" t="n">
        <f aca="false">IF(INPUTS!$F$145&lt;&gt;"Yes",0,IF(INPUTS!$J$145="Follow Construction",AJ$100,IF(INPUTS!$J$145="Follow Sales",AJ$99,IF(INPUTS!$J$145="Follow Collections",AJ$108,IF(OR(TIMELINE!AJ177=0,TIMELINE!$C$176=0),0,IF(IF(INPUTS!$J$145="Follow Project Life","Even",IF(INPUTS!$J$145="At Project End","Upfront",INPUTS!$J$145))="Upfront",--(TIMELINE!AJ177=1),IF(IF(INPUTS!$J$145="Follow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End","Upfront",INPUTS!$J$145))="Front-loaded",(TIMELINE!$C$176-TIMELINE!AJ177+1)*2/(TIMELINE!$C$176*(TIMELINE!$C$176+1)),IF(IF(INPUTS!$J$145="Follow Project Life","Even",IF(INPUTS!$J$145="At Project End","Upfront",INPUTS!$J$145))="Back-loaded",TIMELINE!AJ177*2/(TIMELINE!$C$176*(TIMELINE!$C$176+1)),IF(IF(INPUTS!$J$145="Follow Project Life","Even",IF(INPUTS!$J$145="At Project End","Upfront",INPUTS!$J$145))="S-curve",SIN(PI()*(TIMELINE!AJ177-0.5)/TIMELINE!$C$176)*SIN(PI()/(2*TIMELINE!$C$176)),0))))))))))</f>
        <v>0</v>
      </c>
      <c r="AK164" s="118" t="n">
        <f aca="false">IF(INPUTS!$F$145&lt;&gt;"Yes",0,IF(INPUTS!$J$145="Follow Construction",AK$100,IF(INPUTS!$J$145="Follow Sales",AK$99,IF(INPUTS!$J$145="Follow Collections",AK$108,IF(OR(TIMELINE!AK177=0,TIMELINE!$C$176=0),0,IF(IF(INPUTS!$J$145="Follow Project Life","Even",IF(INPUTS!$J$145="At Project End","Upfront",INPUTS!$J$145))="Upfront",--(TIMELINE!AK177=1),IF(IF(INPUTS!$J$145="Follow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End","Upfront",INPUTS!$J$145))="Front-loaded",(TIMELINE!$C$176-TIMELINE!AK177+1)*2/(TIMELINE!$C$176*(TIMELINE!$C$176+1)),IF(IF(INPUTS!$J$145="Follow Project Life","Even",IF(INPUTS!$J$145="At Project End","Upfront",INPUTS!$J$145))="Back-loaded",TIMELINE!AK177*2/(TIMELINE!$C$176*(TIMELINE!$C$176+1)),IF(IF(INPUTS!$J$145="Follow Project Life","Even",IF(INPUTS!$J$145="At Project End","Upfront",INPUTS!$J$145))="S-curve",SIN(PI()*(TIMELINE!AK177-0.5)/TIMELINE!$C$176)*SIN(PI()/(2*TIMELINE!$C$176)),0))))))))))</f>
        <v>0</v>
      </c>
      <c r="AL164" s="118" t="n">
        <f aca="false">IF(INPUTS!$F$145&lt;&gt;"Yes",0,IF(INPUTS!$J$145="Follow Construction",AL$100,IF(INPUTS!$J$145="Follow Sales",AL$99,IF(INPUTS!$J$145="Follow Collections",AL$108,IF(OR(TIMELINE!AL177=0,TIMELINE!$C$176=0),0,IF(IF(INPUTS!$J$145="Follow Project Life","Even",IF(INPUTS!$J$145="At Project End","Upfront",INPUTS!$J$145))="Upfront",--(TIMELINE!AL177=1),IF(IF(INPUTS!$J$145="Follow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End","Upfront",INPUTS!$J$145))="Front-loaded",(TIMELINE!$C$176-TIMELINE!AL177+1)*2/(TIMELINE!$C$176*(TIMELINE!$C$176+1)),IF(IF(INPUTS!$J$145="Follow Project Life","Even",IF(INPUTS!$J$145="At Project End","Upfront",INPUTS!$J$145))="Back-loaded",TIMELINE!AL177*2/(TIMELINE!$C$176*(TIMELINE!$C$176+1)),IF(IF(INPUTS!$J$145="Follow Project Life","Even",IF(INPUTS!$J$145="At Project End","Upfront",INPUTS!$J$145))="S-curve",SIN(PI()*(TIMELINE!AL177-0.5)/TIMELINE!$C$176)*SIN(PI()/(2*TIMELINE!$C$176)),0))))))))))</f>
        <v>0</v>
      </c>
      <c r="AM164" s="118" t="n">
        <f aca="false">IF(INPUTS!$F$145&lt;&gt;"Yes",0,IF(INPUTS!$J$145="Follow Construction",AM$100,IF(INPUTS!$J$145="Follow Sales",AM$99,IF(INPUTS!$J$145="Follow Collections",AM$108,IF(OR(TIMELINE!AM177=0,TIMELINE!$C$176=0),0,IF(IF(INPUTS!$J$145="Follow Project Life","Even",IF(INPUTS!$J$145="At Project End","Upfront",INPUTS!$J$145))="Upfront",--(TIMELINE!AM177=1),IF(IF(INPUTS!$J$145="Follow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End","Upfront",INPUTS!$J$145))="Front-loaded",(TIMELINE!$C$176-TIMELINE!AM177+1)*2/(TIMELINE!$C$176*(TIMELINE!$C$176+1)),IF(IF(INPUTS!$J$145="Follow Project Life","Even",IF(INPUTS!$J$145="At Project End","Upfront",INPUTS!$J$145))="Back-loaded",TIMELINE!AM177*2/(TIMELINE!$C$176*(TIMELINE!$C$176+1)),IF(IF(INPUTS!$J$145="Follow Project Life","Even",IF(INPUTS!$J$145="At Project End","Upfront",INPUTS!$J$145))="S-curve",SIN(PI()*(TIMELINE!AM177-0.5)/TIMELINE!$C$176)*SIN(PI()/(2*TIMELINE!$C$176)),0))))))))))</f>
        <v>0</v>
      </c>
      <c r="AN164" s="118" t="n">
        <f aca="false">IF(INPUTS!$F$145&lt;&gt;"Yes",0,IF(INPUTS!$J$145="Follow Construction",AN$100,IF(INPUTS!$J$145="Follow Sales",AN$99,IF(INPUTS!$J$145="Follow Collections",AN$108,IF(OR(TIMELINE!AN177=0,TIMELINE!$C$176=0),0,IF(IF(INPUTS!$J$145="Follow Project Life","Even",IF(INPUTS!$J$145="At Project End","Upfront",INPUTS!$J$145))="Upfront",--(TIMELINE!AN177=1),IF(IF(INPUTS!$J$145="Follow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End","Upfront",INPUTS!$J$145))="Front-loaded",(TIMELINE!$C$176-TIMELINE!AN177+1)*2/(TIMELINE!$C$176*(TIMELINE!$C$176+1)),IF(IF(INPUTS!$J$145="Follow Project Life","Even",IF(INPUTS!$J$145="At Project End","Upfront",INPUTS!$J$145))="Back-loaded",TIMELINE!AN177*2/(TIMELINE!$C$176*(TIMELINE!$C$176+1)),IF(IF(INPUTS!$J$145="Follow Project Life","Even",IF(INPUTS!$J$145="At Project End","Upfront",INPUTS!$J$145))="S-curve",SIN(PI()*(TIMELINE!AN177-0.5)/TIMELINE!$C$176)*SIN(PI()/(2*TIMELINE!$C$176)),0))))))))))</f>
        <v>0</v>
      </c>
      <c r="AO164" s="118" t="n">
        <f aca="false">IF(INPUTS!$F$145&lt;&gt;"Yes",0,IF(INPUTS!$J$145="Follow Construction",AO$100,IF(INPUTS!$J$145="Follow Sales",AO$99,IF(INPUTS!$J$145="Follow Collections",AO$108,IF(OR(TIMELINE!AO177=0,TIMELINE!$C$176=0),0,IF(IF(INPUTS!$J$145="Follow Project Life","Even",IF(INPUTS!$J$145="At Project End","Upfront",INPUTS!$J$145))="Upfront",--(TIMELINE!AO177=1),IF(IF(INPUTS!$J$145="Follow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End","Upfront",INPUTS!$J$145))="Front-loaded",(TIMELINE!$C$176-TIMELINE!AO177+1)*2/(TIMELINE!$C$176*(TIMELINE!$C$176+1)),IF(IF(INPUTS!$J$145="Follow Project Life","Even",IF(INPUTS!$J$145="At Project End","Upfront",INPUTS!$J$145))="Back-loaded",TIMELINE!AO177*2/(TIMELINE!$C$176*(TIMELINE!$C$176+1)),IF(IF(INPUTS!$J$145="Follow Project Life","Even",IF(INPUTS!$J$145="At Project End","Upfront",INPUTS!$J$145))="S-curve",SIN(PI()*(TIMELINE!AO177-0.5)/TIMELINE!$C$176)*SIN(PI()/(2*TIMELINE!$C$176)),0))))))))))</f>
        <v>0</v>
      </c>
      <c r="AP164" s="118" t="n">
        <f aca="false">IF(INPUTS!$F$145&lt;&gt;"Yes",0,IF(INPUTS!$J$145="Follow Construction",AP$100,IF(INPUTS!$J$145="Follow Sales",AP$99,IF(INPUTS!$J$145="Follow Collections",AP$108,IF(OR(TIMELINE!AP177=0,TIMELINE!$C$176=0),0,IF(IF(INPUTS!$J$145="Follow Project Life","Even",IF(INPUTS!$J$145="At Project End","Upfront",INPUTS!$J$145))="Upfront",--(TIMELINE!AP177=1),IF(IF(INPUTS!$J$145="Follow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End","Upfront",INPUTS!$J$145))="Front-loaded",(TIMELINE!$C$176-TIMELINE!AP177+1)*2/(TIMELINE!$C$176*(TIMELINE!$C$176+1)),IF(IF(INPUTS!$J$145="Follow Project Life","Even",IF(INPUTS!$J$145="At Project End","Upfront",INPUTS!$J$145))="Back-loaded",TIMELINE!AP177*2/(TIMELINE!$C$176*(TIMELINE!$C$176+1)),IF(IF(INPUTS!$J$145="Follow Project Life","Even",IF(INPUTS!$J$145="At Project End","Upfront",INPUTS!$J$145))="S-curve",SIN(PI()*(TIMELINE!AP177-0.5)/TIMELINE!$C$176)*SIN(PI()/(2*TIMELINE!$C$176)),0))))))))))</f>
        <v>0</v>
      </c>
      <c r="AQ164" s="118" t="n">
        <f aca="false">IF(INPUTS!$F$145&lt;&gt;"Yes",0,IF(INPUTS!$J$145="Follow Construction",AQ$100,IF(INPUTS!$J$145="Follow Sales",AQ$99,IF(INPUTS!$J$145="Follow Collections",AQ$108,IF(OR(TIMELINE!AQ177=0,TIMELINE!$C$176=0),0,IF(IF(INPUTS!$J$145="Follow Project Life","Even",IF(INPUTS!$J$145="At Project End","Upfront",INPUTS!$J$145))="Upfront",--(TIMELINE!AQ177=1),IF(IF(INPUTS!$J$145="Follow Project Life","Even",IF(INPUTS!$J$145="At Project End","Upfront",INPUTS!$J$145))="Even",1/TIMELINE!$C$176,IF(IF(INPUTS!$J$145="Follow Project Life","Even",IF(INPUTS!$J$145="At Project End","Upfront",INPUTS!$J$145))="Front-loaded",(TIMELINE!$C$176-TIMELINE!AQ177+1)*2/(TIMELINE!$C$176*(TIMELINE!$C$176+1)),IF(IF(INPUTS!$J$145="Follow Project Life","Even",IF(INPUTS!$J$145="At Project End","Upfront",INPUTS!$J$145))="Back-loaded",TIMELINE!AQ177*2/(TIMELINE!$C$176*(TIMELINE!$C$176+1)),IF(IF(INPUTS!$J$145="Follow Project Life","Even",IF(INPUTS!$J$145="At Project End","Upfront",INPUTS!$J$145))="S-curve",SIN(PI()*(TIMELINE!AQ177-0.5)/TIMELINE!$C$176)*SIN(PI()/(2*TIMELINE!$C$176)),0))))))))))</f>
        <v>0</v>
      </c>
    </row>
    <row r="165" customFormat="false" ht="15" hidden="false" customHeight="false" outlineLevel="0" collapsed="false">
      <c r="B165" s="17" t="s">
        <v>689</v>
      </c>
      <c r="C165" s="105" t="str">
        <f aca="false">IF(INPUTS!$B$145="","",IF(INPUTS!$F$145&lt;&gt;"Yes","Off",IF(INPUTS!$M$145&lt;&gt;"OK","ERROR",IF(ABS(C164-1)&lt;0.000000001,"OK",IF(AND(C164=0,INPUTS!$G$145=0),"Zero","ERROR")))))</f>
        <v>Off</v>
      </c>
    </row>
    <row r="166" customFormat="false" ht="15" hidden="false" customHeight="false" outlineLevel="0" collapsed="false">
      <c r="B166" s="110" t="str">
        <f aca="false">IF(INPUTS!$B$146="","Spare cost row",INPUTS!$B$146)</f>
        <v>GST cost in case of commercial/Plotting development</v>
      </c>
      <c r="C166" s="111" t="str">
        <f aca="false">IF(INPUTS!$J$146="","",INPUTS!$J$146)</f>
        <v>At Project End</v>
      </c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</row>
    <row r="167" customFormat="false" ht="15" hidden="false" customHeight="false" outlineLevel="0" collapsed="false">
      <c r="B167" s="3" t="s">
        <v>688</v>
      </c>
      <c r="C167" s="117" t="n">
        <f aca="false">SUM(D167:AQ167)</f>
        <v>0</v>
      </c>
      <c r="D167" s="118" t="n">
        <f aca="false">IF(INPUTS!$F$146&lt;&gt;"Yes",0,IF(INPUTS!$J$146="Follow Construction",D$100,IF(INPUTS!$J$146="Follow Sales",D$99,IF(INPUTS!$J$146="Follow Collections",D$108,IF(OR(TIMELINE!D181=0,TIMELINE!$C$180=0),0,IF(IF(INPUTS!$J$146="Follow Project Life","Even",IF(INPUTS!$J$146="At Project End","Upfront",INPUTS!$J$146))="Upfront",--(TIMELINE!D181=1),IF(IF(INPUTS!$J$146="Follow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End","Upfront",INPUTS!$J$146))="Front-loaded",(TIMELINE!$C$180-TIMELINE!D181+1)*2/(TIMELINE!$C$180*(TIMELINE!$C$180+1)),IF(IF(INPUTS!$J$146="Follow Project Life","Even",IF(INPUTS!$J$146="At Project End","Upfront",INPUTS!$J$146))="Back-loaded",TIMELINE!D181*2/(TIMELINE!$C$180*(TIMELINE!$C$180+1)),IF(IF(INPUTS!$J$146="Follow Project Life","Even",IF(INPUTS!$J$146="At Project End","Upfront",INPUTS!$J$146))="S-curve",SIN(PI()*(TIMELINE!D181-0.5)/TIMELINE!$C$180)*SIN(PI()/(2*TIMELINE!$C$180)),0))))))))))</f>
        <v>0</v>
      </c>
      <c r="E167" s="118" t="n">
        <f aca="false">IF(INPUTS!$F$146&lt;&gt;"Yes",0,IF(INPUTS!$J$146="Follow Construction",E$100,IF(INPUTS!$J$146="Follow Sales",E$99,IF(INPUTS!$J$146="Follow Collections",E$108,IF(OR(TIMELINE!E181=0,TIMELINE!$C$180=0),0,IF(IF(INPUTS!$J$146="Follow Project Life","Even",IF(INPUTS!$J$146="At Project End","Upfront",INPUTS!$J$146))="Upfront",--(TIMELINE!E181=1),IF(IF(INPUTS!$J$146="Follow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End","Upfront",INPUTS!$J$146))="Front-loaded",(TIMELINE!$C$180-TIMELINE!E181+1)*2/(TIMELINE!$C$180*(TIMELINE!$C$180+1)),IF(IF(INPUTS!$J$146="Follow Project Life","Even",IF(INPUTS!$J$146="At Project End","Upfront",INPUTS!$J$146))="Back-loaded",TIMELINE!E181*2/(TIMELINE!$C$180*(TIMELINE!$C$180+1)),IF(IF(INPUTS!$J$146="Follow Project Life","Even",IF(INPUTS!$J$146="At Project End","Upfront",INPUTS!$J$146))="S-curve",SIN(PI()*(TIMELINE!E181-0.5)/TIMELINE!$C$180)*SIN(PI()/(2*TIMELINE!$C$180)),0))))))))))</f>
        <v>0</v>
      </c>
      <c r="F167" s="118" t="n">
        <f aca="false">IF(INPUTS!$F$146&lt;&gt;"Yes",0,IF(INPUTS!$J$146="Follow Construction",F$100,IF(INPUTS!$J$146="Follow Sales",F$99,IF(INPUTS!$J$146="Follow Collections",F$108,IF(OR(TIMELINE!F181=0,TIMELINE!$C$180=0),0,IF(IF(INPUTS!$J$146="Follow Project Life","Even",IF(INPUTS!$J$146="At Project End","Upfront",INPUTS!$J$146))="Upfront",--(TIMELINE!F181=1),IF(IF(INPUTS!$J$146="Follow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End","Upfront",INPUTS!$J$146))="Front-loaded",(TIMELINE!$C$180-TIMELINE!F181+1)*2/(TIMELINE!$C$180*(TIMELINE!$C$180+1)),IF(IF(INPUTS!$J$146="Follow Project Life","Even",IF(INPUTS!$J$146="At Project End","Upfront",INPUTS!$J$146))="Back-loaded",TIMELINE!F181*2/(TIMELINE!$C$180*(TIMELINE!$C$180+1)),IF(IF(INPUTS!$J$146="Follow Project Life","Even",IF(INPUTS!$J$146="At Project End","Upfront",INPUTS!$J$146))="S-curve",SIN(PI()*(TIMELINE!F181-0.5)/TIMELINE!$C$180)*SIN(PI()/(2*TIMELINE!$C$180)),0))))))))))</f>
        <v>0</v>
      </c>
      <c r="G167" s="118" t="n">
        <f aca="false">IF(INPUTS!$F$146&lt;&gt;"Yes",0,IF(INPUTS!$J$146="Follow Construction",G$100,IF(INPUTS!$J$146="Follow Sales",G$99,IF(INPUTS!$J$146="Follow Collections",G$108,IF(OR(TIMELINE!G181=0,TIMELINE!$C$180=0),0,IF(IF(INPUTS!$J$146="Follow Project Life","Even",IF(INPUTS!$J$146="At Project End","Upfront",INPUTS!$J$146))="Upfront",--(TIMELINE!G181=1),IF(IF(INPUTS!$J$146="Follow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End","Upfront",INPUTS!$J$146))="Front-loaded",(TIMELINE!$C$180-TIMELINE!G181+1)*2/(TIMELINE!$C$180*(TIMELINE!$C$180+1)),IF(IF(INPUTS!$J$146="Follow Project Life","Even",IF(INPUTS!$J$146="At Project End","Upfront",INPUTS!$J$146))="Back-loaded",TIMELINE!G181*2/(TIMELINE!$C$180*(TIMELINE!$C$180+1)),IF(IF(INPUTS!$J$146="Follow Project Life","Even",IF(INPUTS!$J$146="At Project End","Upfront",INPUTS!$J$146))="S-curve",SIN(PI()*(TIMELINE!G181-0.5)/TIMELINE!$C$180)*SIN(PI()/(2*TIMELINE!$C$180)),0))))))))))</f>
        <v>0</v>
      </c>
      <c r="H167" s="118" t="n">
        <f aca="false">IF(INPUTS!$F$146&lt;&gt;"Yes",0,IF(INPUTS!$J$146="Follow Construction",H$100,IF(INPUTS!$J$146="Follow Sales",H$99,IF(INPUTS!$J$146="Follow Collections",H$108,IF(OR(TIMELINE!H181=0,TIMELINE!$C$180=0),0,IF(IF(INPUTS!$J$146="Follow Project Life","Even",IF(INPUTS!$J$146="At Project End","Upfront",INPUTS!$J$146))="Upfront",--(TIMELINE!H181=1),IF(IF(INPUTS!$J$146="Follow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End","Upfront",INPUTS!$J$146))="Front-loaded",(TIMELINE!$C$180-TIMELINE!H181+1)*2/(TIMELINE!$C$180*(TIMELINE!$C$180+1)),IF(IF(INPUTS!$J$146="Follow Project Life","Even",IF(INPUTS!$J$146="At Project End","Upfront",INPUTS!$J$146))="Back-loaded",TIMELINE!H181*2/(TIMELINE!$C$180*(TIMELINE!$C$180+1)),IF(IF(INPUTS!$J$146="Follow Project Life","Even",IF(INPUTS!$J$146="At Project End","Upfront",INPUTS!$J$146))="S-curve",SIN(PI()*(TIMELINE!H181-0.5)/TIMELINE!$C$180)*SIN(PI()/(2*TIMELINE!$C$180)),0))))))))))</f>
        <v>0</v>
      </c>
      <c r="I167" s="118" t="n">
        <f aca="false">IF(INPUTS!$F$146&lt;&gt;"Yes",0,IF(INPUTS!$J$146="Follow Construction",I$100,IF(INPUTS!$J$146="Follow Sales",I$99,IF(INPUTS!$J$146="Follow Collections",I$108,IF(OR(TIMELINE!I181=0,TIMELINE!$C$180=0),0,IF(IF(INPUTS!$J$146="Follow Project Life","Even",IF(INPUTS!$J$146="At Project End","Upfront",INPUTS!$J$146))="Upfront",--(TIMELINE!I181=1),IF(IF(INPUTS!$J$146="Follow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End","Upfront",INPUTS!$J$146))="Front-loaded",(TIMELINE!$C$180-TIMELINE!I181+1)*2/(TIMELINE!$C$180*(TIMELINE!$C$180+1)),IF(IF(INPUTS!$J$146="Follow Project Life","Even",IF(INPUTS!$J$146="At Project End","Upfront",INPUTS!$J$146))="Back-loaded",TIMELINE!I181*2/(TIMELINE!$C$180*(TIMELINE!$C$180+1)),IF(IF(INPUTS!$J$146="Follow Project Life","Even",IF(INPUTS!$J$146="At Project End","Upfront",INPUTS!$J$146))="S-curve",SIN(PI()*(TIMELINE!I181-0.5)/TIMELINE!$C$180)*SIN(PI()/(2*TIMELINE!$C$180)),0))))))))))</f>
        <v>0</v>
      </c>
      <c r="J167" s="118" t="n">
        <f aca="false">IF(INPUTS!$F$146&lt;&gt;"Yes",0,IF(INPUTS!$J$146="Follow Construction",J$100,IF(INPUTS!$J$146="Follow Sales",J$99,IF(INPUTS!$J$146="Follow Collections",J$108,IF(OR(TIMELINE!J181=0,TIMELINE!$C$180=0),0,IF(IF(INPUTS!$J$146="Follow Project Life","Even",IF(INPUTS!$J$146="At Project End","Upfront",INPUTS!$J$146))="Upfront",--(TIMELINE!J181=1),IF(IF(INPUTS!$J$146="Follow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End","Upfront",INPUTS!$J$146))="Front-loaded",(TIMELINE!$C$180-TIMELINE!J181+1)*2/(TIMELINE!$C$180*(TIMELINE!$C$180+1)),IF(IF(INPUTS!$J$146="Follow Project Life","Even",IF(INPUTS!$J$146="At Project End","Upfront",INPUTS!$J$146))="Back-loaded",TIMELINE!J181*2/(TIMELINE!$C$180*(TIMELINE!$C$180+1)),IF(IF(INPUTS!$J$146="Follow Project Life","Even",IF(INPUTS!$J$146="At Project End","Upfront",INPUTS!$J$146))="S-curve",SIN(PI()*(TIMELINE!J181-0.5)/TIMELINE!$C$180)*SIN(PI()/(2*TIMELINE!$C$180)),0))))))))))</f>
        <v>0</v>
      </c>
      <c r="K167" s="118" t="n">
        <f aca="false">IF(INPUTS!$F$146&lt;&gt;"Yes",0,IF(INPUTS!$J$146="Follow Construction",K$100,IF(INPUTS!$J$146="Follow Sales",K$99,IF(INPUTS!$J$146="Follow Collections",K$108,IF(OR(TIMELINE!K181=0,TIMELINE!$C$180=0),0,IF(IF(INPUTS!$J$146="Follow Project Life","Even",IF(INPUTS!$J$146="At Project End","Upfront",INPUTS!$J$146))="Upfront",--(TIMELINE!K181=1),IF(IF(INPUTS!$J$146="Follow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End","Upfront",INPUTS!$J$146))="Front-loaded",(TIMELINE!$C$180-TIMELINE!K181+1)*2/(TIMELINE!$C$180*(TIMELINE!$C$180+1)),IF(IF(INPUTS!$J$146="Follow Project Life","Even",IF(INPUTS!$J$146="At Project End","Upfront",INPUTS!$J$146))="Back-loaded",TIMELINE!K181*2/(TIMELINE!$C$180*(TIMELINE!$C$180+1)),IF(IF(INPUTS!$J$146="Follow Project Life","Even",IF(INPUTS!$J$146="At Project End","Upfront",INPUTS!$J$146))="S-curve",SIN(PI()*(TIMELINE!K181-0.5)/TIMELINE!$C$180)*SIN(PI()/(2*TIMELINE!$C$180)),0))))))))))</f>
        <v>0</v>
      </c>
      <c r="L167" s="118" t="n">
        <f aca="false">IF(INPUTS!$F$146&lt;&gt;"Yes",0,IF(INPUTS!$J$146="Follow Construction",L$100,IF(INPUTS!$J$146="Follow Sales",L$99,IF(INPUTS!$J$146="Follow Collections",L$108,IF(OR(TIMELINE!L181=0,TIMELINE!$C$180=0),0,IF(IF(INPUTS!$J$146="Follow Project Life","Even",IF(INPUTS!$J$146="At Project End","Upfront",INPUTS!$J$146))="Upfront",--(TIMELINE!L181=1),IF(IF(INPUTS!$J$146="Follow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End","Upfront",INPUTS!$J$146))="Front-loaded",(TIMELINE!$C$180-TIMELINE!L181+1)*2/(TIMELINE!$C$180*(TIMELINE!$C$180+1)),IF(IF(INPUTS!$J$146="Follow Project Life","Even",IF(INPUTS!$J$146="At Project End","Upfront",INPUTS!$J$146))="Back-loaded",TIMELINE!L181*2/(TIMELINE!$C$180*(TIMELINE!$C$180+1)),IF(IF(INPUTS!$J$146="Follow Project Life","Even",IF(INPUTS!$J$146="At Project End","Upfront",INPUTS!$J$146))="S-curve",SIN(PI()*(TIMELINE!L181-0.5)/TIMELINE!$C$180)*SIN(PI()/(2*TIMELINE!$C$180)),0))))))))))</f>
        <v>0</v>
      </c>
      <c r="M167" s="118" t="n">
        <f aca="false">IF(INPUTS!$F$146&lt;&gt;"Yes",0,IF(INPUTS!$J$146="Follow Construction",M$100,IF(INPUTS!$J$146="Follow Sales",M$99,IF(INPUTS!$J$146="Follow Collections",M$108,IF(OR(TIMELINE!M181=0,TIMELINE!$C$180=0),0,IF(IF(INPUTS!$J$146="Follow Project Life","Even",IF(INPUTS!$J$146="At Project End","Upfront",INPUTS!$J$146))="Upfront",--(TIMELINE!M181=1),IF(IF(INPUTS!$J$146="Follow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End","Upfront",INPUTS!$J$146))="Front-loaded",(TIMELINE!$C$180-TIMELINE!M181+1)*2/(TIMELINE!$C$180*(TIMELINE!$C$180+1)),IF(IF(INPUTS!$J$146="Follow Project Life","Even",IF(INPUTS!$J$146="At Project End","Upfront",INPUTS!$J$146))="Back-loaded",TIMELINE!M181*2/(TIMELINE!$C$180*(TIMELINE!$C$180+1)),IF(IF(INPUTS!$J$146="Follow Project Life","Even",IF(INPUTS!$J$146="At Project End","Upfront",INPUTS!$J$146))="S-curve",SIN(PI()*(TIMELINE!M181-0.5)/TIMELINE!$C$180)*SIN(PI()/(2*TIMELINE!$C$180)),0))))))))))</f>
        <v>0</v>
      </c>
      <c r="N167" s="118" t="n">
        <f aca="false">IF(INPUTS!$F$146&lt;&gt;"Yes",0,IF(INPUTS!$J$146="Follow Construction",N$100,IF(INPUTS!$J$146="Follow Sales",N$99,IF(INPUTS!$J$146="Follow Collections",N$108,IF(OR(TIMELINE!N181=0,TIMELINE!$C$180=0),0,IF(IF(INPUTS!$J$146="Follow Project Life","Even",IF(INPUTS!$J$146="At Project End","Upfront",INPUTS!$J$146))="Upfront",--(TIMELINE!N181=1),IF(IF(INPUTS!$J$146="Follow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End","Upfront",INPUTS!$J$146))="Front-loaded",(TIMELINE!$C$180-TIMELINE!N181+1)*2/(TIMELINE!$C$180*(TIMELINE!$C$180+1)),IF(IF(INPUTS!$J$146="Follow Project Life","Even",IF(INPUTS!$J$146="At Project End","Upfront",INPUTS!$J$146))="Back-loaded",TIMELINE!N181*2/(TIMELINE!$C$180*(TIMELINE!$C$180+1)),IF(IF(INPUTS!$J$146="Follow Project Life","Even",IF(INPUTS!$J$146="At Project End","Upfront",INPUTS!$J$146))="S-curve",SIN(PI()*(TIMELINE!N181-0.5)/TIMELINE!$C$180)*SIN(PI()/(2*TIMELINE!$C$180)),0))))))))))</f>
        <v>0</v>
      </c>
      <c r="O167" s="118" t="n">
        <f aca="false">IF(INPUTS!$F$146&lt;&gt;"Yes",0,IF(INPUTS!$J$146="Follow Construction",O$100,IF(INPUTS!$J$146="Follow Sales",O$99,IF(INPUTS!$J$146="Follow Collections",O$108,IF(OR(TIMELINE!O181=0,TIMELINE!$C$180=0),0,IF(IF(INPUTS!$J$146="Follow Project Life","Even",IF(INPUTS!$J$146="At Project End","Upfront",INPUTS!$J$146))="Upfront",--(TIMELINE!O181=1),IF(IF(INPUTS!$J$146="Follow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End","Upfront",INPUTS!$J$146))="Front-loaded",(TIMELINE!$C$180-TIMELINE!O181+1)*2/(TIMELINE!$C$180*(TIMELINE!$C$180+1)),IF(IF(INPUTS!$J$146="Follow Project Life","Even",IF(INPUTS!$J$146="At Project End","Upfront",INPUTS!$J$146))="Back-loaded",TIMELINE!O181*2/(TIMELINE!$C$180*(TIMELINE!$C$180+1)),IF(IF(INPUTS!$J$146="Follow Project Life","Even",IF(INPUTS!$J$146="At Project End","Upfront",INPUTS!$J$146))="S-curve",SIN(PI()*(TIMELINE!O181-0.5)/TIMELINE!$C$180)*SIN(PI()/(2*TIMELINE!$C$180)),0))))))))))</f>
        <v>0</v>
      </c>
      <c r="P167" s="118" t="n">
        <f aca="false">IF(INPUTS!$F$146&lt;&gt;"Yes",0,IF(INPUTS!$J$146="Follow Construction",P$100,IF(INPUTS!$J$146="Follow Sales",P$99,IF(INPUTS!$J$146="Follow Collections",P$108,IF(OR(TIMELINE!P181=0,TIMELINE!$C$180=0),0,IF(IF(INPUTS!$J$146="Follow Project Life","Even",IF(INPUTS!$J$146="At Project End","Upfront",INPUTS!$J$146))="Upfront",--(TIMELINE!P181=1),IF(IF(INPUTS!$J$146="Follow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End","Upfront",INPUTS!$J$146))="Front-loaded",(TIMELINE!$C$180-TIMELINE!P181+1)*2/(TIMELINE!$C$180*(TIMELINE!$C$180+1)),IF(IF(INPUTS!$J$146="Follow Project Life","Even",IF(INPUTS!$J$146="At Project End","Upfront",INPUTS!$J$146))="Back-loaded",TIMELINE!P181*2/(TIMELINE!$C$180*(TIMELINE!$C$180+1)),IF(IF(INPUTS!$J$146="Follow Project Life","Even",IF(INPUTS!$J$146="At Project End","Upfront",INPUTS!$J$146))="S-curve",SIN(PI()*(TIMELINE!P181-0.5)/TIMELINE!$C$180)*SIN(PI()/(2*TIMELINE!$C$180)),0))))))))))</f>
        <v>0</v>
      </c>
      <c r="Q167" s="118" t="n">
        <f aca="false">IF(INPUTS!$F$146&lt;&gt;"Yes",0,IF(INPUTS!$J$146="Follow Construction",Q$100,IF(INPUTS!$J$146="Follow Sales",Q$99,IF(INPUTS!$J$146="Follow Collections",Q$108,IF(OR(TIMELINE!Q181=0,TIMELINE!$C$180=0),0,IF(IF(INPUTS!$J$146="Follow Project Life","Even",IF(INPUTS!$J$146="At Project End","Upfront",INPUTS!$J$146))="Upfront",--(TIMELINE!Q181=1),IF(IF(INPUTS!$J$146="Follow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End","Upfront",INPUTS!$J$146))="Front-loaded",(TIMELINE!$C$180-TIMELINE!Q181+1)*2/(TIMELINE!$C$180*(TIMELINE!$C$180+1)),IF(IF(INPUTS!$J$146="Follow Project Life","Even",IF(INPUTS!$J$146="At Project End","Upfront",INPUTS!$J$146))="Back-loaded",TIMELINE!Q181*2/(TIMELINE!$C$180*(TIMELINE!$C$180+1)),IF(IF(INPUTS!$J$146="Follow Project Life","Even",IF(INPUTS!$J$146="At Project End","Upfront",INPUTS!$J$146))="S-curve",SIN(PI()*(TIMELINE!Q181-0.5)/TIMELINE!$C$180)*SIN(PI()/(2*TIMELINE!$C$180)),0))))))))))</f>
        <v>0</v>
      </c>
      <c r="R167" s="118" t="n">
        <f aca="false">IF(INPUTS!$F$146&lt;&gt;"Yes",0,IF(INPUTS!$J$146="Follow Construction",R$100,IF(INPUTS!$J$146="Follow Sales",R$99,IF(INPUTS!$J$146="Follow Collections",R$108,IF(OR(TIMELINE!R181=0,TIMELINE!$C$180=0),0,IF(IF(INPUTS!$J$146="Follow Project Life","Even",IF(INPUTS!$J$146="At Project End","Upfront",INPUTS!$J$146))="Upfront",--(TIMELINE!R181=1),IF(IF(INPUTS!$J$146="Follow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End","Upfront",INPUTS!$J$146))="Front-loaded",(TIMELINE!$C$180-TIMELINE!R181+1)*2/(TIMELINE!$C$180*(TIMELINE!$C$180+1)),IF(IF(INPUTS!$J$146="Follow Project Life","Even",IF(INPUTS!$J$146="At Project End","Upfront",INPUTS!$J$146))="Back-loaded",TIMELINE!R181*2/(TIMELINE!$C$180*(TIMELINE!$C$180+1)),IF(IF(INPUTS!$J$146="Follow Project Life","Even",IF(INPUTS!$J$146="At Project End","Upfront",INPUTS!$J$146))="S-curve",SIN(PI()*(TIMELINE!R181-0.5)/TIMELINE!$C$180)*SIN(PI()/(2*TIMELINE!$C$180)),0))))))))))</f>
        <v>0</v>
      </c>
      <c r="S167" s="118" t="n">
        <f aca="false">IF(INPUTS!$F$146&lt;&gt;"Yes",0,IF(INPUTS!$J$146="Follow Construction",S$100,IF(INPUTS!$J$146="Follow Sales",S$99,IF(INPUTS!$J$146="Follow Collections",S$108,IF(OR(TIMELINE!S181=0,TIMELINE!$C$180=0),0,IF(IF(INPUTS!$J$146="Follow Project Life","Even",IF(INPUTS!$J$146="At Project End","Upfront",INPUTS!$J$146))="Upfront",--(TIMELINE!S181=1),IF(IF(INPUTS!$J$146="Follow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End","Upfront",INPUTS!$J$146))="Front-loaded",(TIMELINE!$C$180-TIMELINE!S181+1)*2/(TIMELINE!$C$180*(TIMELINE!$C$180+1)),IF(IF(INPUTS!$J$146="Follow Project Life","Even",IF(INPUTS!$J$146="At Project End","Upfront",INPUTS!$J$146))="Back-loaded",TIMELINE!S181*2/(TIMELINE!$C$180*(TIMELINE!$C$180+1)),IF(IF(INPUTS!$J$146="Follow Project Life","Even",IF(INPUTS!$J$146="At Project End","Upfront",INPUTS!$J$146))="S-curve",SIN(PI()*(TIMELINE!S181-0.5)/TIMELINE!$C$180)*SIN(PI()/(2*TIMELINE!$C$180)),0))))))))))</f>
        <v>0</v>
      </c>
      <c r="T167" s="118" t="n">
        <f aca="false">IF(INPUTS!$F$146&lt;&gt;"Yes",0,IF(INPUTS!$J$146="Follow Construction",T$100,IF(INPUTS!$J$146="Follow Sales",T$99,IF(INPUTS!$J$146="Follow Collections",T$108,IF(OR(TIMELINE!T181=0,TIMELINE!$C$180=0),0,IF(IF(INPUTS!$J$146="Follow Project Life","Even",IF(INPUTS!$J$146="At Project End","Upfront",INPUTS!$J$146))="Upfront",--(TIMELINE!T181=1),IF(IF(INPUTS!$J$146="Follow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End","Upfront",INPUTS!$J$146))="Front-loaded",(TIMELINE!$C$180-TIMELINE!T181+1)*2/(TIMELINE!$C$180*(TIMELINE!$C$180+1)),IF(IF(INPUTS!$J$146="Follow Project Life","Even",IF(INPUTS!$J$146="At Project End","Upfront",INPUTS!$J$146))="Back-loaded",TIMELINE!T181*2/(TIMELINE!$C$180*(TIMELINE!$C$180+1)),IF(IF(INPUTS!$J$146="Follow Project Life","Even",IF(INPUTS!$J$146="At Project End","Upfront",INPUTS!$J$146))="S-curve",SIN(PI()*(TIMELINE!T181-0.5)/TIMELINE!$C$180)*SIN(PI()/(2*TIMELINE!$C$180)),0))))))))))</f>
        <v>0</v>
      </c>
      <c r="U167" s="118" t="n">
        <f aca="false">IF(INPUTS!$F$146&lt;&gt;"Yes",0,IF(INPUTS!$J$146="Follow Construction",U$100,IF(INPUTS!$J$146="Follow Sales",U$99,IF(INPUTS!$J$146="Follow Collections",U$108,IF(OR(TIMELINE!U181=0,TIMELINE!$C$180=0),0,IF(IF(INPUTS!$J$146="Follow Project Life","Even",IF(INPUTS!$J$146="At Project End","Upfront",INPUTS!$J$146))="Upfront",--(TIMELINE!U181=1),IF(IF(INPUTS!$J$146="Follow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End","Upfront",INPUTS!$J$146))="Front-loaded",(TIMELINE!$C$180-TIMELINE!U181+1)*2/(TIMELINE!$C$180*(TIMELINE!$C$180+1)),IF(IF(INPUTS!$J$146="Follow Project Life","Even",IF(INPUTS!$J$146="At Project End","Upfront",INPUTS!$J$146))="Back-loaded",TIMELINE!U181*2/(TIMELINE!$C$180*(TIMELINE!$C$180+1)),IF(IF(INPUTS!$J$146="Follow Project Life","Even",IF(INPUTS!$J$146="At Project End","Upfront",INPUTS!$J$146))="S-curve",SIN(PI()*(TIMELINE!U181-0.5)/TIMELINE!$C$180)*SIN(PI()/(2*TIMELINE!$C$180)),0))))))))))</f>
        <v>0</v>
      </c>
      <c r="V167" s="118" t="n">
        <f aca="false">IF(INPUTS!$F$146&lt;&gt;"Yes",0,IF(INPUTS!$J$146="Follow Construction",V$100,IF(INPUTS!$J$146="Follow Sales",V$99,IF(INPUTS!$J$146="Follow Collections",V$108,IF(OR(TIMELINE!V181=0,TIMELINE!$C$180=0),0,IF(IF(INPUTS!$J$146="Follow Project Life","Even",IF(INPUTS!$J$146="At Project End","Upfront",INPUTS!$J$146))="Upfront",--(TIMELINE!V181=1),IF(IF(INPUTS!$J$146="Follow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End","Upfront",INPUTS!$J$146))="Front-loaded",(TIMELINE!$C$180-TIMELINE!V181+1)*2/(TIMELINE!$C$180*(TIMELINE!$C$180+1)),IF(IF(INPUTS!$J$146="Follow Project Life","Even",IF(INPUTS!$J$146="At Project End","Upfront",INPUTS!$J$146))="Back-loaded",TIMELINE!V181*2/(TIMELINE!$C$180*(TIMELINE!$C$180+1)),IF(IF(INPUTS!$J$146="Follow Project Life","Even",IF(INPUTS!$J$146="At Project End","Upfront",INPUTS!$J$146))="S-curve",SIN(PI()*(TIMELINE!V181-0.5)/TIMELINE!$C$180)*SIN(PI()/(2*TIMELINE!$C$180)),0))))))))))</f>
        <v>0</v>
      </c>
      <c r="W167" s="118" t="n">
        <f aca="false">IF(INPUTS!$F$146&lt;&gt;"Yes",0,IF(INPUTS!$J$146="Follow Construction",W$100,IF(INPUTS!$J$146="Follow Sales",W$99,IF(INPUTS!$J$146="Follow Collections",W$108,IF(OR(TIMELINE!W181=0,TIMELINE!$C$180=0),0,IF(IF(INPUTS!$J$146="Follow Project Life","Even",IF(INPUTS!$J$146="At Project End","Upfront",INPUTS!$J$146))="Upfront",--(TIMELINE!W181=1),IF(IF(INPUTS!$J$146="Follow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End","Upfront",INPUTS!$J$146))="Front-loaded",(TIMELINE!$C$180-TIMELINE!W181+1)*2/(TIMELINE!$C$180*(TIMELINE!$C$180+1)),IF(IF(INPUTS!$J$146="Follow Project Life","Even",IF(INPUTS!$J$146="At Project End","Upfront",INPUTS!$J$146))="Back-loaded",TIMELINE!W181*2/(TIMELINE!$C$180*(TIMELINE!$C$180+1)),IF(IF(INPUTS!$J$146="Follow Project Life","Even",IF(INPUTS!$J$146="At Project End","Upfront",INPUTS!$J$146))="S-curve",SIN(PI()*(TIMELINE!W181-0.5)/TIMELINE!$C$180)*SIN(PI()/(2*TIMELINE!$C$180)),0))))))))))</f>
        <v>0</v>
      </c>
      <c r="X167" s="118" t="n">
        <f aca="false">IF(INPUTS!$F$146&lt;&gt;"Yes",0,IF(INPUTS!$J$146="Follow Construction",X$100,IF(INPUTS!$J$146="Follow Sales",X$99,IF(INPUTS!$J$146="Follow Collections",X$108,IF(OR(TIMELINE!X181=0,TIMELINE!$C$180=0),0,IF(IF(INPUTS!$J$146="Follow Project Life","Even",IF(INPUTS!$J$146="At Project End","Upfront",INPUTS!$J$146))="Upfront",--(TIMELINE!X181=1),IF(IF(INPUTS!$J$146="Follow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End","Upfront",INPUTS!$J$146))="Front-loaded",(TIMELINE!$C$180-TIMELINE!X181+1)*2/(TIMELINE!$C$180*(TIMELINE!$C$180+1)),IF(IF(INPUTS!$J$146="Follow Project Life","Even",IF(INPUTS!$J$146="At Project End","Upfront",INPUTS!$J$146))="Back-loaded",TIMELINE!X181*2/(TIMELINE!$C$180*(TIMELINE!$C$180+1)),IF(IF(INPUTS!$J$146="Follow Project Life","Even",IF(INPUTS!$J$146="At Project End","Upfront",INPUTS!$J$146))="S-curve",SIN(PI()*(TIMELINE!X181-0.5)/TIMELINE!$C$180)*SIN(PI()/(2*TIMELINE!$C$180)),0))))))))))</f>
        <v>0</v>
      </c>
      <c r="Y167" s="118" t="n">
        <f aca="false">IF(INPUTS!$F$146&lt;&gt;"Yes",0,IF(INPUTS!$J$146="Follow Construction",Y$100,IF(INPUTS!$J$146="Follow Sales",Y$99,IF(INPUTS!$J$146="Follow Collections",Y$108,IF(OR(TIMELINE!Y181=0,TIMELINE!$C$180=0),0,IF(IF(INPUTS!$J$146="Follow Project Life","Even",IF(INPUTS!$J$146="At Project End","Upfront",INPUTS!$J$146))="Upfront",--(TIMELINE!Y181=1),IF(IF(INPUTS!$J$146="Follow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End","Upfront",INPUTS!$J$146))="Front-loaded",(TIMELINE!$C$180-TIMELINE!Y181+1)*2/(TIMELINE!$C$180*(TIMELINE!$C$180+1)),IF(IF(INPUTS!$J$146="Follow Project Life","Even",IF(INPUTS!$J$146="At Project End","Upfront",INPUTS!$J$146))="Back-loaded",TIMELINE!Y181*2/(TIMELINE!$C$180*(TIMELINE!$C$180+1)),IF(IF(INPUTS!$J$146="Follow Project Life","Even",IF(INPUTS!$J$146="At Project End","Upfront",INPUTS!$J$146))="S-curve",SIN(PI()*(TIMELINE!Y181-0.5)/TIMELINE!$C$180)*SIN(PI()/(2*TIMELINE!$C$180)),0))))))))))</f>
        <v>0</v>
      </c>
      <c r="Z167" s="118" t="n">
        <f aca="false">IF(INPUTS!$F$146&lt;&gt;"Yes",0,IF(INPUTS!$J$146="Follow Construction",Z$100,IF(INPUTS!$J$146="Follow Sales",Z$99,IF(INPUTS!$J$146="Follow Collections",Z$108,IF(OR(TIMELINE!Z181=0,TIMELINE!$C$180=0),0,IF(IF(INPUTS!$J$146="Follow Project Life","Even",IF(INPUTS!$J$146="At Project End","Upfront",INPUTS!$J$146))="Upfront",--(TIMELINE!Z181=1),IF(IF(INPUTS!$J$146="Follow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End","Upfront",INPUTS!$J$146))="Front-loaded",(TIMELINE!$C$180-TIMELINE!Z181+1)*2/(TIMELINE!$C$180*(TIMELINE!$C$180+1)),IF(IF(INPUTS!$J$146="Follow Project Life","Even",IF(INPUTS!$J$146="At Project End","Upfront",INPUTS!$J$146))="Back-loaded",TIMELINE!Z181*2/(TIMELINE!$C$180*(TIMELINE!$C$180+1)),IF(IF(INPUTS!$J$146="Follow Project Life","Even",IF(INPUTS!$J$146="At Project End","Upfront",INPUTS!$J$146))="S-curve",SIN(PI()*(TIMELINE!Z181-0.5)/TIMELINE!$C$180)*SIN(PI()/(2*TIMELINE!$C$180)),0))))))))))</f>
        <v>0</v>
      </c>
      <c r="AA167" s="118" t="n">
        <f aca="false">IF(INPUTS!$F$146&lt;&gt;"Yes",0,IF(INPUTS!$J$146="Follow Construction",AA$100,IF(INPUTS!$J$146="Follow Sales",AA$99,IF(INPUTS!$J$146="Follow Collections",AA$108,IF(OR(TIMELINE!AA181=0,TIMELINE!$C$180=0),0,IF(IF(INPUTS!$J$146="Follow Project Life","Even",IF(INPUTS!$J$146="At Project End","Upfront",INPUTS!$J$146))="Upfront",--(TIMELINE!AA181=1),IF(IF(INPUTS!$J$146="Follow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End","Upfront",INPUTS!$J$146))="Front-loaded",(TIMELINE!$C$180-TIMELINE!AA181+1)*2/(TIMELINE!$C$180*(TIMELINE!$C$180+1)),IF(IF(INPUTS!$J$146="Follow Project Life","Even",IF(INPUTS!$J$146="At Project End","Upfront",INPUTS!$J$146))="Back-loaded",TIMELINE!AA181*2/(TIMELINE!$C$180*(TIMELINE!$C$180+1)),IF(IF(INPUTS!$J$146="Follow Project Life","Even",IF(INPUTS!$J$146="At Project End","Upfront",INPUTS!$J$146))="S-curve",SIN(PI()*(TIMELINE!AA181-0.5)/TIMELINE!$C$180)*SIN(PI()/(2*TIMELINE!$C$180)),0))))))))))</f>
        <v>0</v>
      </c>
      <c r="AB167" s="118" t="n">
        <f aca="false">IF(INPUTS!$F$146&lt;&gt;"Yes",0,IF(INPUTS!$J$146="Follow Construction",AB$100,IF(INPUTS!$J$146="Follow Sales",AB$99,IF(INPUTS!$J$146="Follow Collections",AB$108,IF(OR(TIMELINE!AB181=0,TIMELINE!$C$180=0),0,IF(IF(INPUTS!$J$146="Follow Project Life","Even",IF(INPUTS!$J$146="At Project End","Upfront",INPUTS!$J$146))="Upfront",--(TIMELINE!AB181=1),IF(IF(INPUTS!$J$146="Follow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End","Upfront",INPUTS!$J$146))="Front-loaded",(TIMELINE!$C$180-TIMELINE!AB181+1)*2/(TIMELINE!$C$180*(TIMELINE!$C$180+1)),IF(IF(INPUTS!$J$146="Follow Project Life","Even",IF(INPUTS!$J$146="At Project End","Upfront",INPUTS!$J$146))="Back-loaded",TIMELINE!AB181*2/(TIMELINE!$C$180*(TIMELINE!$C$180+1)),IF(IF(INPUTS!$J$146="Follow Project Life","Even",IF(INPUTS!$J$146="At Project End","Upfront",INPUTS!$J$146))="S-curve",SIN(PI()*(TIMELINE!AB181-0.5)/TIMELINE!$C$180)*SIN(PI()/(2*TIMELINE!$C$180)),0))))))))))</f>
        <v>0</v>
      </c>
      <c r="AC167" s="118" t="n">
        <f aca="false">IF(INPUTS!$F$146&lt;&gt;"Yes",0,IF(INPUTS!$J$146="Follow Construction",AC$100,IF(INPUTS!$J$146="Follow Sales",AC$99,IF(INPUTS!$J$146="Follow Collections",AC$108,IF(OR(TIMELINE!AC181=0,TIMELINE!$C$180=0),0,IF(IF(INPUTS!$J$146="Follow Project Life","Even",IF(INPUTS!$J$146="At Project End","Upfront",INPUTS!$J$146))="Upfront",--(TIMELINE!AC181=1),IF(IF(INPUTS!$J$146="Follow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End","Upfront",INPUTS!$J$146))="Front-loaded",(TIMELINE!$C$180-TIMELINE!AC181+1)*2/(TIMELINE!$C$180*(TIMELINE!$C$180+1)),IF(IF(INPUTS!$J$146="Follow Project Life","Even",IF(INPUTS!$J$146="At Project End","Upfront",INPUTS!$J$146))="Back-loaded",TIMELINE!AC181*2/(TIMELINE!$C$180*(TIMELINE!$C$180+1)),IF(IF(INPUTS!$J$146="Follow Project Life","Even",IF(INPUTS!$J$146="At Project End","Upfront",INPUTS!$J$146))="S-curve",SIN(PI()*(TIMELINE!AC181-0.5)/TIMELINE!$C$180)*SIN(PI()/(2*TIMELINE!$C$180)),0))))))))))</f>
        <v>0</v>
      </c>
      <c r="AD167" s="118" t="n">
        <f aca="false">IF(INPUTS!$F$146&lt;&gt;"Yes",0,IF(INPUTS!$J$146="Follow Construction",AD$100,IF(INPUTS!$J$146="Follow Sales",AD$99,IF(INPUTS!$J$146="Follow Collections",AD$108,IF(OR(TIMELINE!AD181=0,TIMELINE!$C$180=0),0,IF(IF(INPUTS!$J$146="Follow Project Life","Even",IF(INPUTS!$J$146="At Project End","Upfront",INPUTS!$J$146))="Upfront",--(TIMELINE!AD181=1),IF(IF(INPUTS!$J$146="Follow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End","Upfront",INPUTS!$J$146))="Front-loaded",(TIMELINE!$C$180-TIMELINE!AD181+1)*2/(TIMELINE!$C$180*(TIMELINE!$C$180+1)),IF(IF(INPUTS!$J$146="Follow Project Life","Even",IF(INPUTS!$J$146="At Project End","Upfront",INPUTS!$J$146))="Back-loaded",TIMELINE!AD181*2/(TIMELINE!$C$180*(TIMELINE!$C$180+1)),IF(IF(INPUTS!$J$146="Follow Project Life","Even",IF(INPUTS!$J$146="At Project End","Upfront",INPUTS!$J$146))="S-curve",SIN(PI()*(TIMELINE!AD181-0.5)/TIMELINE!$C$180)*SIN(PI()/(2*TIMELINE!$C$180)),0))))))))))</f>
        <v>0</v>
      </c>
      <c r="AE167" s="118" t="n">
        <f aca="false">IF(INPUTS!$F$146&lt;&gt;"Yes",0,IF(INPUTS!$J$146="Follow Construction",AE$100,IF(INPUTS!$J$146="Follow Sales",AE$99,IF(INPUTS!$J$146="Follow Collections",AE$108,IF(OR(TIMELINE!AE181=0,TIMELINE!$C$180=0),0,IF(IF(INPUTS!$J$146="Follow Project Life","Even",IF(INPUTS!$J$146="At Project End","Upfront",INPUTS!$J$146))="Upfront",--(TIMELINE!AE181=1),IF(IF(INPUTS!$J$146="Follow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End","Upfront",INPUTS!$J$146))="Front-loaded",(TIMELINE!$C$180-TIMELINE!AE181+1)*2/(TIMELINE!$C$180*(TIMELINE!$C$180+1)),IF(IF(INPUTS!$J$146="Follow Project Life","Even",IF(INPUTS!$J$146="At Project End","Upfront",INPUTS!$J$146))="Back-loaded",TIMELINE!AE181*2/(TIMELINE!$C$180*(TIMELINE!$C$180+1)),IF(IF(INPUTS!$J$146="Follow Project Life","Even",IF(INPUTS!$J$146="At Project End","Upfront",INPUTS!$J$146))="S-curve",SIN(PI()*(TIMELINE!AE181-0.5)/TIMELINE!$C$180)*SIN(PI()/(2*TIMELINE!$C$180)),0))))))))))</f>
        <v>0</v>
      </c>
      <c r="AF167" s="118" t="n">
        <f aca="false">IF(INPUTS!$F$146&lt;&gt;"Yes",0,IF(INPUTS!$J$146="Follow Construction",AF$100,IF(INPUTS!$J$146="Follow Sales",AF$99,IF(INPUTS!$J$146="Follow Collections",AF$108,IF(OR(TIMELINE!AF181=0,TIMELINE!$C$180=0),0,IF(IF(INPUTS!$J$146="Follow Project Life","Even",IF(INPUTS!$J$146="At Project End","Upfront",INPUTS!$J$146))="Upfront",--(TIMELINE!AF181=1),IF(IF(INPUTS!$J$146="Follow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End","Upfront",INPUTS!$J$146))="Front-loaded",(TIMELINE!$C$180-TIMELINE!AF181+1)*2/(TIMELINE!$C$180*(TIMELINE!$C$180+1)),IF(IF(INPUTS!$J$146="Follow Project Life","Even",IF(INPUTS!$J$146="At Project End","Upfront",INPUTS!$J$146))="Back-loaded",TIMELINE!AF181*2/(TIMELINE!$C$180*(TIMELINE!$C$180+1)),IF(IF(INPUTS!$J$146="Follow Project Life","Even",IF(INPUTS!$J$146="At Project End","Upfront",INPUTS!$J$146))="S-curve",SIN(PI()*(TIMELINE!AF181-0.5)/TIMELINE!$C$180)*SIN(PI()/(2*TIMELINE!$C$180)),0))))))))))</f>
        <v>0</v>
      </c>
      <c r="AG167" s="118" t="n">
        <f aca="false">IF(INPUTS!$F$146&lt;&gt;"Yes",0,IF(INPUTS!$J$146="Follow Construction",AG$100,IF(INPUTS!$J$146="Follow Sales",AG$99,IF(INPUTS!$J$146="Follow Collections",AG$108,IF(OR(TIMELINE!AG181=0,TIMELINE!$C$180=0),0,IF(IF(INPUTS!$J$146="Follow Project Life","Even",IF(INPUTS!$J$146="At Project End","Upfront",INPUTS!$J$146))="Upfront",--(TIMELINE!AG181=1),IF(IF(INPUTS!$J$146="Follow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End","Upfront",INPUTS!$J$146))="Front-loaded",(TIMELINE!$C$180-TIMELINE!AG181+1)*2/(TIMELINE!$C$180*(TIMELINE!$C$180+1)),IF(IF(INPUTS!$J$146="Follow Project Life","Even",IF(INPUTS!$J$146="At Project End","Upfront",INPUTS!$J$146))="Back-loaded",TIMELINE!AG181*2/(TIMELINE!$C$180*(TIMELINE!$C$180+1)),IF(IF(INPUTS!$J$146="Follow Project Life","Even",IF(INPUTS!$J$146="At Project End","Upfront",INPUTS!$J$146))="S-curve",SIN(PI()*(TIMELINE!AG181-0.5)/TIMELINE!$C$180)*SIN(PI()/(2*TIMELINE!$C$180)),0))))))))))</f>
        <v>0</v>
      </c>
      <c r="AH167" s="118" t="n">
        <f aca="false">IF(INPUTS!$F$146&lt;&gt;"Yes",0,IF(INPUTS!$J$146="Follow Construction",AH$100,IF(INPUTS!$J$146="Follow Sales",AH$99,IF(INPUTS!$J$146="Follow Collections",AH$108,IF(OR(TIMELINE!AH181=0,TIMELINE!$C$180=0),0,IF(IF(INPUTS!$J$146="Follow Project Life","Even",IF(INPUTS!$J$146="At Project End","Upfront",INPUTS!$J$146))="Upfront",--(TIMELINE!AH181=1),IF(IF(INPUTS!$J$146="Follow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End","Upfront",INPUTS!$J$146))="Front-loaded",(TIMELINE!$C$180-TIMELINE!AH181+1)*2/(TIMELINE!$C$180*(TIMELINE!$C$180+1)),IF(IF(INPUTS!$J$146="Follow Project Life","Even",IF(INPUTS!$J$146="At Project End","Upfront",INPUTS!$J$146))="Back-loaded",TIMELINE!AH181*2/(TIMELINE!$C$180*(TIMELINE!$C$180+1)),IF(IF(INPUTS!$J$146="Follow Project Life","Even",IF(INPUTS!$J$146="At Project End","Upfront",INPUTS!$J$146))="S-curve",SIN(PI()*(TIMELINE!AH181-0.5)/TIMELINE!$C$180)*SIN(PI()/(2*TIMELINE!$C$180)),0))))))))))</f>
        <v>0</v>
      </c>
      <c r="AI167" s="118" t="n">
        <f aca="false">IF(INPUTS!$F$146&lt;&gt;"Yes",0,IF(INPUTS!$J$146="Follow Construction",AI$100,IF(INPUTS!$J$146="Follow Sales",AI$99,IF(INPUTS!$J$146="Follow Collections",AI$108,IF(OR(TIMELINE!AI181=0,TIMELINE!$C$180=0),0,IF(IF(INPUTS!$J$146="Follow Project Life","Even",IF(INPUTS!$J$146="At Project End","Upfront",INPUTS!$J$146))="Upfront",--(TIMELINE!AI181=1),IF(IF(INPUTS!$J$146="Follow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End","Upfront",INPUTS!$J$146))="Front-loaded",(TIMELINE!$C$180-TIMELINE!AI181+1)*2/(TIMELINE!$C$180*(TIMELINE!$C$180+1)),IF(IF(INPUTS!$J$146="Follow Project Life","Even",IF(INPUTS!$J$146="At Project End","Upfront",INPUTS!$J$146))="Back-loaded",TIMELINE!AI181*2/(TIMELINE!$C$180*(TIMELINE!$C$180+1)),IF(IF(INPUTS!$J$146="Follow Project Life","Even",IF(INPUTS!$J$146="At Project End","Upfront",INPUTS!$J$146))="S-curve",SIN(PI()*(TIMELINE!AI181-0.5)/TIMELINE!$C$180)*SIN(PI()/(2*TIMELINE!$C$180)),0))))))))))</f>
        <v>0</v>
      </c>
      <c r="AJ167" s="118" t="n">
        <f aca="false">IF(INPUTS!$F$146&lt;&gt;"Yes",0,IF(INPUTS!$J$146="Follow Construction",AJ$100,IF(INPUTS!$J$146="Follow Sales",AJ$99,IF(INPUTS!$J$146="Follow Collections",AJ$108,IF(OR(TIMELINE!AJ181=0,TIMELINE!$C$180=0),0,IF(IF(INPUTS!$J$146="Follow Project Life","Even",IF(INPUTS!$J$146="At Project End","Upfront",INPUTS!$J$146))="Upfront",--(TIMELINE!AJ181=1),IF(IF(INPUTS!$J$146="Follow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End","Upfront",INPUTS!$J$146))="Front-loaded",(TIMELINE!$C$180-TIMELINE!AJ181+1)*2/(TIMELINE!$C$180*(TIMELINE!$C$180+1)),IF(IF(INPUTS!$J$146="Follow Project Life","Even",IF(INPUTS!$J$146="At Project End","Upfront",INPUTS!$J$146))="Back-loaded",TIMELINE!AJ181*2/(TIMELINE!$C$180*(TIMELINE!$C$180+1)),IF(IF(INPUTS!$J$146="Follow Project Life","Even",IF(INPUTS!$J$146="At Project End","Upfront",INPUTS!$J$146))="S-curve",SIN(PI()*(TIMELINE!AJ181-0.5)/TIMELINE!$C$180)*SIN(PI()/(2*TIMELINE!$C$180)),0))))))))))</f>
        <v>0</v>
      </c>
      <c r="AK167" s="118" t="n">
        <f aca="false">IF(INPUTS!$F$146&lt;&gt;"Yes",0,IF(INPUTS!$J$146="Follow Construction",AK$100,IF(INPUTS!$J$146="Follow Sales",AK$99,IF(INPUTS!$J$146="Follow Collections",AK$108,IF(OR(TIMELINE!AK181=0,TIMELINE!$C$180=0),0,IF(IF(INPUTS!$J$146="Follow Project Life","Even",IF(INPUTS!$J$146="At Project End","Upfront",INPUTS!$J$146))="Upfront",--(TIMELINE!AK181=1),IF(IF(INPUTS!$J$146="Follow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End","Upfront",INPUTS!$J$146))="Front-loaded",(TIMELINE!$C$180-TIMELINE!AK181+1)*2/(TIMELINE!$C$180*(TIMELINE!$C$180+1)),IF(IF(INPUTS!$J$146="Follow Project Life","Even",IF(INPUTS!$J$146="At Project End","Upfront",INPUTS!$J$146))="Back-loaded",TIMELINE!AK181*2/(TIMELINE!$C$180*(TIMELINE!$C$180+1)),IF(IF(INPUTS!$J$146="Follow Project Life","Even",IF(INPUTS!$J$146="At Project End","Upfront",INPUTS!$J$146))="S-curve",SIN(PI()*(TIMELINE!AK181-0.5)/TIMELINE!$C$180)*SIN(PI()/(2*TIMELINE!$C$180)),0))))))))))</f>
        <v>0</v>
      </c>
      <c r="AL167" s="118" t="n">
        <f aca="false">IF(INPUTS!$F$146&lt;&gt;"Yes",0,IF(INPUTS!$J$146="Follow Construction",AL$100,IF(INPUTS!$J$146="Follow Sales",AL$99,IF(INPUTS!$J$146="Follow Collections",AL$108,IF(OR(TIMELINE!AL181=0,TIMELINE!$C$180=0),0,IF(IF(INPUTS!$J$146="Follow Project Life","Even",IF(INPUTS!$J$146="At Project End","Upfront",INPUTS!$J$146))="Upfront",--(TIMELINE!AL181=1),IF(IF(INPUTS!$J$146="Follow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End","Upfront",INPUTS!$J$146))="Front-loaded",(TIMELINE!$C$180-TIMELINE!AL181+1)*2/(TIMELINE!$C$180*(TIMELINE!$C$180+1)),IF(IF(INPUTS!$J$146="Follow Project Life","Even",IF(INPUTS!$J$146="At Project End","Upfront",INPUTS!$J$146))="Back-loaded",TIMELINE!AL181*2/(TIMELINE!$C$180*(TIMELINE!$C$180+1)),IF(IF(INPUTS!$J$146="Follow Project Life","Even",IF(INPUTS!$J$146="At Project End","Upfront",INPUTS!$J$146))="S-curve",SIN(PI()*(TIMELINE!AL181-0.5)/TIMELINE!$C$180)*SIN(PI()/(2*TIMELINE!$C$180)),0))))))))))</f>
        <v>0</v>
      </c>
      <c r="AM167" s="118" t="n">
        <f aca="false">IF(INPUTS!$F$146&lt;&gt;"Yes",0,IF(INPUTS!$J$146="Follow Construction",AM$100,IF(INPUTS!$J$146="Follow Sales",AM$99,IF(INPUTS!$J$146="Follow Collections",AM$108,IF(OR(TIMELINE!AM181=0,TIMELINE!$C$180=0),0,IF(IF(INPUTS!$J$146="Follow Project Life","Even",IF(INPUTS!$J$146="At Project End","Upfront",INPUTS!$J$146))="Upfront",--(TIMELINE!AM181=1),IF(IF(INPUTS!$J$146="Follow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End","Upfront",INPUTS!$J$146))="Front-loaded",(TIMELINE!$C$180-TIMELINE!AM181+1)*2/(TIMELINE!$C$180*(TIMELINE!$C$180+1)),IF(IF(INPUTS!$J$146="Follow Project Life","Even",IF(INPUTS!$J$146="At Project End","Upfront",INPUTS!$J$146))="Back-loaded",TIMELINE!AM181*2/(TIMELINE!$C$180*(TIMELINE!$C$180+1)),IF(IF(INPUTS!$J$146="Follow Project Life","Even",IF(INPUTS!$J$146="At Project End","Upfront",INPUTS!$J$146))="S-curve",SIN(PI()*(TIMELINE!AM181-0.5)/TIMELINE!$C$180)*SIN(PI()/(2*TIMELINE!$C$180)),0))))))))))</f>
        <v>0</v>
      </c>
      <c r="AN167" s="118" t="n">
        <f aca="false">IF(INPUTS!$F$146&lt;&gt;"Yes",0,IF(INPUTS!$J$146="Follow Construction",AN$100,IF(INPUTS!$J$146="Follow Sales",AN$99,IF(INPUTS!$J$146="Follow Collections",AN$108,IF(OR(TIMELINE!AN181=0,TIMELINE!$C$180=0),0,IF(IF(INPUTS!$J$146="Follow Project Life","Even",IF(INPUTS!$J$146="At Project End","Upfront",INPUTS!$J$146))="Upfront",--(TIMELINE!AN181=1),IF(IF(INPUTS!$J$146="Follow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End","Upfront",INPUTS!$J$146))="Front-loaded",(TIMELINE!$C$180-TIMELINE!AN181+1)*2/(TIMELINE!$C$180*(TIMELINE!$C$180+1)),IF(IF(INPUTS!$J$146="Follow Project Life","Even",IF(INPUTS!$J$146="At Project End","Upfront",INPUTS!$J$146))="Back-loaded",TIMELINE!AN181*2/(TIMELINE!$C$180*(TIMELINE!$C$180+1)),IF(IF(INPUTS!$J$146="Follow Project Life","Even",IF(INPUTS!$J$146="At Project End","Upfront",INPUTS!$J$146))="S-curve",SIN(PI()*(TIMELINE!AN181-0.5)/TIMELINE!$C$180)*SIN(PI()/(2*TIMELINE!$C$180)),0))))))))))</f>
        <v>0</v>
      </c>
      <c r="AO167" s="118" t="n">
        <f aca="false">IF(INPUTS!$F$146&lt;&gt;"Yes",0,IF(INPUTS!$J$146="Follow Construction",AO$100,IF(INPUTS!$J$146="Follow Sales",AO$99,IF(INPUTS!$J$146="Follow Collections",AO$108,IF(OR(TIMELINE!AO181=0,TIMELINE!$C$180=0),0,IF(IF(INPUTS!$J$146="Follow Project Life","Even",IF(INPUTS!$J$146="At Project End","Upfront",INPUTS!$J$146))="Upfront",--(TIMELINE!AO181=1),IF(IF(INPUTS!$J$146="Follow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End","Upfront",INPUTS!$J$146))="Front-loaded",(TIMELINE!$C$180-TIMELINE!AO181+1)*2/(TIMELINE!$C$180*(TIMELINE!$C$180+1)),IF(IF(INPUTS!$J$146="Follow Project Life","Even",IF(INPUTS!$J$146="At Project End","Upfront",INPUTS!$J$146))="Back-loaded",TIMELINE!AO181*2/(TIMELINE!$C$180*(TIMELINE!$C$180+1)),IF(IF(INPUTS!$J$146="Follow Project Life","Even",IF(INPUTS!$J$146="At Project End","Upfront",INPUTS!$J$146))="S-curve",SIN(PI()*(TIMELINE!AO181-0.5)/TIMELINE!$C$180)*SIN(PI()/(2*TIMELINE!$C$180)),0))))))))))</f>
        <v>0</v>
      </c>
      <c r="AP167" s="118" t="n">
        <f aca="false">IF(INPUTS!$F$146&lt;&gt;"Yes",0,IF(INPUTS!$J$146="Follow Construction",AP$100,IF(INPUTS!$J$146="Follow Sales",AP$99,IF(INPUTS!$J$146="Follow Collections",AP$108,IF(OR(TIMELINE!AP181=0,TIMELINE!$C$180=0),0,IF(IF(INPUTS!$J$146="Follow Project Life","Even",IF(INPUTS!$J$146="At Project End","Upfront",INPUTS!$J$146))="Upfront",--(TIMELINE!AP181=1),IF(IF(INPUTS!$J$146="Follow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End","Upfront",INPUTS!$J$146))="Front-loaded",(TIMELINE!$C$180-TIMELINE!AP181+1)*2/(TIMELINE!$C$180*(TIMELINE!$C$180+1)),IF(IF(INPUTS!$J$146="Follow Project Life","Even",IF(INPUTS!$J$146="At Project End","Upfront",INPUTS!$J$146))="Back-loaded",TIMELINE!AP181*2/(TIMELINE!$C$180*(TIMELINE!$C$180+1)),IF(IF(INPUTS!$J$146="Follow Project Life","Even",IF(INPUTS!$J$146="At Project End","Upfront",INPUTS!$J$146))="S-curve",SIN(PI()*(TIMELINE!AP181-0.5)/TIMELINE!$C$180)*SIN(PI()/(2*TIMELINE!$C$180)),0))))))))))</f>
        <v>0</v>
      </c>
      <c r="AQ167" s="118" t="n">
        <f aca="false">IF(INPUTS!$F$146&lt;&gt;"Yes",0,IF(INPUTS!$J$146="Follow Construction",AQ$100,IF(INPUTS!$J$146="Follow Sales",AQ$99,IF(INPUTS!$J$146="Follow Collections",AQ$108,IF(OR(TIMELINE!AQ181=0,TIMELINE!$C$180=0),0,IF(IF(INPUTS!$J$146="Follow Project Life","Even",IF(INPUTS!$J$146="At Project End","Upfront",INPUTS!$J$146))="Upfront",--(TIMELINE!AQ181=1),IF(IF(INPUTS!$J$146="Follow Project Life","Even",IF(INPUTS!$J$146="At Project End","Upfront",INPUTS!$J$146))="Even",1/TIMELINE!$C$180,IF(IF(INPUTS!$J$146="Follow Project Life","Even",IF(INPUTS!$J$146="At Project End","Upfront",INPUTS!$J$146))="Front-loaded",(TIMELINE!$C$180-TIMELINE!AQ181+1)*2/(TIMELINE!$C$180*(TIMELINE!$C$180+1)),IF(IF(INPUTS!$J$146="Follow Project Life","Even",IF(INPUTS!$J$146="At Project End","Upfront",INPUTS!$J$146))="Back-loaded",TIMELINE!AQ181*2/(TIMELINE!$C$180*(TIMELINE!$C$180+1)),IF(IF(INPUTS!$J$146="Follow Project Life","Even",IF(INPUTS!$J$146="At Project End","Upfront",INPUTS!$J$146))="S-curve",SIN(PI()*(TIMELINE!AQ181-0.5)/TIMELINE!$C$180)*SIN(PI()/(2*TIMELINE!$C$180)),0))))))))))</f>
        <v>0</v>
      </c>
    </row>
    <row r="168" customFormat="false" ht="15" hidden="false" customHeight="false" outlineLevel="0" collapsed="false">
      <c r="B168" s="17" t="s">
        <v>689</v>
      </c>
      <c r="C168" s="105" t="str">
        <f aca="false">IF(INPUTS!$B$146="","",IF(INPUTS!$F$146&lt;&gt;"Yes","Off",IF(INPUTS!$M$146&lt;&gt;"OK","ERROR",IF(ABS(C167-1)&lt;0.000000001,"OK",IF(AND(C167=0,INPUTS!$G$146=0),"Zero","ERROR")))))</f>
        <v>Off</v>
      </c>
    </row>
    <row r="169" customFormat="false" ht="15" hidden="false" customHeight="false" outlineLevel="0" collapsed="false">
      <c r="B169" s="110" t="str">
        <f aca="false">IF(INPUTS!$B$147="","Spare cost row",INPUTS!$B$147)</f>
        <v>AIF Cost</v>
      </c>
      <c r="C169" s="111" t="str">
        <f aca="false">IF(INPUTS!$J$147="","",INPUTS!$J$147)</f>
        <v>Follow Project Life</v>
      </c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</row>
    <row r="170" customFormat="false" ht="15" hidden="false" customHeight="false" outlineLevel="0" collapsed="false">
      <c r="B170" s="3" t="s">
        <v>688</v>
      </c>
      <c r="C170" s="117" t="n">
        <f aca="false">SUM(D170:AQ170)</f>
        <v>0</v>
      </c>
      <c r="D170" s="118" t="n">
        <f aca="false">IF(INPUTS!$F$147&lt;&gt;"Yes",0,IF(INPUTS!$J$147="Follow Construction",D$100,IF(INPUTS!$J$147="Follow Sales",D$99,IF(INPUTS!$J$147="Follow Collections",D$108,IF(OR(TIMELINE!D185=0,TIMELINE!$C$184=0),0,IF(IF(INPUTS!$J$147="Follow Project Life","Even",IF(INPUTS!$J$147="At Project End","Upfront",INPUTS!$J$147))="Upfront",--(TIMELINE!D185=1),IF(IF(INPUTS!$J$147="Follow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End","Upfront",INPUTS!$J$147))="Front-loaded",(TIMELINE!$C$184-TIMELINE!D185+1)*2/(TIMELINE!$C$184*(TIMELINE!$C$184+1)),IF(IF(INPUTS!$J$147="Follow Project Life","Even",IF(INPUTS!$J$147="At Project End","Upfront",INPUTS!$J$147))="Back-loaded",TIMELINE!D185*2/(TIMELINE!$C$184*(TIMELINE!$C$184+1)),IF(IF(INPUTS!$J$147="Follow Project Life","Even",IF(INPUTS!$J$147="At Project End","Upfront",INPUTS!$J$147))="S-curve",SIN(PI()*(TIMELINE!D185-0.5)/TIMELINE!$C$184)*SIN(PI()/(2*TIMELINE!$C$184)),0))))))))))</f>
        <v>0</v>
      </c>
      <c r="E170" s="118" t="n">
        <f aca="false">IF(INPUTS!$F$147&lt;&gt;"Yes",0,IF(INPUTS!$J$147="Follow Construction",E$100,IF(INPUTS!$J$147="Follow Sales",E$99,IF(INPUTS!$J$147="Follow Collections",E$108,IF(OR(TIMELINE!E185=0,TIMELINE!$C$184=0),0,IF(IF(INPUTS!$J$147="Follow Project Life","Even",IF(INPUTS!$J$147="At Project End","Upfront",INPUTS!$J$147))="Upfront",--(TIMELINE!E185=1),IF(IF(INPUTS!$J$147="Follow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End","Upfront",INPUTS!$J$147))="Front-loaded",(TIMELINE!$C$184-TIMELINE!E185+1)*2/(TIMELINE!$C$184*(TIMELINE!$C$184+1)),IF(IF(INPUTS!$J$147="Follow Project Life","Even",IF(INPUTS!$J$147="At Project End","Upfront",INPUTS!$J$147))="Back-loaded",TIMELINE!E185*2/(TIMELINE!$C$184*(TIMELINE!$C$184+1)),IF(IF(INPUTS!$J$147="Follow Project Life","Even",IF(INPUTS!$J$147="At Project End","Upfront",INPUTS!$J$147))="S-curve",SIN(PI()*(TIMELINE!E185-0.5)/TIMELINE!$C$184)*SIN(PI()/(2*TIMELINE!$C$184)),0))))))))))</f>
        <v>0</v>
      </c>
      <c r="F170" s="118" t="n">
        <f aca="false">IF(INPUTS!$F$147&lt;&gt;"Yes",0,IF(INPUTS!$J$147="Follow Construction",F$100,IF(INPUTS!$J$147="Follow Sales",F$99,IF(INPUTS!$J$147="Follow Collections",F$108,IF(OR(TIMELINE!F185=0,TIMELINE!$C$184=0),0,IF(IF(INPUTS!$J$147="Follow Project Life","Even",IF(INPUTS!$J$147="At Project End","Upfront",INPUTS!$J$147))="Upfront",--(TIMELINE!F185=1),IF(IF(INPUTS!$J$147="Follow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End","Upfront",INPUTS!$J$147))="Front-loaded",(TIMELINE!$C$184-TIMELINE!F185+1)*2/(TIMELINE!$C$184*(TIMELINE!$C$184+1)),IF(IF(INPUTS!$J$147="Follow Project Life","Even",IF(INPUTS!$J$147="At Project End","Upfront",INPUTS!$J$147))="Back-loaded",TIMELINE!F185*2/(TIMELINE!$C$184*(TIMELINE!$C$184+1)),IF(IF(INPUTS!$J$147="Follow Project Life","Even",IF(INPUTS!$J$147="At Project End","Upfront",INPUTS!$J$147))="S-curve",SIN(PI()*(TIMELINE!F185-0.5)/TIMELINE!$C$184)*SIN(PI()/(2*TIMELINE!$C$184)),0))))))))))</f>
        <v>0</v>
      </c>
      <c r="G170" s="118" t="n">
        <f aca="false">IF(INPUTS!$F$147&lt;&gt;"Yes",0,IF(INPUTS!$J$147="Follow Construction",G$100,IF(INPUTS!$J$147="Follow Sales",G$99,IF(INPUTS!$J$147="Follow Collections",G$108,IF(OR(TIMELINE!G185=0,TIMELINE!$C$184=0),0,IF(IF(INPUTS!$J$147="Follow Project Life","Even",IF(INPUTS!$J$147="At Project End","Upfront",INPUTS!$J$147))="Upfront",--(TIMELINE!G185=1),IF(IF(INPUTS!$J$147="Follow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End","Upfront",INPUTS!$J$147))="Front-loaded",(TIMELINE!$C$184-TIMELINE!G185+1)*2/(TIMELINE!$C$184*(TIMELINE!$C$184+1)),IF(IF(INPUTS!$J$147="Follow Project Life","Even",IF(INPUTS!$J$147="At Project End","Upfront",INPUTS!$J$147))="Back-loaded",TIMELINE!G185*2/(TIMELINE!$C$184*(TIMELINE!$C$184+1)),IF(IF(INPUTS!$J$147="Follow Project Life","Even",IF(INPUTS!$J$147="At Project End","Upfront",INPUTS!$J$147))="S-curve",SIN(PI()*(TIMELINE!G185-0.5)/TIMELINE!$C$184)*SIN(PI()/(2*TIMELINE!$C$184)),0))))))))))</f>
        <v>0</v>
      </c>
      <c r="H170" s="118" t="n">
        <f aca="false">IF(INPUTS!$F$147&lt;&gt;"Yes",0,IF(INPUTS!$J$147="Follow Construction",H$100,IF(INPUTS!$J$147="Follow Sales",H$99,IF(INPUTS!$J$147="Follow Collections",H$108,IF(OR(TIMELINE!H185=0,TIMELINE!$C$184=0),0,IF(IF(INPUTS!$J$147="Follow Project Life","Even",IF(INPUTS!$J$147="At Project End","Upfront",INPUTS!$J$147))="Upfront",--(TIMELINE!H185=1),IF(IF(INPUTS!$J$147="Follow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End","Upfront",INPUTS!$J$147))="Front-loaded",(TIMELINE!$C$184-TIMELINE!H185+1)*2/(TIMELINE!$C$184*(TIMELINE!$C$184+1)),IF(IF(INPUTS!$J$147="Follow Project Life","Even",IF(INPUTS!$J$147="At Project End","Upfront",INPUTS!$J$147))="Back-loaded",TIMELINE!H185*2/(TIMELINE!$C$184*(TIMELINE!$C$184+1)),IF(IF(INPUTS!$J$147="Follow Project Life","Even",IF(INPUTS!$J$147="At Project End","Upfront",INPUTS!$J$147))="S-curve",SIN(PI()*(TIMELINE!H185-0.5)/TIMELINE!$C$184)*SIN(PI()/(2*TIMELINE!$C$184)),0))))))))))</f>
        <v>0</v>
      </c>
      <c r="I170" s="118" t="n">
        <f aca="false">IF(INPUTS!$F$147&lt;&gt;"Yes",0,IF(INPUTS!$J$147="Follow Construction",I$100,IF(INPUTS!$J$147="Follow Sales",I$99,IF(INPUTS!$J$147="Follow Collections",I$108,IF(OR(TIMELINE!I185=0,TIMELINE!$C$184=0),0,IF(IF(INPUTS!$J$147="Follow Project Life","Even",IF(INPUTS!$J$147="At Project End","Upfront",INPUTS!$J$147))="Upfront",--(TIMELINE!I185=1),IF(IF(INPUTS!$J$147="Follow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End","Upfront",INPUTS!$J$147))="Front-loaded",(TIMELINE!$C$184-TIMELINE!I185+1)*2/(TIMELINE!$C$184*(TIMELINE!$C$184+1)),IF(IF(INPUTS!$J$147="Follow Project Life","Even",IF(INPUTS!$J$147="At Project End","Upfront",INPUTS!$J$147))="Back-loaded",TIMELINE!I185*2/(TIMELINE!$C$184*(TIMELINE!$C$184+1)),IF(IF(INPUTS!$J$147="Follow Project Life","Even",IF(INPUTS!$J$147="At Project End","Upfront",INPUTS!$J$147))="S-curve",SIN(PI()*(TIMELINE!I185-0.5)/TIMELINE!$C$184)*SIN(PI()/(2*TIMELINE!$C$184)),0))))))))))</f>
        <v>0</v>
      </c>
      <c r="J170" s="118" t="n">
        <f aca="false">IF(INPUTS!$F$147&lt;&gt;"Yes",0,IF(INPUTS!$J$147="Follow Construction",J$100,IF(INPUTS!$J$147="Follow Sales",J$99,IF(INPUTS!$J$147="Follow Collections",J$108,IF(OR(TIMELINE!J185=0,TIMELINE!$C$184=0),0,IF(IF(INPUTS!$J$147="Follow Project Life","Even",IF(INPUTS!$J$147="At Project End","Upfront",INPUTS!$J$147))="Upfront",--(TIMELINE!J185=1),IF(IF(INPUTS!$J$147="Follow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End","Upfront",INPUTS!$J$147))="Front-loaded",(TIMELINE!$C$184-TIMELINE!J185+1)*2/(TIMELINE!$C$184*(TIMELINE!$C$184+1)),IF(IF(INPUTS!$J$147="Follow Project Life","Even",IF(INPUTS!$J$147="At Project End","Upfront",INPUTS!$J$147))="Back-loaded",TIMELINE!J185*2/(TIMELINE!$C$184*(TIMELINE!$C$184+1)),IF(IF(INPUTS!$J$147="Follow Project Life","Even",IF(INPUTS!$J$147="At Project End","Upfront",INPUTS!$J$147))="S-curve",SIN(PI()*(TIMELINE!J185-0.5)/TIMELINE!$C$184)*SIN(PI()/(2*TIMELINE!$C$184)),0))))))))))</f>
        <v>0</v>
      </c>
      <c r="K170" s="118" t="n">
        <f aca="false">IF(INPUTS!$F$147&lt;&gt;"Yes",0,IF(INPUTS!$J$147="Follow Construction",K$100,IF(INPUTS!$J$147="Follow Sales",K$99,IF(INPUTS!$J$147="Follow Collections",K$108,IF(OR(TIMELINE!K185=0,TIMELINE!$C$184=0),0,IF(IF(INPUTS!$J$147="Follow Project Life","Even",IF(INPUTS!$J$147="At Project End","Upfront",INPUTS!$J$147))="Upfront",--(TIMELINE!K185=1),IF(IF(INPUTS!$J$147="Follow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End","Upfront",INPUTS!$J$147))="Front-loaded",(TIMELINE!$C$184-TIMELINE!K185+1)*2/(TIMELINE!$C$184*(TIMELINE!$C$184+1)),IF(IF(INPUTS!$J$147="Follow Project Life","Even",IF(INPUTS!$J$147="At Project End","Upfront",INPUTS!$J$147))="Back-loaded",TIMELINE!K185*2/(TIMELINE!$C$184*(TIMELINE!$C$184+1)),IF(IF(INPUTS!$J$147="Follow Project Life","Even",IF(INPUTS!$J$147="At Project End","Upfront",INPUTS!$J$147))="S-curve",SIN(PI()*(TIMELINE!K185-0.5)/TIMELINE!$C$184)*SIN(PI()/(2*TIMELINE!$C$184)),0))))))))))</f>
        <v>0</v>
      </c>
      <c r="L170" s="118" t="n">
        <f aca="false">IF(INPUTS!$F$147&lt;&gt;"Yes",0,IF(INPUTS!$J$147="Follow Construction",L$100,IF(INPUTS!$J$147="Follow Sales",L$99,IF(INPUTS!$J$147="Follow Collections",L$108,IF(OR(TIMELINE!L185=0,TIMELINE!$C$184=0),0,IF(IF(INPUTS!$J$147="Follow Project Life","Even",IF(INPUTS!$J$147="At Project End","Upfront",INPUTS!$J$147))="Upfront",--(TIMELINE!L185=1),IF(IF(INPUTS!$J$147="Follow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End","Upfront",INPUTS!$J$147))="Front-loaded",(TIMELINE!$C$184-TIMELINE!L185+1)*2/(TIMELINE!$C$184*(TIMELINE!$C$184+1)),IF(IF(INPUTS!$J$147="Follow Project Life","Even",IF(INPUTS!$J$147="At Project End","Upfront",INPUTS!$J$147))="Back-loaded",TIMELINE!L185*2/(TIMELINE!$C$184*(TIMELINE!$C$184+1)),IF(IF(INPUTS!$J$147="Follow Project Life","Even",IF(INPUTS!$J$147="At Project End","Upfront",INPUTS!$J$147))="S-curve",SIN(PI()*(TIMELINE!L185-0.5)/TIMELINE!$C$184)*SIN(PI()/(2*TIMELINE!$C$184)),0))))))))))</f>
        <v>0</v>
      </c>
      <c r="M170" s="118" t="n">
        <f aca="false">IF(INPUTS!$F$147&lt;&gt;"Yes",0,IF(INPUTS!$J$147="Follow Construction",M$100,IF(INPUTS!$J$147="Follow Sales",M$99,IF(INPUTS!$J$147="Follow Collections",M$108,IF(OR(TIMELINE!M185=0,TIMELINE!$C$184=0),0,IF(IF(INPUTS!$J$147="Follow Project Life","Even",IF(INPUTS!$J$147="At Project End","Upfront",INPUTS!$J$147))="Upfront",--(TIMELINE!M185=1),IF(IF(INPUTS!$J$147="Follow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End","Upfront",INPUTS!$J$147))="Front-loaded",(TIMELINE!$C$184-TIMELINE!M185+1)*2/(TIMELINE!$C$184*(TIMELINE!$C$184+1)),IF(IF(INPUTS!$J$147="Follow Project Life","Even",IF(INPUTS!$J$147="At Project End","Upfront",INPUTS!$J$147))="Back-loaded",TIMELINE!M185*2/(TIMELINE!$C$184*(TIMELINE!$C$184+1)),IF(IF(INPUTS!$J$147="Follow Project Life","Even",IF(INPUTS!$J$147="At Project End","Upfront",INPUTS!$J$147))="S-curve",SIN(PI()*(TIMELINE!M185-0.5)/TIMELINE!$C$184)*SIN(PI()/(2*TIMELINE!$C$184)),0))))))))))</f>
        <v>0</v>
      </c>
      <c r="N170" s="118" t="n">
        <f aca="false">IF(INPUTS!$F$147&lt;&gt;"Yes",0,IF(INPUTS!$J$147="Follow Construction",N$100,IF(INPUTS!$J$147="Follow Sales",N$99,IF(INPUTS!$J$147="Follow Collections",N$108,IF(OR(TIMELINE!N185=0,TIMELINE!$C$184=0),0,IF(IF(INPUTS!$J$147="Follow Project Life","Even",IF(INPUTS!$J$147="At Project End","Upfront",INPUTS!$J$147))="Upfront",--(TIMELINE!N185=1),IF(IF(INPUTS!$J$147="Follow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End","Upfront",INPUTS!$J$147))="Front-loaded",(TIMELINE!$C$184-TIMELINE!N185+1)*2/(TIMELINE!$C$184*(TIMELINE!$C$184+1)),IF(IF(INPUTS!$J$147="Follow Project Life","Even",IF(INPUTS!$J$147="At Project End","Upfront",INPUTS!$J$147))="Back-loaded",TIMELINE!N185*2/(TIMELINE!$C$184*(TIMELINE!$C$184+1)),IF(IF(INPUTS!$J$147="Follow Project Life","Even",IF(INPUTS!$J$147="At Project End","Upfront",INPUTS!$J$147))="S-curve",SIN(PI()*(TIMELINE!N185-0.5)/TIMELINE!$C$184)*SIN(PI()/(2*TIMELINE!$C$184)),0))))))))))</f>
        <v>0</v>
      </c>
      <c r="O170" s="118" t="n">
        <f aca="false">IF(INPUTS!$F$147&lt;&gt;"Yes",0,IF(INPUTS!$J$147="Follow Construction",O$100,IF(INPUTS!$J$147="Follow Sales",O$99,IF(INPUTS!$J$147="Follow Collections",O$108,IF(OR(TIMELINE!O185=0,TIMELINE!$C$184=0),0,IF(IF(INPUTS!$J$147="Follow Project Life","Even",IF(INPUTS!$J$147="At Project End","Upfront",INPUTS!$J$147))="Upfront",--(TIMELINE!O185=1),IF(IF(INPUTS!$J$147="Follow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End","Upfront",INPUTS!$J$147))="Front-loaded",(TIMELINE!$C$184-TIMELINE!O185+1)*2/(TIMELINE!$C$184*(TIMELINE!$C$184+1)),IF(IF(INPUTS!$J$147="Follow Project Life","Even",IF(INPUTS!$J$147="At Project End","Upfront",INPUTS!$J$147))="Back-loaded",TIMELINE!O185*2/(TIMELINE!$C$184*(TIMELINE!$C$184+1)),IF(IF(INPUTS!$J$147="Follow Project Life","Even",IF(INPUTS!$J$147="At Project End","Upfront",INPUTS!$J$147))="S-curve",SIN(PI()*(TIMELINE!O185-0.5)/TIMELINE!$C$184)*SIN(PI()/(2*TIMELINE!$C$184)),0))))))))))</f>
        <v>0</v>
      </c>
      <c r="P170" s="118" t="n">
        <f aca="false">IF(INPUTS!$F$147&lt;&gt;"Yes",0,IF(INPUTS!$J$147="Follow Construction",P$100,IF(INPUTS!$J$147="Follow Sales",P$99,IF(INPUTS!$J$147="Follow Collections",P$108,IF(OR(TIMELINE!P185=0,TIMELINE!$C$184=0),0,IF(IF(INPUTS!$J$147="Follow Project Life","Even",IF(INPUTS!$J$147="At Project End","Upfront",INPUTS!$J$147))="Upfront",--(TIMELINE!P185=1),IF(IF(INPUTS!$J$147="Follow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End","Upfront",INPUTS!$J$147))="Front-loaded",(TIMELINE!$C$184-TIMELINE!P185+1)*2/(TIMELINE!$C$184*(TIMELINE!$C$184+1)),IF(IF(INPUTS!$J$147="Follow Project Life","Even",IF(INPUTS!$J$147="At Project End","Upfront",INPUTS!$J$147))="Back-loaded",TIMELINE!P185*2/(TIMELINE!$C$184*(TIMELINE!$C$184+1)),IF(IF(INPUTS!$J$147="Follow Project Life","Even",IF(INPUTS!$J$147="At Project End","Upfront",INPUTS!$J$147))="S-curve",SIN(PI()*(TIMELINE!P185-0.5)/TIMELINE!$C$184)*SIN(PI()/(2*TIMELINE!$C$184)),0))))))))))</f>
        <v>0</v>
      </c>
      <c r="Q170" s="118" t="n">
        <f aca="false">IF(INPUTS!$F$147&lt;&gt;"Yes",0,IF(INPUTS!$J$147="Follow Construction",Q$100,IF(INPUTS!$J$147="Follow Sales",Q$99,IF(INPUTS!$J$147="Follow Collections",Q$108,IF(OR(TIMELINE!Q185=0,TIMELINE!$C$184=0),0,IF(IF(INPUTS!$J$147="Follow Project Life","Even",IF(INPUTS!$J$147="At Project End","Upfront",INPUTS!$J$147))="Upfront",--(TIMELINE!Q185=1),IF(IF(INPUTS!$J$147="Follow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End","Upfront",INPUTS!$J$147))="Front-loaded",(TIMELINE!$C$184-TIMELINE!Q185+1)*2/(TIMELINE!$C$184*(TIMELINE!$C$184+1)),IF(IF(INPUTS!$J$147="Follow Project Life","Even",IF(INPUTS!$J$147="At Project End","Upfront",INPUTS!$J$147))="Back-loaded",TIMELINE!Q185*2/(TIMELINE!$C$184*(TIMELINE!$C$184+1)),IF(IF(INPUTS!$J$147="Follow Project Life","Even",IF(INPUTS!$J$147="At Project End","Upfront",INPUTS!$J$147))="S-curve",SIN(PI()*(TIMELINE!Q185-0.5)/TIMELINE!$C$184)*SIN(PI()/(2*TIMELINE!$C$184)),0))))))))))</f>
        <v>0</v>
      </c>
      <c r="R170" s="118" t="n">
        <f aca="false">IF(INPUTS!$F$147&lt;&gt;"Yes",0,IF(INPUTS!$J$147="Follow Construction",R$100,IF(INPUTS!$J$147="Follow Sales",R$99,IF(INPUTS!$J$147="Follow Collections",R$108,IF(OR(TIMELINE!R185=0,TIMELINE!$C$184=0),0,IF(IF(INPUTS!$J$147="Follow Project Life","Even",IF(INPUTS!$J$147="At Project End","Upfront",INPUTS!$J$147))="Upfront",--(TIMELINE!R185=1),IF(IF(INPUTS!$J$147="Follow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End","Upfront",INPUTS!$J$147))="Front-loaded",(TIMELINE!$C$184-TIMELINE!R185+1)*2/(TIMELINE!$C$184*(TIMELINE!$C$184+1)),IF(IF(INPUTS!$J$147="Follow Project Life","Even",IF(INPUTS!$J$147="At Project End","Upfront",INPUTS!$J$147))="Back-loaded",TIMELINE!R185*2/(TIMELINE!$C$184*(TIMELINE!$C$184+1)),IF(IF(INPUTS!$J$147="Follow Project Life","Even",IF(INPUTS!$J$147="At Project End","Upfront",INPUTS!$J$147))="S-curve",SIN(PI()*(TIMELINE!R185-0.5)/TIMELINE!$C$184)*SIN(PI()/(2*TIMELINE!$C$184)),0))))))))))</f>
        <v>0</v>
      </c>
      <c r="S170" s="118" t="n">
        <f aca="false">IF(INPUTS!$F$147&lt;&gt;"Yes",0,IF(INPUTS!$J$147="Follow Construction",S$100,IF(INPUTS!$J$147="Follow Sales",S$99,IF(INPUTS!$J$147="Follow Collections",S$108,IF(OR(TIMELINE!S185=0,TIMELINE!$C$184=0),0,IF(IF(INPUTS!$J$147="Follow Project Life","Even",IF(INPUTS!$J$147="At Project End","Upfront",INPUTS!$J$147))="Upfront",--(TIMELINE!S185=1),IF(IF(INPUTS!$J$147="Follow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End","Upfront",INPUTS!$J$147))="Front-loaded",(TIMELINE!$C$184-TIMELINE!S185+1)*2/(TIMELINE!$C$184*(TIMELINE!$C$184+1)),IF(IF(INPUTS!$J$147="Follow Project Life","Even",IF(INPUTS!$J$147="At Project End","Upfront",INPUTS!$J$147))="Back-loaded",TIMELINE!S185*2/(TIMELINE!$C$184*(TIMELINE!$C$184+1)),IF(IF(INPUTS!$J$147="Follow Project Life","Even",IF(INPUTS!$J$147="At Project End","Upfront",INPUTS!$J$147))="S-curve",SIN(PI()*(TIMELINE!S185-0.5)/TIMELINE!$C$184)*SIN(PI()/(2*TIMELINE!$C$184)),0))))))))))</f>
        <v>0</v>
      </c>
      <c r="T170" s="118" t="n">
        <f aca="false">IF(INPUTS!$F$147&lt;&gt;"Yes",0,IF(INPUTS!$J$147="Follow Construction",T$100,IF(INPUTS!$J$147="Follow Sales",T$99,IF(INPUTS!$J$147="Follow Collections",T$108,IF(OR(TIMELINE!T185=0,TIMELINE!$C$184=0),0,IF(IF(INPUTS!$J$147="Follow Project Life","Even",IF(INPUTS!$J$147="At Project End","Upfront",INPUTS!$J$147))="Upfront",--(TIMELINE!T185=1),IF(IF(INPUTS!$J$147="Follow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End","Upfront",INPUTS!$J$147))="Front-loaded",(TIMELINE!$C$184-TIMELINE!T185+1)*2/(TIMELINE!$C$184*(TIMELINE!$C$184+1)),IF(IF(INPUTS!$J$147="Follow Project Life","Even",IF(INPUTS!$J$147="At Project End","Upfront",INPUTS!$J$147))="Back-loaded",TIMELINE!T185*2/(TIMELINE!$C$184*(TIMELINE!$C$184+1)),IF(IF(INPUTS!$J$147="Follow Project Life","Even",IF(INPUTS!$J$147="At Project End","Upfront",INPUTS!$J$147))="S-curve",SIN(PI()*(TIMELINE!T185-0.5)/TIMELINE!$C$184)*SIN(PI()/(2*TIMELINE!$C$184)),0))))))))))</f>
        <v>0</v>
      </c>
      <c r="U170" s="118" t="n">
        <f aca="false">IF(INPUTS!$F$147&lt;&gt;"Yes",0,IF(INPUTS!$J$147="Follow Construction",U$100,IF(INPUTS!$J$147="Follow Sales",U$99,IF(INPUTS!$J$147="Follow Collections",U$108,IF(OR(TIMELINE!U185=0,TIMELINE!$C$184=0),0,IF(IF(INPUTS!$J$147="Follow Project Life","Even",IF(INPUTS!$J$147="At Project End","Upfront",INPUTS!$J$147))="Upfront",--(TIMELINE!U185=1),IF(IF(INPUTS!$J$147="Follow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End","Upfront",INPUTS!$J$147))="Front-loaded",(TIMELINE!$C$184-TIMELINE!U185+1)*2/(TIMELINE!$C$184*(TIMELINE!$C$184+1)),IF(IF(INPUTS!$J$147="Follow Project Life","Even",IF(INPUTS!$J$147="At Project End","Upfront",INPUTS!$J$147))="Back-loaded",TIMELINE!U185*2/(TIMELINE!$C$184*(TIMELINE!$C$184+1)),IF(IF(INPUTS!$J$147="Follow Project Life","Even",IF(INPUTS!$J$147="At Project End","Upfront",INPUTS!$J$147))="S-curve",SIN(PI()*(TIMELINE!U185-0.5)/TIMELINE!$C$184)*SIN(PI()/(2*TIMELINE!$C$184)),0))))))))))</f>
        <v>0</v>
      </c>
      <c r="V170" s="118" t="n">
        <f aca="false">IF(INPUTS!$F$147&lt;&gt;"Yes",0,IF(INPUTS!$J$147="Follow Construction",V$100,IF(INPUTS!$J$147="Follow Sales",V$99,IF(INPUTS!$J$147="Follow Collections",V$108,IF(OR(TIMELINE!V185=0,TIMELINE!$C$184=0),0,IF(IF(INPUTS!$J$147="Follow Project Life","Even",IF(INPUTS!$J$147="At Project End","Upfront",INPUTS!$J$147))="Upfront",--(TIMELINE!V185=1),IF(IF(INPUTS!$J$147="Follow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End","Upfront",INPUTS!$J$147))="Front-loaded",(TIMELINE!$C$184-TIMELINE!V185+1)*2/(TIMELINE!$C$184*(TIMELINE!$C$184+1)),IF(IF(INPUTS!$J$147="Follow Project Life","Even",IF(INPUTS!$J$147="At Project End","Upfront",INPUTS!$J$147))="Back-loaded",TIMELINE!V185*2/(TIMELINE!$C$184*(TIMELINE!$C$184+1)),IF(IF(INPUTS!$J$147="Follow Project Life","Even",IF(INPUTS!$J$147="At Project End","Upfront",INPUTS!$J$147))="S-curve",SIN(PI()*(TIMELINE!V185-0.5)/TIMELINE!$C$184)*SIN(PI()/(2*TIMELINE!$C$184)),0))))))))))</f>
        <v>0</v>
      </c>
      <c r="W170" s="118" t="n">
        <f aca="false">IF(INPUTS!$F$147&lt;&gt;"Yes",0,IF(INPUTS!$J$147="Follow Construction",W$100,IF(INPUTS!$J$147="Follow Sales",W$99,IF(INPUTS!$J$147="Follow Collections",W$108,IF(OR(TIMELINE!W185=0,TIMELINE!$C$184=0),0,IF(IF(INPUTS!$J$147="Follow Project Life","Even",IF(INPUTS!$J$147="At Project End","Upfront",INPUTS!$J$147))="Upfront",--(TIMELINE!W185=1),IF(IF(INPUTS!$J$147="Follow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End","Upfront",INPUTS!$J$147))="Front-loaded",(TIMELINE!$C$184-TIMELINE!W185+1)*2/(TIMELINE!$C$184*(TIMELINE!$C$184+1)),IF(IF(INPUTS!$J$147="Follow Project Life","Even",IF(INPUTS!$J$147="At Project End","Upfront",INPUTS!$J$147))="Back-loaded",TIMELINE!W185*2/(TIMELINE!$C$184*(TIMELINE!$C$184+1)),IF(IF(INPUTS!$J$147="Follow Project Life","Even",IF(INPUTS!$J$147="At Project End","Upfront",INPUTS!$J$147))="S-curve",SIN(PI()*(TIMELINE!W185-0.5)/TIMELINE!$C$184)*SIN(PI()/(2*TIMELINE!$C$184)),0))))))))))</f>
        <v>0</v>
      </c>
      <c r="X170" s="118" t="n">
        <f aca="false">IF(INPUTS!$F$147&lt;&gt;"Yes",0,IF(INPUTS!$J$147="Follow Construction",X$100,IF(INPUTS!$J$147="Follow Sales",X$99,IF(INPUTS!$J$147="Follow Collections",X$108,IF(OR(TIMELINE!X185=0,TIMELINE!$C$184=0),0,IF(IF(INPUTS!$J$147="Follow Project Life","Even",IF(INPUTS!$J$147="At Project End","Upfront",INPUTS!$J$147))="Upfront",--(TIMELINE!X185=1),IF(IF(INPUTS!$J$147="Follow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End","Upfront",INPUTS!$J$147))="Front-loaded",(TIMELINE!$C$184-TIMELINE!X185+1)*2/(TIMELINE!$C$184*(TIMELINE!$C$184+1)),IF(IF(INPUTS!$J$147="Follow Project Life","Even",IF(INPUTS!$J$147="At Project End","Upfront",INPUTS!$J$147))="Back-loaded",TIMELINE!X185*2/(TIMELINE!$C$184*(TIMELINE!$C$184+1)),IF(IF(INPUTS!$J$147="Follow Project Life","Even",IF(INPUTS!$J$147="At Project End","Upfront",INPUTS!$J$147))="S-curve",SIN(PI()*(TIMELINE!X185-0.5)/TIMELINE!$C$184)*SIN(PI()/(2*TIMELINE!$C$184)),0))))))))))</f>
        <v>0</v>
      </c>
      <c r="Y170" s="118" t="n">
        <f aca="false">IF(INPUTS!$F$147&lt;&gt;"Yes",0,IF(INPUTS!$J$147="Follow Construction",Y$100,IF(INPUTS!$J$147="Follow Sales",Y$99,IF(INPUTS!$J$147="Follow Collections",Y$108,IF(OR(TIMELINE!Y185=0,TIMELINE!$C$184=0),0,IF(IF(INPUTS!$J$147="Follow Project Life","Even",IF(INPUTS!$J$147="At Project End","Upfront",INPUTS!$J$147))="Upfront",--(TIMELINE!Y185=1),IF(IF(INPUTS!$J$147="Follow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End","Upfront",INPUTS!$J$147))="Front-loaded",(TIMELINE!$C$184-TIMELINE!Y185+1)*2/(TIMELINE!$C$184*(TIMELINE!$C$184+1)),IF(IF(INPUTS!$J$147="Follow Project Life","Even",IF(INPUTS!$J$147="At Project End","Upfront",INPUTS!$J$147))="Back-loaded",TIMELINE!Y185*2/(TIMELINE!$C$184*(TIMELINE!$C$184+1)),IF(IF(INPUTS!$J$147="Follow Project Life","Even",IF(INPUTS!$J$147="At Project End","Upfront",INPUTS!$J$147))="S-curve",SIN(PI()*(TIMELINE!Y185-0.5)/TIMELINE!$C$184)*SIN(PI()/(2*TIMELINE!$C$184)),0))))))))))</f>
        <v>0</v>
      </c>
      <c r="Z170" s="118" t="n">
        <f aca="false">IF(INPUTS!$F$147&lt;&gt;"Yes",0,IF(INPUTS!$J$147="Follow Construction",Z$100,IF(INPUTS!$J$147="Follow Sales",Z$99,IF(INPUTS!$J$147="Follow Collections",Z$108,IF(OR(TIMELINE!Z185=0,TIMELINE!$C$184=0),0,IF(IF(INPUTS!$J$147="Follow Project Life","Even",IF(INPUTS!$J$147="At Project End","Upfront",INPUTS!$J$147))="Upfront",--(TIMELINE!Z185=1),IF(IF(INPUTS!$J$147="Follow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End","Upfront",INPUTS!$J$147))="Front-loaded",(TIMELINE!$C$184-TIMELINE!Z185+1)*2/(TIMELINE!$C$184*(TIMELINE!$C$184+1)),IF(IF(INPUTS!$J$147="Follow Project Life","Even",IF(INPUTS!$J$147="At Project End","Upfront",INPUTS!$J$147))="Back-loaded",TIMELINE!Z185*2/(TIMELINE!$C$184*(TIMELINE!$C$184+1)),IF(IF(INPUTS!$J$147="Follow Project Life","Even",IF(INPUTS!$J$147="At Project End","Upfront",INPUTS!$J$147))="S-curve",SIN(PI()*(TIMELINE!Z185-0.5)/TIMELINE!$C$184)*SIN(PI()/(2*TIMELINE!$C$184)),0))))))))))</f>
        <v>0</v>
      </c>
      <c r="AA170" s="118" t="n">
        <f aca="false">IF(INPUTS!$F$147&lt;&gt;"Yes",0,IF(INPUTS!$J$147="Follow Construction",AA$100,IF(INPUTS!$J$147="Follow Sales",AA$99,IF(INPUTS!$J$147="Follow Collections",AA$108,IF(OR(TIMELINE!AA185=0,TIMELINE!$C$184=0),0,IF(IF(INPUTS!$J$147="Follow Project Life","Even",IF(INPUTS!$J$147="At Project End","Upfront",INPUTS!$J$147))="Upfront",--(TIMELINE!AA185=1),IF(IF(INPUTS!$J$147="Follow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End","Upfront",INPUTS!$J$147))="Front-loaded",(TIMELINE!$C$184-TIMELINE!AA185+1)*2/(TIMELINE!$C$184*(TIMELINE!$C$184+1)),IF(IF(INPUTS!$J$147="Follow Project Life","Even",IF(INPUTS!$J$147="At Project End","Upfront",INPUTS!$J$147))="Back-loaded",TIMELINE!AA185*2/(TIMELINE!$C$184*(TIMELINE!$C$184+1)),IF(IF(INPUTS!$J$147="Follow Project Life","Even",IF(INPUTS!$J$147="At Project End","Upfront",INPUTS!$J$147))="S-curve",SIN(PI()*(TIMELINE!AA185-0.5)/TIMELINE!$C$184)*SIN(PI()/(2*TIMELINE!$C$184)),0))))))))))</f>
        <v>0</v>
      </c>
      <c r="AB170" s="118" t="n">
        <f aca="false">IF(INPUTS!$F$147&lt;&gt;"Yes",0,IF(INPUTS!$J$147="Follow Construction",AB$100,IF(INPUTS!$J$147="Follow Sales",AB$99,IF(INPUTS!$J$147="Follow Collections",AB$108,IF(OR(TIMELINE!AB185=0,TIMELINE!$C$184=0),0,IF(IF(INPUTS!$J$147="Follow Project Life","Even",IF(INPUTS!$J$147="At Project End","Upfront",INPUTS!$J$147))="Upfront",--(TIMELINE!AB185=1),IF(IF(INPUTS!$J$147="Follow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End","Upfront",INPUTS!$J$147))="Front-loaded",(TIMELINE!$C$184-TIMELINE!AB185+1)*2/(TIMELINE!$C$184*(TIMELINE!$C$184+1)),IF(IF(INPUTS!$J$147="Follow Project Life","Even",IF(INPUTS!$J$147="At Project End","Upfront",INPUTS!$J$147))="Back-loaded",TIMELINE!AB185*2/(TIMELINE!$C$184*(TIMELINE!$C$184+1)),IF(IF(INPUTS!$J$147="Follow Project Life","Even",IF(INPUTS!$J$147="At Project End","Upfront",INPUTS!$J$147))="S-curve",SIN(PI()*(TIMELINE!AB185-0.5)/TIMELINE!$C$184)*SIN(PI()/(2*TIMELINE!$C$184)),0))))))))))</f>
        <v>0</v>
      </c>
      <c r="AC170" s="118" t="n">
        <f aca="false">IF(INPUTS!$F$147&lt;&gt;"Yes",0,IF(INPUTS!$J$147="Follow Construction",AC$100,IF(INPUTS!$J$147="Follow Sales",AC$99,IF(INPUTS!$J$147="Follow Collections",AC$108,IF(OR(TIMELINE!AC185=0,TIMELINE!$C$184=0),0,IF(IF(INPUTS!$J$147="Follow Project Life","Even",IF(INPUTS!$J$147="At Project End","Upfront",INPUTS!$J$147))="Upfront",--(TIMELINE!AC185=1),IF(IF(INPUTS!$J$147="Follow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End","Upfront",INPUTS!$J$147))="Front-loaded",(TIMELINE!$C$184-TIMELINE!AC185+1)*2/(TIMELINE!$C$184*(TIMELINE!$C$184+1)),IF(IF(INPUTS!$J$147="Follow Project Life","Even",IF(INPUTS!$J$147="At Project End","Upfront",INPUTS!$J$147))="Back-loaded",TIMELINE!AC185*2/(TIMELINE!$C$184*(TIMELINE!$C$184+1)),IF(IF(INPUTS!$J$147="Follow Project Life","Even",IF(INPUTS!$J$147="At Project End","Upfront",INPUTS!$J$147))="S-curve",SIN(PI()*(TIMELINE!AC185-0.5)/TIMELINE!$C$184)*SIN(PI()/(2*TIMELINE!$C$184)),0))))))))))</f>
        <v>0</v>
      </c>
      <c r="AD170" s="118" t="n">
        <f aca="false">IF(INPUTS!$F$147&lt;&gt;"Yes",0,IF(INPUTS!$J$147="Follow Construction",AD$100,IF(INPUTS!$J$147="Follow Sales",AD$99,IF(INPUTS!$J$147="Follow Collections",AD$108,IF(OR(TIMELINE!AD185=0,TIMELINE!$C$184=0),0,IF(IF(INPUTS!$J$147="Follow Project Life","Even",IF(INPUTS!$J$147="At Project End","Upfront",INPUTS!$J$147))="Upfront",--(TIMELINE!AD185=1),IF(IF(INPUTS!$J$147="Follow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End","Upfront",INPUTS!$J$147))="Front-loaded",(TIMELINE!$C$184-TIMELINE!AD185+1)*2/(TIMELINE!$C$184*(TIMELINE!$C$184+1)),IF(IF(INPUTS!$J$147="Follow Project Life","Even",IF(INPUTS!$J$147="At Project End","Upfront",INPUTS!$J$147))="Back-loaded",TIMELINE!AD185*2/(TIMELINE!$C$184*(TIMELINE!$C$184+1)),IF(IF(INPUTS!$J$147="Follow Project Life","Even",IF(INPUTS!$J$147="At Project End","Upfront",INPUTS!$J$147))="S-curve",SIN(PI()*(TIMELINE!AD185-0.5)/TIMELINE!$C$184)*SIN(PI()/(2*TIMELINE!$C$184)),0))))))))))</f>
        <v>0</v>
      </c>
      <c r="AE170" s="118" t="n">
        <f aca="false">IF(INPUTS!$F$147&lt;&gt;"Yes",0,IF(INPUTS!$J$147="Follow Construction",AE$100,IF(INPUTS!$J$147="Follow Sales",AE$99,IF(INPUTS!$J$147="Follow Collections",AE$108,IF(OR(TIMELINE!AE185=0,TIMELINE!$C$184=0),0,IF(IF(INPUTS!$J$147="Follow Project Life","Even",IF(INPUTS!$J$147="At Project End","Upfront",INPUTS!$J$147))="Upfront",--(TIMELINE!AE185=1),IF(IF(INPUTS!$J$147="Follow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End","Upfront",INPUTS!$J$147))="Front-loaded",(TIMELINE!$C$184-TIMELINE!AE185+1)*2/(TIMELINE!$C$184*(TIMELINE!$C$184+1)),IF(IF(INPUTS!$J$147="Follow Project Life","Even",IF(INPUTS!$J$147="At Project End","Upfront",INPUTS!$J$147))="Back-loaded",TIMELINE!AE185*2/(TIMELINE!$C$184*(TIMELINE!$C$184+1)),IF(IF(INPUTS!$J$147="Follow Project Life","Even",IF(INPUTS!$J$147="At Project End","Upfront",INPUTS!$J$147))="S-curve",SIN(PI()*(TIMELINE!AE185-0.5)/TIMELINE!$C$184)*SIN(PI()/(2*TIMELINE!$C$184)),0))))))))))</f>
        <v>0</v>
      </c>
      <c r="AF170" s="118" t="n">
        <f aca="false">IF(INPUTS!$F$147&lt;&gt;"Yes",0,IF(INPUTS!$J$147="Follow Construction",AF$100,IF(INPUTS!$J$147="Follow Sales",AF$99,IF(INPUTS!$J$147="Follow Collections",AF$108,IF(OR(TIMELINE!AF185=0,TIMELINE!$C$184=0),0,IF(IF(INPUTS!$J$147="Follow Project Life","Even",IF(INPUTS!$J$147="At Project End","Upfront",INPUTS!$J$147))="Upfront",--(TIMELINE!AF185=1),IF(IF(INPUTS!$J$147="Follow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End","Upfront",INPUTS!$J$147))="Front-loaded",(TIMELINE!$C$184-TIMELINE!AF185+1)*2/(TIMELINE!$C$184*(TIMELINE!$C$184+1)),IF(IF(INPUTS!$J$147="Follow Project Life","Even",IF(INPUTS!$J$147="At Project End","Upfront",INPUTS!$J$147))="Back-loaded",TIMELINE!AF185*2/(TIMELINE!$C$184*(TIMELINE!$C$184+1)),IF(IF(INPUTS!$J$147="Follow Project Life","Even",IF(INPUTS!$J$147="At Project End","Upfront",INPUTS!$J$147))="S-curve",SIN(PI()*(TIMELINE!AF185-0.5)/TIMELINE!$C$184)*SIN(PI()/(2*TIMELINE!$C$184)),0))))))))))</f>
        <v>0</v>
      </c>
      <c r="AG170" s="118" t="n">
        <f aca="false">IF(INPUTS!$F$147&lt;&gt;"Yes",0,IF(INPUTS!$J$147="Follow Construction",AG$100,IF(INPUTS!$J$147="Follow Sales",AG$99,IF(INPUTS!$J$147="Follow Collections",AG$108,IF(OR(TIMELINE!AG185=0,TIMELINE!$C$184=0),0,IF(IF(INPUTS!$J$147="Follow Project Life","Even",IF(INPUTS!$J$147="At Project End","Upfront",INPUTS!$J$147))="Upfront",--(TIMELINE!AG185=1),IF(IF(INPUTS!$J$147="Follow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End","Upfront",INPUTS!$J$147))="Front-loaded",(TIMELINE!$C$184-TIMELINE!AG185+1)*2/(TIMELINE!$C$184*(TIMELINE!$C$184+1)),IF(IF(INPUTS!$J$147="Follow Project Life","Even",IF(INPUTS!$J$147="At Project End","Upfront",INPUTS!$J$147))="Back-loaded",TIMELINE!AG185*2/(TIMELINE!$C$184*(TIMELINE!$C$184+1)),IF(IF(INPUTS!$J$147="Follow Project Life","Even",IF(INPUTS!$J$147="At Project End","Upfront",INPUTS!$J$147))="S-curve",SIN(PI()*(TIMELINE!AG185-0.5)/TIMELINE!$C$184)*SIN(PI()/(2*TIMELINE!$C$184)),0))))))))))</f>
        <v>0</v>
      </c>
      <c r="AH170" s="118" t="n">
        <f aca="false">IF(INPUTS!$F$147&lt;&gt;"Yes",0,IF(INPUTS!$J$147="Follow Construction",AH$100,IF(INPUTS!$J$147="Follow Sales",AH$99,IF(INPUTS!$J$147="Follow Collections",AH$108,IF(OR(TIMELINE!AH185=0,TIMELINE!$C$184=0),0,IF(IF(INPUTS!$J$147="Follow Project Life","Even",IF(INPUTS!$J$147="At Project End","Upfront",INPUTS!$J$147))="Upfront",--(TIMELINE!AH185=1),IF(IF(INPUTS!$J$147="Follow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End","Upfront",INPUTS!$J$147))="Front-loaded",(TIMELINE!$C$184-TIMELINE!AH185+1)*2/(TIMELINE!$C$184*(TIMELINE!$C$184+1)),IF(IF(INPUTS!$J$147="Follow Project Life","Even",IF(INPUTS!$J$147="At Project End","Upfront",INPUTS!$J$147))="Back-loaded",TIMELINE!AH185*2/(TIMELINE!$C$184*(TIMELINE!$C$184+1)),IF(IF(INPUTS!$J$147="Follow Project Life","Even",IF(INPUTS!$J$147="At Project End","Upfront",INPUTS!$J$147))="S-curve",SIN(PI()*(TIMELINE!AH185-0.5)/TIMELINE!$C$184)*SIN(PI()/(2*TIMELINE!$C$184)),0))))))))))</f>
        <v>0</v>
      </c>
      <c r="AI170" s="118" t="n">
        <f aca="false">IF(INPUTS!$F$147&lt;&gt;"Yes",0,IF(INPUTS!$J$147="Follow Construction",AI$100,IF(INPUTS!$J$147="Follow Sales",AI$99,IF(INPUTS!$J$147="Follow Collections",AI$108,IF(OR(TIMELINE!AI185=0,TIMELINE!$C$184=0),0,IF(IF(INPUTS!$J$147="Follow Project Life","Even",IF(INPUTS!$J$147="At Project End","Upfront",INPUTS!$J$147))="Upfront",--(TIMELINE!AI185=1),IF(IF(INPUTS!$J$147="Follow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End","Upfront",INPUTS!$J$147))="Front-loaded",(TIMELINE!$C$184-TIMELINE!AI185+1)*2/(TIMELINE!$C$184*(TIMELINE!$C$184+1)),IF(IF(INPUTS!$J$147="Follow Project Life","Even",IF(INPUTS!$J$147="At Project End","Upfront",INPUTS!$J$147))="Back-loaded",TIMELINE!AI185*2/(TIMELINE!$C$184*(TIMELINE!$C$184+1)),IF(IF(INPUTS!$J$147="Follow Project Life","Even",IF(INPUTS!$J$147="At Project End","Upfront",INPUTS!$J$147))="S-curve",SIN(PI()*(TIMELINE!AI185-0.5)/TIMELINE!$C$184)*SIN(PI()/(2*TIMELINE!$C$184)),0))))))))))</f>
        <v>0</v>
      </c>
      <c r="AJ170" s="118" t="n">
        <f aca="false">IF(INPUTS!$F$147&lt;&gt;"Yes",0,IF(INPUTS!$J$147="Follow Construction",AJ$100,IF(INPUTS!$J$147="Follow Sales",AJ$99,IF(INPUTS!$J$147="Follow Collections",AJ$108,IF(OR(TIMELINE!AJ185=0,TIMELINE!$C$184=0),0,IF(IF(INPUTS!$J$147="Follow Project Life","Even",IF(INPUTS!$J$147="At Project End","Upfront",INPUTS!$J$147))="Upfront",--(TIMELINE!AJ185=1),IF(IF(INPUTS!$J$147="Follow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End","Upfront",INPUTS!$J$147))="Front-loaded",(TIMELINE!$C$184-TIMELINE!AJ185+1)*2/(TIMELINE!$C$184*(TIMELINE!$C$184+1)),IF(IF(INPUTS!$J$147="Follow Project Life","Even",IF(INPUTS!$J$147="At Project End","Upfront",INPUTS!$J$147))="Back-loaded",TIMELINE!AJ185*2/(TIMELINE!$C$184*(TIMELINE!$C$184+1)),IF(IF(INPUTS!$J$147="Follow Project Life","Even",IF(INPUTS!$J$147="At Project End","Upfront",INPUTS!$J$147))="S-curve",SIN(PI()*(TIMELINE!AJ185-0.5)/TIMELINE!$C$184)*SIN(PI()/(2*TIMELINE!$C$184)),0))))))))))</f>
        <v>0</v>
      </c>
      <c r="AK170" s="118" t="n">
        <f aca="false">IF(INPUTS!$F$147&lt;&gt;"Yes",0,IF(INPUTS!$J$147="Follow Construction",AK$100,IF(INPUTS!$J$147="Follow Sales",AK$99,IF(INPUTS!$J$147="Follow Collections",AK$108,IF(OR(TIMELINE!AK185=0,TIMELINE!$C$184=0),0,IF(IF(INPUTS!$J$147="Follow Project Life","Even",IF(INPUTS!$J$147="At Project End","Upfront",INPUTS!$J$147))="Upfront",--(TIMELINE!AK185=1),IF(IF(INPUTS!$J$147="Follow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End","Upfront",INPUTS!$J$147))="Front-loaded",(TIMELINE!$C$184-TIMELINE!AK185+1)*2/(TIMELINE!$C$184*(TIMELINE!$C$184+1)),IF(IF(INPUTS!$J$147="Follow Project Life","Even",IF(INPUTS!$J$147="At Project End","Upfront",INPUTS!$J$147))="Back-loaded",TIMELINE!AK185*2/(TIMELINE!$C$184*(TIMELINE!$C$184+1)),IF(IF(INPUTS!$J$147="Follow Project Life","Even",IF(INPUTS!$J$147="At Project End","Upfront",INPUTS!$J$147))="S-curve",SIN(PI()*(TIMELINE!AK185-0.5)/TIMELINE!$C$184)*SIN(PI()/(2*TIMELINE!$C$184)),0))))))))))</f>
        <v>0</v>
      </c>
      <c r="AL170" s="118" t="n">
        <f aca="false">IF(INPUTS!$F$147&lt;&gt;"Yes",0,IF(INPUTS!$J$147="Follow Construction",AL$100,IF(INPUTS!$J$147="Follow Sales",AL$99,IF(INPUTS!$J$147="Follow Collections",AL$108,IF(OR(TIMELINE!AL185=0,TIMELINE!$C$184=0),0,IF(IF(INPUTS!$J$147="Follow Project Life","Even",IF(INPUTS!$J$147="At Project End","Upfront",INPUTS!$J$147))="Upfront",--(TIMELINE!AL185=1),IF(IF(INPUTS!$J$147="Follow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End","Upfront",INPUTS!$J$147))="Front-loaded",(TIMELINE!$C$184-TIMELINE!AL185+1)*2/(TIMELINE!$C$184*(TIMELINE!$C$184+1)),IF(IF(INPUTS!$J$147="Follow Project Life","Even",IF(INPUTS!$J$147="At Project End","Upfront",INPUTS!$J$147))="Back-loaded",TIMELINE!AL185*2/(TIMELINE!$C$184*(TIMELINE!$C$184+1)),IF(IF(INPUTS!$J$147="Follow Project Life","Even",IF(INPUTS!$J$147="At Project End","Upfront",INPUTS!$J$147))="S-curve",SIN(PI()*(TIMELINE!AL185-0.5)/TIMELINE!$C$184)*SIN(PI()/(2*TIMELINE!$C$184)),0))))))))))</f>
        <v>0</v>
      </c>
      <c r="AM170" s="118" t="n">
        <f aca="false">IF(INPUTS!$F$147&lt;&gt;"Yes",0,IF(INPUTS!$J$147="Follow Construction",AM$100,IF(INPUTS!$J$147="Follow Sales",AM$99,IF(INPUTS!$J$147="Follow Collections",AM$108,IF(OR(TIMELINE!AM185=0,TIMELINE!$C$184=0),0,IF(IF(INPUTS!$J$147="Follow Project Life","Even",IF(INPUTS!$J$147="At Project End","Upfront",INPUTS!$J$147))="Upfront",--(TIMELINE!AM185=1),IF(IF(INPUTS!$J$147="Follow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End","Upfront",INPUTS!$J$147))="Front-loaded",(TIMELINE!$C$184-TIMELINE!AM185+1)*2/(TIMELINE!$C$184*(TIMELINE!$C$184+1)),IF(IF(INPUTS!$J$147="Follow Project Life","Even",IF(INPUTS!$J$147="At Project End","Upfront",INPUTS!$J$147))="Back-loaded",TIMELINE!AM185*2/(TIMELINE!$C$184*(TIMELINE!$C$184+1)),IF(IF(INPUTS!$J$147="Follow Project Life","Even",IF(INPUTS!$J$147="At Project End","Upfront",INPUTS!$J$147))="S-curve",SIN(PI()*(TIMELINE!AM185-0.5)/TIMELINE!$C$184)*SIN(PI()/(2*TIMELINE!$C$184)),0))))))))))</f>
        <v>0</v>
      </c>
      <c r="AN170" s="118" t="n">
        <f aca="false">IF(INPUTS!$F$147&lt;&gt;"Yes",0,IF(INPUTS!$J$147="Follow Construction",AN$100,IF(INPUTS!$J$147="Follow Sales",AN$99,IF(INPUTS!$J$147="Follow Collections",AN$108,IF(OR(TIMELINE!AN185=0,TIMELINE!$C$184=0),0,IF(IF(INPUTS!$J$147="Follow Project Life","Even",IF(INPUTS!$J$147="At Project End","Upfront",INPUTS!$J$147))="Upfront",--(TIMELINE!AN185=1),IF(IF(INPUTS!$J$147="Follow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End","Upfront",INPUTS!$J$147))="Front-loaded",(TIMELINE!$C$184-TIMELINE!AN185+1)*2/(TIMELINE!$C$184*(TIMELINE!$C$184+1)),IF(IF(INPUTS!$J$147="Follow Project Life","Even",IF(INPUTS!$J$147="At Project End","Upfront",INPUTS!$J$147))="Back-loaded",TIMELINE!AN185*2/(TIMELINE!$C$184*(TIMELINE!$C$184+1)),IF(IF(INPUTS!$J$147="Follow Project Life","Even",IF(INPUTS!$J$147="At Project End","Upfront",INPUTS!$J$147))="S-curve",SIN(PI()*(TIMELINE!AN185-0.5)/TIMELINE!$C$184)*SIN(PI()/(2*TIMELINE!$C$184)),0))))))))))</f>
        <v>0</v>
      </c>
      <c r="AO170" s="118" t="n">
        <f aca="false">IF(INPUTS!$F$147&lt;&gt;"Yes",0,IF(INPUTS!$J$147="Follow Construction",AO$100,IF(INPUTS!$J$147="Follow Sales",AO$99,IF(INPUTS!$J$147="Follow Collections",AO$108,IF(OR(TIMELINE!AO185=0,TIMELINE!$C$184=0),0,IF(IF(INPUTS!$J$147="Follow Project Life","Even",IF(INPUTS!$J$147="At Project End","Upfront",INPUTS!$J$147))="Upfront",--(TIMELINE!AO185=1),IF(IF(INPUTS!$J$147="Follow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End","Upfront",INPUTS!$J$147))="Front-loaded",(TIMELINE!$C$184-TIMELINE!AO185+1)*2/(TIMELINE!$C$184*(TIMELINE!$C$184+1)),IF(IF(INPUTS!$J$147="Follow Project Life","Even",IF(INPUTS!$J$147="At Project End","Upfront",INPUTS!$J$147))="Back-loaded",TIMELINE!AO185*2/(TIMELINE!$C$184*(TIMELINE!$C$184+1)),IF(IF(INPUTS!$J$147="Follow Project Life","Even",IF(INPUTS!$J$147="At Project End","Upfront",INPUTS!$J$147))="S-curve",SIN(PI()*(TIMELINE!AO185-0.5)/TIMELINE!$C$184)*SIN(PI()/(2*TIMELINE!$C$184)),0))))))))))</f>
        <v>0</v>
      </c>
      <c r="AP170" s="118" t="n">
        <f aca="false">IF(INPUTS!$F$147&lt;&gt;"Yes",0,IF(INPUTS!$J$147="Follow Construction",AP$100,IF(INPUTS!$J$147="Follow Sales",AP$99,IF(INPUTS!$J$147="Follow Collections",AP$108,IF(OR(TIMELINE!AP185=0,TIMELINE!$C$184=0),0,IF(IF(INPUTS!$J$147="Follow Project Life","Even",IF(INPUTS!$J$147="At Project End","Upfront",INPUTS!$J$147))="Upfront",--(TIMELINE!AP185=1),IF(IF(INPUTS!$J$147="Follow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End","Upfront",INPUTS!$J$147))="Front-loaded",(TIMELINE!$C$184-TIMELINE!AP185+1)*2/(TIMELINE!$C$184*(TIMELINE!$C$184+1)),IF(IF(INPUTS!$J$147="Follow Project Life","Even",IF(INPUTS!$J$147="At Project End","Upfront",INPUTS!$J$147))="Back-loaded",TIMELINE!AP185*2/(TIMELINE!$C$184*(TIMELINE!$C$184+1)),IF(IF(INPUTS!$J$147="Follow Project Life","Even",IF(INPUTS!$J$147="At Project End","Upfront",INPUTS!$J$147))="S-curve",SIN(PI()*(TIMELINE!AP185-0.5)/TIMELINE!$C$184)*SIN(PI()/(2*TIMELINE!$C$184)),0))))))))))</f>
        <v>0</v>
      </c>
      <c r="AQ170" s="118" t="n">
        <f aca="false">IF(INPUTS!$F$147&lt;&gt;"Yes",0,IF(INPUTS!$J$147="Follow Construction",AQ$100,IF(INPUTS!$J$147="Follow Sales",AQ$99,IF(INPUTS!$J$147="Follow Collections",AQ$108,IF(OR(TIMELINE!AQ185=0,TIMELINE!$C$184=0),0,IF(IF(INPUTS!$J$147="Follow Project Life","Even",IF(INPUTS!$J$147="At Project End","Upfront",INPUTS!$J$147))="Upfront",--(TIMELINE!AQ185=1),IF(IF(INPUTS!$J$147="Follow Project Life","Even",IF(INPUTS!$J$147="At Project End","Upfront",INPUTS!$J$147))="Even",1/TIMELINE!$C$184,IF(IF(INPUTS!$J$147="Follow Project Life","Even",IF(INPUTS!$J$147="At Project End","Upfront",INPUTS!$J$147))="Front-loaded",(TIMELINE!$C$184-TIMELINE!AQ185+1)*2/(TIMELINE!$C$184*(TIMELINE!$C$184+1)),IF(IF(INPUTS!$J$147="Follow Project Life","Even",IF(INPUTS!$J$147="At Project End","Upfront",INPUTS!$J$147))="Back-loaded",TIMELINE!AQ185*2/(TIMELINE!$C$184*(TIMELINE!$C$184+1)),IF(IF(INPUTS!$J$147="Follow Project Life","Even",IF(INPUTS!$J$147="At Project End","Upfront",INPUTS!$J$147))="S-curve",SIN(PI()*(TIMELINE!AQ185-0.5)/TIMELINE!$C$184)*SIN(PI()/(2*TIMELINE!$C$184)),0))))))))))</f>
        <v>0</v>
      </c>
    </row>
    <row r="171" customFormat="false" ht="15" hidden="false" customHeight="false" outlineLevel="0" collapsed="false">
      <c r="B171" s="17" t="s">
        <v>689</v>
      </c>
      <c r="C171" s="105" t="str">
        <f aca="false">IF(INPUTS!$B$147="","",IF(INPUTS!$F$147&lt;&gt;"Yes","Off",IF(INPUTS!$M$147&lt;&gt;"OK","ERROR",IF(ABS(C170-1)&lt;0.000000001,"OK",IF(AND(C170=0,INPUTS!$G$147=0),"Zero","ERROR")))))</f>
        <v>Off</v>
      </c>
    </row>
    <row r="172" customFormat="false" ht="15" hidden="false" customHeight="false" outlineLevel="0" collapsed="false">
      <c r="B172" s="110" t="str">
        <f aca="false">IF(INPUTS!$B$148="","Spare cost row",INPUTS!$B$148)</f>
        <v>BAR / Premium FAR Cost</v>
      </c>
      <c r="C172" s="111" t="str">
        <f aca="false">IF(INPUTS!$J$148="","",INPUTS!$J$148)</f>
        <v>Upfront</v>
      </c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</row>
    <row r="173" customFormat="false" ht="15" hidden="false" customHeight="false" outlineLevel="0" collapsed="false">
      <c r="B173" s="3" t="s">
        <v>688</v>
      </c>
      <c r="C173" s="117" t="n">
        <f aca="false">SUM(D173:AQ173)</f>
        <v>1</v>
      </c>
      <c r="D173" s="118" t="n">
        <f aca="false">IF(INPUTS!$F$148&lt;&gt;"Yes",0,IF(INPUTS!$J$148="Follow Construction",D$100,IF(INPUTS!$J$148="Follow Sales",D$99,IF(INPUTS!$J$148="Follow Collections",D$108,IF(OR(TIMELINE!D189=0,TIMELINE!$C$188=0),0,IF(IF(INPUTS!$J$148="Follow Project Life","Even",IF(INPUTS!$J$148="At Project End","Upfront",INPUTS!$J$148))="Upfront",--(TIMELINE!D189=1),IF(IF(INPUTS!$J$148="Follow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End","Upfront",INPUTS!$J$148))="Front-loaded",(TIMELINE!$C$188-TIMELINE!D189+1)*2/(TIMELINE!$C$188*(TIMELINE!$C$188+1)),IF(IF(INPUTS!$J$148="Follow Project Life","Even",IF(INPUTS!$J$148="At Project End","Upfront",INPUTS!$J$148))="Back-loaded",TIMELINE!D189*2/(TIMELINE!$C$188*(TIMELINE!$C$188+1)),IF(IF(INPUTS!$J$148="Follow Project Life","Even",IF(INPUTS!$J$148="At Project End","Upfront",INPUTS!$J$148))="S-curve",SIN(PI()*(TIMELINE!D189-0.5)/TIMELINE!$C$188)*SIN(PI()/(2*TIMELINE!$C$188)),0))))))))))</f>
        <v>0</v>
      </c>
      <c r="E173" s="118" t="n">
        <f aca="false">IF(INPUTS!$F$148&lt;&gt;"Yes",0,IF(INPUTS!$J$148="Follow Construction",E$100,IF(INPUTS!$J$148="Follow Sales",E$99,IF(INPUTS!$J$148="Follow Collections",E$108,IF(OR(TIMELINE!E189=0,TIMELINE!$C$188=0),0,IF(IF(INPUTS!$J$148="Follow Project Life","Even",IF(INPUTS!$J$148="At Project End","Upfront",INPUTS!$J$148))="Upfront",--(TIMELINE!E189=1),IF(IF(INPUTS!$J$148="Follow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End","Upfront",INPUTS!$J$148))="Front-loaded",(TIMELINE!$C$188-TIMELINE!E189+1)*2/(TIMELINE!$C$188*(TIMELINE!$C$188+1)),IF(IF(INPUTS!$J$148="Follow Project Life","Even",IF(INPUTS!$J$148="At Project End","Upfront",INPUTS!$J$148))="Back-loaded",TIMELINE!E189*2/(TIMELINE!$C$188*(TIMELINE!$C$188+1)),IF(IF(INPUTS!$J$148="Follow Project Life","Even",IF(INPUTS!$J$148="At Project End","Upfront",INPUTS!$J$148))="S-curve",SIN(PI()*(TIMELINE!E189-0.5)/TIMELINE!$C$188)*SIN(PI()/(2*TIMELINE!$C$188)),0))))))))))</f>
        <v>1</v>
      </c>
      <c r="F173" s="118" t="n">
        <f aca="false">IF(INPUTS!$F$148&lt;&gt;"Yes",0,IF(INPUTS!$J$148="Follow Construction",F$100,IF(INPUTS!$J$148="Follow Sales",F$99,IF(INPUTS!$J$148="Follow Collections",F$108,IF(OR(TIMELINE!F189=0,TIMELINE!$C$188=0),0,IF(IF(INPUTS!$J$148="Follow Project Life","Even",IF(INPUTS!$J$148="At Project End","Upfront",INPUTS!$J$148))="Upfront",--(TIMELINE!F189=1),IF(IF(INPUTS!$J$148="Follow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End","Upfront",INPUTS!$J$148))="Front-loaded",(TIMELINE!$C$188-TIMELINE!F189+1)*2/(TIMELINE!$C$188*(TIMELINE!$C$188+1)),IF(IF(INPUTS!$J$148="Follow Project Life","Even",IF(INPUTS!$J$148="At Project End","Upfront",INPUTS!$J$148))="Back-loaded",TIMELINE!F189*2/(TIMELINE!$C$188*(TIMELINE!$C$188+1)),IF(IF(INPUTS!$J$148="Follow Project Life","Even",IF(INPUTS!$J$148="At Project End","Upfront",INPUTS!$J$148))="S-curve",SIN(PI()*(TIMELINE!F189-0.5)/TIMELINE!$C$188)*SIN(PI()/(2*TIMELINE!$C$188)),0))))))))))</f>
        <v>0</v>
      </c>
      <c r="G173" s="118" t="n">
        <f aca="false">IF(INPUTS!$F$148&lt;&gt;"Yes",0,IF(INPUTS!$J$148="Follow Construction",G$100,IF(INPUTS!$J$148="Follow Sales",G$99,IF(INPUTS!$J$148="Follow Collections",G$108,IF(OR(TIMELINE!G189=0,TIMELINE!$C$188=0),0,IF(IF(INPUTS!$J$148="Follow Project Life","Even",IF(INPUTS!$J$148="At Project End","Upfront",INPUTS!$J$148))="Upfront",--(TIMELINE!G189=1),IF(IF(INPUTS!$J$148="Follow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End","Upfront",INPUTS!$J$148))="Front-loaded",(TIMELINE!$C$188-TIMELINE!G189+1)*2/(TIMELINE!$C$188*(TIMELINE!$C$188+1)),IF(IF(INPUTS!$J$148="Follow Project Life","Even",IF(INPUTS!$J$148="At Project End","Upfront",INPUTS!$J$148))="Back-loaded",TIMELINE!G189*2/(TIMELINE!$C$188*(TIMELINE!$C$188+1)),IF(IF(INPUTS!$J$148="Follow Project Life","Even",IF(INPUTS!$J$148="At Project End","Upfront",INPUTS!$J$148))="S-curve",SIN(PI()*(TIMELINE!G189-0.5)/TIMELINE!$C$188)*SIN(PI()/(2*TIMELINE!$C$188)),0))))))))))</f>
        <v>0</v>
      </c>
      <c r="H173" s="118" t="n">
        <f aca="false">IF(INPUTS!$F$148&lt;&gt;"Yes",0,IF(INPUTS!$J$148="Follow Construction",H$100,IF(INPUTS!$J$148="Follow Sales",H$99,IF(INPUTS!$J$148="Follow Collections",H$108,IF(OR(TIMELINE!H189=0,TIMELINE!$C$188=0),0,IF(IF(INPUTS!$J$148="Follow Project Life","Even",IF(INPUTS!$J$148="At Project End","Upfront",INPUTS!$J$148))="Upfront",--(TIMELINE!H189=1),IF(IF(INPUTS!$J$148="Follow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End","Upfront",INPUTS!$J$148))="Front-loaded",(TIMELINE!$C$188-TIMELINE!H189+1)*2/(TIMELINE!$C$188*(TIMELINE!$C$188+1)),IF(IF(INPUTS!$J$148="Follow Project Life","Even",IF(INPUTS!$J$148="At Project End","Upfront",INPUTS!$J$148))="Back-loaded",TIMELINE!H189*2/(TIMELINE!$C$188*(TIMELINE!$C$188+1)),IF(IF(INPUTS!$J$148="Follow Project Life","Even",IF(INPUTS!$J$148="At Project End","Upfront",INPUTS!$J$148))="S-curve",SIN(PI()*(TIMELINE!H189-0.5)/TIMELINE!$C$188)*SIN(PI()/(2*TIMELINE!$C$188)),0))))))))))</f>
        <v>0</v>
      </c>
      <c r="I173" s="118" t="n">
        <f aca="false">IF(INPUTS!$F$148&lt;&gt;"Yes",0,IF(INPUTS!$J$148="Follow Construction",I$100,IF(INPUTS!$J$148="Follow Sales",I$99,IF(INPUTS!$J$148="Follow Collections",I$108,IF(OR(TIMELINE!I189=0,TIMELINE!$C$188=0),0,IF(IF(INPUTS!$J$148="Follow Project Life","Even",IF(INPUTS!$J$148="At Project End","Upfront",INPUTS!$J$148))="Upfront",--(TIMELINE!I189=1),IF(IF(INPUTS!$J$148="Follow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End","Upfront",INPUTS!$J$148))="Front-loaded",(TIMELINE!$C$188-TIMELINE!I189+1)*2/(TIMELINE!$C$188*(TIMELINE!$C$188+1)),IF(IF(INPUTS!$J$148="Follow Project Life","Even",IF(INPUTS!$J$148="At Project End","Upfront",INPUTS!$J$148))="Back-loaded",TIMELINE!I189*2/(TIMELINE!$C$188*(TIMELINE!$C$188+1)),IF(IF(INPUTS!$J$148="Follow Project Life","Even",IF(INPUTS!$J$148="At Project End","Upfront",INPUTS!$J$148))="S-curve",SIN(PI()*(TIMELINE!I189-0.5)/TIMELINE!$C$188)*SIN(PI()/(2*TIMELINE!$C$188)),0))))))))))</f>
        <v>0</v>
      </c>
      <c r="J173" s="118" t="n">
        <f aca="false">IF(INPUTS!$F$148&lt;&gt;"Yes",0,IF(INPUTS!$J$148="Follow Construction",J$100,IF(INPUTS!$J$148="Follow Sales",J$99,IF(INPUTS!$J$148="Follow Collections",J$108,IF(OR(TIMELINE!J189=0,TIMELINE!$C$188=0),0,IF(IF(INPUTS!$J$148="Follow Project Life","Even",IF(INPUTS!$J$148="At Project End","Upfront",INPUTS!$J$148))="Upfront",--(TIMELINE!J189=1),IF(IF(INPUTS!$J$148="Follow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End","Upfront",INPUTS!$J$148))="Front-loaded",(TIMELINE!$C$188-TIMELINE!J189+1)*2/(TIMELINE!$C$188*(TIMELINE!$C$188+1)),IF(IF(INPUTS!$J$148="Follow Project Life","Even",IF(INPUTS!$J$148="At Project End","Upfront",INPUTS!$J$148))="Back-loaded",TIMELINE!J189*2/(TIMELINE!$C$188*(TIMELINE!$C$188+1)),IF(IF(INPUTS!$J$148="Follow Project Life","Even",IF(INPUTS!$J$148="At Project End","Upfront",INPUTS!$J$148))="S-curve",SIN(PI()*(TIMELINE!J189-0.5)/TIMELINE!$C$188)*SIN(PI()/(2*TIMELINE!$C$188)),0))))))))))</f>
        <v>0</v>
      </c>
      <c r="K173" s="118" t="n">
        <f aca="false">IF(INPUTS!$F$148&lt;&gt;"Yes",0,IF(INPUTS!$J$148="Follow Construction",K$100,IF(INPUTS!$J$148="Follow Sales",K$99,IF(INPUTS!$J$148="Follow Collections",K$108,IF(OR(TIMELINE!K189=0,TIMELINE!$C$188=0),0,IF(IF(INPUTS!$J$148="Follow Project Life","Even",IF(INPUTS!$J$148="At Project End","Upfront",INPUTS!$J$148))="Upfront",--(TIMELINE!K189=1),IF(IF(INPUTS!$J$148="Follow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End","Upfront",INPUTS!$J$148))="Front-loaded",(TIMELINE!$C$188-TIMELINE!K189+1)*2/(TIMELINE!$C$188*(TIMELINE!$C$188+1)),IF(IF(INPUTS!$J$148="Follow Project Life","Even",IF(INPUTS!$J$148="At Project End","Upfront",INPUTS!$J$148))="Back-loaded",TIMELINE!K189*2/(TIMELINE!$C$188*(TIMELINE!$C$188+1)),IF(IF(INPUTS!$J$148="Follow Project Life","Even",IF(INPUTS!$J$148="At Project End","Upfront",INPUTS!$J$148))="S-curve",SIN(PI()*(TIMELINE!K189-0.5)/TIMELINE!$C$188)*SIN(PI()/(2*TIMELINE!$C$188)),0))))))))))</f>
        <v>0</v>
      </c>
      <c r="L173" s="118" t="n">
        <f aca="false">IF(INPUTS!$F$148&lt;&gt;"Yes",0,IF(INPUTS!$J$148="Follow Construction",L$100,IF(INPUTS!$J$148="Follow Sales",L$99,IF(INPUTS!$J$148="Follow Collections",L$108,IF(OR(TIMELINE!L189=0,TIMELINE!$C$188=0),0,IF(IF(INPUTS!$J$148="Follow Project Life","Even",IF(INPUTS!$J$148="At Project End","Upfront",INPUTS!$J$148))="Upfront",--(TIMELINE!L189=1),IF(IF(INPUTS!$J$148="Follow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End","Upfront",INPUTS!$J$148))="Front-loaded",(TIMELINE!$C$188-TIMELINE!L189+1)*2/(TIMELINE!$C$188*(TIMELINE!$C$188+1)),IF(IF(INPUTS!$J$148="Follow Project Life","Even",IF(INPUTS!$J$148="At Project End","Upfront",INPUTS!$J$148))="Back-loaded",TIMELINE!L189*2/(TIMELINE!$C$188*(TIMELINE!$C$188+1)),IF(IF(INPUTS!$J$148="Follow Project Life","Even",IF(INPUTS!$J$148="At Project End","Upfront",INPUTS!$J$148))="S-curve",SIN(PI()*(TIMELINE!L189-0.5)/TIMELINE!$C$188)*SIN(PI()/(2*TIMELINE!$C$188)),0))))))))))</f>
        <v>0</v>
      </c>
      <c r="M173" s="118" t="n">
        <f aca="false">IF(INPUTS!$F$148&lt;&gt;"Yes",0,IF(INPUTS!$J$148="Follow Construction",M$100,IF(INPUTS!$J$148="Follow Sales",M$99,IF(INPUTS!$J$148="Follow Collections",M$108,IF(OR(TIMELINE!M189=0,TIMELINE!$C$188=0),0,IF(IF(INPUTS!$J$148="Follow Project Life","Even",IF(INPUTS!$J$148="At Project End","Upfront",INPUTS!$J$148))="Upfront",--(TIMELINE!M189=1),IF(IF(INPUTS!$J$148="Follow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End","Upfront",INPUTS!$J$148))="Front-loaded",(TIMELINE!$C$188-TIMELINE!M189+1)*2/(TIMELINE!$C$188*(TIMELINE!$C$188+1)),IF(IF(INPUTS!$J$148="Follow Project Life","Even",IF(INPUTS!$J$148="At Project End","Upfront",INPUTS!$J$148))="Back-loaded",TIMELINE!M189*2/(TIMELINE!$C$188*(TIMELINE!$C$188+1)),IF(IF(INPUTS!$J$148="Follow Project Life","Even",IF(INPUTS!$J$148="At Project End","Upfront",INPUTS!$J$148))="S-curve",SIN(PI()*(TIMELINE!M189-0.5)/TIMELINE!$C$188)*SIN(PI()/(2*TIMELINE!$C$188)),0))))))))))</f>
        <v>0</v>
      </c>
      <c r="N173" s="118" t="n">
        <f aca="false">IF(INPUTS!$F$148&lt;&gt;"Yes",0,IF(INPUTS!$J$148="Follow Construction",N$100,IF(INPUTS!$J$148="Follow Sales",N$99,IF(INPUTS!$J$148="Follow Collections",N$108,IF(OR(TIMELINE!N189=0,TIMELINE!$C$188=0),0,IF(IF(INPUTS!$J$148="Follow Project Life","Even",IF(INPUTS!$J$148="At Project End","Upfront",INPUTS!$J$148))="Upfront",--(TIMELINE!N189=1),IF(IF(INPUTS!$J$148="Follow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End","Upfront",INPUTS!$J$148))="Front-loaded",(TIMELINE!$C$188-TIMELINE!N189+1)*2/(TIMELINE!$C$188*(TIMELINE!$C$188+1)),IF(IF(INPUTS!$J$148="Follow Project Life","Even",IF(INPUTS!$J$148="At Project End","Upfront",INPUTS!$J$148))="Back-loaded",TIMELINE!N189*2/(TIMELINE!$C$188*(TIMELINE!$C$188+1)),IF(IF(INPUTS!$J$148="Follow Project Life","Even",IF(INPUTS!$J$148="At Project End","Upfront",INPUTS!$J$148))="S-curve",SIN(PI()*(TIMELINE!N189-0.5)/TIMELINE!$C$188)*SIN(PI()/(2*TIMELINE!$C$188)),0))))))))))</f>
        <v>0</v>
      </c>
      <c r="O173" s="118" t="n">
        <f aca="false">IF(INPUTS!$F$148&lt;&gt;"Yes",0,IF(INPUTS!$J$148="Follow Construction",O$100,IF(INPUTS!$J$148="Follow Sales",O$99,IF(INPUTS!$J$148="Follow Collections",O$108,IF(OR(TIMELINE!O189=0,TIMELINE!$C$188=0),0,IF(IF(INPUTS!$J$148="Follow Project Life","Even",IF(INPUTS!$J$148="At Project End","Upfront",INPUTS!$J$148))="Upfront",--(TIMELINE!O189=1),IF(IF(INPUTS!$J$148="Follow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End","Upfront",INPUTS!$J$148))="Front-loaded",(TIMELINE!$C$188-TIMELINE!O189+1)*2/(TIMELINE!$C$188*(TIMELINE!$C$188+1)),IF(IF(INPUTS!$J$148="Follow Project Life","Even",IF(INPUTS!$J$148="At Project End","Upfront",INPUTS!$J$148))="Back-loaded",TIMELINE!O189*2/(TIMELINE!$C$188*(TIMELINE!$C$188+1)),IF(IF(INPUTS!$J$148="Follow Project Life","Even",IF(INPUTS!$J$148="At Project End","Upfront",INPUTS!$J$148))="S-curve",SIN(PI()*(TIMELINE!O189-0.5)/TIMELINE!$C$188)*SIN(PI()/(2*TIMELINE!$C$188)),0))))))))))</f>
        <v>0</v>
      </c>
      <c r="P173" s="118" t="n">
        <f aca="false">IF(INPUTS!$F$148&lt;&gt;"Yes",0,IF(INPUTS!$J$148="Follow Construction",P$100,IF(INPUTS!$J$148="Follow Sales",P$99,IF(INPUTS!$J$148="Follow Collections",P$108,IF(OR(TIMELINE!P189=0,TIMELINE!$C$188=0),0,IF(IF(INPUTS!$J$148="Follow Project Life","Even",IF(INPUTS!$J$148="At Project End","Upfront",INPUTS!$J$148))="Upfront",--(TIMELINE!P189=1),IF(IF(INPUTS!$J$148="Follow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End","Upfront",INPUTS!$J$148))="Front-loaded",(TIMELINE!$C$188-TIMELINE!P189+1)*2/(TIMELINE!$C$188*(TIMELINE!$C$188+1)),IF(IF(INPUTS!$J$148="Follow Project Life","Even",IF(INPUTS!$J$148="At Project End","Upfront",INPUTS!$J$148))="Back-loaded",TIMELINE!P189*2/(TIMELINE!$C$188*(TIMELINE!$C$188+1)),IF(IF(INPUTS!$J$148="Follow Project Life","Even",IF(INPUTS!$J$148="At Project End","Upfront",INPUTS!$J$148))="S-curve",SIN(PI()*(TIMELINE!P189-0.5)/TIMELINE!$C$188)*SIN(PI()/(2*TIMELINE!$C$188)),0))))))))))</f>
        <v>0</v>
      </c>
      <c r="Q173" s="118" t="n">
        <f aca="false">IF(INPUTS!$F$148&lt;&gt;"Yes",0,IF(INPUTS!$J$148="Follow Construction",Q$100,IF(INPUTS!$J$148="Follow Sales",Q$99,IF(INPUTS!$J$148="Follow Collections",Q$108,IF(OR(TIMELINE!Q189=0,TIMELINE!$C$188=0),0,IF(IF(INPUTS!$J$148="Follow Project Life","Even",IF(INPUTS!$J$148="At Project End","Upfront",INPUTS!$J$148))="Upfront",--(TIMELINE!Q189=1),IF(IF(INPUTS!$J$148="Follow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End","Upfront",INPUTS!$J$148))="Front-loaded",(TIMELINE!$C$188-TIMELINE!Q189+1)*2/(TIMELINE!$C$188*(TIMELINE!$C$188+1)),IF(IF(INPUTS!$J$148="Follow Project Life","Even",IF(INPUTS!$J$148="At Project End","Upfront",INPUTS!$J$148))="Back-loaded",TIMELINE!Q189*2/(TIMELINE!$C$188*(TIMELINE!$C$188+1)),IF(IF(INPUTS!$J$148="Follow Project Life","Even",IF(INPUTS!$J$148="At Project End","Upfront",INPUTS!$J$148))="S-curve",SIN(PI()*(TIMELINE!Q189-0.5)/TIMELINE!$C$188)*SIN(PI()/(2*TIMELINE!$C$188)),0))))))))))</f>
        <v>0</v>
      </c>
      <c r="R173" s="118" t="n">
        <f aca="false">IF(INPUTS!$F$148&lt;&gt;"Yes",0,IF(INPUTS!$J$148="Follow Construction",R$100,IF(INPUTS!$J$148="Follow Sales",R$99,IF(INPUTS!$J$148="Follow Collections",R$108,IF(OR(TIMELINE!R189=0,TIMELINE!$C$188=0),0,IF(IF(INPUTS!$J$148="Follow Project Life","Even",IF(INPUTS!$J$148="At Project End","Upfront",INPUTS!$J$148))="Upfront",--(TIMELINE!R189=1),IF(IF(INPUTS!$J$148="Follow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End","Upfront",INPUTS!$J$148))="Front-loaded",(TIMELINE!$C$188-TIMELINE!R189+1)*2/(TIMELINE!$C$188*(TIMELINE!$C$188+1)),IF(IF(INPUTS!$J$148="Follow Project Life","Even",IF(INPUTS!$J$148="At Project End","Upfront",INPUTS!$J$148))="Back-loaded",TIMELINE!R189*2/(TIMELINE!$C$188*(TIMELINE!$C$188+1)),IF(IF(INPUTS!$J$148="Follow Project Life","Even",IF(INPUTS!$J$148="At Project End","Upfront",INPUTS!$J$148))="S-curve",SIN(PI()*(TIMELINE!R189-0.5)/TIMELINE!$C$188)*SIN(PI()/(2*TIMELINE!$C$188)),0))))))))))</f>
        <v>0</v>
      </c>
      <c r="S173" s="118" t="n">
        <f aca="false">IF(INPUTS!$F$148&lt;&gt;"Yes",0,IF(INPUTS!$J$148="Follow Construction",S$100,IF(INPUTS!$J$148="Follow Sales",S$99,IF(INPUTS!$J$148="Follow Collections",S$108,IF(OR(TIMELINE!S189=0,TIMELINE!$C$188=0),0,IF(IF(INPUTS!$J$148="Follow Project Life","Even",IF(INPUTS!$J$148="At Project End","Upfront",INPUTS!$J$148))="Upfront",--(TIMELINE!S189=1),IF(IF(INPUTS!$J$148="Follow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End","Upfront",INPUTS!$J$148))="Front-loaded",(TIMELINE!$C$188-TIMELINE!S189+1)*2/(TIMELINE!$C$188*(TIMELINE!$C$188+1)),IF(IF(INPUTS!$J$148="Follow Project Life","Even",IF(INPUTS!$J$148="At Project End","Upfront",INPUTS!$J$148))="Back-loaded",TIMELINE!S189*2/(TIMELINE!$C$188*(TIMELINE!$C$188+1)),IF(IF(INPUTS!$J$148="Follow Project Life","Even",IF(INPUTS!$J$148="At Project End","Upfront",INPUTS!$J$148))="S-curve",SIN(PI()*(TIMELINE!S189-0.5)/TIMELINE!$C$188)*SIN(PI()/(2*TIMELINE!$C$188)),0))))))))))</f>
        <v>0</v>
      </c>
      <c r="T173" s="118" t="n">
        <f aca="false">IF(INPUTS!$F$148&lt;&gt;"Yes",0,IF(INPUTS!$J$148="Follow Construction",T$100,IF(INPUTS!$J$148="Follow Sales",T$99,IF(INPUTS!$J$148="Follow Collections",T$108,IF(OR(TIMELINE!T189=0,TIMELINE!$C$188=0),0,IF(IF(INPUTS!$J$148="Follow Project Life","Even",IF(INPUTS!$J$148="At Project End","Upfront",INPUTS!$J$148))="Upfront",--(TIMELINE!T189=1),IF(IF(INPUTS!$J$148="Follow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End","Upfront",INPUTS!$J$148))="Front-loaded",(TIMELINE!$C$188-TIMELINE!T189+1)*2/(TIMELINE!$C$188*(TIMELINE!$C$188+1)),IF(IF(INPUTS!$J$148="Follow Project Life","Even",IF(INPUTS!$J$148="At Project End","Upfront",INPUTS!$J$148))="Back-loaded",TIMELINE!T189*2/(TIMELINE!$C$188*(TIMELINE!$C$188+1)),IF(IF(INPUTS!$J$148="Follow Project Life","Even",IF(INPUTS!$J$148="At Project End","Upfront",INPUTS!$J$148))="S-curve",SIN(PI()*(TIMELINE!T189-0.5)/TIMELINE!$C$188)*SIN(PI()/(2*TIMELINE!$C$188)),0))))))))))</f>
        <v>0</v>
      </c>
      <c r="U173" s="118" t="n">
        <f aca="false">IF(INPUTS!$F$148&lt;&gt;"Yes",0,IF(INPUTS!$J$148="Follow Construction",U$100,IF(INPUTS!$J$148="Follow Sales",U$99,IF(INPUTS!$J$148="Follow Collections",U$108,IF(OR(TIMELINE!U189=0,TIMELINE!$C$188=0),0,IF(IF(INPUTS!$J$148="Follow Project Life","Even",IF(INPUTS!$J$148="At Project End","Upfront",INPUTS!$J$148))="Upfront",--(TIMELINE!U189=1),IF(IF(INPUTS!$J$148="Follow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End","Upfront",INPUTS!$J$148))="Front-loaded",(TIMELINE!$C$188-TIMELINE!U189+1)*2/(TIMELINE!$C$188*(TIMELINE!$C$188+1)),IF(IF(INPUTS!$J$148="Follow Project Life","Even",IF(INPUTS!$J$148="At Project End","Upfront",INPUTS!$J$148))="Back-loaded",TIMELINE!U189*2/(TIMELINE!$C$188*(TIMELINE!$C$188+1)),IF(IF(INPUTS!$J$148="Follow Project Life","Even",IF(INPUTS!$J$148="At Project End","Upfront",INPUTS!$J$148))="S-curve",SIN(PI()*(TIMELINE!U189-0.5)/TIMELINE!$C$188)*SIN(PI()/(2*TIMELINE!$C$188)),0))))))))))</f>
        <v>0</v>
      </c>
      <c r="V173" s="118" t="n">
        <f aca="false">IF(INPUTS!$F$148&lt;&gt;"Yes",0,IF(INPUTS!$J$148="Follow Construction",V$100,IF(INPUTS!$J$148="Follow Sales",V$99,IF(INPUTS!$J$148="Follow Collections",V$108,IF(OR(TIMELINE!V189=0,TIMELINE!$C$188=0),0,IF(IF(INPUTS!$J$148="Follow Project Life","Even",IF(INPUTS!$J$148="At Project End","Upfront",INPUTS!$J$148))="Upfront",--(TIMELINE!V189=1),IF(IF(INPUTS!$J$148="Follow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End","Upfront",INPUTS!$J$148))="Front-loaded",(TIMELINE!$C$188-TIMELINE!V189+1)*2/(TIMELINE!$C$188*(TIMELINE!$C$188+1)),IF(IF(INPUTS!$J$148="Follow Project Life","Even",IF(INPUTS!$J$148="At Project End","Upfront",INPUTS!$J$148))="Back-loaded",TIMELINE!V189*2/(TIMELINE!$C$188*(TIMELINE!$C$188+1)),IF(IF(INPUTS!$J$148="Follow Project Life","Even",IF(INPUTS!$J$148="At Project End","Upfront",INPUTS!$J$148))="S-curve",SIN(PI()*(TIMELINE!V189-0.5)/TIMELINE!$C$188)*SIN(PI()/(2*TIMELINE!$C$188)),0))))))))))</f>
        <v>0</v>
      </c>
      <c r="W173" s="118" t="n">
        <f aca="false">IF(INPUTS!$F$148&lt;&gt;"Yes",0,IF(INPUTS!$J$148="Follow Construction",W$100,IF(INPUTS!$J$148="Follow Sales",W$99,IF(INPUTS!$J$148="Follow Collections",W$108,IF(OR(TIMELINE!W189=0,TIMELINE!$C$188=0),0,IF(IF(INPUTS!$J$148="Follow Project Life","Even",IF(INPUTS!$J$148="At Project End","Upfront",INPUTS!$J$148))="Upfront",--(TIMELINE!W189=1),IF(IF(INPUTS!$J$148="Follow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End","Upfront",INPUTS!$J$148))="Front-loaded",(TIMELINE!$C$188-TIMELINE!W189+1)*2/(TIMELINE!$C$188*(TIMELINE!$C$188+1)),IF(IF(INPUTS!$J$148="Follow Project Life","Even",IF(INPUTS!$J$148="At Project End","Upfront",INPUTS!$J$148))="Back-loaded",TIMELINE!W189*2/(TIMELINE!$C$188*(TIMELINE!$C$188+1)),IF(IF(INPUTS!$J$148="Follow Project Life","Even",IF(INPUTS!$J$148="At Project End","Upfront",INPUTS!$J$148))="S-curve",SIN(PI()*(TIMELINE!W189-0.5)/TIMELINE!$C$188)*SIN(PI()/(2*TIMELINE!$C$188)),0))))))))))</f>
        <v>0</v>
      </c>
      <c r="X173" s="118" t="n">
        <f aca="false">IF(INPUTS!$F$148&lt;&gt;"Yes",0,IF(INPUTS!$J$148="Follow Construction",X$100,IF(INPUTS!$J$148="Follow Sales",X$99,IF(INPUTS!$J$148="Follow Collections",X$108,IF(OR(TIMELINE!X189=0,TIMELINE!$C$188=0),0,IF(IF(INPUTS!$J$148="Follow Project Life","Even",IF(INPUTS!$J$148="At Project End","Upfront",INPUTS!$J$148))="Upfront",--(TIMELINE!X189=1),IF(IF(INPUTS!$J$148="Follow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End","Upfront",INPUTS!$J$148))="Front-loaded",(TIMELINE!$C$188-TIMELINE!X189+1)*2/(TIMELINE!$C$188*(TIMELINE!$C$188+1)),IF(IF(INPUTS!$J$148="Follow Project Life","Even",IF(INPUTS!$J$148="At Project End","Upfront",INPUTS!$J$148))="Back-loaded",TIMELINE!X189*2/(TIMELINE!$C$188*(TIMELINE!$C$188+1)),IF(IF(INPUTS!$J$148="Follow Project Life","Even",IF(INPUTS!$J$148="At Project End","Upfront",INPUTS!$J$148))="S-curve",SIN(PI()*(TIMELINE!X189-0.5)/TIMELINE!$C$188)*SIN(PI()/(2*TIMELINE!$C$188)),0))))))))))</f>
        <v>0</v>
      </c>
      <c r="Y173" s="118" t="n">
        <f aca="false">IF(INPUTS!$F$148&lt;&gt;"Yes",0,IF(INPUTS!$J$148="Follow Construction",Y$100,IF(INPUTS!$J$148="Follow Sales",Y$99,IF(INPUTS!$J$148="Follow Collections",Y$108,IF(OR(TIMELINE!Y189=0,TIMELINE!$C$188=0),0,IF(IF(INPUTS!$J$148="Follow Project Life","Even",IF(INPUTS!$J$148="At Project End","Upfront",INPUTS!$J$148))="Upfront",--(TIMELINE!Y189=1),IF(IF(INPUTS!$J$148="Follow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End","Upfront",INPUTS!$J$148))="Front-loaded",(TIMELINE!$C$188-TIMELINE!Y189+1)*2/(TIMELINE!$C$188*(TIMELINE!$C$188+1)),IF(IF(INPUTS!$J$148="Follow Project Life","Even",IF(INPUTS!$J$148="At Project End","Upfront",INPUTS!$J$148))="Back-loaded",TIMELINE!Y189*2/(TIMELINE!$C$188*(TIMELINE!$C$188+1)),IF(IF(INPUTS!$J$148="Follow Project Life","Even",IF(INPUTS!$J$148="At Project End","Upfront",INPUTS!$J$148))="S-curve",SIN(PI()*(TIMELINE!Y189-0.5)/TIMELINE!$C$188)*SIN(PI()/(2*TIMELINE!$C$188)),0))))))))))</f>
        <v>0</v>
      </c>
      <c r="Z173" s="118" t="n">
        <f aca="false">IF(INPUTS!$F$148&lt;&gt;"Yes",0,IF(INPUTS!$J$148="Follow Construction",Z$100,IF(INPUTS!$J$148="Follow Sales",Z$99,IF(INPUTS!$J$148="Follow Collections",Z$108,IF(OR(TIMELINE!Z189=0,TIMELINE!$C$188=0),0,IF(IF(INPUTS!$J$148="Follow Project Life","Even",IF(INPUTS!$J$148="At Project End","Upfront",INPUTS!$J$148))="Upfront",--(TIMELINE!Z189=1),IF(IF(INPUTS!$J$148="Follow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End","Upfront",INPUTS!$J$148))="Front-loaded",(TIMELINE!$C$188-TIMELINE!Z189+1)*2/(TIMELINE!$C$188*(TIMELINE!$C$188+1)),IF(IF(INPUTS!$J$148="Follow Project Life","Even",IF(INPUTS!$J$148="At Project End","Upfront",INPUTS!$J$148))="Back-loaded",TIMELINE!Z189*2/(TIMELINE!$C$188*(TIMELINE!$C$188+1)),IF(IF(INPUTS!$J$148="Follow Project Life","Even",IF(INPUTS!$J$148="At Project End","Upfront",INPUTS!$J$148))="S-curve",SIN(PI()*(TIMELINE!Z189-0.5)/TIMELINE!$C$188)*SIN(PI()/(2*TIMELINE!$C$188)),0))))))))))</f>
        <v>0</v>
      </c>
      <c r="AA173" s="118" t="n">
        <f aca="false">IF(INPUTS!$F$148&lt;&gt;"Yes",0,IF(INPUTS!$J$148="Follow Construction",AA$100,IF(INPUTS!$J$148="Follow Sales",AA$99,IF(INPUTS!$J$148="Follow Collections",AA$108,IF(OR(TIMELINE!AA189=0,TIMELINE!$C$188=0),0,IF(IF(INPUTS!$J$148="Follow Project Life","Even",IF(INPUTS!$J$148="At Project End","Upfront",INPUTS!$J$148))="Upfront",--(TIMELINE!AA189=1),IF(IF(INPUTS!$J$148="Follow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End","Upfront",INPUTS!$J$148))="Front-loaded",(TIMELINE!$C$188-TIMELINE!AA189+1)*2/(TIMELINE!$C$188*(TIMELINE!$C$188+1)),IF(IF(INPUTS!$J$148="Follow Project Life","Even",IF(INPUTS!$J$148="At Project End","Upfront",INPUTS!$J$148))="Back-loaded",TIMELINE!AA189*2/(TIMELINE!$C$188*(TIMELINE!$C$188+1)),IF(IF(INPUTS!$J$148="Follow Project Life","Even",IF(INPUTS!$J$148="At Project End","Upfront",INPUTS!$J$148))="S-curve",SIN(PI()*(TIMELINE!AA189-0.5)/TIMELINE!$C$188)*SIN(PI()/(2*TIMELINE!$C$188)),0))))))))))</f>
        <v>0</v>
      </c>
      <c r="AB173" s="118" t="n">
        <f aca="false">IF(INPUTS!$F$148&lt;&gt;"Yes",0,IF(INPUTS!$J$148="Follow Construction",AB$100,IF(INPUTS!$J$148="Follow Sales",AB$99,IF(INPUTS!$J$148="Follow Collections",AB$108,IF(OR(TIMELINE!AB189=0,TIMELINE!$C$188=0),0,IF(IF(INPUTS!$J$148="Follow Project Life","Even",IF(INPUTS!$J$148="At Project End","Upfront",INPUTS!$J$148))="Upfront",--(TIMELINE!AB189=1),IF(IF(INPUTS!$J$148="Follow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End","Upfront",INPUTS!$J$148))="Front-loaded",(TIMELINE!$C$188-TIMELINE!AB189+1)*2/(TIMELINE!$C$188*(TIMELINE!$C$188+1)),IF(IF(INPUTS!$J$148="Follow Project Life","Even",IF(INPUTS!$J$148="At Project End","Upfront",INPUTS!$J$148))="Back-loaded",TIMELINE!AB189*2/(TIMELINE!$C$188*(TIMELINE!$C$188+1)),IF(IF(INPUTS!$J$148="Follow Project Life","Even",IF(INPUTS!$J$148="At Project End","Upfront",INPUTS!$J$148))="S-curve",SIN(PI()*(TIMELINE!AB189-0.5)/TIMELINE!$C$188)*SIN(PI()/(2*TIMELINE!$C$188)),0))))))))))</f>
        <v>0</v>
      </c>
      <c r="AC173" s="118" t="n">
        <f aca="false">IF(INPUTS!$F$148&lt;&gt;"Yes",0,IF(INPUTS!$J$148="Follow Construction",AC$100,IF(INPUTS!$J$148="Follow Sales",AC$99,IF(INPUTS!$J$148="Follow Collections",AC$108,IF(OR(TIMELINE!AC189=0,TIMELINE!$C$188=0),0,IF(IF(INPUTS!$J$148="Follow Project Life","Even",IF(INPUTS!$J$148="At Project End","Upfront",INPUTS!$J$148))="Upfront",--(TIMELINE!AC189=1),IF(IF(INPUTS!$J$148="Follow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End","Upfront",INPUTS!$J$148))="Front-loaded",(TIMELINE!$C$188-TIMELINE!AC189+1)*2/(TIMELINE!$C$188*(TIMELINE!$C$188+1)),IF(IF(INPUTS!$J$148="Follow Project Life","Even",IF(INPUTS!$J$148="At Project End","Upfront",INPUTS!$J$148))="Back-loaded",TIMELINE!AC189*2/(TIMELINE!$C$188*(TIMELINE!$C$188+1)),IF(IF(INPUTS!$J$148="Follow Project Life","Even",IF(INPUTS!$J$148="At Project End","Upfront",INPUTS!$J$148))="S-curve",SIN(PI()*(TIMELINE!AC189-0.5)/TIMELINE!$C$188)*SIN(PI()/(2*TIMELINE!$C$188)),0))))))))))</f>
        <v>0</v>
      </c>
      <c r="AD173" s="118" t="n">
        <f aca="false">IF(INPUTS!$F$148&lt;&gt;"Yes",0,IF(INPUTS!$J$148="Follow Construction",AD$100,IF(INPUTS!$J$148="Follow Sales",AD$99,IF(INPUTS!$J$148="Follow Collections",AD$108,IF(OR(TIMELINE!AD189=0,TIMELINE!$C$188=0),0,IF(IF(INPUTS!$J$148="Follow Project Life","Even",IF(INPUTS!$J$148="At Project End","Upfront",INPUTS!$J$148))="Upfront",--(TIMELINE!AD189=1),IF(IF(INPUTS!$J$148="Follow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End","Upfront",INPUTS!$J$148))="Front-loaded",(TIMELINE!$C$188-TIMELINE!AD189+1)*2/(TIMELINE!$C$188*(TIMELINE!$C$188+1)),IF(IF(INPUTS!$J$148="Follow Project Life","Even",IF(INPUTS!$J$148="At Project End","Upfront",INPUTS!$J$148))="Back-loaded",TIMELINE!AD189*2/(TIMELINE!$C$188*(TIMELINE!$C$188+1)),IF(IF(INPUTS!$J$148="Follow Project Life","Even",IF(INPUTS!$J$148="At Project End","Upfront",INPUTS!$J$148))="S-curve",SIN(PI()*(TIMELINE!AD189-0.5)/TIMELINE!$C$188)*SIN(PI()/(2*TIMELINE!$C$188)),0))))))))))</f>
        <v>0</v>
      </c>
      <c r="AE173" s="118" t="n">
        <f aca="false">IF(INPUTS!$F$148&lt;&gt;"Yes",0,IF(INPUTS!$J$148="Follow Construction",AE$100,IF(INPUTS!$J$148="Follow Sales",AE$99,IF(INPUTS!$J$148="Follow Collections",AE$108,IF(OR(TIMELINE!AE189=0,TIMELINE!$C$188=0),0,IF(IF(INPUTS!$J$148="Follow Project Life","Even",IF(INPUTS!$J$148="At Project End","Upfront",INPUTS!$J$148))="Upfront",--(TIMELINE!AE189=1),IF(IF(INPUTS!$J$148="Follow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End","Upfront",INPUTS!$J$148))="Front-loaded",(TIMELINE!$C$188-TIMELINE!AE189+1)*2/(TIMELINE!$C$188*(TIMELINE!$C$188+1)),IF(IF(INPUTS!$J$148="Follow Project Life","Even",IF(INPUTS!$J$148="At Project End","Upfront",INPUTS!$J$148))="Back-loaded",TIMELINE!AE189*2/(TIMELINE!$C$188*(TIMELINE!$C$188+1)),IF(IF(INPUTS!$J$148="Follow Project Life","Even",IF(INPUTS!$J$148="At Project End","Upfront",INPUTS!$J$148))="S-curve",SIN(PI()*(TIMELINE!AE189-0.5)/TIMELINE!$C$188)*SIN(PI()/(2*TIMELINE!$C$188)),0))))))))))</f>
        <v>0</v>
      </c>
      <c r="AF173" s="118" t="n">
        <f aca="false">IF(INPUTS!$F$148&lt;&gt;"Yes",0,IF(INPUTS!$J$148="Follow Construction",AF$100,IF(INPUTS!$J$148="Follow Sales",AF$99,IF(INPUTS!$J$148="Follow Collections",AF$108,IF(OR(TIMELINE!AF189=0,TIMELINE!$C$188=0),0,IF(IF(INPUTS!$J$148="Follow Project Life","Even",IF(INPUTS!$J$148="At Project End","Upfront",INPUTS!$J$148))="Upfront",--(TIMELINE!AF189=1),IF(IF(INPUTS!$J$148="Follow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End","Upfront",INPUTS!$J$148))="Front-loaded",(TIMELINE!$C$188-TIMELINE!AF189+1)*2/(TIMELINE!$C$188*(TIMELINE!$C$188+1)),IF(IF(INPUTS!$J$148="Follow Project Life","Even",IF(INPUTS!$J$148="At Project End","Upfront",INPUTS!$J$148))="Back-loaded",TIMELINE!AF189*2/(TIMELINE!$C$188*(TIMELINE!$C$188+1)),IF(IF(INPUTS!$J$148="Follow Project Life","Even",IF(INPUTS!$J$148="At Project End","Upfront",INPUTS!$J$148))="S-curve",SIN(PI()*(TIMELINE!AF189-0.5)/TIMELINE!$C$188)*SIN(PI()/(2*TIMELINE!$C$188)),0))))))))))</f>
        <v>0</v>
      </c>
      <c r="AG173" s="118" t="n">
        <f aca="false">IF(INPUTS!$F$148&lt;&gt;"Yes",0,IF(INPUTS!$J$148="Follow Construction",AG$100,IF(INPUTS!$J$148="Follow Sales",AG$99,IF(INPUTS!$J$148="Follow Collections",AG$108,IF(OR(TIMELINE!AG189=0,TIMELINE!$C$188=0),0,IF(IF(INPUTS!$J$148="Follow Project Life","Even",IF(INPUTS!$J$148="At Project End","Upfront",INPUTS!$J$148))="Upfront",--(TIMELINE!AG189=1),IF(IF(INPUTS!$J$148="Follow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End","Upfront",INPUTS!$J$148))="Front-loaded",(TIMELINE!$C$188-TIMELINE!AG189+1)*2/(TIMELINE!$C$188*(TIMELINE!$C$188+1)),IF(IF(INPUTS!$J$148="Follow Project Life","Even",IF(INPUTS!$J$148="At Project End","Upfront",INPUTS!$J$148))="Back-loaded",TIMELINE!AG189*2/(TIMELINE!$C$188*(TIMELINE!$C$188+1)),IF(IF(INPUTS!$J$148="Follow Project Life","Even",IF(INPUTS!$J$148="At Project End","Upfront",INPUTS!$J$148))="S-curve",SIN(PI()*(TIMELINE!AG189-0.5)/TIMELINE!$C$188)*SIN(PI()/(2*TIMELINE!$C$188)),0))))))))))</f>
        <v>0</v>
      </c>
      <c r="AH173" s="118" t="n">
        <f aca="false">IF(INPUTS!$F$148&lt;&gt;"Yes",0,IF(INPUTS!$J$148="Follow Construction",AH$100,IF(INPUTS!$J$148="Follow Sales",AH$99,IF(INPUTS!$J$148="Follow Collections",AH$108,IF(OR(TIMELINE!AH189=0,TIMELINE!$C$188=0),0,IF(IF(INPUTS!$J$148="Follow Project Life","Even",IF(INPUTS!$J$148="At Project End","Upfront",INPUTS!$J$148))="Upfront",--(TIMELINE!AH189=1),IF(IF(INPUTS!$J$148="Follow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End","Upfront",INPUTS!$J$148))="Front-loaded",(TIMELINE!$C$188-TIMELINE!AH189+1)*2/(TIMELINE!$C$188*(TIMELINE!$C$188+1)),IF(IF(INPUTS!$J$148="Follow Project Life","Even",IF(INPUTS!$J$148="At Project End","Upfront",INPUTS!$J$148))="Back-loaded",TIMELINE!AH189*2/(TIMELINE!$C$188*(TIMELINE!$C$188+1)),IF(IF(INPUTS!$J$148="Follow Project Life","Even",IF(INPUTS!$J$148="At Project End","Upfront",INPUTS!$J$148))="S-curve",SIN(PI()*(TIMELINE!AH189-0.5)/TIMELINE!$C$188)*SIN(PI()/(2*TIMELINE!$C$188)),0))))))))))</f>
        <v>0</v>
      </c>
      <c r="AI173" s="118" t="n">
        <f aca="false">IF(INPUTS!$F$148&lt;&gt;"Yes",0,IF(INPUTS!$J$148="Follow Construction",AI$100,IF(INPUTS!$J$148="Follow Sales",AI$99,IF(INPUTS!$J$148="Follow Collections",AI$108,IF(OR(TIMELINE!AI189=0,TIMELINE!$C$188=0),0,IF(IF(INPUTS!$J$148="Follow Project Life","Even",IF(INPUTS!$J$148="At Project End","Upfront",INPUTS!$J$148))="Upfront",--(TIMELINE!AI189=1),IF(IF(INPUTS!$J$148="Follow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End","Upfront",INPUTS!$J$148))="Front-loaded",(TIMELINE!$C$188-TIMELINE!AI189+1)*2/(TIMELINE!$C$188*(TIMELINE!$C$188+1)),IF(IF(INPUTS!$J$148="Follow Project Life","Even",IF(INPUTS!$J$148="At Project End","Upfront",INPUTS!$J$148))="Back-loaded",TIMELINE!AI189*2/(TIMELINE!$C$188*(TIMELINE!$C$188+1)),IF(IF(INPUTS!$J$148="Follow Project Life","Even",IF(INPUTS!$J$148="At Project End","Upfront",INPUTS!$J$148))="S-curve",SIN(PI()*(TIMELINE!AI189-0.5)/TIMELINE!$C$188)*SIN(PI()/(2*TIMELINE!$C$188)),0))))))))))</f>
        <v>0</v>
      </c>
      <c r="AJ173" s="118" t="n">
        <f aca="false">IF(INPUTS!$F$148&lt;&gt;"Yes",0,IF(INPUTS!$J$148="Follow Construction",AJ$100,IF(INPUTS!$J$148="Follow Sales",AJ$99,IF(INPUTS!$J$148="Follow Collections",AJ$108,IF(OR(TIMELINE!AJ189=0,TIMELINE!$C$188=0),0,IF(IF(INPUTS!$J$148="Follow Project Life","Even",IF(INPUTS!$J$148="At Project End","Upfront",INPUTS!$J$148))="Upfront",--(TIMELINE!AJ189=1),IF(IF(INPUTS!$J$148="Follow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End","Upfront",INPUTS!$J$148))="Front-loaded",(TIMELINE!$C$188-TIMELINE!AJ189+1)*2/(TIMELINE!$C$188*(TIMELINE!$C$188+1)),IF(IF(INPUTS!$J$148="Follow Project Life","Even",IF(INPUTS!$J$148="At Project End","Upfront",INPUTS!$J$148))="Back-loaded",TIMELINE!AJ189*2/(TIMELINE!$C$188*(TIMELINE!$C$188+1)),IF(IF(INPUTS!$J$148="Follow Project Life","Even",IF(INPUTS!$J$148="At Project End","Upfront",INPUTS!$J$148))="S-curve",SIN(PI()*(TIMELINE!AJ189-0.5)/TIMELINE!$C$188)*SIN(PI()/(2*TIMELINE!$C$188)),0))))))))))</f>
        <v>0</v>
      </c>
      <c r="AK173" s="118" t="n">
        <f aca="false">IF(INPUTS!$F$148&lt;&gt;"Yes",0,IF(INPUTS!$J$148="Follow Construction",AK$100,IF(INPUTS!$J$148="Follow Sales",AK$99,IF(INPUTS!$J$148="Follow Collections",AK$108,IF(OR(TIMELINE!AK189=0,TIMELINE!$C$188=0),0,IF(IF(INPUTS!$J$148="Follow Project Life","Even",IF(INPUTS!$J$148="At Project End","Upfront",INPUTS!$J$148))="Upfront",--(TIMELINE!AK189=1),IF(IF(INPUTS!$J$148="Follow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End","Upfront",INPUTS!$J$148))="Front-loaded",(TIMELINE!$C$188-TIMELINE!AK189+1)*2/(TIMELINE!$C$188*(TIMELINE!$C$188+1)),IF(IF(INPUTS!$J$148="Follow Project Life","Even",IF(INPUTS!$J$148="At Project End","Upfront",INPUTS!$J$148))="Back-loaded",TIMELINE!AK189*2/(TIMELINE!$C$188*(TIMELINE!$C$188+1)),IF(IF(INPUTS!$J$148="Follow Project Life","Even",IF(INPUTS!$J$148="At Project End","Upfront",INPUTS!$J$148))="S-curve",SIN(PI()*(TIMELINE!AK189-0.5)/TIMELINE!$C$188)*SIN(PI()/(2*TIMELINE!$C$188)),0))))))))))</f>
        <v>0</v>
      </c>
      <c r="AL173" s="118" t="n">
        <f aca="false">IF(INPUTS!$F$148&lt;&gt;"Yes",0,IF(INPUTS!$J$148="Follow Construction",AL$100,IF(INPUTS!$J$148="Follow Sales",AL$99,IF(INPUTS!$J$148="Follow Collections",AL$108,IF(OR(TIMELINE!AL189=0,TIMELINE!$C$188=0),0,IF(IF(INPUTS!$J$148="Follow Project Life","Even",IF(INPUTS!$J$148="At Project End","Upfront",INPUTS!$J$148))="Upfront",--(TIMELINE!AL189=1),IF(IF(INPUTS!$J$148="Follow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End","Upfront",INPUTS!$J$148))="Front-loaded",(TIMELINE!$C$188-TIMELINE!AL189+1)*2/(TIMELINE!$C$188*(TIMELINE!$C$188+1)),IF(IF(INPUTS!$J$148="Follow Project Life","Even",IF(INPUTS!$J$148="At Project End","Upfront",INPUTS!$J$148))="Back-loaded",TIMELINE!AL189*2/(TIMELINE!$C$188*(TIMELINE!$C$188+1)),IF(IF(INPUTS!$J$148="Follow Project Life","Even",IF(INPUTS!$J$148="At Project End","Upfront",INPUTS!$J$148))="S-curve",SIN(PI()*(TIMELINE!AL189-0.5)/TIMELINE!$C$188)*SIN(PI()/(2*TIMELINE!$C$188)),0))))))))))</f>
        <v>0</v>
      </c>
      <c r="AM173" s="118" t="n">
        <f aca="false">IF(INPUTS!$F$148&lt;&gt;"Yes",0,IF(INPUTS!$J$148="Follow Construction",AM$100,IF(INPUTS!$J$148="Follow Sales",AM$99,IF(INPUTS!$J$148="Follow Collections",AM$108,IF(OR(TIMELINE!AM189=0,TIMELINE!$C$188=0),0,IF(IF(INPUTS!$J$148="Follow Project Life","Even",IF(INPUTS!$J$148="At Project End","Upfront",INPUTS!$J$148))="Upfront",--(TIMELINE!AM189=1),IF(IF(INPUTS!$J$148="Follow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End","Upfront",INPUTS!$J$148))="Front-loaded",(TIMELINE!$C$188-TIMELINE!AM189+1)*2/(TIMELINE!$C$188*(TIMELINE!$C$188+1)),IF(IF(INPUTS!$J$148="Follow Project Life","Even",IF(INPUTS!$J$148="At Project End","Upfront",INPUTS!$J$148))="Back-loaded",TIMELINE!AM189*2/(TIMELINE!$C$188*(TIMELINE!$C$188+1)),IF(IF(INPUTS!$J$148="Follow Project Life","Even",IF(INPUTS!$J$148="At Project End","Upfront",INPUTS!$J$148))="S-curve",SIN(PI()*(TIMELINE!AM189-0.5)/TIMELINE!$C$188)*SIN(PI()/(2*TIMELINE!$C$188)),0))))))))))</f>
        <v>0</v>
      </c>
      <c r="AN173" s="118" t="n">
        <f aca="false">IF(INPUTS!$F$148&lt;&gt;"Yes",0,IF(INPUTS!$J$148="Follow Construction",AN$100,IF(INPUTS!$J$148="Follow Sales",AN$99,IF(INPUTS!$J$148="Follow Collections",AN$108,IF(OR(TIMELINE!AN189=0,TIMELINE!$C$188=0),0,IF(IF(INPUTS!$J$148="Follow Project Life","Even",IF(INPUTS!$J$148="At Project End","Upfront",INPUTS!$J$148))="Upfront",--(TIMELINE!AN189=1),IF(IF(INPUTS!$J$148="Follow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End","Upfront",INPUTS!$J$148))="Front-loaded",(TIMELINE!$C$188-TIMELINE!AN189+1)*2/(TIMELINE!$C$188*(TIMELINE!$C$188+1)),IF(IF(INPUTS!$J$148="Follow Project Life","Even",IF(INPUTS!$J$148="At Project End","Upfront",INPUTS!$J$148))="Back-loaded",TIMELINE!AN189*2/(TIMELINE!$C$188*(TIMELINE!$C$188+1)),IF(IF(INPUTS!$J$148="Follow Project Life","Even",IF(INPUTS!$J$148="At Project End","Upfront",INPUTS!$J$148))="S-curve",SIN(PI()*(TIMELINE!AN189-0.5)/TIMELINE!$C$188)*SIN(PI()/(2*TIMELINE!$C$188)),0))))))))))</f>
        <v>0</v>
      </c>
      <c r="AO173" s="118" t="n">
        <f aca="false">IF(INPUTS!$F$148&lt;&gt;"Yes",0,IF(INPUTS!$J$148="Follow Construction",AO$100,IF(INPUTS!$J$148="Follow Sales",AO$99,IF(INPUTS!$J$148="Follow Collections",AO$108,IF(OR(TIMELINE!AO189=0,TIMELINE!$C$188=0),0,IF(IF(INPUTS!$J$148="Follow Project Life","Even",IF(INPUTS!$J$148="At Project End","Upfront",INPUTS!$J$148))="Upfront",--(TIMELINE!AO189=1),IF(IF(INPUTS!$J$148="Follow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End","Upfront",INPUTS!$J$148))="Front-loaded",(TIMELINE!$C$188-TIMELINE!AO189+1)*2/(TIMELINE!$C$188*(TIMELINE!$C$188+1)),IF(IF(INPUTS!$J$148="Follow Project Life","Even",IF(INPUTS!$J$148="At Project End","Upfront",INPUTS!$J$148))="Back-loaded",TIMELINE!AO189*2/(TIMELINE!$C$188*(TIMELINE!$C$188+1)),IF(IF(INPUTS!$J$148="Follow Project Life","Even",IF(INPUTS!$J$148="At Project End","Upfront",INPUTS!$J$148))="S-curve",SIN(PI()*(TIMELINE!AO189-0.5)/TIMELINE!$C$188)*SIN(PI()/(2*TIMELINE!$C$188)),0))))))))))</f>
        <v>0</v>
      </c>
      <c r="AP173" s="118" t="n">
        <f aca="false">IF(INPUTS!$F$148&lt;&gt;"Yes",0,IF(INPUTS!$J$148="Follow Construction",AP$100,IF(INPUTS!$J$148="Follow Sales",AP$99,IF(INPUTS!$J$148="Follow Collections",AP$108,IF(OR(TIMELINE!AP189=0,TIMELINE!$C$188=0),0,IF(IF(INPUTS!$J$148="Follow Project Life","Even",IF(INPUTS!$J$148="At Project End","Upfront",INPUTS!$J$148))="Upfront",--(TIMELINE!AP189=1),IF(IF(INPUTS!$J$148="Follow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End","Upfront",INPUTS!$J$148))="Front-loaded",(TIMELINE!$C$188-TIMELINE!AP189+1)*2/(TIMELINE!$C$188*(TIMELINE!$C$188+1)),IF(IF(INPUTS!$J$148="Follow Project Life","Even",IF(INPUTS!$J$148="At Project End","Upfront",INPUTS!$J$148))="Back-loaded",TIMELINE!AP189*2/(TIMELINE!$C$188*(TIMELINE!$C$188+1)),IF(IF(INPUTS!$J$148="Follow Project Life","Even",IF(INPUTS!$J$148="At Project End","Upfront",INPUTS!$J$148))="S-curve",SIN(PI()*(TIMELINE!AP189-0.5)/TIMELINE!$C$188)*SIN(PI()/(2*TIMELINE!$C$188)),0))))))))))</f>
        <v>0</v>
      </c>
      <c r="AQ173" s="118" t="n">
        <f aca="false">IF(INPUTS!$F$148&lt;&gt;"Yes",0,IF(INPUTS!$J$148="Follow Construction",AQ$100,IF(INPUTS!$J$148="Follow Sales",AQ$99,IF(INPUTS!$J$148="Follow Collections",AQ$108,IF(OR(TIMELINE!AQ189=0,TIMELINE!$C$188=0),0,IF(IF(INPUTS!$J$148="Follow Project Life","Even",IF(INPUTS!$J$148="At Project End","Upfront",INPUTS!$J$148))="Upfront",--(TIMELINE!AQ189=1),IF(IF(INPUTS!$J$148="Follow Project Life","Even",IF(INPUTS!$J$148="At Project End","Upfront",INPUTS!$J$148))="Even",1/TIMELINE!$C$188,IF(IF(INPUTS!$J$148="Follow Project Life","Even",IF(INPUTS!$J$148="At Project End","Upfront",INPUTS!$J$148))="Front-loaded",(TIMELINE!$C$188-TIMELINE!AQ189+1)*2/(TIMELINE!$C$188*(TIMELINE!$C$188+1)),IF(IF(INPUTS!$J$148="Follow Project Life","Even",IF(INPUTS!$J$148="At Project End","Upfront",INPUTS!$J$148))="Back-loaded",TIMELINE!AQ189*2/(TIMELINE!$C$188*(TIMELINE!$C$188+1)),IF(IF(INPUTS!$J$148="Follow Project Life","Even",IF(INPUTS!$J$148="At Project End","Upfront",INPUTS!$J$148))="S-curve",SIN(PI()*(TIMELINE!AQ189-0.5)/TIMELINE!$C$188)*SIN(PI()/(2*TIMELINE!$C$188)),0))))))))))</f>
        <v>0</v>
      </c>
    </row>
    <row r="174" customFormat="false" ht="15" hidden="false" customHeight="false" outlineLevel="0" collapsed="false">
      <c r="B174" s="17" t="s">
        <v>689</v>
      </c>
      <c r="C174" s="105" t="str">
        <f aca="false">IF(INPUTS!$B$148="","",IF(INPUTS!$F$148&lt;&gt;"Yes","Off",IF(INPUTS!$M$148&lt;&gt;"OK","ERROR",IF(ABS(C173-1)&lt;0.000000001,"OK",IF(AND(C173=0,INPUTS!$G$148=0),"Zero","ERROR")))))</f>
        <v>OK</v>
      </c>
    </row>
    <row r="175" customFormat="false" ht="15" hidden="false" customHeight="false" outlineLevel="0" collapsed="false">
      <c r="B175" s="110" t="str">
        <f aca="false">IF(INPUTS!$B$149="","Spare cost row",INPUTS!$B$149)</f>
        <v>Spare cost row</v>
      </c>
      <c r="C175" s="111" t="str">
        <f aca="false">IF(INPUTS!$J$149="","",INPUTS!$J$149)</f>
        <v/>
      </c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</row>
    <row r="176" customFormat="false" ht="15" hidden="false" customHeight="false" outlineLevel="0" collapsed="false">
      <c r="B176" s="3" t="s">
        <v>688</v>
      </c>
      <c r="C176" s="117" t="n">
        <f aca="false">SUM(D176:AQ176)</f>
        <v>0</v>
      </c>
      <c r="D176" s="118" t="n">
        <f aca="false">IF(INPUTS!$F$149&lt;&gt;"Yes",0,IF(INPUTS!$J$149="Follow Construction",D$100,IF(INPUTS!$J$149="Follow Sales",D$99,IF(INPUTS!$J$149="Follow Collections",D$108,IF(OR(TIMELINE!D193=0,TIMELINE!$C$192=0),0,IF(IF(INPUTS!$J$149="Follow Project Life","Even",IF(INPUTS!$J$149="At Project End","Upfront",INPUTS!$J$149))="Upfront",--(TIMELINE!D193=1),IF(IF(INPUTS!$J$149="Follow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End","Upfront",INPUTS!$J$149))="Front-loaded",(TIMELINE!$C$192-TIMELINE!D193+1)*2/(TIMELINE!$C$192*(TIMELINE!$C$192+1)),IF(IF(INPUTS!$J$149="Follow Project Life","Even",IF(INPUTS!$J$149="At Project End","Upfront",INPUTS!$J$149))="Back-loaded",TIMELINE!D193*2/(TIMELINE!$C$192*(TIMELINE!$C$192+1)),IF(IF(INPUTS!$J$149="Follow Project Life","Even",IF(INPUTS!$J$149="At Project End","Upfront",INPUTS!$J$149))="S-curve",SIN(PI()*(TIMELINE!D193-0.5)/TIMELINE!$C$192)*SIN(PI()/(2*TIMELINE!$C$192)),0))))))))))</f>
        <v>0</v>
      </c>
      <c r="E176" s="118" t="n">
        <f aca="false">IF(INPUTS!$F$149&lt;&gt;"Yes",0,IF(INPUTS!$J$149="Follow Construction",E$100,IF(INPUTS!$J$149="Follow Sales",E$99,IF(INPUTS!$J$149="Follow Collections",E$108,IF(OR(TIMELINE!E193=0,TIMELINE!$C$192=0),0,IF(IF(INPUTS!$J$149="Follow Project Life","Even",IF(INPUTS!$J$149="At Project End","Upfront",INPUTS!$J$149))="Upfront",--(TIMELINE!E193=1),IF(IF(INPUTS!$J$149="Follow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End","Upfront",INPUTS!$J$149))="Front-loaded",(TIMELINE!$C$192-TIMELINE!E193+1)*2/(TIMELINE!$C$192*(TIMELINE!$C$192+1)),IF(IF(INPUTS!$J$149="Follow Project Life","Even",IF(INPUTS!$J$149="At Project End","Upfront",INPUTS!$J$149))="Back-loaded",TIMELINE!E193*2/(TIMELINE!$C$192*(TIMELINE!$C$192+1)),IF(IF(INPUTS!$J$149="Follow Project Life","Even",IF(INPUTS!$J$149="At Project End","Upfront",INPUTS!$J$149))="S-curve",SIN(PI()*(TIMELINE!E193-0.5)/TIMELINE!$C$192)*SIN(PI()/(2*TIMELINE!$C$192)),0))))))))))</f>
        <v>0</v>
      </c>
      <c r="F176" s="118" t="n">
        <f aca="false">IF(INPUTS!$F$149&lt;&gt;"Yes",0,IF(INPUTS!$J$149="Follow Construction",F$100,IF(INPUTS!$J$149="Follow Sales",F$99,IF(INPUTS!$J$149="Follow Collections",F$108,IF(OR(TIMELINE!F193=0,TIMELINE!$C$192=0),0,IF(IF(INPUTS!$J$149="Follow Project Life","Even",IF(INPUTS!$J$149="At Project End","Upfront",INPUTS!$J$149))="Upfront",--(TIMELINE!F193=1),IF(IF(INPUTS!$J$149="Follow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End","Upfront",INPUTS!$J$149))="Front-loaded",(TIMELINE!$C$192-TIMELINE!F193+1)*2/(TIMELINE!$C$192*(TIMELINE!$C$192+1)),IF(IF(INPUTS!$J$149="Follow Project Life","Even",IF(INPUTS!$J$149="At Project End","Upfront",INPUTS!$J$149))="Back-loaded",TIMELINE!F193*2/(TIMELINE!$C$192*(TIMELINE!$C$192+1)),IF(IF(INPUTS!$J$149="Follow Project Life","Even",IF(INPUTS!$J$149="At Project End","Upfront",INPUTS!$J$149))="S-curve",SIN(PI()*(TIMELINE!F193-0.5)/TIMELINE!$C$192)*SIN(PI()/(2*TIMELINE!$C$192)),0))))))))))</f>
        <v>0</v>
      </c>
      <c r="G176" s="118" t="n">
        <f aca="false">IF(INPUTS!$F$149&lt;&gt;"Yes",0,IF(INPUTS!$J$149="Follow Construction",G$100,IF(INPUTS!$J$149="Follow Sales",G$99,IF(INPUTS!$J$149="Follow Collections",G$108,IF(OR(TIMELINE!G193=0,TIMELINE!$C$192=0),0,IF(IF(INPUTS!$J$149="Follow Project Life","Even",IF(INPUTS!$J$149="At Project End","Upfront",INPUTS!$J$149))="Upfront",--(TIMELINE!G193=1),IF(IF(INPUTS!$J$149="Follow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End","Upfront",INPUTS!$J$149))="Front-loaded",(TIMELINE!$C$192-TIMELINE!G193+1)*2/(TIMELINE!$C$192*(TIMELINE!$C$192+1)),IF(IF(INPUTS!$J$149="Follow Project Life","Even",IF(INPUTS!$J$149="At Project End","Upfront",INPUTS!$J$149))="Back-loaded",TIMELINE!G193*2/(TIMELINE!$C$192*(TIMELINE!$C$192+1)),IF(IF(INPUTS!$J$149="Follow Project Life","Even",IF(INPUTS!$J$149="At Project End","Upfront",INPUTS!$J$149))="S-curve",SIN(PI()*(TIMELINE!G193-0.5)/TIMELINE!$C$192)*SIN(PI()/(2*TIMELINE!$C$192)),0))))))))))</f>
        <v>0</v>
      </c>
      <c r="H176" s="118" t="n">
        <f aca="false">IF(INPUTS!$F$149&lt;&gt;"Yes",0,IF(INPUTS!$J$149="Follow Construction",H$100,IF(INPUTS!$J$149="Follow Sales",H$99,IF(INPUTS!$J$149="Follow Collections",H$108,IF(OR(TIMELINE!H193=0,TIMELINE!$C$192=0),0,IF(IF(INPUTS!$J$149="Follow Project Life","Even",IF(INPUTS!$J$149="At Project End","Upfront",INPUTS!$J$149))="Upfront",--(TIMELINE!H193=1),IF(IF(INPUTS!$J$149="Follow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End","Upfront",INPUTS!$J$149))="Front-loaded",(TIMELINE!$C$192-TIMELINE!H193+1)*2/(TIMELINE!$C$192*(TIMELINE!$C$192+1)),IF(IF(INPUTS!$J$149="Follow Project Life","Even",IF(INPUTS!$J$149="At Project End","Upfront",INPUTS!$J$149))="Back-loaded",TIMELINE!H193*2/(TIMELINE!$C$192*(TIMELINE!$C$192+1)),IF(IF(INPUTS!$J$149="Follow Project Life","Even",IF(INPUTS!$J$149="At Project End","Upfront",INPUTS!$J$149))="S-curve",SIN(PI()*(TIMELINE!H193-0.5)/TIMELINE!$C$192)*SIN(PI()/(2*TIMELINE!$C$192)),0))))))))))</f>
        <v>0</v>
      </c>
      <c r="I176" s="118" t="n">
        <f aca="false">IF(INPUTS!$F$149&lt;&gt;"Yes",0,IF(INPUTS!$J$149="Follow Construction",I$100,IF(INPUTS!$J$149="Follow Sales",I$99,IF(INPUTS!$J$149="Follow Collections",I$108,IF(OR(TIMELINE!I193=0,TIMELINE!$C$192=0),0,IF(IF(INPUTS!$J$149="Follow Project Life","Even",IF(INPUTS!$J$149="At Project End","Upfront",INPUTS!$J$149))="Upfront",--(TIMELINE!I193=1),IF(IF(INPUTS!$J$149="Follow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End","Upfront",INPUTS!$J$149))="Front-loaded",(TIMELINE!$C$192-TIMELINE!I193+1)*2/(TIMELINE!$C$192*(TIMELINE!$C$192+1)),IF(IF(INPUTS!$J$149="Follow Project Life","Even",IF(INPUTS!$J$149="At Project End","Upfront",INPUTS!$J$149))="Back-loaded",TIMELINE!I193*2/(TIMELINE!$C$192*(TIMELINE!$C$192+1)),IF(IF(INPUTS!$J$149="Follow Project Life","Even",IF(INPUTS!$J$149="At Project End","Upfront",INPUTS!$J$149))="S-curve",SIN(PI()*(TIMELINE!I193-0.5)/TIMELINE!$C$192)*SIN(PI()/(2*TIMELINE!$C$192)),0))))))))))</f>
        <v>0</v>
      </c>
      <c r="J176" s="118" t="n">
        <f aca="false">IF(INPUTS!$F$149&lt;&gt;"Yes",0,IF(INPUTS!$J$149="Follow Construction",J$100,IF(INPUTS!$J$149="Follow Sales",J$99,IF(INPUTS!$J$149="Follow Collections",J$108,IF(OR(TIMELINE!J193=0,TIMELINE!$C$192=0),0,IF(IF(INPUTS!$J$149="Follow Project Life","Even",IF(INPUTS!$J$149="At Project End","Upfront",INPUTS!$J$149))="Upfront",--(TIMELINE!J193=1),IF(IF(INPUTS!$J$149="Follow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End","Upfront",INPUTS!$J$149))="Front-loaded",(TIMELINE!$C$192-TIMELINE!J193+1)*2/(TIMELINE!$C$192*(TIMELINE!$C$192+1)),IF(IF(INPUTS!$J$149="Follow Project Life","Even",IF(INPUTS!$J$149="At Project End","Upfront",INPUTS!$J$149))="Back-loaded",TIMELINE!J193*2/(TIMELINE!$C$192*(TIMELINE!$C$192+1)),IF(IF(INPUTS!$J$149="Follow Project Life","Even",IF(INPUTS!$J$149="At Project End","Upfront",INPUTS!$J$149))="S-curve",SIN(PI()*(TIMELINE!J193-0.5)/TIMELINE!$C$192)*SIN(PI()/(2*TIMELINE!$C$192)),0))))))))))</f>
        <v>0</v>
      </c>
      <c r="K176" s="118" t="n">
        <f aca="false">IF(INPUTS!$F$149&lt;&gt;"Yes",0,IF(INPUTS!$J$149="Follow Construction",K$100,IF(INPUTS!$J$149="Follow Sales",K$99,IF(INPUTS!$J$149="Follow Collections",K$108,IF(OR(TIMELINE!K193=0,TIMELINE!$C$192=0),0,IF(IF(INPUTS!$J$149="Follow Project Life","Even",IF(INPUTS!$J$149="At Project End","Upfront",INPUTS!$J$149))="Upfront",--(TIMELINE!K193=1),IF(IF(INPUTS!$J$149="Follow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End","Upfront",INPUTS!$J$149))="Front-loaded",(TIMELINE!$C$192-TIMELINE!K193+1)*2/(TIMELINE!$C$192*(TIMELINE!$C$192+1)),IF(IF(INPUTS!$J$149="Follow Project Life","Even",IF(INPUTS!$J$149="At Project End","Upfront",INPUTS!$J$149))="Back-loaded",TIMELINE!K193*2/(TIMELINE!$C$192*(TIMELINE!$C$192+1)),IF(IF(INPUTS!$J$149="Follow Project Life","Even",IF(INPUTS!$J$149="At Project End","Upfront",INPUTS!$J$149))="S-curve",SIN(PI()*(TIMELINE!K193-0.5)/TIMELINE!$C$192)*SIN(PI()/(2*TIMELINE!$C$192)),0))))))))))</f>
        <v>0</v>
      </c>
      <c r="L176" s="118" t="n">
        <f aca="false">IF(INPUTS!$F$149&lt;&gt;"Yes",0,IF(INPUTS!$J$149="Follow Construction",L$100,IF(INPUTS!$J$149="Follow Sales",L$99,IF(INPUTS!$J$149="Follow Collections",L$108,IF(OR(TIMELINE!L193=0,TIMELINE!$C$192=0),0,IF(IF(INPUTS!$J$149="Follow Project Life","Even",IF(INPUTS!$J$149="At Project End","Upfront",INPUTS!$J$149))="Upfront",--(TIMELINE!L193=1),IF(IF(INPUTS!$J$149="Follow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End","Upfront",INPUTS!$J$149))="Front-loaded",(TIMELINE!$C$192-TIMELINE!L193+1)*2/(TIMELINE!$C$192*(TIMELINE!$C$192+1)),IF(IF(INPUTS!$J$149="Follow Project Life","Even",IF(INPUTS!$J$149="At Project End","Upfront",INPUTS!$J$149))="Back-loaded",TIMELINE!L193*2/(TIMELINE!$C$192*(TIMELINE!$C$192+1)),IF(IF(INPUTS!$J$149="Follow Project Life","Even",IF(INPUTS!$J$149="At Project End","Upfront",INPUTS!$J$149))="S-curve",SIN(PI()*(TIMELINE!L193-0.5)/TIMELINE!$C$192)*SIN(PI()/(2*TIMELINE!$C$192)),0))))))))))</f>
        <v>0</v>
      </c>
      <c r="M176" s="118" t="n">
        <f aca="false">IF(INPUTS!$F$149&lt;&gt;"Yes",0,IF(INPUTS!$J$149="Follow Construction",M$100,IF(INPUTS!$J$149="Follow Sales",M$99,IF(INPUTS!$J$149="Follow Collections",M$108,IF(OR(TIMELINE!M193=0,TIMELINE!$C$192=0),0,IF(IF(INPUTS!$J$149="Follow Project Life","Even",IF(INPUTS!$J$149="At Project End","Upfront",INPUTS!$J$149))="Upfront",--(TIMELINE!M193=1),IF(IF(INPUTS!$J$149="Follow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End","Upfront",INPUTS!$J$149))="Front-loaded",(TIMELINE!$C$192-TIMELINE!M193+1)*2/(TIMELINE!$C$192*(TIMELINE!$C$192+1)),IF(IF(INPUTS!$J$149="Follow Project Life","Even",IF(INPUTS!$J$149="At Project End","Upfront",INPUTS!$J$149))="Back-loaded",TIMELINE!M193*2/(TIMELINE!$C$192*(TIMELINE!$C$192+1)),IF(IF(INPUTS!$J$149="Follow Project Life","Even",IF(INPUTS!$J$149="At Project End","Upfront",INPUTS!$J$149))="S-curve",SIN(PI()*(TIMELINE!M193-0.5)/TIMELINE!$C$192)*SIN(PI()/(2*TIMELINE!$C$192)),0))))))))))</f>
        <v>0</v>
      </c>
      <c r="N176" s="118" t="n">
        <f aca="false">IF(INPUTS!$F$149&lt;&gt;"Yes",0,IF(INPUTS!$J$149="Follow Construction",N$100,IF(INPUTS!$J$149="Follow Sales",N$99,IF(INPUTS!$J$149="Follow Collections",N$108,IF(OR(TIMELINE!N193=0,TIMELINE!$C$192=0),0,IF(IF(INPUTS!$J$149="Follow Project Life","Even",IF(INPUTS!$J$149="At Project End","Upfront",INPUTS!$J$149))="Upfront",--(TIMELINE!N193=1),IF(IF(INPUTS!$J$149="Follow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End","Upfront",INPUTS!$J$149))="Front-loaded",(TIMELINE!$C$192-TIMELINE!N193+1)*2/(TIMELINE!$C$192*(TIMELINE!$C$192+1)),IF(IF(INPUTS!$J$149="Follow Project Life","Even",IF(INPUTS!$J$149="At Project End","Upfront",INPUTS!$J$149))="Back-loaded",TIMELINE!N193*2/(TIMELINE!$C$192*(TIMELINE!$C$192+1)),IF(IF(INPUTS!$J$149="Follow Project Life","Even",IF(INPUTS!$J$149="At Project End","Upfront",INPUTS!$J$149))="S-curve",SIN(PI()*(TIMELINE!N193-0.5)/TIMELINE!$C$192)*SIN(PI()/(2*TIMELINE!$C$192)),0))))))))))</f>
        <v>0</v>
      </c>
      <c r="O176" s="118" t="n">
        <f aca="false">IF(INPUTS!$F$149&lt;&gt;"Yes",0,IF(INPUTS!$J$149="Follow Construction",O$100,IF(INPUTS!$J$149="Follow Sales",O$99,IF(INPUTS!$J$149="Follow Collections",O$108,IF(OR(TIMELINE!O193=0,TIMELINE!$C$192=0),0,IF(IF(INPUTS!$J$149="Follow Project Life","Even",IF(INPUTS!$J$149="At Project End","Upfront",INPUTS!$J$149))="Upfront",--(TIMELINE!O193=1),IF(IF(INPUTS!$J$149="Follow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End","Upfront",INPUTS!$J$149))="Front-loaded",(TIMELINE!$C$192-TIMELINE!O193+1)*2/(TIMELINE!$C$192*(TIMELINE!$C$192+1)),IF(IF(INPUTS!$J$149="Follow Project Life","Even",IF(INPUTS!$J$149="At Project End","Upfront",INPUTS!$J$149))="Back-loaded",TIMELINE!O193*2/(TIMELINE!$C$192*(TIMELINE!$C$192+1)),IF(IF(INPUTS!$J$149="Follow Project Life","Even",IF(INPUTS!$J$149="At Project End","Upfront",INPUTS!$J$149))="S-curve",SIN(PI()*(TIMELINE!O193-0.5)/TIMELINE!$C$192)*SIN(PI()/(2*TIMELINE!$C$192)),0))))))))))</f>
        <v>0</v>
      </c>
      <c r="P176" s="118" t="n">
        <f aca="false">IF(INPUTS!$F$149&lt;&gt;"Yes",0,IF(INPUTS!$J$149="Follow Construction",P$100,IF(INPUTS!$J$149="Follow Sales",P$99,IF(INPUTS!$J$149="Follow Collections",P$108,IF(OR(TIMELINE!P193=0,TIMELINE!$C$192=0),0,IF(IF(INPUTS!$J$149="Follow Project Life","Even",IF(INPUTS!$J$149="At Project End","Upfront",INPUTS!$J$149))="Upfront",--(TIMELINE!P193=1),IF(IF(INPUTS!$J$149="Follow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End","Upfront",INPUTS!$J$149))="Front-loaded",(TIMELINE!$C$192-TIMELINE!P193+1)*2/(TIMELINE!$C$192*(TIMELINE!$C$192+1)),IF(IF(INPUTS!$J$149="Follow Project Life","Even",IF(INPUTS!$J$149="At Project End","Upfront",INPUTS!$J$149))="Back-loaded",TIMELINE!P193*2/(TIMELINE!$C$192*(TIMELINE!$C$192+1)),IF(IF(INPUTS!$J$149="Follow Project Life","Even",IF(INPUTS!$J$149="At Project End","Upfront",INPUTS!$J$149))="S-curve",SIN(PI()*(TIMELINE!P193-0.5)/TIMELINE!$C$192)*SIN(PI()/(2*TIMELINE!$C$192)),0))))))))))</f>
        <v>0</v>
      </c>
      <c r="Q176" s="118" t="n">
        <f aca="false">IF(INPUTS!$F$149&lt;&gt;"Yes",0,IF(INPUTS!$J$149="Follow Construction",Q$100,IF(INPUTS!$J$149="Follow Sales",Q$99,IF(INPUTS!$J$149="Follow Collections",Q$108,IF(OR(TIMELINE!Q193=0,TIMELINE!$C$192=0),0,IF(IF(INPUTS!$J$149="Follow Project Life","Even",IF(INPUTS!$J$149="At Project End","Upfront",INPUTS!$J$149))="Upfront",--(TIMELINE!Q193=1),IF(IF(INPUTS!$J$149="Follow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End","Upfront",INPUTS!$J$149))="Front-loaded",(TIMELINE!$C$192-TIMELINE!Q193+1)*2/(TIMELINE!$C$192*(TIMELINE!$C$192+1)),IF(IF(INPUTS!$J$149="Follow Project Life","Even",IF(INPUTS!$J$149="At Project End","Upfront",INPUTS!$J$149))="Back-loaded",TIMELINE!Q193*2/(TIMELINE!$C$192*(TIMELINE!$C$192+1)),IF(IF(INPUTS!$J$149="Follow Project Life","Even",IF(INPUTS!$J$149="At Project End","Upfront",INPUTS!$J$149))="S-curve",SIN(PI()*(TIMELINE!Q193-0.5)/TIMELINE!$C$192)*SIN(PI()/(2*TIMELINE!$C$192)),0))))))))))</f>
        <v>0</v>
      </c>
      <c r="R176" s="118" t="n">
        <f aca="false">IF(INPUTS!$F$149&lt;&gt;"Yes",0,IF(INPUTS!$J$149="Follow Construction",R$100,IF(INPUTS!$J$149="Follow Sales",R$99,IF(INPUTS!$J$149="Follow Collections",R$108,IF(OR(TIMELINE!R193=0,TIMELINE!$C$192=0),0,IF(IF(INPUTS!$J$149="Follow Project Life","Even",IF(INPUTS!$J$149="At Project End","Upfront",INPUTS!$J$149))="Upfront",--(TIMELINE!R193=1),IF(IF(INPUTS!$J$149="Follow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End","Upfront",INPUTS!$J$149))="Front-loaded",(TIMELINE!$C$192-TIMELINE!R193+1)*2/(TIMELINE!$C$192*(TIMELINE!$C$192+1)),IF(IF(INPUTS!$J$149="Follow Project Life","Even",IF(INPUTS!$J$149="At Project End","Upfront",INPUTS!$J$149))="Back-loaded",TIMELINE!R193*2/(TIMELINE!$C$192*(TIMELINE!$C$192+1)),IF(IF(INPUTS!$J$149="Follow Project Life","Even",IF(INPUTS!$J$149="At Project End","Upfront",INPUTS!$J$149))="S-curve",SIN(PI()*(TIMELINE!R193-0.5)/TIMELINE!$C$192)*SIN(PI()/(2*TIMELINE!$C$192)),0))))))))))</f>
        <v>0</v>
      </c>
      <c r="S176" s="118" t="n">
        <f aca="false">IF(INPUTS!$F$149&lt;&gt;"Yes",0,IF(INPUTS!$J$149="Follow Construction",S$100,IF(INPUTS!$J$149="Follow Sales",S$99,IF(INPUTS!$J$149="Follow Collections",S$108,IF(OR(TIMELINE!S193=0,TIMELINE!$C$192=0),0,IF(IF(INPUTS!$J$149="Follow Project Life","Even",IF(INPUTS!$J$149="At Project End","Upfront",INPUTS!$J$149))="Upfront",--(TIMELINE!S193=1),IF(IF(INPUTS!$J$149="Follow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End","Upfront",INPUTS!$J$149))="Front-loaded",(TIMELINE!$C$192-TIMELINE!S193+1)*2/(TIMELINE!$C$192*(TIMELINE!$C$192+1)),IF(IF(INPUTS!$J$149="Follow Project Life","Even",IF(INPUTS!$J$149="At Project End","Upfront",INPUTS!$J$149))="Back-loaded",TIMELINE!S193*2/(TIMELINE!$C$192*(TIMELINE!$C$192+1)),IF(IF(INPUTS!$J$149="Follow Project Life","Even",IF(INPUTS!$J$149="At Project End","Upfront",INPUTS!$J$149))="S-curve",SIN(PI()*(TIMELINE!S193-0.5)/TIMELINE!$C$192)*SIN(PI()/(2*TIMELINE!$C$192)),0))))))))))</f>
        <v>0</v>
      </c>
      <c r="T176" s="118" t="n">
        <f aca="false">IF(INPUTS!$F$149&lt;&gt;"Yes",0,IF(INPUTS!$J$149="Follow Construction",T$100,IF(INPUTS!$J$149="Follow Sales",T$99,IF(INPUTS!$J$149="Follow Collections",T$108,IF(OR(TIMELINE!T193=0,TIMELINE!$C$192=0),0,IF(IF(INPUTS!$J$149="Follow Project Life","Even",IF(INPUTS!$J$149="At Project End","Upfront",INPUTS!$J$149))="Upfront",--(TIMELINE!T193=1),IF(IF(INPUTS!$J$149="Follow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End","Upfront",INPUTS!$J$149))="Front-loaded",(TIMELINE!$C$192-TIMELINE!T193+1)*2/(TIMELINE!$C$192*(TIMELINE!$C$192+1)),IF(IF(INPUTS!$J$149="Follow Project Life","Even",IF(INPUTS!$J$149="At Project End","Upfront",INPUTS!$J$149))="Back-loaded",TIMELINE!T193*2/(TIMELINE!$C$192*(TIMELINE!$C$192+1)),IF(IF(INPUTS!$J$149="Follow Project Life","Even",IF(INPUTS!$J$149="At Project End","Upfront",INPUTS!$J$149))="S-curve",SIN(PI()*(TIMELINE!T193-0.5)/TIMELINE!$C$192)*SIN(PI()/(2*TIMELINE!$C$192)),0))))))))))</f>
        <v>0</v>
      </c>
      <c r="U176" s="118" t="n">
        <f aca="false">IF(INPUTS!$F$149&lt;&gt;"Yes",0,IF(INPUTS!$J$149="Follow Construction",U$100,IF(INPUTS!$J$149="Follow Sales",U$99,IF(INPUTS!$J$149="Follow Collections",U$108,IF(OR(TIMELINE!U193=0,TIMELINE!$C$192=0),0,IF(IF(INPUTS!$J$149="Follow Project Life","Even",IF(INPUTS!$J$149="At Project End","Upfront",INPUTS!$J$149))="Upfront",--(TIMELINE!U193=1),IF(IF(INPUTS!$J$149="Follow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End","Upfront",INPUTS!$J$149))="Front-loaded",(TIMELINE!$C$192-TIMELINE!U193+1)*2/(TIMELINE!$C$192*(TIMELINE!$C$192+1)),IF(IF(INPUTS!$J$149="Follow Project Life","Even",IF(INPUTS!$J$149="At Project End","Upfront",INPUTS!$J$149))="Back-loaded",TIMELINE!U193*2/(TIMELINE!$C$192*(TIMELINE!$C$192+1)),IF(IF(INPUTS!$J$149="Follow Project Life","Even",IF(INPUTS!$J$149="At Project End","Upfront",INPUTS!$J$149))="S-curve",SIN(PI()*(TIMELINE!U193-0.5)/TIMELINE!$C$192)*SIN(PI()/(2*TIMELINE!$C$192)),0))))))))))</f>
        <v>0</v>
      </c>
      <c r="V176" s="118" t="n">
        <f aca="false">IF(INPUTS!$F$149&lt;&gt;"Yes",0,IF(INPUTS!$J$149="Follow Construction",V$100,IF(INPUTS!$J$149="Follow Sales",V$99,IF(INPUTS!$J$149="Follow Collections",V$108,IF(OR(TIMELINE!V193=0,TIMELINE!$C$192=0),0,IF(IF(INPUTS!$J$149="Follow Project Life","Even",IF(INPUTS!$J$149="At Project End","Upfront",INPUTS!$J$149))="Upfront",--(TIMELINE!V193=1),IF(IF(INPUTS!$J$149="Follow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End","Upfront",INPUTS!$J$149))="Front-loaded",(TIMELINE!$C$192-TIMELINE!V193+1)*2/(TIMELINE!$C$192*(TIMELINE!$C$192+1)),IF(IF(INPUTS!$J$149="Follow Project Life","Even",IF(INPUTS!$J$149="At Project End","Upfront",INPUTS!$J$149))="Back-loaded",TIMELINE!V193*2/(TIMELINE!$C$192*(TIMELINE!$C$192+1)),IF(IF(INPUTS!$J$149="Follow Project Life","Even",IF(INPUTS!$J$149="At Project End","Upfront",INPUTS!$J$149))="S-curve",SIN(PI()*(TIMELINE!V193-0.5)/TIMELINE!$C$192)*SIN(PI()/(2*TIMELINE!$C$192)),0))))))))))</f>
        <v>0</v>
      </c>
      <c r="W176" s="118" t="n">
        <f aca="false">IF(INPUTS!$F$149&lt;&gt;"Yes",0,IF(INPUTS!$J$149="Follow Construction",W$100,IF(INPUTS!$J$149="Follow Sales",W$99,IF(INPUTS!$J$149="Follow Collections",W$108,IF(OR(TIMELINE!W193=0,TIMELINE!$C$192=0),0,IF(IF(INPUTS!$J$149="Follow Project Life","Even",IF(INPUTS!$J$149="At Project End","Upfront",INPUTS!$J$149))="Upfront",--(TIMELINE!W193=1),IF(IF(INPUTS!$J$149="Follow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End","Upfront",INPUTS!$J$149))="Front-loaded",(TIMELINE!$C$192-TIMELINE!W193+1)*2/(TIMELINE!$C$192*(TIMELINE!$C$192+1)),IF(IF(INPUTS!$J$149="Follow Project Life","Even",IF(INPUTS!$J$149="At Project End","Upfront",INPUTS!$J$149))="Back-loaded",TIMELINE!W193*2/(TIMELINE!$C$192*(TIMELINE!$C$192+1)),IF(IF(INPUTS!$J$149="Follow Project Life","Even",IF(INPUTS!$J$149="At Project End","Upfront",INPUTS!$J$149))="S-curve",SIN(PI()*(TIMELINE!W193-0.5)/TIMELINE!$C$192)*SIN(PI()/(2*TIMELINE!$C$192)),0))))))))))</f>
        <v>0</v>
      </c>
      <c r="X176" s="118" t="n">
        <f aca="false">IF(INPUTS!$F$149&lt;&gt;"Yes",0,IF(INPUTS!$J$149="Follow Construction",X$100,IF(INPUTS!$J$149="Follow Sales",X$99,IF(INPUTS!$J$149="Follow Collections",X$108,IF(OR(TIMELINE!X193=0,TIMELINE!$C$192=0),0,IF(IF(INPUTS!$J$149="Follow Project Life","Even",IF(INPUTS!$J$149="At Project End","Upfront",INPUTS!$J$149))="Upfront",--(TIMELINE!X193=1),IF(IF(INPUTS!$J$149="Follow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End","Upfront",INPUTS!$J$149))="Front-loaded",(TIMELINE!$C$192-TIMELINE!X193+1)*2/(TIMELINE!$C$192*(TIMELINE!$C$192+1)),IF(IF(INPUTS!$J$149="Follow Project Life","Even",IF(INPUTS!$J$149="At Project End","Upfront",INPUTS!$J$149))="Back-loaded",TIMELINE!X193*2/(TIMELINE!$C$192*(TIMELINE!$C$192+1)),IF(IF(INPUTS!$J$149="Follow Project Life","Even",IF(INPUTS!$J$149="At Project End","Upfront",INPUTS!$J$149))="S-curve",SIN(PI()*(TIMELINE!X193-0.5)/TIMELINE!$C$192)*SIN(PI()/(2*TIMELINE!$C$192)),0))))))))))</f>
        <v>0</v>
      </c>
      <c r="Y176" s="118" t="n">
        <f aca="false">IF(INPUTS!$F$149&lt;&gt;"Yes",0,IF(INPUTS!$J$149="Follow Construction",Y$100,IF(INPUTS!$J$149="Follow Sales",Y$99,IF(INPUTS!$J$149="Follow Collections",Y$108,IF(OR(TIMELINE!Y193=0,TIMELINE!$C$192=0),0,IF(IF(INPUTS!$J$149="Follow Project Life","Even",IF(INPUTS!$J$149="At Project End","Upfront",INPUTS!$J$149))="Upfront",--(TIMELINE!Y193=1),IF(IF(INPUTS!$J$149="Follow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End","Upfront",INPUTS!$J$149))="Front-loaded",(TIMELINE!$C$192-TIMELINE!Y193+1)*2/(TIMELINE!$C$192*(TIMELINE!$C$192+1)),IF(IF(INPUTS!$J$149="Follow Project Life","Even",IF(INPUTS!$J$149="At Project End","Upfront",INPUTS!$J$149))="Back-loaded",TIMELINE!Y193*2/(TIMELINE!$C$192*(TIMELINE!$C$192+1)),IF(IF(INPUTS!$J$149="Follow Project Life","Even",IF(INPUTS!$J$149="At Project End","Upfront",INPUTS!$J$149))="S-curve",SIN(PI()*(TIMELINE!Y193-0.5)/TIMELINE!$C$192)*SIN(PI()/(2*TIMELINE!$C$192)),0))))))))))</f>
        <v>0</v>
      </c>
      <c r="Z176" s="118" t="n">
        <f aca="false">IF(INPUTS!$F$149&lt;&gt;"Yes",0,IF(INPUTS!$J$149="Follow Construction",Z$100,IF(INPUTS!$J$149="Follow Sales",Z$99,IF(INPUTS!$J$149="Follow Collections",Z$108,IF(OR(TIMELINE!Z193=0,TIMELINE!$C$192=0),0,IF(IF(INPUTS!$J$149="Follow Project Life","Even",IF(INPUTS!$J$149="At Project End","Upfront",INPUTS!$J$149))="Upfront",--(TIMELINE!Z193=1),IF(IF(INPUTS!$J$149="Follow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End","Upfront",INPUTS!$J$149))="Front-loaded",(TIMELINE!$C$192-TIMELINE!Z193+1)*2/(TIMELINE!$C$192*(TIMELINE!$C$192+1)),IF(IF(INPUTS!$J$149="Follow Project Life","Even",IF(INPUTS!$J$149="At Project End","Upfront",INPUTS!$J$149))="Back-loaded",TIMELINE!Z193*2/(TIMELINE!$C$192*(TIMELINE!$C$192+1)),IF(IF(INPUTS!$J$149="Follow Project Life","Even",IF(INPUTS!$J$149="At Project End","Upfront",INPUTS!$J$149))="S-curve",SIN(PI()*(TIMELINE!Z193-0.5)/TIMELINE!$C$192)*SIN(PI()/(2*TIMELINE!$C$192)),0))))))))))</f>
        <v>0</v>
      </c>
      <c r="AA176" s="118" t="n">
        <f aca="false">IF(INPUTS!$F$149&lt;&gt;"Yes",0,IF(INPUTS!$J$149="Follow Construction",AA$100,IF(INPUTS!$J$149="Follow Sales",AA$99,IF(INPUTS!$J$149="Follow Collections",AA$108,IF(OR(TIMELINE!AA193=0,TIMELINE!$C$192=0),0,IF(IF(INPUTS!$J$149="Follow Project Life","Even",IF(INPUTS!$J$149="At Project End","Upfront",INPUTS!$J$149))="Upfront",--(TIMELINE!AA193=1),IF(IF(INPUTS!$J$149="Follow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End","Upfront",INPUTS!$J$149))="Front-loaded",(TIMELINE!$C$192-TIMELINE!AA193+1)*2/(TIMELINE!$C$192*(TIMELINE!$C$192+1)),IF(IF(INPUTS!$J$149="Follow Project Life","Even",IF(INPUTS!$J$149="At Project End","Upfront",INPUTS!$J$149))="Back-loaded",TIMELINE!AA193*2/(TIMELINE!$C$192*(TIMELINE!$C$192+1)),IF(IF(INPUTS!$J$149="Follow Project Life","Even",IF(INPUTS!$J$149="At Project End","Upfront",INPUTS!$J$149))="S-curve",SIN(PI()*(TIMELINE!AA193-0.5)/TIMELINE!$C$192)*SIN(PI()/(2*TIMELINE!$C$192)),0))))))))))</f>
        <v>0</v>
      </c>
      <c r="AB176" s="118" t="n">
        <f aca="false">IF(INPUTS!$F$149&lt;&gt;"Yes",0,IF(INPUTS!$J$149="Follow Construction",AB$100,IF(INPUTS!$J$149="Follow Sales",AB$99,IF(INPUTS!$J$149="Follow Collections",AB$108,IF(OR(TIMELINE!AB193=0,TIMELINE!$C$192=0),0,IF(IF(INPUTS!$J$149="Follow Project Life","Even",IF(INPUTS!$J$149="At Project End","Upfront",INPUTS!$J$149))="Upfront",--(TIMELINE!AB193=1),IF(IF(INPUTS!$J$149="Follow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End","Upfront",INPUTS!$J$149))="Front-loaded",(TIMELINE!$C$192-TIMELINE!AB193+1)*2/(TIMELINE!$C$192*(TIMELINE!$C$192+1)),IF(IF(INPUTS!$J$149="Follow Project Life","Even",IF(INPUTS!$J$149="At Project End","Upfront",INPUTS!$J$149))="Back-loaded",TIMELINE!AB193*2/(TIMELINE!$C$192*(TIMELINE!$C$192+1)),IF(IF(INPUTS!$J$149="Follow Project Life","Even",IF(INPUTS!$J$149="At Project End","Upfront",INPUTS!$J$149))="S-curve",SIN(PI()*(TIMELINE!AB193-0.5)/TIMELINE!$C$192)*SIN(PI()/(2*TIMELINE!$C$192)),0))))))))))</f>
        <v>0</v>
      </c>
      <c r="AC176" s="118" t="n">
        <f aca="false">IF(INPUTS!$F$149&lt;&gt;"Yes",0,IF(INPUTS!$J$149="Follow Construction",AC$100,IF(INPUTS!$J$149="Follow Sales",AC$99,IF(INPUTS!$J$149="Follow Collections",AC$108,IF(OR(TIMELINE!AC193=0,TIMELINE!$C$192=0),0,IF(IF(INPUTS!$J$149="Follow Project Life","Even",IF(INPUTS!$J$149="At Project End","Upfront",INPUTS!$J$149))="Upfront",--(TIMELINE!AC193=1),IF(IF(INPUTS!$J$149="Follow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End","Upfront",INPUTS!$J$149))="Front-loaded",(TIMELINE!$C$192-TIMELINE!AC193+1)*2/(TIMELINE!$C$192*(TIMELINE!$C$192+1)),IF(IF(INPUTS!$J$149="Follow Project Life","Even",IF(INPUTS!$J$149="At Project End","Upfront",INPUTS!$J$149))="Back-loaded",TIMELINE!AC193*2/(TIMELINE!$C$192*(TIMELINE!$C$192+1)),IF(IF(INPUTS!$J$149="Follow Project Life","Even",IF(INPUTS!$J$149="At Project End","Upfront",INPUTS!$J$149))="S-curve",SIN(PI()*(TIMELINE!AC193-0.5)/TIMELINE!$C$192)*SIN(PI()/(2*TIMELINE!$C$192)),0))))))))))</f>
        <v>0</v>
      </c>
      <c r="AD176" s="118" t="n">
        <f aca="false">IF(INPUTS!$F$149&lt;&gt;"Yes",0,IF(INPUTS!$J$149="Follow Construction",AD$100,IF(INPUTS!$J$149="Follow Sales",AD$99,IF(INPUTS!$J$149="Follow Collections",AD$108,IF(OR(TIMELINE!AD193=0,TIMELINE!$C$192=0),0,IF(IF(INPUTS!$J$149="Follow Project Life","Even",IF(INPUTS!$J$149="At Project End","Upfront",INPUTS!$J$149))="Upfront",--(TIMELINE!AD193=1),IF(IF(INPUTS!$J$149="Follow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End","Upfront",INPUTS!$J$149))="Front-loaded",(TIMELINE!$C$192-TIMELINE!AD193+1)*2/(TIMELINE!$C$192*(TIMELINE!$C$192+1)),IF(IF(INPUTS!$J$149="Follow Project Life","Even",IF(INPUTS!$J$149="At Project End","Upfront",INPUTS!$J$149))="Back-loaded",TIMELINE!AD193*2/(TIMELINE!$C$192*(TIMELINE!$C$192+1)),IF(IF(INPUTS!$J$149="Follow Project Life","Even",IF(INPUTS!$J$149="At Project End","Upfront",INPUTS!$J$149))="S-curve",SIN(PI()*(TIMELINE!AD193-0.5)/TIMELINE!$C$192)*SIN(PI()/(2*TIMELINE!$C$192)),0))))))))))</f>
        <v>0</v>
      </c>
      <c r="AE176" s="118" t="n">
        <f aca="false">IF(INPUTS!$F$149&lt;&gt;"Yes",0,IF(INPUTS!$J$149="Follow Construction",AE$100,IF(INPUTS!$J$149="Follow Sales",AE$99,IF(INPUTS!$J$149="Follow Collections",AE$108,IF(OR(TIMELINE!AE193=0,TIMELINE!$C$192=0),0,IF(IF(INPUTS!$J$149="Follow Project Life","Even",IF(INPUTS!$J$149="At Project End","Upfront",INPUTS!$J$149))="Upfront",--(TIMELINE!AE193=1),IF(IF(INPUTS!$J$149="Follow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End","Upfront",INPUTS!$J$149))="Front-loaded",(TIMELINE!$C$192-TIMELINE!AE193+1)*2/(TIMELINE!$C$192*(TIMELINE!$C$192+1)),IF(IF(INPUTS!$J$149="Follow Project Life","Even",IF(INPUTS!$J$149="At Project End","Upfront",INPUTS!$J$149))="Back-loaded",TIMELINE!AE193*2/(TIMELINE!$C$192*(TIMELINE!$C$192+1)),IF(IF(INPUTS!$J$149="Follow Project Life","Even",IF(INPUTS!$J$149="At Project End","Upfront",INPUTS!$J$149))="S-curve",SIN(PI()*(TIMELINE!AE193-0.5)/TIMELINE!$C$192)*SIN(PI()/(2*TIMELINE!$C$192)),0))))))))))</f>
        <v>0</v>
      </c>
      <c r="AF176" s="118" t="n">
        <f aca="false">IF(INPUTS!$F$149&lt;&gt;"Yes",0,IF(INPUTS!$J$149="Follow Construction",AF$100,IF(INPUTS!$J$149="Follow Sales",AF$99,IF(INPUTS!$J$149="Follow Collections",AF$108,IF(OR(TIMELINE!AF193=0,TIMELINE!$C$192=0),0,IF(IF(INPUTS!$J$149="Follow Project Life","Even",IF(INPUTS!$J$149="At Project End","Upfront",INPUTS!$J$149))="Upfront",--(TIMELINE!AF193=1),IF(IF(INPUTS!$J$149="Follow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End","Upfront",INPUTS!$J$149))="Front-loaded",(TIMELINE!$C$192-TIMELINE!AF193+1)*2/(TIMELINE!$C$192*(TIMELINE!$C$192+1)),IF(IF(INPUTS!$J$149="Follow Project Life","Even",IF(INPUTS!$J$149="At Project End","Upfront",INPUTS!$J$149))="Back-loaded",TIMELINE!AF193*2/(TIMELINE!$C$192*(TIMELINE!$C$192+1)),IF(IF(INPUTS!$J$149="Follow Project Life","Even",IF(INPUTS!$J$149="At Project End","Upfront",INPUTS!$J$149))="S-curve",SIN(PI()*(TIMELINE!AF193-0.5)/TIMELINE!$C$192)*SIN(PI()/(2*TIMELINE!$C$192)),0))))))))))</f>
        <v>0</v>
      </c>
      <c r="AG176" s="118" t="n">
        <f aca="false">IF(INPUTS!$F$149&lt;&gt;"Yes",0,IF(INPUTS!$J$149="Follow Construction",AG$100,IF(INPUTS!$J$149="Follow Sales",AG$99,IF(INPUTS!$J$149="Follow Collections",AG$108,IF(OR(TIMELINE!AG193=0,TIMELINE!$C$192=0),0,IF(IF(INPUTS!$J$149="Follow Project Life","Even",IF(INPUTS!$J$149="At Project End","Upfront",INPUTS!$J$149))="Upfront",--(TIMELINE!AG193=1),IF(IF(INPUTS!$J$149="Follow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End","Upfront",INPUTS!$J$149))="Front-loaded",(TIMELINE!$C$192-TIMELINE!AG193+1)*2/(TIMELINE!$C$192*(TIMELINE!$C$192+1)),IF(IF(INPUTS!$J$149="Follow Project Life","Even",IF(INPUTS!$J$149="At Project End","Upfront",INPUTS!$J$149))="Back-loaded",TIMELINE!AG193*2/(TIMELINE!$C$192*(TIMELINE!$C$192+1)),IF(IF(INPUTS!$J$149="Follow Project Life","Even",IF(INPUTS!$J$149="At Project End","Upfront",INPUTS!$J$149))="S-curve",SIN(PI()*(TIMELINE!AG193-0.5)/TIMELINE!$C$192)*SIN(PI()/(2*TIMELINE!$C$192)),0))))))))))</f>
        <v>0</v>
      </c>
      <c r="AH176" s="118" t="n">
        <f aca="false">IF(INPUTS!$F$149&lt;&gt;"Yes",0,IF(INPUTS!$J$149="Follow Construction",AH$100,IF(INPUTS!$J$149="Follow Sales",AH$99,IF(INPUTS!$J$149="Follow Collections",AH$108,IF(OR(TIMELINE!AH193=0,TIMELINE!$C$192=0),0,IF(IF(INPUTS!$J$149="Follow Project Life","Even",IF(INPUTS!$J$149="At Project End","Upfront",INPUTS!$J$149))="Upfront",--(TIMELINE!AH193=1),IF(IF(INPUTS!$J$149="Follow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End","Upfront",INPUTS!$J$149))="Front-loaded",(TIMELINE!$C$192-TIMELINE!AH193+1)*2/(TIMELINE!$C$192*(TIMELINE!$C$192+1)),IF(IF(INPUTS!$J$149="Follow Project Life","Even",IF(INPUTS!$J$149="At Project End","Upfront",INPUTS!$J$149))="Back-loaded",TIMELINE!AH193*2/(TIMELINE!$C$192*(TIMELINE!$C$192+1)),IF(IF(INPUTS!$J$149="Follow Project Life","Even",IF(INPUTS!$J$149="At Project End","Upfront",INPUTS!$J$149))="S-curve",SIN(PI()*(TIMELINE!AH193-0.5)/TIMELINE!$C$192)*SIN(PI()/(2*TIMELINE!$C$192)),0))))))))))</f>
        <v>0</v>
      </c>
      <c r="AI176" s="118" t="n">
        <f aca="false">IF(INPUTS!$F$149&lt;&gt;"Yes",0,IF(INPUTS!$J$149="Follow Construction",AI$100,IF(INPUTS!$J$149="Follow Sales",AI$99,IF(INPUTS!$J$149="Follow Collections",AI$108,IF(OR(TIMELINE!AI193=0,TIMELINE!$C$192=0),0,IF(IF(INPUTS!$J$149="Follow Project Life","Even",IF(INPUTS!$J$149="At Project End","Upfront",INPUTS!$J$149))="Upfront",--(TIMELINE!AI193=1),IF(IF(INPUTS!$J$149="Follow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End","Upfront",INPUTS!$J$149))="Front-loaded",(TIMELINE!$C$192-TIMELINE!AI193+1)*2/(TIMELINE!$C$192*(TIMELINE!$C$192+1)),IF(IF(INPUTS!$J$149="Follow Project Life","Even",IF(INPUTS!$J$149="At Project End","Upfront",INPUTS!$J$149))="Back-loaded",TIMELINE!AI193*2/(TIMELINE!$C$192*(TIMELINE!$C$192+1)),IF(IF(INPUTS!$J$149="Follow Project Life","Even",IF(INPUTS!$J$149="At Project End","Upfront",INPUTS!$J$149))="S-curve",SIN(PI()*(TIMELINE!AI193-0.5)/TIMELINE!$C$192)*SIN(PI()/(2*TIMELINE!$C$192)),0))))))))))</f>
        <v>0</v>
      </c>
      <c r="AJ176" s="118" t="n">
        <f aca="false">IF(INPUTS!$F$149&lt;&gt;"Yes",0,IF(INPUTS!$J$149="Follow Construction",AJ$100,IF(INPUTS!$J$149="Follow Sales",AJ$99,IF(INPUTS!$J$149="Follow Collections",AJ$108,IF(OR(TIMELINE!AJ193=0,TIMELINE!$C$192=0),0,IF(IF(INPUTS!$J$149="Follow Project Life","Even",IF(INPUTS!$J$149="At Project End","Upfront",INPUTS!$J$149))="Upfront",--(TIMELINE!AJ193=1),IF(IF(INPUTS!$J$149="Follow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End","Upfront",INPUTS!$J$149))="Front-loaded",(TIMELINE!$C$192-TIMELINE!AJ193+1)*2/(TIMELINE!$C$192*(TIMELINE!$C$192+1)),IF(IF(INPUTS!$J$149="Follow Project Life","Even",IF(INPUTS!$J$149="At Project End","Upfront",INPUTS!$J$149))="Back-loaded",TIMELINE!AJ193*2/(TIMELINE!$C$192*(TIMELINE!$C$192+1)),IF(IF(INPUTS!$J$149="Follow Project Life","Even",IF(INPUTS!$J$149="At Project End","Upfront",INPUTS!$J$149))="S-curve",SIN(PI()*(TIMELINE!AJ193-0.5)/TIMELINE!$C$192)*SIN(PI()/(2*TIMELINE!$C$192)),0))))))))))</f>
        <v>0</v>
      </c>
      <c r="AK176" s="118" t="n">
        <f aca="false">IF(INPUTS!$F$149&lt;&gt;"Yes",0,IF(INPUTS!$J$149="Follow Construction",AK$100,IF(INPUTS!$J$149="Follow Sales",AK$99,IF(INPUTS!$J$149="Follow Collections",AK$108,IF(OR(TIMELINE!AK193=0,TIMELINE!$C$192=0),0,IF(IF(INPUTS!$J$149="Follow Project Life","Even",IF(INPUTS!$J$149="At Project End","Upfront",INPUTS!$J$149))="Upfront",--(TIMELINE!AK193=1),IF(IF(INPUTS!$J$149="Follow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End","Upfront",INPUTS!$J$149))="Front-loaded",(TIMELINE!$C$192-TIMELINE!AK193+1)*2/(TIMELINE!$C$192*(TIMELINE!$C$192+1)),IF(IF(INPUTS!$J$149="Follow Project Life","Even",IF(INPUTS!$J$149="At Project End","Upfront",INPUTS!$J$149))="Back-loaded",TIMELINE!AK193*2/(TIMELINE!$C$192*(TIMELINE!$C$192+1)),IF(IF(INPUTS!$J$149="Follow Project Life","Even",IF(INPUTS!$J$149="At Project End","Upfront",INPUTS!$J$149))="S-curve",SIN(PI()*(TIMELINE!AK193-0.5)/TIMELINE!$C$192)*SIN(PI()/(2*TIMELINE!$C$192)),0))))))))))</f>
        <v>0</v>
      </c>
      <c r="AL176" s="118" t="n">
        <f aca="false">IF(INPUTS!$F$149&lt;&gt;"Yes",0,IF(INPUTS!$J$149="Follow Construction",AL$100,IF(INPUTS!$J$149="Follow Sales",AL$99,IF(INPUTS!$J$149="Follow Collections",AL$108,IF(OR(TIMELINE!AL193=0,TIMELINE!$C$192=0),0,IF(IF(INPUTS!$J$149="Follow Project Life","Even",IF(INPUTS!$J$149="At Project End","Upfront",INPUTS!$J$149))="Upfront",--(TIMELINE!AL193=1),IF(IF(INPUTS!$J$149="Follow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End","Upfront",INPUTS!$J$149))="Front-loaded",(TIMELINE!$C$192-TIMELINE!AL193+1)*2/(TIMELINE!$C$192*(TIMELINE!$C$192+1)),IF(IF(INPUTS!$J$149="Follow Project Life","Even",IF(INPUTS!$J$149="At Project End","Upfront",INPUTS!$J$149))="Back-loaded",TIMELINE!AL193*2/(TIMELINE!$C$192*(TIMELINE!$C$192+1)),IF(IF(INPUTS!$J$149="Follow Project Life","Even",IF(INPUTS!$J$149="At Project End","Upfront",INPUTS!$J$149))="S-curve",SIN(PI()*(TIMELINE!AL193-0.5)/TIMELINE!$C$192)*SIN(PI()/(2*TIMELINE!$C$192)),0))))))))))</f>
        <v>0</v>
      </c>
      <c r="AM176" s="118" t="n">
        <f aca="false">IF(INPUTS!$F$149&lt;&gt;"Yes",0,IF(INPUTS!$J$149="Follow Construction",AM$100,IF(INPUTS!$J$149="Follow Sales",AM$99,IF(INPUTS!$J$149="Follow Collections",AM$108,IF(OR(TIMELINE!AM193=0,TIMELINE!$C$192=0),0,IF(IF(INPUTS!$J$149="Follow Project Life","Even",IF(INPUTS!$J$149="At Project End","Upfront",INPUTS!$J$149))="Upfront",--(TIMELINE!AM193=1),IF(IF(INPUTS!$J$149="Follow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End","Upfront",INPUTS!$J$149))="Front-loaded",(TIMELINE!$C$192-TIMELINE!AM193+1)*2/(TIMELINE!$C$192*(TIMELINE!$C$192+1)),IF(IF(INPUTS!$J$149="Follow Project Life","Even",IF(INPUTS!$J$149="At Project End","Upfront",INPUTS!$J$149))="Back-loaded",TIMELINE!AM193*2/(TIMELINE!$C$192*(TIMELINE!$C$192+1)),IF(IF(INPUTS!$J$149="Follow Project Life","Even",IF(INPUTS!$J$149="At Project End","Upfront",INPUTS!$J$149))="S-curve",SIN(PI()*(TIMELINE!AM193-0.5)/TIMELINE!$C$192)*SIN(PI()/(2*TIMELINE!$C$192)),0))))))))))</f>
        <v>0</v>
      </c>
      <c r="AN176" s="118" t="n">
        <f aca="false">IF(INPUTS!$F$149&lt;&gt;"Yes",0,IF(INPUTS!$J$149="Follow Construction",AN$100,IF(INPUTS!$J$149="Follow Sales",AN$99,IF(INPUTS!$J$149="Follow Collections",AN$108,IF(OR(TIMELINE!AN193=0,TIMELINE!$C$192=0),0,IF(IF(INPUTS!$J$149="Follow Project Life","Even",IF(INPUTS!$J$149="At Project End","Upfront",INPUTS!$J$149))="Upfront",--(TIMELINE!AN193=1),IF(IF(INPUTS!$J$149="Follow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End","Upfront",INPUTS!$J$149))="Front-loaded",(TIMELINE!$C$192-TIMELINE!AN193+1)*2/(TIMELINE!$C$192*(TIMELINE!$C$192+1)),IF(IF(INPUTS!$J$149="Follow Project Life","Even",IF(INPUTS!$J$149="At Project End","Upfront",INPUTS!$J$149))="Back-loaded",TIMELINE!AN193*2/(TIMELINE!$C$192*(TIMELINE!$C$192+1)),IF(IF(INPUTS!$J$149="Follow Project Life","Even",IF(INPUTS!$J$149="At Project End","Upfront",INPUTS!$J$149))="S-curve",SIN(PI()*(TIMELINE!AN193-0.5)/TIMELINE!$C$192)*SIN(PI()/(2*TIMELINE!$C$192)),0))))))))))</f>
        <v>0</v>
      </c>
      <c r="AO176" s="118" t="n">
        <f aca="false">IF(INPUTS!$F$149&lt;&gt;"Yes",0,IF(INPUTS!$J$149="Follow Construction",AO$100,IF(INPUTS!$J$149="Follow Sales",AO$99,IF(INPUTS!$J$149="Follow Collections",AO$108,IF(OR(TIMELINE!AO193=0,TIMELINE!$C$192=0),0,IF(IF(INPUTS!$J$149="Follow Project Life","Even",IF(INPUTS!$J$149="At Project End","Upfront",INPUTS!$J$149))="Upfront",--(TIMELINE!AO193=1),IF(IF(INPUTS!$J$149="Follow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End","Upfront",INPUTS!$J$149))="Front-loaded",(TIMELINE!$C$192-TIMELINE!AO193+1)*2/(TIMELINE!$C$192*(TIMELINE!$C$192+1)),IF(IF(INPUTS!$J$149="Follow Project Life","Even",IF(INPUTS!$J$149="At Project End","Upfront",INPUTS!$J$149))="Back-loaded",TIMELINE!AO193*2/(TIMELINE!$C$192*(TIMELINE!$C$192+1)),IF(IF(INPUTS!$J$149="Follow Project Life","Even",IF(INPUTS!$J$149="At Project End","Upfront",INPUTS!$J$149))="S-curve",SIN(PI()*(TIMELINE!AO193-0.5)/TIMELINE!$C$192)*SIN(PI()/(2*TIMELINE!$C$192)),0))))))))))</f>
        <v>0</v>
      </c>
      <c r="AP176" s="118" t="n">
        <f aca="false">IF(INPUTS!$F$149&lt;&gt;"Yes",0,IF(INPUTS!$J$149="Follow Construction",AP$100,IF(INPUTS!$J$149="Follow Sales",AP$99,IF(INPUTS!$J$149="Follow Collections",AP$108,IF(OR(TIMELINE!AP193=0,TIMELINE!$C$192=0),0,IF(IF(INPUTS!$J$149="Follow Project Life","Even",IF(INPUTS!$J$149="At Project End","Upfront",INPUTS!$J$149))="Upfront",--(TIMELINE!AP193=1),IF(IF(INPUTS!$J$149="Follow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End","Upfront",INPUTS!$J$149))="Front-loaded",(TIMELINE!$C$192-TIMELINE!AP193+1)*2/(TIMELINE!$C$192*(TIMELINE!$C$192+1)),IF(IF(INPUTS!$J$149="Follow Project Life","Even",IF(INPUTS!$J$149="At Project End","Upfront",INPUTS!$J$149))="Back-loaded",TIMELINE!AP193*2/(TIMELINE!$C$192*(TIMELINE!$C$192+1)),IF(IF(INPUTS!$J$149="Follow Project Life","Even",IF(INPUTS!$J$149="At Project End","Upfront",INPUTS!$J$149))="S-curve",SIN(PI()*(TIMELINE!AP193-0.5)/TIMELINE!$C$192)*SIN(PI()/(2*TIMELINE!$C$192)),0))))))))))</f>
        <v>0</v>
      </c>
      <c r="AQ176" s="118" t="n">
        <f aca="false">IF(INPUTS!$F$149&lt;&gt;"Yes",0,IF(INPUTS!$J$149="Follow Construction",AQ$100,IF(INPUTS!$J$149="Follow Sales",AQ$99,IF(INPUTS!$J$149="Follow Collections",AQ$108,IF(OR(TIMELINE!AQ193=0,TIMELINE!$C$192=0),0,IF(IF(INPUTS!$J$149="Follow Project Life","Even",IF(INPUTS!$J$149="At Project End","Upfront",INPUTS!$J$149))="Upfront",--(TIMELINE!AQ193=1),IF(IF(INPUTS!$J$149="Follow Project Life","Even",IF(INPUTS!$J$149="At Project End","Upfront",INPUTS!$J$149))="Even",1/TIMELINE!$C$192,IF(IF(INPUTS!$J$149="Follow Project Life","Even",IF(INPUTS!$J$149="At Project End","Upfront",INPUTS!$J$149))="Front-loaded",(TIMELINE!$C$192-TIMELINE!AQ193+1)*2/(TIMELINE!$C$192*(TIMELINE!$C$192+1)),IF(IF(INPUTS!$J$149="Follow Project Life","Even",IF(INPUTS!$J$149="At Project End","Upfront",INPUTS!$J$149))="Back-loaded",TIMELINE!AQ193*2/(TIMELINE!$C$192*(TIMELINE!$C$192+1)),IF(IF(INPUTS!$J$149="Follow Project Life","Even",IF(INPUTS!$J$149="At Project End","Upfront",INPUTS!$J$149))="S-curve",SIN(PI()*(TIMELINE!AQ193-0.5)/TIMELINE!$C$192)*SIN(PI()/(2*TIMELINE!$C$192)),0))))))))))</f>
        <v>0</v>
      </c>
    </row>
    <row r="177" customFormat="false" ht="15" hidden="false" customHeight="false" outlineLevel="0" collapsed="false">
      <c r="B177" s="17" t="s">
        <v>689</v>
      </c>
      <c r="C177" s="105" t="str">
        <f aca="false">IF(INPUTS!$B$149="","",IF(INPUTS!$F$149&lt;&gt;"Yes","Off",IF(INPUTS!$M$149&lt;&gt;"OK","ERROR",IF(ABS(C176-1)&lt;0.000000001,"OK",IF(AND(C176=0,INPUTS!$G$149=0),"Zero","ERROR")))))</f>
        <v/>
      </c>
    </row>
    <row r="178" customFormat="false" ht="15" hidden="false" customHeight="false" outlineLevel="0" collapsed="false">
      <c r="B178" s="110" t="str">
        <f aca="false">IF(INPUTS!$B$150="","Spare cost row",INPUTS!$B$150)</f>
        <v>Spare cost row</v>
      </c>
      <c r="C178" s="111" t="str">
        <f aca="false">IF(INPUTS!$J$150="","",INPUTS!$J$150)</f>
        <v/>
      </c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</row>
    <row r="179" customFormat="false" ht="15" hidden="false" customHeight="false" outlineLevel="0" collapsed="false">
      <c r="B179" s="3" t="s">
        <v>688</v>
      </c>
      <c r="C179" s="117" t="n">
        <f aca="false">SUM(D179:AQ179)</f>
        <v>0</v>
      </c>
      <c r="D179" s="118" t="n">
        <f aca="false">IF(INPUTS!$F$150&lt;&gt;"Yes",0,IF(INPUTS!$J$150="Follow Construction",D$100,IF(INPUTS!$J$150="Follow Sales",D$99,IF(INPUTS!$J$150="Follow Collections",D$108,IF(OR(TIMELINE!D197=0,TIMELINE!$C$196=0),0,IF(IF(INPUTS!$J$150="Follow Project Life","Even",IF(INPUTS!$J$150="At Project End","Upfront",INPUTS!$J$150))="Upfront",--(TIMELINE!D197=1),IF(IF(INPUTS!$J$150="Follow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End","Upfront",INPUTS!$J$150))="Front-loaded",(TIMELINE!$C$196-TIMELINE!D197+1)*2/(TIMELINE!$C$196*(TIMELINE!$C$196+1)),IF(IF(INPUTS!$J$150="Follow Project Life","Even",IF(INPUTS!$J$150="At Project End","Upfront",INPUTS!$J$150))="Back-loaded",TIMELINE!D197*2/(TIMELINE!$C$196*(TIMELINE!$C$196+1)),IF(IF(INPUTS!$J$150="Follow Project Life","Even",IF(INPUTS!$J$150="At Project End","Upfront",INPUTS!$J$150))="S-curve",SIN(PI()*(TIMELINE!D197-0.5)/TIMELINE!$C$196)*SIN(PI()/(2*TIMELINE!$C$196)),0))))))))))</f>
        <v>0</v>
      </c>
      <c r="E179" s="118" t="n">
        <f aca="false">IF(INPUTS!$F$150&lt;&gt;"Yes",0,IF(INPUTS!$J$150="Follow Construction",E$100,IF(INPUTS!$J$150="Follow Sales",E$99,IF(INPUTS!$J$150="Follow Collections",E$108,IF(OR(TIMELINE!E197=0,TIMELINE!$C$196=0),0,IF(IF(INPUTS!$J$150="Follow Project Life","Even",IF(INPUTS!$J$150="At Project End","Upfront",INPUTS!$J$150))="Upfront",--(TIMELINE!E197=1),IF(IF(INPUTS!$J$150="Follow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End","Upfront",INPUTS!$J$150))="Front-loaded",(TIMELINE!$C$196-TIMELINE!E197+1)*2/(TIMELINE!$C$196*(TIMELINE!$C$196+1)),IF(IF(INPUTS!$J$150="Follow Project Life","Even",IF(INPUTS!$J$150="At Project End","Upfront",INPUTS!$J$150))="Back-loaded",TIMELINE!E197*2/(TIMELINE!$C$196*(TIMELINE!$C$196+1)),IF(IF(INPUTS!$J$150="Follow Project Life","Even",IF(INPUTS!$J$150="At Project End","Upfront",INPUTS!$J$150))="S-curve",SIN(PI()*(TIMELINE!E197-0.5)/TIMELINE!$C$196)*SIN(PI()/(2*TIMELINE!$C$196)),0))))))))))</f>
        <v>0</v>
      </c>
      <c r="F179" s="118" t="n">
        <f aca="false">IF(INPUTS!$F$150&lt;&gt;"Yes",0,IF(INPUTS!$J$150="Follow Construction",F$100,IF(INPUTS!$J$150="Follow Sales",F$99,IF(INPUTS!$J$150="Follow Collections",F$108,IF(OR(TIMELINE!F197=0,TIMELINE!$C$196=0),0,IF(IF(INPUTS!$J$150="Follow Project Life","Even",IF(INPUTS!$J$150="At Project End","Upfront",INPUTS!$J$150))="Upfront",--(TIMELINE!F197=1),IF(IF(INPUTS!$J$150="Follow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End","Upfront",INPUTS!$J$150))="Front-loaded",(TIMELINE!$C$196-TIMELINE!F197+1)*2/(TIMELINE!$C$196*(TIMELINE!$C$196+1)),IF(IF(INPUTS!$J$150="Follow Project Life","Even",IF(INPUTS!$J$150="At Project End","Upfront",INPUTS!$J$150))="Back-loaded",TIMELINE!F197*2/(TIMELINE!$C$196*(TIMELINE!$C$196+1)),IF(IF(INPUTS!$J$150="Follow Project Life","Even",IF(INPUTS!$J$150="At Project End","Upfront",INPUTS!$J$150))="S-curve",SIN(PI()*(TIMELINE!F197-0.5)/TIMELINE!$C$196)*SIN(PI()/(2*TIMELINE!$C$196)),0))))))))))</f>
        <v>0</v>
      </c>
      <c r="G179" s="118" t="n">
        <f aca="false">IF(INPUTS!$F$150&lt;&gt;"Yes",0,IF(INPUTS!$J$150="Follow Construction",G$100,IF(INPUTS!$J$150="Follow Sales",G$99,IF(INPUTS!$J$150="Follow Collections",G$108,IF(OR(TIMELINE!G197=0,TIMELINE!$C$196=0),0,IF(IF(INPUTS!$J$150="Follow Project Life","Even",IF(INPUTS!$J$150="At Project End","Upfront",INPUTS!$J$150))="Upfront",--(TIMELINE!G197=1),IF(IF(INPUTS!$J$150="Follow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End","Upfront",INPUTS!$J$150))="Front-loaded",(TIMELINE!$C$196-TIMELINE!G197+1)*2/(TIMELINE!$C$196*(TIMELINE!$C$196+1)),IF(IF(INPUTS!$J$150="Follow Project Life","Even",IF(INPUTS!$J$150="At Project End","Upfront",INPUTS!$J$150))="Back-loaded",TIMELINE!G197*2/(TIMELINE!$C$196*(TIMELINE!$C$196+1)),IF(IF(INPUTS!$J$150="Follow Project Life","Even",IF(INPUTS!$J$150="At Project End","Upfront",INPUTS!$J$150))="S-curve",SIN(PI()*(TIMELINE!G197-0.5)/TIMELINE!$C$196)*SIN(PI()/(2*TIMELINE!$C$196)),0))))))))))</f>
        <v>0</v>
      </c>
      <c r="H179" s="118" t="n">
        <f aca="false">IF(INPUTS!$F$150&lt;&gt;"Yes",0,IF(INPUTS!$J$150="Follow Construction",H$100,IF(INPUTS!$J$150="Follow Sales",H$99,IF(INPUTS!$J$150="Follow Collections",H$108,IF(OR(TIMELINE!H197=0,TIMELINE!$C$196=0),0,IF(IF(INPUTS!$J$150="Follow Project Life","Even",IF(INPUTS!$J$150="At Project End","Upfront",INPUTS!$J$150))="Upfront",--(TIMELINE!H197=1),IF(IF(INPUTS!$J$150="Follow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End","Upfront",INPUTS!$J$150))="Front-loaded",(TIMELINE!$C$196-TIMELINE!H197+1)*2/(TIMELINE!$C$196*(TIMELINE!$C$196+1)),IF(IF(INPUTS!$J$150="Follow Project Life","Even",IF(INPUTS!$J$150="At Project End","Upfront",INPUTS!$J$150))="Back-loaded",TIMELINE!H197*2/(TIMELINE!$C$196*(TIMELINE!$C$196+1)),IF(IF(INPUTS!$J$150="Follow Project Life","Even",IF(INPUTS!$J$150="At Project End","Upfront",INPUTS!$J$150))="S-curve",SIN(PI()*(TIMELINE!H197-0.5)/TIMELINE!$C$196)*SIN(PI()/(2*TIMELINE!$C$196)),0))))))))))</f>
        <v>0</v>
      </c>
      <c r="I179" s="118" t="n">
        <f aca="false">IF(INPUTS!$F$150&lt;&gt;"Yes",0,IF(INPUTS!$J$150="Follow Construction",I$100,IF(INPUTS!$J$150="Follow Sales",I$99,IF(INPUTS!$J$150="Follow Collections",I$108,IF(OR(TIMELINE!I197=0,TIMELINE!$C$196=0),0,IF(IF(INPUTS!$J$150="Follow Project Life","Even",IF(INPUTS!$J$150="At Project End","Upfront",INPUTS!$J$150))="Upfront",--(TIMELINE!I197=1),IF(IF(INPUTS!$J$150="Follow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End","Upfront",INPUTS!$J$150))="Front-loaded",(TIMELINE!$C$196-TIMELINE!I197+1)*2/(TIMELINE!$C$196*(TIMELINE!$C$196+1)),IF(IF(INPUTS!$J$150="Follow Project Life","Even",IF(INPUTS!$J$150="At Project End","Upfront",INPUTS!$J$150))="Back-loaded",TIMELINE!I197*2/(TIMELINE!$C$196*(TIMELINE!$C$196+1)),IF(IF(INPUTS!$J$150="Follow Project Life","Even",IF(INPUTS!$J$150="At Project End","Upfront",INPUTS!$J$150))="S-curve",SIN(PI()*(TIMELINE!I197-0.5)/TIMELINE!$C$196)*SIN(PI()/(2*TIMELINE!$C$196)),0))))))))))</f>
        <v>0</v>
      </c>
      <c r="J179" s="118" t="n">
        <f aca="false">IF(INPUTS!$F$150&lt;&gt;"Yes",0,IF(INPUTS!$J$150="Follow Construction",J$100,IF(INPUTS!$J$150="Follow Sales",J$99,IF(INPUTS!$J$150="Follow Collections",J$108,IF(OR(TIMELINE!J197=0,TIMELINE!$C$196=0),0,IF(IF(INPUTS!$J$150="Follow Project Life","Even",IF(INPUTS!$J$150="At Project End","Upfront",INPUTS!$J$150))="Upfront",--(TIMELINE!J197=1),IF(IF(INPUTS!$J$150="Follow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End","Upfront",INPUTS!$J$150))="Front-loaded",(TIMELINE!$C$196-TIMELINE!J197+1)*2/(TIMELINE!$C$196*(TIMELINE!$C$196+1)),IF(IF(INPUTS!$J$150="Follow Project Life","Even",IF(INPUTS!$J$150="At Project End","Upfront",INPUTS!$J$150))="Back-loaded",TIMELINE!J197*2/(TIMELINE!$C$196*(TIMELINE!$C$196+1)),IF(IF(INPUTS!$J$150="Follow Project Life","Even",IF(INPUTS!$J$150="At Project End","Upfront",INPUTS!$J$150))="S-curve",SIN(PI()*(TIMELINE!J197-0.5)/TIMELINE!$C$196)*SIN(PI()/(2*TIMELINE!$C$196)),0))))))))))</f>
        <v>0</v>
      </c>
      <c r="K179" s="118" t="n">
        <f aca="false">IF(INPUTS!$F$150&lt;&gt;"Yes",0,IF(INPUTS!$J$150="Follow Construction",K$100,IF(INPUTS!$J$150="Follow Sales",K$99,IF(INPUTS!$J$150="Follow Collections",K$108,IF(OR(TIMELINE!K197=0,TIMELINE!$C$196=0),0,IF(IF(INPUTS!$J$150="Follow Project Life","Even",IF(INPUTS!$J$150="At Project End","Upfront",INPUTS!$J$150))="Upfront",--(TIMELINE!K197=1),IF(IF(INPUTS!$J$150="Follow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End","Upfront",INPUTS!$J$150))="Front-loaded",(TIMELINE!$C$196-TIMELINE!K197+1)*2/(TIMELINE!$C$196*(TIMELINE!$C$196+1)),IF(IF(INPUTS!$J$150="Follow Project Life","Even",IF(INPUTS!$J$150="At Project End","Upfront",INPUTS!$J$150))="Back-loaded",TIMELINE!K197*2/(TIMELINE!$C$196*(TIMELINE!$C$196+1)),IF(IF(INPUTS!$J$150="Follow Project Life","Even",IF(INPUTS!$J$150="At Project End","Upfront",INPUTS!$J$150))="S-curve",SIN(PI()*(TIMELINE!K197-0.5)/TIMELINE!$C$196)*SIN(PI()/(2*TIMELINE!$C$196)),0))))))))))</f>
        <v>0</v>
      </c>
      <c r="L179" s="118" t="n">
        <f aca="false">IF(INPUTS!$F$150&lt;&gt;"Yes",0,IF(INPUTS!$J$150="Follow Construction",L$100,IF(INPUTS!$J$150="Follow Sales",L$99,IF(INPUTS!$J$150="Follow Collections",L$108,IF(OR(TIMELINE!L197=0,TIMELINE!$C$196=0),0,IF(IF(INPUTS!$J$150="Follow Project Life","Even",IF(INPUTS!$J$150="At Project End","Upfront",INPUTS!$J$150))="Upfront",--(TIMELINE!L197=1),IF(IF(INPUTS!$J$150="Follow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End","Upfront",INPUTS!$J$150))="Front-loaded",(TIMELINE!$C$196-TIMELINE!L197+1)*2/(TIMELINE!$C$196*(TIMELINE!$C$196+1)),IF(IF(INPUTS!$J$150="Follow Project Life","Even",IF(INPUTS!$J$150="At Project End","Upfront",INPUTS!$J$150))="Back-loaded",TIMELINE!L197*2/(TIMELINE!$C$196*(TIMELINE!$C$196+1)),IF(IF(INPUTS!$J$150="Follow Project Life","Even",IF(INPUTS!$J$150="At Project End","Upfront",INPUTS!$J$150))="S-curve",SIN(PI()*(TIMELINE!L197-0.5)/TIMELINE!$C$196)*SIN(PI()/(2*TIMELINE!$C$196)),0))))))))))</f>
        <v>0</v>
      </c>
      <c r="M179" s="118" t="n">
        <f aca="false">IF(INPUTS!$F$150&lt;&gt;"Yes",0,IF(INPUTS!$J$150="Follow Construction",M$100,IF(INPUTS!$J$150="Follow Sales",M$99,IF(INPUTS!$J$150="Follow Collections",M$108,IF(OR(TIMELINE!M197=0,TIMELINE!$C$196=0),0,IF(IF(INPUTS!$J$150="Follow Project Life","Even",IF(INPUTS!$J$150="At Project End","Upfront",INPUTS!$J$150))="Upfront",--(TIMELINE!M197=1),IF(IF(INPUTS!$J$150="Follow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End","Upfront",INPUTS!$J$150))="Front-loaded",(TIMELINE!$C$196-TIMELINE!M197+1)*2/(TIMELINE!$C$196*(TIMELINE!$C$196+1)),IF(IF(INPUTS!$J$150="Follow Project Life","Even",IF(INPUTS!$J$150="At Project End","Upfront",INPUTS!$J$150))="Back-loaded",TIMELINE!M197*2/(TIMELINE!$C$196*(TIMELINE!$C$196+1)),IF(IF(INPUTS!$J$150="Follow Project Life","Even",IF(INPUTS!$J$150="At Project End","Upfront",INPUTS!$J$150))="S-curve",SIN(PI()*(TIMELINE!M197-0.5)/TIMELINE!$C$196)*SIN(PI()/(2*TIMELINE!$C$196)),0))))))))))</f>
        <v>0</v>
      </c>
      <c r="N179" s="118" t="n">
        <f aca="false">IF(INPUTS!$F$150&lt;&gt;"Yes",0,IF(INPUTS!$J$150="Follow Construction",N$100,IF(INPUTS!$J$150="Follow Sales",N$99,IF(INPUTS!$J$150="Follow Collections",N$108,IF(OR(TIMELINE!N197=0,TIMELINE!$C$196=0),0,IF(IF(INPUTS!$J$150="Follow Project Life","Even",IF(INPUTS!$J$150="At Project End","Upfront",INPUTS!$J$150))="Upfront",--(TIMELINE!N197=1),IF(IF(INPUTS!$J$150="Follow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End","Upfront",INPUTS!$J$150))="Front-loaded",(TIMELINE!$C$196-TIMELINE!N197+1)*2/(TIMELINE!$C$196*(TIMELINE!$C$196+1)),IF(IF(INPUTS!$J$150="Follow Project Life","Even",IF(INPUTS!$J$150="At Project End","Upfront",INPUTS!$J$150))="Back-loaded",TIMELINE!N197*2/(TIMELINE!$C$196*(TIMELINE!$C$196+1)),IF(IF(INPUTS!$J$150="Follow Project Life","Even",IF(INPUTS!$J$150="At Project End","Upfront",INPUTS!$J$150))="S-curve",SIN(PI()*(TIMELINE!N197-0.5)/TIMELINE!$C$196)*SIN(PI()/(2*TIMELINE!$C$196)),0))))))))))</f>
        <v>0</v>
      </c>
      <c r="O179" s="118" t="n">
        <f aca="false">IF(INPUTS!$F$150&lt;&gt;"Yes",0,IF(INPUTS!$J$150="Follow Construction",O$100,IF(INPUTS!$J$150="Follow Sales",O$99,IF(INPUTS!$J$150="Follow Collections",O$108,IF(OR(TIMELINE!O197=0,TIMELINE!$C$196=0),0,IF(IF(INPUTS!$J$150="Follow Project Life","Even",IF(INPUTS!$J$150="At Project End","Upfront",INPUTS!$J$150))="Upfront",--(TIMELINE!O197=1),IF(IF(INPUTS!$J$150="Follow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End","Upfront",INPUTS!$J$150))="Front-loaded",(TIMELINE!$C$196-TIMELINE!O197+1)*2/(TIMELINE!$C$196*(TIMELINE!$C$196+1)),IF(IF(INPUTS!$J$150="Follow Project Life","Even",IF(INPUTS!$J$150="At Project End","Upfront",INPUTS!$J$150))="Back-loaded",TIMELINE!O197*2/(TIMELINE!$C$196*(TIMELINE!$C$196+1)),IF(IF(INPUTS!$J$150="Follow Project Life","Even",IF(INPUTS!$J$150="At Project End","Upfront",INPUTS!$J$150))="S-curve",SIN(PI()*(TIMELINE!O197-0.5)/TIMELINE!$C$196)*SIN(PI()/(2*TIMELINE!$C$196)),0))))))))))</f>
        <v>0</v>
      </c>
      <c r="P179" s="118" t="n">
        <f aca="false">IF(INPUTS!$F$150&lt;&gt;"Yes",0,IF(INPUTS!$J$150="Follow Construction",P$100,IF(INPUTS!$J$150="Follow Sales",P$99,IF(INPUTS!$J$150="Follow Collections",P$108,IF(OR(TIMELINE!P197=0,TIMELINE!$C$196=0),0,IF(IF(INPUTS!$J$150="Follow Project Life","Even",IF(INPUTS!$J$150="At Project End","Upfront",INPUTS!$J$150))="Upfront",--(TIMELINE!P197=1),IF(IF(INPUTS!$J$150="Follow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End","Upfront",INPUTS!$J$150))="Front-loaded",(TIMELINE!$C$196-TIMELINE!P197+1)*2/(TIMELINE!$C$196*(TIMELINE!$C$196+1)),IF(IF(INPUTS!$J$150="Follow Project Life","Even",IF(INPUTS!$J$150="At Project End","Upfront",INPUTS!$J$150))="Back-loaded",TIMELINE!P197*2/(TIMELINE!$C$196*(TIMELINE!$C$196+1)),IF(IF(INPUTS!$J$150="Follow Project Life","Even",IF(INPUTS!$J$150="At Project End","Upfront",INPUTS!$J$150))="S-curve",SIN(PI()*(TIMELINE!P197-0.5)/TIMELINE!$C$196)*SIN(PI()/(2*TIMELINE!$C$196)),0))))))))))</f>
        <v>0</v>
      </c>
      <c r="Q179" s="118" t="n">
        <f aca="false">IF(INPUTS!$F$150&lt;&gt;"Yes",0,IF(INPUTS!$J$150="Follow Construction",Q$100,IF(INPUTS!$J$150="Follow Sales",Q$99,IF(INPUTS!$J$150="Follow Collections",Q$108,IF(OR(TIMELINE!Q197=0,TIMELINE!$C$196=0),0,IF(IF(INPUTS!$J$150="Follow Project Life","Even",IF(INPUTS!$J$150="At Project End","Upfront",INPUTS!$J$150))="Upfront",--(TIMELINE!Q197=1),IF(IF(INPUTS!$J$150="Follow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End","Upfront",INPUTS!$J$150))="Front-loaded",(TIMELINE!$C$196-TIMELINE!Q197+1)*2/(TIMELINE!$C$196*(TIMELINE!$C$196+1)),IF(IF(INPUTS!$J$150="Follow Project Life","Even",IF(INPUTS!$J$150="At Project End","Upfront",INPUTS!$J$150))="Back-loaded",TIMELINE!Q197*2/(TIMELINE!$C$196*(TIMELINE!$C$196+1)),IF(IF(INPUTS!$J$150="Follow Project Life","Even",IF(INPUTS!$J$150="At Project End","Upfront",INPUTS!$J$150))="S-curve",SIN(PI()*(TIMELINE!Q197-0.5)/TIMELINE!$C$196)*SIN(PI()/(2*TIMELINE!$C$196)),0))))))))))</f>
        <v>0</v>
      </c>
      <c r="R179" s="118" t="n">
        <f aca="false">IF(INPUTS!$F$150&lt;&gt;"Yes",0,IF(INPUTS!$J$150="Follow Construction",R$100,IF(INPUTS!$J$150="Follow Sales",R$99,IF(INPUTS!$J$150="Follow Collections",R$108,IF(OR(TIMELINE!R197=0,TIMELINE!$C$196=0),0,IF(IF(INPUTS!$J$150="Follow Project Life","Even",IF(INPUTS!$J$150="At Project End","Upfront",INPUTS!$J$150))="Upfront",--(TIMELINE!R197=1),IF(IF(INPUTS!$J$150="Follow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End","Upfront",INPUTS!$J$150))="Front-loaded",(TIMELINE!$C$196-TIMELINE!R197+1)*2/(TIMELINE!$C$196*(TIMELINE!$C$196+1)),IF(IF(INPUTS!$J$150="Follow Project Life","Even",IF(INPUTS!$J$150="At Project End","Upfront",INPUTS!$J$150))="Back-loaded",TIMELINE!R197*2/(TIMELINE!$C$196*(TIMELINE!$C$196+1)),IF(IF(INPUTS!$J$150="Follow Project Life","Even",IF(INPUTS!$J$150="At Project End","Upfront",INPUTS!$J$150))="S-curve",SIN(PI()*(TIMELINE!R197-0.5)/TIMELINE!$C$196)*SIN(PI()/(2*TIMELINE!$C$196)),0))))))))))</f>
        <v>0</v>
      </c>
      <c r="S179" s="118" t="n">
        <f aca="false">IF(INPUTS!$F$150&lt;&gt;"Yes",0,IF(INPUTS!$J$150="Follow Construction",S$100,IF(INPUTS!$J$150="Follow Sales",S$99,IF(INPUTS!$J$150="Follow Collections",S$108,IF(OR(TIMELINE!S197=0,TIMELINE!$C$196=0),0,IF(IF(INPUTS!$J$150="Follow Project Life","Even",IF(INPUTS!$J$150="At Project End","Upfront",INPUTS!$J$150))="Upfront",--(TIMELINE!S197=1),IF(IF(INPUTS!$J$150="Follow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End","Upfront",INPUTS!$J$150))="Front-loaded",(TIMELINE!$C$196-TIMELINE!S197+1)*2/(TIMELINE!$C$196*(TIMELINE!$C$196+1)),IF(IF(INPUTS!$J$150="Follow Project Life","Even",IF(INPUTS!$J$150="At Project End","Upfront",INPUTS!$J$150))="Back-loaded",TIMELINE!S197*2/(TIMELINE!$C$196*(TIMELINE!$C$196+1)),IF(IF(INPUTS!$J$150="Follow Project Life","Even",IF(INPUTS!$J$150="At Project End","Upfront",INPUTS!$J$150))="S-curve",SIN(PI()*(TIMELINE!S197-0.5)/TIMELINE!$C$196)*SIN(PI()/(2*TIMELINE!$C$196)),0))))))))))</f>
        <v>0</v>
      </c>
      <c r="T179" s="118" t="n">
        <f aca="false">IF(INPUTS!$F$150&lt;&gt;"Yes",0,IF(INPUTS!$J$150="Follow Construction",T$100,IF(INPUTS!$J$150="Follow Sales",T$99,IF(INPUTS!$J$150="Follow Collections",T$108,IF(OR(TIMELINE!T197=0,TIMELINE!$C$196=0),0,IF(IF(INPUTS!$J$150="Follow Project Life","Even",IF(INPUTS!$J$150="At Project End","Upfront",INPUTS!$J$150))="Upfront",--(TIMELINE!T197=1),IF(IF(INPUTS!$J$150="Follow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End","Upfront",INPUTS!$J$150))="Front-loaded",(TIMELINE!$C$196-TIMELINE!T197+1)*2/(TIMELINE!$C$196*(TIMELINE!$C$196+1)),IF(IF(INPUTS!$J$150="Follow Project Life","Even",IF(INPUTS!$J$150="At Project End","Upfront",INPUTS!$J$150))="Back-loaded",TIMELINE!T197*2/(TIMELINE!$C$196*(TIMELINE!$C$196+1)),IF(IF(INPUTS!$J$150="Follow Project Life","Even",IF(INPUTS!$J$150="At Project End","Upfront",INPUTS!$J$150))="S-curve",SIN(PI()*(TIMELINE!T197-0.5)/TIMELINE!$C$196)*SIN(PI()/(2*TIMELINE!$C$196)),0))))))))))</f>
        <v>0</v>
      </c>
      <c r="U179" s="118" t="n">
        <f aca="false">IF(INPUTS!$F$150&lt;&gt;"Yes",0,IF(INPUTS!$J$150="Follow Construction",U$100,IF(INPUTS!$J$150="Follow Sales",U$99,IF(INPUTS!$J$150="Follow Collections",U$108,IF(OR(TIMELINE!U197=0,TIMELINE!$C$196=0),0,IF(IF(INPUTS!$J$150="Follow Project Life","Even",IF(INPUTS!$J$150="At Project End","Upfront",INPUTS!$J$150))="Upfront",--(TIMELINE!U197=1),IF(IF(INPUTS!$J$150="Follow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End","Upfront",INPUTS!$J$150))="Front-loaded",(TIMELINE!$C$196-TIMELINE!U197+1)*2/(TIMELINE!$C$196*(TIMELINE!$C$196+1)),IF(IF(INPUTS!$J$150="Follow Project Life","Even",IF(INPUTS!$J$150="At Project End","Upfront",INPUTS!$J$150))="Back-loaded",TIMELINE!U197*2/(TIMELINE!$C$196*(TIMELINE!$C$196+1)),IF(IF(INPUTS!$J$150="Follow Project Life","Even",IF(INPUTS!$J$150="At Project End","Upfront",INPUTS!$J$150))="S-curve",SIN(PI()*(TIMELINE!U197-0.5)/TIMELINE!$C$196)*SIN(PI()/(2*TIMELINE!$C$196)),0))))))))))</f>
        <v>0</v>
      </c>
      <c r="V179" s="118" t="n">
        <f aca="false">IF(INPUTS!$F$150&lt;&gt;"Yes",0,IF(INPUTS!$J$150="Follow Construction",V$100,IF(INPUTS!$J$150="Follow Sales",V$99,IF(INPUTS!$J$150="Follow Collections",V$108,IF(OR(TIMELINE!V197=0,TIMELINE!$C$196=0),0,IF(IF(INPUTS!$J$150="Follow Project Life","Even",IF(INPUTS!$J$150="At Project End","Upfront",INPUTS!$J$150))="Upfront",--(TIMELINE!V197=1),IF(IF(INPUTS!$J$150="Follow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End","Upfront",INPUTS!$J$150))="Front-loaded",(TIMELINE!$C$196-TIMELINE!V197+1)*2/(TIMELINE!$C$196*(TIMELINE!$C$196+1)),IF(IF(INPUTS!$J$150="Follow Project Life","Even",IF(INPUTS!$J$150="At Project End","Upfront",INPUTS!$J$150))="Back-loaded",TIMELINE!V197*2/(TIMELINE!$C$196*(TIMELINE!$C$196+1)),IF(IF(INPUTS!$J$150="Follow Project Life","Even",IF(INPUTS!$J$150="At Project End","Upfront",INPUTS!$J$150))="S-curve",SIN(PI()*(TIMELINE!V197-0.5)/TIMELINE!$C$196)*SIN(PI()/(2*TIMELINE!$C$196)),0))))))))))</f>
        <v>0</v>
      </c>
      <c r="W179" s="118" t="n">
        <f aca="false">IF(INPUTS!$F$150&lt;&gt;"Yes",0,IF(INPUTS!$J$150="Follow Construction",W$100,IF(INPUTS!$J$150="Follow Sales",W$99,IF(INPUTS!$J$150="Follow Collections",W$108,IF(OR(TIMELINE!W197=0,TIMELINE!$C$196=0),0,IF(IF(INPUTS!$J$150="Follow Project Life","Even",IF(INPUTS!$J$150="At Project End","Upfront",INPUTS!$J$150))="Upfront",--(TIMELINE!W197=1),IF(IF(INPUTS!$J$150="Follow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End","Upfront",INPUTS!$J$150))="Front-loaded",(TIMELINE!$C$196-TIMELINE!W197+1)*2/(TIMELINE!$C$196*(TIMELINE!$C$196+1)),IF(IF(INPUTS!$J$150="Follow Project Life","Even",IF(INPUTS!$J$150="At Project End","Upfront",INPUTS!$J$150))="Back-loaded",TIMELINE!W197*2/(TIMELINE!$C$196*(TIMELINE!$C$196+1)),IF(IF(INPUTS!$J$150="Follow Project Life","Even",IF(INPUTS!$J$150="At Project End","Upfront",INPUTS!$J$150))="S-curve",SIN(PI()*(TIMELINE!W197-0.5)/TIMELINE!$C$196)*SIN(PI()/(2*TIMELINE!$C$196)),0))))))))))</f>
        <v>0</v>
      </c>
      <c r="X179" s="118" t="n">
        <f aca="false">IF(INPUTS!$F$150&lt;&gt;"Yes",0,IF(INPUTS!$J$150="Follow Construction",X$100,IF(INPUTS!$J$150="Follow Sales",X$99,IF(INPUTS!$J$150="Follow Collections",X$108,IF(OR(TIMELINE!X197=0,TIMELINE!$C$196=0),0,IF(IF(INPUTS!$J$150="Follow Project Life","Even",IF(INPUTS!$J$150="At Project End","Upfront",INPUTS!$J$150))="Upfront",--(TIMELINE!X197=1),IF(IF(INPUTS!$J$150="Follow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End","Upfront",INPUTS!$J$150))="Front-loaded",(TIMELINE!$C$196-TIMELINE!X197+1)*2/(TIMELINE!$C$196*(TIMELINE!$C$196+1)),IF(IF(INPUTS!$J$150="Follow Project Life","Even",IF(INPUTS!$J$150="At Project End","Upfront",INPUTS!$J$150))="Back-loaded",TIMELINE!X197*2/(TIMELINE!$C$196*(TIMELINE!$C$196+1)),IF(IF(INPUTS!$J$150="Follow Project Life","Even",IF(INPUTS!$J$150="At Project End","Upfront",INPUTS!$J$150))="S-curve",SIN(PI()*(TIMELINE!X197-0.5)/TIMELINE!$C$196)*SIN(PI()/(2*TIMELINE!$C$196)),0))))))))))</f>
        <v>0</v>
      </c>
      <c r="Y179" s="118" t="n">
        <f aca="false">IF(INPUTS!$F$150&lt;&gt;"Yes",0,IF(INPUTS!$J$150="Follow Construction",Y$100,IF(INPUTS!$J$150="Follow Sales",Y$99,IF(INPUTS!$J$150="Follow Collections",Y$108,IF(OR(TIMELINE!Y197=0,TIMELINE!$C$196=0),0,IF(IF(INPUTS!$J$150="Follow Project Life","Even",IF(INPUTS!$J$150="At Project End","Upfront",INPUTS!$J$150))="Upfront",--(TIMELINE!Y197=1),IF(IF(INPUTS!$J$150="Follow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End","Upfront",INPUTS!$J$150))="Front-loaded",(TIMELINE!$C$196-TIMELINE!Y197+1)*2/(TIMELINE!$C$196*(TIMELINE!$C$196+1)),IF(IF(INPUTS!$J$150="Follow Project Life","Even",IF(INPUTS!$J$150="At Project End","Upfront",INPUTS!$J$150))="Back-loaded",TIMELINE!Y197*2/(TIMELINE!$C$196*(TIMELINE!$C$196+1)),IF(IF(INPUTS!$J$150="Follow Project Life","Even",IF(INPUTS!$J$150="At Project End","Upfront",INPUTS!$J$150))="S-curve",SIN(PI()*(TIMELINE!Y197-0.5)/TIMELINE!$C$196)*SIN(PI()/(2*TIMELINE!$C$196)),0))))))))))</f>
        <v>0</v>
      </c>
      <c r="Z179" s="118" t="n">
        <f aca="false">IF(INPUTS!$F$150&lt;&gt;"Yes",0,IF(INPUTS!$J$150="Follow Construction",Z$100,IF(INPUTS!$J$150="Follow Sales",Z$99,IF(INPUTS!$J$150="Follow Collections",Z$108,IF(OR(TIMELINE!Z197=0,TIMELINE!$C$196=0),0,IF(IF(INPUTS!$J$150="Follow Project Life","Even",IF(INPUTS!$J$150="At Project End","Upfront",INPUTS!$J$150))="Upfront",--(TIMELINE!Z197=1),IF(IF(INPUTS!$J$150="Follow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End","Upfront",INPUTS!$J$150))="Front-loaded",(TIMELINE!$C$196-TIMELINE!Z197+1)*2/(TIMELINE!$C$196*(TIMELINE!$C$196+1)),IF(IF(INPUTS!$J$150="Follow Project Life","Even",IF(INPUTS!$J$150="At Project End","Upfront",INPUTS!$J$150))="Back-loaded",TIMELINE!Z197*2/(TIMELINE!$C$196*(TIMELINE!$C$196+1)),IF(IF(INPUTS!$J$150="Follow Project Life","Even",IF(INPUTS!$J$150="At Project End","Upfront",INPUTS!$J$150))="S-curve",SIN(PI()*(TIMELINE!Z197-0.5)/TIMELINE!$C$196)*SIN(PI()/(2*TIMELINE!$C$196)),0))))))))))</f>
        <v>0</v>
      </c>
      <c r="AA179" s="118" t="n">
        <f aca="false">IF(INPUTS!$F$150&lt;&gt;"Yes",0,IF(INPUTS!$J$150="Follow Construction",AA$100,IF(INPUTS!$J$150="Follow Sales",AA$99,IF(INPUTS!$J$150="Follow Collections",AA$108,IF(OR(TIMELINE!AA197=0,TIMELINE!$C$196=0),0,IF(IF(INPUTS!$J$150="Follow Project Life","Even",IF(INPUTS!$J$150="At Project End","Upfront",INPUTS!$J$150))="Upfront",--(TIMELINE!AA197=1),IF(IF(INPUTS!$J$150="Follow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End","Upfront",INPUTS!$J$150))="Front-loaded",(TIMELINE!$C$196-TIMELINE!AA197+1)*2/(TIMELINE!$C$196*(TIMELINE!$C$196+1)),IF(IF(INPUTS!$J$150="Follow Project Life","Even",IF(INPUTS!$J$150="At Project End","Upfront",INPUTS!$J$150))="Back-loaded",TIMELINE!AA197*2/(TIMELINE!$C$196*(TIMELINE!$C$196+1)),IF(IF(INPUTS!$J$150="Follow Project Life","Even",IF(INPUTS!$J$150="At Project End","Upfront",INPUTS!$J$150))="S-curve",SIN(PI()*(TIMELINE!AA197-0.5)/TIMELINE!$C$196)*SIN(PI()/(2*TIMELINE!$C$196)),0))))))))))</f>
        <v>0</v>
      </c>
      <c r="AB179" s="118" t="n">
        <f aca="false">IF(INPUTS!$F$150&lt;&gt;"Yes",0,IF(INPUTS!$J$150="Follow Construction",AB$100,IF(INPUTS!$J$150="Follow Sales",AB$99,IF(INPUTS!$J$150="Follow Collections",AB$108,IF(OR(TIMELINE!AB197=0,TIMELINE!$C$196=0),0,IF(IF(INPUTS!$J$150="Follow Project Life","Even",IF(INPUTS!$J$150="At Project End","Upfront",INPUTS!$J$150))="Upfront",--(TIMELINE!AB197=1),IF(IF(INPUTS!$J$150="Follow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End","Upfront",INPUTS!$J$150))="Front-loaded",(TIMELINE!$C$196-TIMELINE!AB197+1)*2/(TIMELINE!$C$196*(TIMELINE!$C$196+1)),IF(IF(INPUTS!$J$150="Follow Project Life","Even",IF(INPUTS!$J$150="At Project End","Upfront",INPUTS!$J$150))="Back-loaded",TIMELINE!AB197*2/(TIMELINE!$C$196*(TIMELINE!$C$196+1)),IF(IF(INPUTS!$J$150="Follow Project Life","Even",IF(INPUTS!$J$150="At Project End","Upfront",INPUTS!$J$150))="S-curve",SIN(PI()*(TIMELINE!AB197-0.5)/TIMELINE!$C$196)*SIN(PI()/(2*TIMELINE!$C$196)),0))))))))))</f>
        <v>0</v>
      </c>
      <c r="AC179" s="118" t="n">
        <f aca="false">IF(INPUTS!$F$150&lt;&gt;"Yes",0,IF(INPUTS!$J$150="Follow Construction",AC$100,IF(INPUTS!$J$150="Follow Sales",AC$99,IF(INPUTS!$J$150="Follow Collections",AC$108,IF(OR(TIMELINE!AC197=0,TIMELINE!$C$196=0),0,IF(IF(INPUTS!$J$150="Follow Project Life","Even",IF(INPUTS!$J$150="At Project End","Upfront",INPUTS!$J$150))="Upfront",--(TIMELINE!AC197=1),IF(IF(INPUTS!$J$150="Follow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End","Upfront",INPUTS!$J$150))="Front-loaded",(TIMELINE!$C$196-TIMELINE!AC197+1)*2/(TIMELINE!$C$196*(TIMELINE!$C$196+1)),IF(IF(INPUTS!$J$150="Follow Project Life","Even",IF(INPUTS!$J$150="At Project End","Upfront",INPUTS!$J$150))="Back-loaded",TIMELINE!AC197*2/(TIMELINE!$C$196*(TIMELINE!$C$196+1)),IF(IF(INPUTS!$J$150="Follow Project Life","Even",IF(INPUTS!$J$150="At Project End","Upfront",INPUTS!$J$150))="S-curve",SIN(PI()*(TIMELINE!AC197-0.5)/TIMELINE!$C$196)*SIN(PI()/(2*TIMELINE!$C$196)),0))))))))))</f>
        <v>0</v>
      </c>
      <c r="AD179" s="118" t="n">
        <f aca="false">IF(INPUTS!$F$150&lt;&gt;"Yes",0,IF(INPUTS!$J$150="Follow Construction",AD$100,IF(INPUTS!$J$150="Follow Sales",AD$99,IF(INPUTS!$J$150="Follow Collections",AD$108,IF(OR(TIMELINE!AD197=0,TIMELINE!$C$196=0),0,IF(IF(INPUTS!$J$150="Follow Project Life","Even",IF(INPUTS!$J$150="At Project End","Upfront",INPUTS!$J$150))="Upfront",--(TIMELINE!AD197=1),IF(IF(INPUTS!$J$150="Follow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End","Upfront",INPUTS!$J$150))="Front-loaded",(TIMELINE!$C$196-TIMELINE!AD197+1)*2/(TIMELINE!$C$196*(TIMELINE!$C$196+1)),IF(IF(INPUTS!$J$150="Follow Project Life","Even",IF(INPUTS!$J$150="At Project End","Upfront",INPUTS!$J$150))="Back-loaded",TIMELINE!AD197*2/(TIMELINE!$C$196*(TIMELINE!$C$196+1)),IF(IF(INPUTS!$J$150="Follow Project Life","Even",IF(INPUTS!$J$150="At Project End","Upfront",INPUTS!$J$150))="S-curve",SIN(PI()*(TIMELINE!AD197-0.5)/TIMELINE!$C$196)*SIN(PI()/(2*TIMELINE!$C$196)),0))))))))))</f>
        <v>0</v>
      </c>
      <c r="AE179" s="118" t="n">
        <f aca="false">IF(INPUTS!$F$150&lt;&gt;"Yes",0,IF(INPUTS!$J$150="Follow Construction",AE$100,IF(INPUTS!$J$150="Follow Sales",AE$99,IF(INPUTS!$J$150="Follow Collections",AE$108,IF(OR(TIMELINE!AE197=0,TIMELINE!$C$196=0),0,IF(IF(INPUTS!$J$150="Follow Project Life","Even",IF(INPUTS!$J$150="At Project End","Upfront",INPUTS!$J$150))="Upfront",--(TIMELINE!AE197=1),IF(IF(INPUTS!$J$150="Follow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End","Upfront",INPUTS!$J$150))="Front-loaded",(TIMELINE!$C$196-TIMELINE!AE197+1)*2/(TIMELINE!$C$196*(TIMELINE!$C$196+1)),IF(IF(INPUTS!$J$150="Follow Project Life","Even",IF(INPUTS!$J$150="At Project End","Upfront",INPUTS!$J$150))="Back-loaded",TIMELINE!AE197*2/(TIMELINE!$C$196*(TIMELINE!$C$196+1)),IF(IF(INPUTS!$J$150="Follow Project Life","Even",IF(INPUTS!$J$150="At Project End","Upfront",INPUTS!$J$150))="S-curve",SIN(PI()*(TIMELINE!AE197-0.5)/TIMELINE!$C$196)*SIN(PI()/(2*TIMELINE!$C$196)),0))))))))))</f>
        <v>0</v>
      </c>
      <c r="AF179" s="118" t="n">
        <f aca="false">IF(INPUTS!$F$150&lt;&gt;"Yes",0,IF(INPUTS!$J$150="Follow Construction",AF$100,IF(INPUTS!$J$150="Follow Sales",AF$99,IF(INPUTS!$J$150="Follow Collections",AF$108,IF(OR(TIMELINE!AF197=0,TIMELINE!$C$196=0),0,IF(IF(INPUTS!$J$150="Follow Project Life","Even",IF(INPUTS!$J$150="At Project End","Upfront",INPUTS!$J$150))="Upfront",--(TIMELINE!AF197=1),IF(IF(INPUTS!$J$150="Follow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End","Upfront",INPUTS!$J$150))="Front-loaded",(TIMELINE!$C$196-TIMELINE!AF197+1)*2/(TIMELINE!$C$196*(TIMELINE!$C$196+1)),IF(IF(INPUTS!$J$150="Follow Project Life","Even",IF(INPUTS!$J$150="At Project End","Upfront",INPUTS!$J$150))="Back-loaded",TIMELINE!AF197*2/(TIMELINE!$C$196*(TIMELINE!$C$196+1)),IF(IF(INPUTS!$J$150="Follow Project Life","Even",IF(INPUTS!$J$150="At Project End","Upfront",INPUTS!$J$150))="S-curve",SIN(PI()*(TIMELINE!AF197-0.5)/TIMELINE!$C$196)*SIN(PI()/(2*TIMELINE!$C$196)),0))))))))))</f>
        <v>0</v>
      </c>
      <c r="AG179" s="118" t="n">
        <f aca="false">IF(INPUTS!$F$150&lt;&gt;"Yes",0,IF(INPUTS!$J$150="Follow Construction",AG$100,IF(INPUTS!$J$150="Follow Sales",AG$99,IF(INPUTS!$J$150="Follow Collections",AG$108,IF(OR(TIMELINE!AG197=0,TIMELINE!$C$196=0),0,IF(IF(INPUTS!$J$150="Follow Project Life","Even",IF(INPUTS!$J$150="At Project End","Upfront",INPUTS!$J$150))="Upfront",--(TIMELINE!AG197=1),IF(IF(INPUTS!$J$150="Follow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End","Upfront",INPUTS!$J$150))="Front-loaded",(TIMELINE!$C$196-TIMELINE!AG197+1)*2/(TIMELINE!$C$196*(TIMELINE!$C$196+1)),IF(IF(INPUTS!$J$150="Follow Project Life","Even",IF(INPUTS!$J$150="At Project End","Upfront",INPUTS!$J$150))="Back-loaded",TIMELINE!AG197*2/(TIMELINE!$C$196*(TIMELINE!$C$196+1)),IF(IF(INPUTS!$J$150="Follow Project Life","Even",IF(INPUTS!$J$150="At Project End","Upfront",INPUTS!$J$150))="S-curve",SIN(PI()*(TIMELINE!AG197-0.5)/TIMELINE!$C$196)*SIN(PI()/(2*TIMELINE!$C$196)),0))))))))))</f>
        <v>0</v>
      </c>
      <c r="AH179" s="118" t="n">
        <f aca="false">IF(INPUTS!$F$150&lt;&gt;"Yes",0,IF(INPUTS!$J$150="Follow Construction",AH$100,IF(INPUTS!$J$150="Follow Sales",AH$99,IF(INPUTS!$J$150="Follow Collections",AH$108,IF(OR(TIMELINE!AH197=0,TIMELINE!$C$196=0),0,IF(IF(INPUTS!$J$150="Follow Project Life","Even",IF(INPUTS!$J$150="At Project End","Upfront",INPUTS!$J$150))="Upfront",--(TIMELINE!AH197=1),IF(IF(INPUTS!$J$150="Follow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End","Upfront",INPUTS!$J$150))="Front-loaded",(TIMELINE!$C$196-TIMELINE!AH197+1)*2/(TIMELINE!$C$196*(TIMELINE!$C$196+1)),IF(IF(INPUTS!$J$150="Follow Project Life","Even",IF(INPUTS!$J$150="At Project End","Upfront",INPUTS!$J$150))="Back-loaded",TIMELINE!AH197*2/(TIMELINE!$C$196*(TIMELINE!$C$196+1)),IF(IF(INPUTS!$J$150="Follow Project Life","Even",IF(INPUTS!$J$150="At Project End","Upfront",INPUTS!$J$150))="S-curve",SIN(PI()*(TIMELINE!AH197-0.5)/TIMELINE!$C$196)*SIN(PI()/(2*TIMELINE!$C$196)),0))))))))))</f>
        <v>0</v>
      </c>
      <c r="AI179" s="118" t="n">
        <f aca="false">IF(INPUTS!$F$150&lt;&gt;"Yes",0,IF(INPUTS!$J$150="Follow Construction",AI$100,IF(INPUTS!$J$150="Follow Sales",AI$99,IF(INPUTS!$J$150="Follow Collections",AI$108,IF(OR(TIMELINE!AI197=0,TIMELINE!$C$196=0),0,IF(IF(INPUTS!$J$150="Follow Project Life","Even",IF(INPUTS!$J$150="At Project End","Upfront",INPUTS!$J$150))="Upfront",--(TIMELINE!AI197=1),IF(IF(INPUTS!$J$150="Follow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End","Upfront",INPUTS!$J$150))="Front-loaded",(TIMELINE!$C$196-TIMELINE!AI197+1)*2/(TIMELINE!$C$196*(TIMELINE!$C$196+1)),IF(IF(INPUTS!$J$150="Follow Project Life","Even",IF(INPUTS!$J$150="At Project End","Upfront",INPUTS!$J$150))="Back-loaded",TIMELINE!AI197*2/(TIMELINE!$C$196*(TIMELINE!$C$196+1)),IF(IF(INPUTS!$J$150="Follow Project Life","Even",IF(INPUTS!$J$150="At Project End","Upfront",INPUTS!$J$150))="S-curve",SIN(PI()*(TIMELINE!AI197-0.5)/TIMELINE!$C$196)*SIN(PI()/(2*TIMELINE!$C$196)),0))))))))))</f>
        <v>0</v>
      </c>
      <c r="AJ179" s="118" t="n">
        <f aca="false">IF(INPUTS!$F$150&lt;&gt;"Yes",0,IF(INPUTS!$J$150="Follow Construction",AJ$100,IF(INPUTS!$J$150="Follow Sales",AJ$99,IF(INPUTS!$J$150="Follow Collections",AJ$108,IF(OR(TIMELINE!AJ197=0,TIMELINE!$C$196=0),0,IF(IF(INPUTS!$J$150="Follow Project Life","Even",IF(INPUTS!$J$150="At Project End","Upfront",INPUTS!$J$150))="Upfront",--(TIMELINE!AJ197=1),IF(IF(INPUTS!$J$150="Follow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End","Upfront",INPUTS!$J$150))="Front-loaded",(TIMELINE!$C$196-TIMELINE!AJ197+1)*2/(TIMELINE!$C$196*(TIMELINE!$C$196+1)),IF(IF(INPUTS!$J$150="Follow Project Life","Even",IF(INPUTS!$J$150="At Project End","Upfront",INPUTS!$J$150))="Back-loaded",TIMELINE!AJ197*2/(TIMELINE!$C$196*(TIMELINE!$C$196+1)),IF(IF(INPUTS!$J$150="Follow Project Life","Even",IF(INPUTS!$J$150="At Project End","Upfront",INPUTS!$J$150))="S-curve",SIN(PI()*(TIMELINE!AJ197-0.5)/TIMELINE!$C$196)*SIN(PI()/(2*TIMELINE!$C$196)),0))))))))))</f>
        <v>0</v>
      </c>
      <c r="AK179" s="118" t="n">
        <f aca="false">IF(INPUTS!$F$150&lt;&gt;"Yes",0,IF(INPUTS!$J$150="Follow Construction",AK$100,IF(INPUTS!$J$150="Follow Sales",AK$99,IF(INPUTS!$J$150="Follow Collections",AK$108,IF(OR(TIMELINE!AK197=0,TIMELINE!$C$196=0),0,IF(IF(INPUTS!$J$150="Follow Project Life","Even",IF(INPUTS!$J$150="At Project End","Upfront",INPUTS!$J$150))="Upfront",--(TIMELINE!AK197=1),IF(IF(INPUTS!$J$150="Follow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End","Upfront",INPUTS!$J$150))="Front-loaded",(TIMELINE!$C$196-TIMELINE!AK197+1)*2/(TIMELINE!$C$196*(TIMELINE!$C$196+1)),IF(IF(INPUTS!$J$150="Follow Project Life","Even",IF(INPUTS!$J$150="At Project End","Upfront",INPUTS!$J$150))="Back-loaded",TIMELINE!AK197*2/(TIMELINE!$C$196*(TIMELINE!$C$196+1)),IF(IF(INPUTS!$J$150="Follow Project Life","Even",IF(INPUTS!$J$150="At Project End","Upfront",INPUTS!$J$150))="S-curve",SIN(PI()*(TIMELINE!AK197-0.5)/TIMELINE!$C$196)*SIN(PI()/(2*TIMELINE!$C$196)),0))))))))))</f>
        <v>0</v>
      </c>
      <c r="AL179" s="118" t="n">
        <f aca="false">IF(INPUTS!$F$150&lt;&gt;"Yes",0,IF(INPUTS!$J$150="Follow Construction",AL$100,IF(INPUTS!$J$150="Follow Sales",AL$99,IF(INPUTS!$J$150="Follow Collections",AL$108,IF(OR(TIMELINE!AL197=0,TIMELINE!$C$196=0),0,IF(IF(INPUTS!$J$150="Follow Project Life","Even",IF(INPUTS!$J$150="At Project End","Upfront",INPUTS!$J$150))="Upfront",--(TIMELINE!AL197=1),IF(IF(INPUTS!$J$150="Follow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End","Upfront",INPUTS!$J$150))="Front-loaded",(TIMELINE!$C$196-TIMELINE!AL197+1)*2/(TIMELINE!$C$196*(TIMELINE!$C$196+1)),IF(IF(INPUTS!$J$150="Follow Project Life","Even",IF(INPUTS!$J$150="At Project End","Upfront",INPUTS!$J$150))="Back-loaded",TIMELINE!AL197*2/(TIMELINE!$C$196*(TIMELINE!$C$196+1)),IF(IF(INPUTS!$J$150="Follow Project Life","Even",IF(INPUTS!$J$150="At Project End","Upfront",INPUTS!$J$150))="S-curve",SIN(PI()*(TIMELINE!AL197-0.5)/TIMELINE!$C$196)*SIN(PI()/(2*TIMELINE!$C$196)),0))))))))))</f>
        <v>0</v>
      </c>
      <c r="AM179" s="118" t="n">
        <f aca="false">IF(INPUTS!$F$150&lt;&gt;"Yes",0,IF(INPUTS!$J$150="Follow Construction",AM$100,IF(INPUTS!$J$150="Follow Sales",AM$99,IF(INPUTS!$J$150="Follow Collections",AM$108,IF(OR(TIMELINE!AM197=0,TIMELINE!$C$196=0),0,IF(IF(INPUTS!$J$150="Follow Project Life","Even",IF(INPUTS!$J$150="At Project End","Upfront",INPUTS!$J$150))="Upfront",--(TIMELINE!AM197=1),IF(IF(INPUTS!$J$150="Follow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End","Upfront",INPUTS!$J$150))="Front-loaded",(TIMELINE!$C$196-TIMELINE!AM197+1)*2/(TIMELINE!$C$196*(TIMELINE!$C$196+1)),IF(IF(INPUTS!$J$150="Follow Project Life","Even",IF(INPUTS!$J$150="At Project End","Upfront",INPUTS!$J$150))="Back-loaded",TIMELINE!AM197*2/(TIMELINE!$C$196*(TIMELINE!$C$196+1)),IF(IF(INPUTS!$J$150="Follow Project Life","Even",IF(INPUTS!$J$150="At Project End","Upfront",INPUTS!$J$150))="S-curve",SIN(PI()*(TIMELINE!AM197-0.5)/TIMELINE!$C$196)*SIN(PI()/(2*TIMELINE!$C$196)),0))))))))))</f>
        <v>0</v>
      </c>
      <c r="AN179" s="118" t="n">
        <f aca="false">IF(INPUTS!$F$150&lt;&gt;"Yes",0,IF(INPUTS!$J$150="Follow Construction",AN$100,IF(INPUTS!$J$150="Follow Sales",AN$99,IF(INPUTS!$J$150="Follow Collections",AN$108,IF(OR(TIMELINE!AN197=0,TIMELINE!$C$196=0),0,IF(IF(INPUTS!$J$150="Follow Project Life","Even",IF(INPUTS!$J$150="At Project End","Upfront",INPUTS!$J$150))="Upfront",--(TIMELINE!AN197=1),IF(IF(INPUTS!$J$150="Follow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End","Upfront",INPUTS!$J$150))="Front-loaded",(TIMELINE!$C$196-TIMELINE!AN197+1)*2/(TIMELINE!$C$196*(TIMELINE!$C$196+1)),IF(IF(INPUTS!$J$150="Follow Project Life","Even",IF(INPUTS!$J$150="At Project End","Upfront",INPUTS!$J$150))="Back-loaded",TIMELINE!AN197*2/(TIMELINE!$C$196*(TIMELINE!$C$196+1)),IF(IF(INPUTS!$J$150="Follow Project Life","Even",IF(INPUTS!$J$150="At Project End","Upfront",INPUTS!$J$150))="S-curve",SIN(PI()*(TIMELINE!AN197-0.5)/TIMELINE!$C$196)*SIN(PI()/(2*TIMELINE!$C$196)),0))))))))))</f>
        <v>0</v>
      </c>
      <c r="AO179" s="118" t="n">
        <f aca="false">IF(INPUTS!$F$150&lt;&gt;"Yes",0,IF(INPUTS!$J$150="Follow Construction",AO$100,IF(INPUTS!$J$150="Follow Sales",AO$99,IF(INPUTS!$J$150="Follow Collections",AO$108,IF(OR(TIMELINE!AO197=0,TIMELINE!$C$196=0),0,IF(IF(INPUTS!$J$150="Follow Project Life","Even",IF(INPUTS!$J$150="At Project End","Upfront",INPUTS!$J$150))="Upfront",--(TIMELINE!AO197=1),IF(IF(INPUTS!$J$150="Follow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End","Upfront",INPUTS!$J$150))="Front-loaded",(TIMELINE!$C$196-TIMELINE!AO197+1)*2/(TIMELINE!$C$196*(TIMELINE!$C$196+1)),IF(IF(INPUTS!$J$150="Follow Project Life","Even",IF(INPUTS!$J$150="At Project End","Upfront",INPUTS!$J$150))="Back-loaded",TIMELINE!AO197*2/(TIMELINE!$C$196*(TIMELINE!$C$196+1)),IF(IF(INPUTS!$J$150="Follow Project Life","Even",IF(INPUTS!$J$150="At Project End","Upfront",INPUTS!$J$150))="S-curve",SIN(PI()*(TIMELINE!AO197-0.5)/TIMELINE!$C$196)*SIN(PI()/(2*TIMELINE!$C$196)),0))))))))))</f>
        <v>0</v>
      </c>
      <c r="AP179" s="118" t="n">
        <f aca="false">IF(INPUTS!$F$150&lt;&gt;"Yes",0,IF(INPUTS!$J$150="Follow Construction",AP$100,IF(INPUTS!$J$150="Follow Sales",AP$99,IF(INPUTS!$J$150="Follow Collections",AP$108,IF(OR(TIMELINE!AP197=0,TIMELINE!$C$196=0),0,IF(IF(INPUTS!$J$150="Follow Project Life","Even",IF(INPUTS!$J$150="At Project End","Upfront",INPUTS!$J$150))="Upfront",--(TIMELINE!AP197=1),IF(IF(INPUTS!$J$150="Follow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End","Upfront",INPUTS!$J$150))="Front-loaded",(TIMELINE!$C$196-TIMELINE!AP197+1)*2/(TIMELINE!$C$196*(TIMELINE!$C$196+1)),IF(IF(INPUTS!$J$150="Follow Project Life","Even",IF(INPUTS!$J$150="At Project End","Upfront",INPUTS!$J$150))="Back-loaded",TIMELINE!AP197*2/(TIMELINE!$C$196*(TIMELINE!$C$196+1)),IF(IF(INPUTS!$J$150="Follow Project Life","Even",IF(INPUTS!$J$150="At Project End","Upfront",INPUTS!$J$150))="S-curve",SIN(PI()*(TIMELINE!AP197-0.5)/TIMELINE!$C$196)*SIN(PI()/(2*TIMELINE!$C$196)),0))))))))))</f>
        <v>0</v>
      </c>
      <c r="AQ179" s="118" t="n">
        <f aca="false">IF(INPUTS!$F$150&lt;&gt;"Yes",0,IF(INPUTS!$J$150="Follow Construction",AQ$100,IF(INPUTS!$J$150="Follow Sales",AQ$99,IF(INPUTS!$J$150="Follow Collections",AQ$108,IF(OR(TIMELINE!AQ197=0,TIMELINE!$C$196=0),0,IF(IF(INPUTS!$J$150="Follow Project Life","Even",IF(INPUTS!$J$150="At Project End","Upfront",INPUTS!$J$150))="Upfront",--(TIMELINE!AQ197=1),IF(IF(INPUTS!$J$150="Follow Project Life","Even",IF(INPUTS!$J$150="At Project End","Upfront",INPUTS!$J$150))="Even",1/TIMELINE!$C$196,IF(IF(INPUTS!$J$150="Follow Project Life","Even",IF(INPUTS!$J$150="At Project End","Upfront",INPUTS!$J$150))="Front-loaded",(TIMELINE!$C$196-TIMELINE!AQ197+1)*2/(TIMELINE!$C$196*(TIMELINE!$C$196+1)),IF(IF(INPUTS!$J$150="Follow Project Life","Even",IF(INPUTS!$J$150="At Project End","Upfront",INPUTS!$J$150))="Back-loaded",TIMELINE!AQ197*2/(TIMELINE!$C$196*(TIMELINE!$C$196+1)),IF(IF(INPUTS!$J$150="Follow Project Life","Even",IF(INPUTS!$J$150="At Project End","Upfront",INPUTS!$J$150))="S-curve",SIN(PI()*(TIMELINE!AQ197-0.5)/TIMELINE!$C$196)*SIN(PI()/(2*TIMELINE!$C$196)),0))))))))))</f>
        <v>0</v>
      </c>
    </row>
    <row r="180" customFormat="false" ht="15" hidden="false" customHeight="false" outlineLevel="0" collapsed="false">
      <c r="B180" s="17" t="s">
        <v>689</v>
      </c>
      <c r="C180" s="105" t="str">
        <f aca="false">IF(INPUTS!$B$150="","",IF(INPUTS!$F$150&lt;&gt;"Yes","Off",IF(INPUTS!$M$150&lt;&gt;"OK","ERROR",IF(ABS(C179-1)&lt;0.000000001,"OK",IF(AND(C179=0,INPUTS!$G$150=0),"Zero","ERROR")))))</f>
        <v/>
      </c>
    </row>
    <row r="181" customFormat="false" ht="15" hidden="false" customHeight="false" outlineLevel="0" collapsed="false">
      <c r="B181" s="110" t="str">
        <f aca="false">IF(INPUTS!$B$151="","Spare cost row",INPUTS!$B$151)</f>
        <v>Spare cost row</v>
      </c>
      <c r="C181" s="111" t="str">
        <f aca="false">IF(INPUTS!$J$151="","",INPUTS!$J$151)</f>
        <v/>
      </c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</row>
    <row r="182" customFormat="false" ht="15" hidden="false" customHeight="false" outlineLevel="0" collapsed="false">
      <c r="B182" s="3" t="s">
        <v>688</v>
      </c>
      <c r="C182" s="117" t="n">
        <f aca="false">SUM(D182:AQ182)</f>
        <v>0</v>
      </c>
      <c r="D182" s="118" t="n">
        <f aca="false">IF(INPUTS!$F$151&lt;&gt;"Yes",0,IF(INPUTS!$J$151="Follow Construction",D$100,IF(INPUTS!$J$151="Follow Sales",D$99,IF(INPUTS!$J$151="Follow Collections",D$108,IF(OR(TIMELINE!D201=0,TIMELINE!$C$200=0),0,IF(IF(INPUTS!$J$151="Follow Project Life","Even",IF(INPUTS!$J$151="At Project End","Upfront",INPUTS!$J$151))="Upfront",--(TIMELINE!D201=1),IF(IF(INPUTS!$J$151="Follow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End","Upfront",INPUTS!$J$151))="Front-loaded",(TIMELINE!$C$200-TIMELINE!D201+1)*2/(TIMELINE!$C$200*(TIMELINE!$C$200+1)),IF(IF(INPUTS!$J$151="Follow Project Life","Even",IF(INPUTS!$J$151="At Project End","Upfront",INPUTS!$J$151))="Back-loaded",TIMELINE!D201*2/(TIMELINE!$C$200*(TIMELINE!$C$200+1)),IF(IF(INPUTS!$J$151="Follow Project Life","Even",IF(INPUTS!$J$151="At Project End","Upfront",INPUTS!$J$151))="S-curve",SIN(PI()*(TIMELINE!D201-0.5)/TIMELINE!$C$200)*SIN(PI()/(2*TIMELINE!$C$200)),0))))))))))</f>
        <v>0</v>
      </c>
      <c r="E182" s="118" t="n">
        <f aca="false">IF(INPUTS!$F$151&lt;&gt;"Yes",0,IF(INPUTS!$J$151="Follow Construction",E$100,IF(INPUTS!$J$151="Follow Sales",E$99,IF(INPUTS!$J$151="Follow Collections",E$108,IF(OR(TIMELINE!E201=0,TIMELINE!$C$200=0),0,IF(IF(INPUTS!$J$151="Follow Project Life","Even",IF(INPUTS!$J$151="At Project End","Upfront",INPUTS!$J$151))="Upfront",--(TIMELINE!E201=1),IF(IF(INPUTS!$J$151="Follow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End","Upfront",INPUTS!$J$151))="Front-loaded",(TIMELINE!$C$200-TIMELINE!E201+1)*2/(TIMELINE!$C$200*(TIMELINE!$C$200+1)),IF(IF(INPUTS!$J$151="Follow Project Life","Even",IF(INPUTS!$J$151="At Project End","Upfront",INPUTS!$J$151))="Back-loaded",TIMELINE!E201*2/(TIMELINE!$C$200*(TIMELINE!$C$200+1)),IF(IF(INPUTS!$J$151="Follow Project Life","Even",IF(INPUTS!$J$151="At Project End","Upfront",INPUTS!$J$151))="S-curve",SIN(PI()*(TIMELINE!E201-0.5)/TIMELINE!$C$200)*SIN(PI()/(2*TIMELINE!$C$200)),0))))))))))</f>
        <v>0</v>
      </c>
      <c r="F182" s="118" t="n">
        <f aca="false">IF(INPUTS!$F$151&lt;&gt;"Yes",0,IF(INPUTS!$J$151="Follow Construction",F$100,IF(INPUTS!$J$151="Follow Sales",F$99,IF(INPUTS!$J$151="Follow Collections",F$108,IF(OR(TIMELINE!F201=0,TIMELINE!$C$200=0),0,IF(IF(INPUTS!$J$151="Follow Project Life","Even",IF(INPUTS!$J$151="At Project End","Upfront",INPUTS!$J$151))="Upfront",--(TIMELINE!F201=1),IF(IF(INPUTS!$J$151="Follow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End","Upfront",INPUTS!$J$151))="Front-loaded",(TIMELINE!$C$200-TIMELINE!F201+1)*2/(TIMELINE!$C$200*(TIMELINE!$C$200+1)),IF(IF(INPUTS!$J$151="Follow Project Life","Even",IF(INPUTS!$J$151="At Project End","Upfront",INPUTS!$J$151))="Back-loaded",TIMELINE!F201*2/(TIMELINE!$C$200*(TIMELINE!$C$200+1)),IF(IF(INPUTS!$J$151="Follow Project Life","Even",IF(INPUTS!$J$151="At Project End","Upfront",INPUTS!$J$151))="S-curve",SIN(PI()*(TIMELINE!F201-0.5)/TIMELINE!$C$200)*SIN(PI()/(2*TIMELINE!$C$200)),0))))))))))</f>
        <v>0</v>
      </c>
      <c r="G182" s="118" t="n">
        <f aca="false">IF(INPUTS!$F$151&lt;&gt;"Yes",0,IF(INPUTS!$J$151="Follow Construction",G$100,IF(INPUTS!$J$151="Follow Sales",G$99,IF(INPUTS!$J$151="Follow Collections",G$108,IF(OR(TIMELINE!G201=0,TIMELINE!$C$200=0),0,IF(IF(INPUTS!$J$151="Follow Project Life","Even",IF(INPUTS!$J$151="At Project End","Upfront",INPUTS!$J$151))="Upfront",--(TIMELINE!G201=1),IF(IF(INPUTS!$J$151="Follow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End","Upfront",INPUTS!$J$151))="Front-loaded",(TIMELINE!$C$200-TIMELINE!G201+1)*2/(TIMELINE!$C$200*(TIMELINE!$C$200+1)),IF(IF(INPUTS!$J$151="Follow Project Life","Even",IF(INPUTS!$J$151="At Project End","Upfront",INPUTS!$J$151))="Back-loaded",TIMELINE!G201*2/(TIMELINE!$C$200*(TIMELINE!$C$200+1)),IF(IF(INPUTS!$J$151="Follow Project Life","Even",IF(INPUTS!$J$151="At Project End","Upfront",INPUTS!$J$151))="S-curve",SIN(PI()*(TIMELINE!G201-0.5)/TIMELINE!$C$200)*SIN(PI()/(2*TIMELINE!$C$200)),0))))))))))</f>
        <v>0</v>
      </c>
      <c r="H182" s="118" t="n">
        <f aca="false">IF(INPUTS!$F$151&lt;&gt;"Yes",0,IF(INPUTS!$J$151="Follow Construction",H$100,IF(INPUTS!$J$151="Follow Sales",H$99,IF(INPUTS!$J$151="Follow Collections",H$108,IF(OR(TIMELINE!H201=0,TIMELINE!$C$200=0),0,IF(IF(INPUTS!$J$151="Follow Project Life","Even",IF(INPUTS!$J$151="At Project End","Upfront",INPUTS!$J$151))="Upfront",--(TIMELINE!H201=1),IF(IF(INPUTS!$J$151="Follow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End","Upfront",INPUTS!$J$151))="Front-loaded",(TIMELINE!$C$200-TIMELINE!H201+1)*2/(TIMELINE!$C$200*(TIMELINE!$C$200+1)),IF(IF(INPUTS!$J$151="Follow Project Life","Even",IF(INPUTS!$J$151="At Project End","Upfront",INPUTS!$J$151))="Back-loaded",TIMELINE!H201*2/(TIMELINE!$C$200*(TIMELINE!$C$200+1)),IF(IF(INPUTS!$J$151="Follow Project Life","Even",IF(INPUTS!$J$151="At Project End","Upfront",INPUTS!$J$151))="S-curve",SIN(PI()*(TIMELINE!H201-0.5)/TIMELINE!$C$200)*SIN(PI()/(2*TIMELINE!$C$200)),0))))))))))</f>
        <v>0</v>
      </c>
      <c r="I182" s="118" t="n">
        <f aca="false">IF(INPUTS!$F$151&lt;&gt;"Yes",0,IF(INPUTS!$J$151="Follow Construction",I$100,IF(INPUTS!$J$151="Follow Sales",I$99,IF(INPUTS!$J$151="Follow Collections",I$108,IF(OR(TIMELINE!I201=0,TIMELINE!$C$200=0),0,IF(IF(INPUTS!$J$151="Follow Project Life","Even",IF(INPUTS!$J$151="At Project End","Upfront",INPUTS!$J$151))="Upfront",--(TIMELINE!I201=1),IF(IF(INPUTS!$J$151="Follow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End","Upfront",INPUTS!$J$151))="Front-loaded",(TIMELINE!$C$200-TIMELINE!I201+1)*2/(TIMELINE!$C$200*(TIMELINE!$C$200+1)),IF(IF(INPUTS!$J$151="Follow Project Life","Even",IF(INPUTS!$J$151="At Project End","Upfront",INPUTS!$J$151))="Back-loaded",TIMELINE!I201*2/(TIMELINE!$C$200*(TIMELINE!$C$200+1)),IF(IF(INPUTS!$J$151="Follow Project Life","Even",IF(INPUTS!$J$151="At Project End","Upfront",INPUTS!$J$151))="S-curve",SIN(PI()*(TIMELINE!I201-0.5)/TIMELINE!$C$200)*SIN(PI()/(2*TIMELINE!$C$200)),0))))))))))</f>
        <v>0</v>
      </c>
      <c r="J182" s="118" t="n">
        <f aca="false">IF(INPUTS!$F$151&lt;&gt;"Yes",0,IF(INPUTS!$J$151="Follow Construction",J$100,IF(INPUTS!$J$151="Follow Sales",J$99,IF(INPUTS!$J$151="Follow Collections",J$108,IF(OR(TIMELINE!J201=0,TIMELINE!$C$200=0),0,IF(IF(INPUTS!$J$151="Follow Project Life","Even",IF(INPUTS!$J$151="At Project End","Upfront",INPUTS!$J$151))="Upfront",--(TIMELINE!J201=1),IF(IF(INPUTS!$J$151="Follow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End","Upfront",INPUTS!$J$151))="Front-loaded",(TIMELINE!$C$200-TIMELINE!J201+1)*2/(TIMELINE!$C$200*(TIMELINE!$C$200+1)),IF(IF(INPUTS!$J$151="Follow Project Life","Even",IF(INPUTS!$J$151="At Project End","Upfront",INPUTS!$J$151))="Back-loaded",TIMELINE!J201*2/(TIMELINE!$C$200*(TIMELINE!$C$200+1)),IF(IF(INPUTS!$J$151="Follow Project Life","Even",IF(INPUTS!$J$151="At Project End","Upfront",INPUTS!$J$151))="S-curve",SIN(PI()*(TIMELINE!J201-0.5)/TIMELINE!$C$200)*SIN(PI()/(2*TIMELINE!$C$200)),0))))))))))</f>
        <v>0</v>
      </c>
      <c r="K182" s="118" t="n">
        <f aca="false">IF(INPUTS!$F$151&lt;&gt;"Yes",0,IF(INPUTS!$J$151="Follow Construction",K$100,IF(INPUTS!$J$151="Follow Sales",K$99,IF(INPUTS!$J$151="Follow Collections",K$108,IF(OR(TIMELINE!K201=0,TIMELINE!$C$200=0),0,IF(IF(INPUTS!$J$151="Follow Project Life","Even",IF(INPUTS!$J$151="At Project End","Upfront",INPUTS!$J$151))="Upfront",--(TIMELINE!K201=1),IF(IF(INPUTS!$J$151="Follow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End","Upfront",INPUTS!$J$151))="Front-loaded",(TIMELINE!$C$200-TIMELINE!K201+1)*2/(TIMELINE!$C$200*(TIMELINE!$C$200+1)),IF(IF(INPUTS!$J$151="Follow Project Life","Even",IF(INPUTS!$J$151="At Project End","Upfront",INPUTS!$J$151))="Back-loaded",TIMELINE!K201*2/(TIMELINE!$C$200*(TIMELINE!$C$200+1)),IF(IF(INPUTS!$J$151="Follow Project Life","Even",IF(INPUTS!$J$151="At Project End","Upfront",INPUTS!$J$151))="S-curve",SIN(PI()*(TIMELINE!K201-0.5)/TIMELINE!$C$200)*SIN(PI()/(2*TIMELINE!$C$200)),0))))))))))</f>
        <v>0</v>
      </c>
      <c r="L182" s="118" t="n">
        <f aca="false">IF(INPUTS!$F$151&lt;&gt;"Yes",0,IF(INPUTS!$J$151="Follow Construction",L$100,IF(INPUTS!$J$151="Follow Sales",L$99,IF(INPUTS!$J$151="Follow Collections",L$108,IF(OR(TIMELINE!L201=0,TIMELINE!$C$200=0),0,IF(IF(INPUTS!$J$151="Follow Project Life","Even",IF(INPUTS!$J$151="At Project End","Upfront",INPUTS!$J$151))="Upfront",--(TIMELINE!L201=1),IF(IF(INPUTS!$J$151="Follow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End","Upfront",INPUTS!$J$151))="Front-loaded",(TIMELINE!$C$200-TIMELINE!L201+1)*2/(TIMELINE!$C$200*(TIMELINE!$C$200+1)),IF(IF(INPUTS!$J$151="Follow Project Life","Even",IF(INPUTS!$J$151="At Project End","Upfront",INPUTS!$J$151))="Back-loaded",TIMELINE!L201*2/(TIMELINE!$C$200*(TIMELINE!$C$200+1)),IF(IF(INPUTS!$J$151="Follow Project Life","Even",IF(INPUTS!$J$151="At Project End","Upfront",INPUTS!$J$151))="S-curve",SIN(PI()*(TIMELINE!L201-0.5)/TIMELINE!$C$200)*SIN(PI()/(2*TIMELINE!$C$200)),0))))))))))</f>
        <v>0</v>
      </c>
      <c r="M182" s="118" t="n">
        <f aca="false">IF(INPUTS!$F$151&lt;&gt;"Yes",0,IF(INPUTS!$J$151="Follow Construction",M$100,IF(INPUTS!$J$151="Follow Sales",M$99,IF(INPUTS!$J$151="Follow Collections",M$108,IF(OR(TIMELINE!M201=0,TIMELINE!$C$200=0),0,IF(IF(INPUTS!$J$151="Follow Project Life","Even",IF(INPUTS!$J$151="At Project End","Upfront",INPUTS!$J$151))="Upfront",--(TIMELINE!M201=1),IF(IF(INPUTS!$J$151="Follow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End","Upfront",INPUTS!$J$151))="Front-loaded",(TIMELINE!$C$200-TIMELINE!M201+1)*2/(TIMELINE!$C$200*(TIMELINE!$C$200+1)),IF(IF(INPUTS!$J$151="Follow Project Life","Even",IF(INPUTS!$J$151="At Project End","Upfront",INPUTS!$J$151))="Back-loaded",TIMELINE!M201*2/(TIMELINE!$C$200*(TIMELINE!$C$200+1)),IF(IF(INPUTS!$J$151="Follow Project Life","Even",IF(INPUTS!$J$151="At Project End","Upfront",INPUTS!$J$151))="S-curve",SIN(PI()*(TIMELINE!M201-0.5)/TIMELINE!$C$200)*SIN(PI()/(2*TIMELINE!$C$200)),0))))))))))</f>
        <v>0</v>
      </c>
      <c r="N182" s="118" t="n">
        <f aca="false">IF(INPUTS!$F$151&lt;&gt;"Yes",0,IF(INPUTS!$J$151="Follow Construction",N$100,IF(INPUTS!$J$151="Follow Sales",N$99,IF(INPUTS!$J$151="Follow Collections",N$108,IF(OR(TIMELINE!N201=0,TIMELINE!$C$200=0),0,IF(IF(INPUTS!$J$151="Follow Project Life","Even",IF(INPUTS!$J$151="At Project End","Upfront",INPUTS!$J$151))="Upfront",--(TIMELINE!N201=1),IF(IF(INPUTS!$J$151="Follow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End","Upfront",INPUTS!$J$151))="Front-loaded",(TIMELINE!$C$200-TIMELINE!N201+1)*2/(TIMELINE!$C$200*(TIMELINE!$C$200+1)),IF(IF(INPUTS!$J$151="Follow Project Life","Even",IF(INPUTS!$J$151="At Project End","Upfront",INPUTS!$J$151))="Back-loaded",TIMELINE!N201*2/(TIMELINE!$C$200*(TIMELINE!$C$200+1)),IF(IF(INPUTS!$J$151="Follow Project Life","Even",IF(INPUTS!$J$151="At Project End","Upfront",INPUTS!$J$151))="S-curve",SIN(PI()*(TIMELINE!N201-0.5)/TIMELINE!$C$200)*SIN(PI()/(2*TIMELINE!$C$200)),0))))))))))</f>
        <v>0</v>
      </c>
      <c r="O182" s="118" t="n">
        <f aca="false">IF(INPUTS!$F$151&lt;&gt;"Yes",0,IF(INPUTS!$J$151="Follow Construction",O$100,IF(INPUTS!$J$151="Follow Sales",O$99,IF(INPUTS!$J$151="Follow Collections",O$108,IF(OR(TIMELINE!O201=0,TIMELINE!$C$200=0),0,IF(IF(INPUTS!$J$151="Follow Project Life","Even",IF(INPUTS!$J$151="At Project End","Upfront",INPUTS!$J$151))="Upfront",--(TIMELINE!O201=1),IF(IF(INPUTS!$J$151="Follow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End","Upfront",INPUTS!$J$151))="Front-loaded",(TIMELINE!$C$200-TIMELINE!O201+1)*2/(TIMELINE!$C$200*(TIMELINE!$C$200+1)),IF(IF(INPUTS!$J$151="Follow Project Life","Even",IF(INPUTS!$J$151="At Project End","Upfront",INPUTS!$J$151))="Back-loaded",TIMELINE!O201*2/(TIMELINE!$C$200*(TIMELINE!$C$200+1)),IF(IF(INPUTS!$J$151="Follow Project Life","Even",IF(INPUTS!$J$151="At Project End","Upfront",INPUTS!$J$151))="S-curve",SIN(PI()*(TIMELINE!O201-0.5)/TIMELINE!$C$200)*SIN(PI()/(2*TIMELINE!$C$200)),0))))))))))</f>
        <v>0</v>
      </c>
      <c r="P182" s="118" t="n">
        <f aca="false">IF(INPUTS!$F$151&lt;&gt;"Yes",0,IF(INPUTS!$J$151="Follow Construction",P$100,IF(INPUTS!$J$151="Follow Sales",P$99,IF(INPUTS!$J$151="Follow Collections",P$108,IF(OR(TIMELINE!P201=0,TIMELINE!$C$200=0),0,IF(IF(INPUTS!$J$151="Follow Project Life","Even",IF(INPUTS!$J$151="At Project End","Upfront",INPUTS!$J$151))="Upfront",--(TIMELINE!P201=1),IF(IF(INPUTS!$J$151="Follow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End","Upfront",INPUTS!$J$151))="Front-loaded",(TIMELINE!$C$200-TIMELINE!P201+1)*2/(TIMELINE!$C$200*(TIMELINE!$C$200+1)),IF(IF(INPUTS!$J$151="Follow Project Life","Even",IF(INPUTS!$J$151="At Project End","Upfront",INPUTS!$J$151))="Back-loaded",TIMELINE!P201*2/(TIMELINE!$C$200*(TIMELINE!$C$200+1)),IF(IF(INPUTS!$J$151="Follow Project Life","Even",IF(INPUTS!$J$151="At Project End","Upfront",INPUTS!$J$151))="S-curve",SIN(PI()*(TIMELINE!P201-0.5)/TIMELINE!$C$200)*SIN(PI()/(2*TIMELINE!$C$200)),0))))))))))</f>
        <v>0</v>
      </c>
      <c r="Q182" s="118" t="n">
        <f aca="false">IF(INPUTS!$F$151&lt;&gt;"Yes",0,IF(INPUTS!$J$151="Follow Construction",Q$100,IF(INPUTS!$J$151="Follow Sales",Q$99,IF(INPUTS!$J$151="Follow Collections",Q$108,IF(OR(TIMELINE!Q201=0,TIMELINE!$C$200=0),0,IF(IF(INPUTS!$J$151="Follow Project Life","Even",IF(INPUTS!$J$151="At Project End","Upfront",INPUTS!$J$151))="Upfront",--(TIMELINE!Q201=1),IF(IF(INPUTS!$J$151="Follow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End","Upfront",INPUTS!$J$151))="Front-loaded",(TIMELINE!$C$200-TIMELINE!Q201+1)*2/(TIMELINE!$C$200*(TIMELINE!$C$200+1)),IF(IF(INPUTS!$J$151="Follow Project Life","Even",IF(INPUTS!$J$151="At Project End","Upfront",INPUTS!$J$151))="Back-loaded",TIMELINE!Q201*2/(TIMELINE!$C$200*(TIMELINE!$C$200+1)),IF(IF(INPUTS!$J$151="Follow Project Life","Even",IF(INPUTS!$J$151="At Project End","Upfront",INPUTS!$J$151))="S-curve",SIN(PI()*(TIMELINE!Q201-0.5)/TIMELINE!$C$200)*SIN(PI()/(2*TIMELINE!$C$200)),0))))))))))</f>
        <v>0</v>
      </c>
      <c r="R182" s="118" t="n">
        <f aca="false">IF(INPUTS!$F$151&lt;&gt;"Yes",0,IF(INPUTS!$J$151="Follow Construction",R$100,IF(INPUTS!$J$151="Follow Sales",R$99,IF(INPUTS!$J$151="Follow Collections",R$108,IF(OR(TIMELINE!R201=0,TIMELINE!$C$200=0),0,IF(IF(INPUTS!$J$151="Follow Project Life","Even",IF(INPUTS!$J$151="At Project End","Upfront",INPUTS!$J$151))="Upfront",--(TIMELINE!R201=1),IF(IF(INPUTS!$J$151="Follow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End","Upfront",INPUTS!$J$151))="Front-loaded",(TIMELINE!$C$200-TIMELINE!R201+1)*2/(TIMELINE!$C$200*(TIMELINE!$C$200+1)),IF(IF(INPUTS!$J$151="Follow Project Life","Even",IF(INPUTS!$J$151="At Project End","Upfront",INPUTS!$J$151))="Back-loaded",TIMELINE!R201*2/(TIMELINE!$C$200*(TIMELINE!$C$200+1)),IF(IF(INPUTS!$J$151="Follow Project Life","Even",IF(INPUTS!$J$151="At Project End","Upfront",INPUTS!$J$151))="S-curve",SIN(PI()*(TIMELINE!R201-0.5)/TIMELINE!$C$200)*SIN(PI()/(2*TIMELINE!$C$200)),0))))))))))</f>
        <v>0</v>
      </c>
      <c r="S182" s="118" t="n">
        <f aca="false">IF(INPUTS!$F$151&lt;&gt;"Yes",0,IF(INPUTS!$J$151="Follow Construction",S$100,IF(INPUTS!$J$151="Follow Sales",S$99,IF(INPUTS!$J$151="Follow Collections",S$108,IF(OR(TIMELINE!S201=0,TIMELINE!$C$200=0),0,IF(IF(INPUTS!$J$151="Follow Project Life","Even",IF(INPUTS!$J$151="At Project End","Upfront",INPUTS!$J$151))="Upfront",--(TIMELINE!S201=1),IF(IF(INPUTS!$J$151="Follow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End","Upfront",INPUTS!$J$151))="Front-loaded",(TIMELINE!$C$200-TIMELINE!S201+1)*2/(TIMELINE!$C$200*(TIMELINE!$C$200+1)),IF(IF(INPUTS!$J$151="Follow Project Life","Even",IF(INPUTS!$J$151="At Project End","Upfront",INPUTS!$J$151))="Back-loaded",TIMELINE!S201*2/(TIMELINE!$C$200*(TIMELINE!$C$200+1)),IF(IF(INPUTS!$J$151="Follow Project Life","Even",IF(INPUTS!$J$151="At Project End","Upfront",INPUTS!$J$151))="S-curve",SIN(PI()*(TIMELINE!S201-0.5)/TIMELINE!$C$200)*SIN(PI()/(2*TIMELINE!$C$200)),0))))))))))</f>
        <v>0</v>
      </c>
      <c r="T182" s="118" t="n">
        <f aca="false">IF(INPUTS!$F$151&lt;&gt;"Yes",0,IF(INPUTS!$J$151="Follow Construction",T$100,IF(INPUTS!$J$151="Follow Sales",T$99,IF(INPUTS!$J$151="Follow Collections",T$108,IF(OR(TIMELINE!T201=0,TIMELINE!$C$200=0),0,IF(IF(INPUTS!$J$151="Follow Project Life","Even",IF(INPUTS!$J$151="At Project End","Upfront",INPUTS!$J$151))="Upfront",--(TIMELINE!T201=1),IF(IF(INPUTS!$J$151="Follow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End","Upfront",INPUTS!$J$151))="Front-loaded",(TIMELINE!$C$200-TIMELINE!T201+1)*2/(TIMELINE!$C$200*(TIMELINE!$C$200+1)),IF(IF(INPUTS!$J$151="Follow Project Life","Even",IF(INPUTS!$J$151="At Project End","Upfront",INPUTS!$J$151))="Back-loaded",TIMELINE!T201*2/(TIMELINE!$C$200*(TIMELINE!$C$200+1)),IF(IF(INPUTS!$J$151="Follow Project Life","Even",IF(INPUTS!$J$151="At Project End","Upfront",INPUTS!$J$151))="S-curve",SIN(PI()*(TIMELINE!T201-0.5)/TIMELINE!$C$200)*SIN(PI()/(2*TIMELINE!$C$200)),0))))))))))</f>
        <v>0</v>
      </c>
      <c r="U182" s="118" t="n">
        <f aca="false">IF(INPUTS!$F$151&lt;&gt;"Yes",0,IF(INPUTS!$J$151="Follow Construction",U$100,IF(INPUTS!$J$151="Follow Sales",U$99,IF(INPUTS!$J$151="Follow Collections",U$108,IF(OR(TIMELINE!U201=0,TIMELINE!$C$200=0),0,IF(IF(INPUTS!$J$151="Follow Project Life","Even",IF(INPUTS!$J$151="At Project End","Upfront",INPUTS!$J$151))="Upfront",--(TIMELINE!U201=1),IF(IF(INPUTS!$J$151="Follow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End","Upfront",INPUTS!$J$151))="Front-loaded",(TIMELINE!$C$200-TIMELINE!U201+1)*2/(TIMELINE!$C$200*(TIMELINE!$C$200+1)),IF(IF(INPUTS!$J$151="Follow Project Life","Even",IF(INPUTS!$J$151="At Project End","Upfront",INPUTS!$J$151))="Back-loaded",TIMELINE!U201*2/(TIMELINE!$C$200*(TIMELINE!$C$200+1)),IF(IF(INPUTS!$J$151="Follow Project Life","Even",IF(INPUTS!$J$151="At Project End","Upfront",INPUTS!$J$151))="S-curve",SIN(PI()*(TIMELINE!U201-0.5)/TIMELINE!$C$200)*SIN(PI()/(2*TIMELINE!$C$200)),0))))))))))</f>
        <v>0</v>
      </c>
      <c r="V182" s="118" t="n">
        <f aca="false">IF(INPUTS!$F$151&lt;&gt;"Yes",0,IF(INPUTS!$J$151="Follow Construction",V$100,IF(INPUTS!$J$151="Follow Sales",V$99,IF(INPUTS!$J$151="Follow Collections",V$108,IF(OR(TIMELINE!V201=0,TIMELINE!$C$200=0),0,IF(IF(INPUTS!$J$151="Follow Project Life","Even",IF(INPUTS!$J$151="At Project End","Upfront",INPUTS!$J$151))="Upfront",--(TIMELINE!V201=1),IF(IF(INPUTS!$J$151="Follow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End","Upfront",INPUTS!$J$151))="Front-loaded",(TIMELINE!$C$200-TIMELINE!V201+1)*2/(TIMELINE!$C$200*(TIMELINE!$C$200+1)),IF(IF(INPUTS!$J$151="Follow Project Life","Even",IF(INPUTS!$J$151="At Project End","Upfront",INPUTS!$J$151))="Back-loaded",TIMELINE!V201*2/(TIMELINE!$C$200*(TIMELINE!$C$200+1)),IF(IF(INPUTS!$J$151="Follow Project Life","Even",IF(INPUTS!$J$151="At Project End","Upfront",INPUTS!$J$151))="S-curve",SIN(PI()*(TIMELINE!V201-0.5)/TIMELINE!$C$200)*SIN(PI()/(2*TIMELINE!$C$200)),0))))))))))</f>
        <v>0</v>
      </c>
      <c r="W182" s="118" t="n">
        <f aca="false">IF(INPUTS!$F$151&lt;&gt;"Yes",0,IF(INPUTS!$J$151="Follow Construction",W$100,IF(INPUTS!$J$151="Follow Sales",W$99,IF(INPUTS!$J$151="Follow Collections",W$108,IF(OR(TIMELINE!W201=0,TIMELINE!$C$200=0),0,IF(IF(INPUTS!$J$151="Follow Project Life","Even",IF(INPUTS!$J$151="At Project End","Upfront",INPUTS!$J$151))="Upfront",--(TIMELINE!W201=1),IF(IF(INPUTS!$J$151="Follow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End","Upfront",INPUTS!$J$151))="Front-loaded",(TIMELINE!$C$200-TIMELINE!W201+1)*2/(TIMELINE!$C$200*(TIMELINE!$C$200+1)),IF(IF(INPUTS!$J$151="Follow Project Life","Even",IF(INPUTS!$J$151="At Project End","Upfront",INPUTS!$J$151))="Back-loaded",TIMELINE!W201*2/(TIMELINE!$C$200*(TIMELINE!$C$200+1)),IF(IF(INPUTS!$J$151="Follow Project Life","Even",IF(INPUTS!$J$151="At Project End","Upfront",INPUTS!$J$151))="S-curve",SIN(PI()*(TIMELINE!W201-0.5)/TIMELINE!$C$200)*SIN(PI()/(2*TIMELINE!$C$200)),0))))))))))</f>
        <v>0</v>
      </c>
      <c r="X182" s="118" t="n">
        <f aca="false">IF(INPUTS!$F$151&lt;&gt;"Yes",0,IF(INPUTS!$J$151="Follow Construction",X$100,IF(INPUTS!$J$151="Follow Sales",X$99,IF(INPUTS!$J$151="Follow Collections",X$108,IF(OR(TIMELINE!X201=0,TIMELINE!$C$200=0),0,IF(IF(INPUTS!$J$151="Follow Project Life","Even",IF(INPUTS!$J$151="At Project End","Upfront",INPUTS!$J$151))="Upfront",--(TIMELINE!X201=1),IF(IF(INPUTS!$J$151="Follow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End","Upfront",INPUTS!$J$151))="Front-loaded",(TIMELINE!$C$200-TIMELINE!X201+1)*2/(TIMELINE!$C$200*(TIMELINE!$C$200+1)),IF(IF(INPUTS!$J$151="Follow Project Life","Even",IF(INPUTS!$J$151="At Project End","Upfront",INPUTS!$J$151))="Back-loaded",TIMELINE!X201*2/(TIMELINE!$C$200*(TIMELINE!$C$200+1)),IF(IF(INPUTS!$J$151="Follow Project Life","Even",IF(INPUTS!$J$151="At Project End","Upfront",INPUTS!$J$151))="S-curve",SIN(PI()*(TIMELINE!X201-0.5)/TIMELINE!$C$200)*SIN(PI()/(2*TIMELINE!$C$200)),0))))))))))</f>
        <v>0</v>
      </c>
      <c r="Y182" s="118" t="n">
        <f aca="false">IF(INPUTS!$F$151&lt;&gt;"Yes",0,IF(INPUTS!$J$151="Follow Construction",Y$100,IF(INPUTS!$J$151="Follow Sales",Y$99,IF(INPUTS!$J$151="Follow Collections",Y$108,IF(OR(TIMELINE!Y201=0,TIMELINE!$C$200=0),0,IF(IF(INPUTS!$J$151="Follow Project Life","Even",IF(INPUTS!$J$151="At Project End","Upfront",INPUTS!$J$151))="Upfront",--(TIMELINE!Y201=1),IF(IF(INPUTS!$J$151="Follow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End","Upfront",INPUTS!$J$151))="Front-loaded",(TIMELINE!$C$200-TIMELINE!Y201+1)*2/(TIMELINE!$C$200*(TIMELINE!$C$200+1)),IF(IF(INPUTS!$J$151="Follow Project Life","Even",IF(INPUTS!$J$151="At Project End","Upfront",INPUTS!$J$151))="Back-loaded",TIMELINE!Y201*2/(TIMELINE!$C$200*(TIMELINE!$C$200+1)),IF(IF(INPUTS!$J$151="Follow Project Life","Even",IF(INPUTS!$J$151="At Project End","Upfront",INPUTS!$J$151))="S-curve",SIN(PI()*(TIMELINE!Y201-0.5)/TIMELINE!$C$200)*SIN(PI()/(2*TIMELINE!$C$200)),0))))))))))</f>
        <v>0</v>
      </c>
      <c r="Z182" s="118" t="n">
        <f aca="false">IF(INPUTS!$F$151&lt;&gt;"Yes",0,IF(INPUTS!$J$151="Follow Construction",Z$100,IF(INPUTS!$J$151="Follow Sales",Z$99,IF(INPUTS!$J$151="Follow Collections",Z$108,IF(OR(TIMELINE!Z201=0,TIMELINE!$C$200=0),0,IF(IF(INPUTS!$J$151="Follow Project Life","Even",IF(INPUTS!$J$151="At Project End","Upfront",INPUTS!$J$151))="Upfront",--(TIMELINE!Z201=1),IF(IF(INPUTS!$J$151="Follow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End","Upfront",INPUTS!$J$151))="Front-loaded",(TIMELINE!$C$200-TIMELINE!Z201+1)*2/(TIMELINE!$C$200*(TIMELINE!$C$200+1)),IF(IF(INPUTS!$J$151="Follow Project Life","Even",IF(INPUTS!$J$151="At Project End","Upfront",INPUTS!$J$151))="Back-loaded",TIMELINE!Z201*2/(TIMELINE!$C$200*(TIMELINE!$C$200+1)),IF(IF(INPUTS!$J$151="Follow Project Life","Even",IF(INPUTS!$J$151="At Project End","Upfront",INPUTS!$J$151))="S-curve",SIN(PI()*(TIMELINE!Z201-0.5)/TIMELINE!$C$200)*SIN(PI()/(2*TIMELINE!$C$200)),0))))))))))</f>
        <v>0</v>
      </c>
      <c r="AA182" s="118" t="n">
        <f aca="false">IF(INPUTS!$F$151&lt;&gt;"Yes",0,IF(INPUTS!$J$151="Follow Construction",AA$100,IF(INPUTS!$J$151="Follow Sales",AA$99,IF(INPUTS!$J$151="Follow Collections",AA$108,IF(OR(TIMELINE!AA201=0,TIMELINE!$C$200=0),0,IF(IF(INPUTS!$J$151="Follow Project Life","Even",IF(INPUTS!$J$151="At Project End","Upfront",INPUTS!$J$151))="Upfront",--(TIMELINE!AA201=1),IF(IF(INPUTS!$J$151="Follow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End","Upfront",INPUTS!$J$151))="Front-loaded",(TIMELINE!$C$200-TIMELINE!AA201+1)*2/(TIMELINE!$C$200*(TIMELINE!$C$200+1)),IF(IF(INPUTS!$J$151="Follow Project Life","Even",IF(INPUTS!$J$151="At Project End","Upfront",INPUTS!$J$151))="Back-loaded",TIMELINE!AA201*2/(TIMELINE!$C$200*(TIMELINE!$C$200+1)),IF(IF(INPUTS!$J$151="Follow Project Life","Even",IF(INPUTS!$J$151="At Project End","Upfront",INPUTS!$J$151))="S-curve",SIN(PI()*(TIMELINE!AA201-0.5)/TIMELINE!$C$200)*SIN(PI()/(2*TIMELINE!$C$200)),0))))))))))</f>
        <v>0</v>
      </c>
      <c r="AB182" s="118" t="n">
        <f aca="false">IF(INPUTS!$F$151&lt;&gt;"Yes",0,IF(INPUTS!$J$151="Follow Construction",AB$100,IF(INPUTS!$J$151="Follow Sales",AB$99,IF(INPUTS!$J$151="Follow Collections",AB$108,IF(OR(TIMELINE!AB201=0,TIMELINE!$C$200=0),0,IF(IF(INPUTS!$J$151="Follow Project Life","Even",IF(INPUTS!$J$151="At Project End","Upfront",INPUTS!$J$151))="Upfront",--(TIMELINE!AB201=1),IF(IF(INPUTS!$J$151="Follow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End","Upfront",INPUTS!$J$151))="Front-loaded",(TIMELINE!$C$200-TIMELINE!AB201+1)*2/(TIMELINE!$C$200*(TIMELINE!$C$200+1)),IF(IF(INPUTS!$J$151="Follow Project Life","Even",IF(INPUTS!$J$151="At Project End","Upfront",INPUTS!$J$151))="Back-loaded",TIMELINE!AB201*2/(TIMELINE!$C$200*(TIMELINE!$C$200+1)),IF(IF(INPUTS!$J$151="Follow Project Life","Even",IF(INPUTS!$J$151="At Project End","Upfront",INPUTS!$J$151))="S-curve",SIN(PI()*(TIMELINE!AB201-0.5)/TIMELINE!$C$200)*SIN(PI()/(2*TIMELINE!$C$200)),0))))))))))</f>
        <v>0</v>
      </c>
      <c r="AC182" s="118" t="n">
        <f aca="false">IF(INPUTS!$F$151&lt;&gt;"Yes",0,IF(INPUTS!$J$151="Follow Construction",AC$100,IF(INPUTS!$J$151="Follow Sales",AC$99,IF(INPUTS!$J$151="Follow Collections",AC$108,IF(OR(TIMELINE!AC201=0,TIMELINE!$C$200=0),0,IF(IF(INPUTS!$J$151="Follow Project Life","Even",IF(INPUTS!$J$151="At Project End","Upfront",INPUTS!$J$151))="Upfront",--(TIMELINE!AC201=1),IF(IF(INPUTS!$J$151="Follow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End","Upfront",INPUTS!$J$151))="Front-loaded",(TIMELINE!$C$200-TIMELINE!AC201+1)*2/(TIMELINE!$C$200*(TIMELINE!$C$200+1)),IF(IF(INPUTS!$J$151="Follow Project Life","Even",IF(INPUTS!$J$151="At Project End","Upfront",INPUTS!$J$151))="Back-loaded",TIMELINE!AC201*2/(TIMELINE!$C$200*(TIMELINE!$C$200+1)),IF(IF(INPUTS!$J$151="Follow Project Life","Even",IF(INPUTS!$J$151="At Project End","Upfront",INPUTS!$J$151))="S-curve",SIN(PI()*(TIMELINE!AC201-0.5)/TIMELINE!$C$200)*SIN(PI()/(2*TIMELINE!$C$200)),0))))))))))</f>
        <v>0</v>
      </c>
      <c r="AD182" s="118" t="n">
        <f aca="false">IF(INPUTS!$F$151&lt;&gt;"Yes",0,IF(INPUTS!$J$151="Follow Construction",AD$100,IF(INPUTS!$J$151="Follow Sales",AD$99,IF(INPUTS!$J$151="Follow Collections",AD$108,IF(OR(TIMELINE!AD201=0,TIMELINE!$C$200=0),0,IF(IF(INPUTS!$J$151="Follow Project Life","Even",IF(INPUTS!$J$151="At Project End","Upfront",INPUTS!$J$151))="Upfront",--(TIMELINE!AD201=1),IF(IF(INPUTS!$J$151="Follow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End","Upfront",INPUTS!$J$151))="Front-loaded",(TIMELINE!$C$200-TIMELINE!AD201+1)*2/(TIMELINE!$C$200*(TIMELINE!$C$200+1)),IF(IF(INPUTS!$J$151="Follow Project Life","Even",IF(INPUTS!$J$151="At Project End","Upfront",INPUTS!$J$151))="Back-loaded",TIMELINE!AD201*2/(TIMELINE!$C$200*(TIMELINE!$C$200+1)),IF(IF(INPUTS!$J$151="Follow Project Life","Even",IF(INPUTS!$J$151="At Project End","Upfront",INPUTS!$J$151))="S-curve",SIN(PI()*(TIMELINE!AD201-0.5)/TIMELINE!$C$200)*SIN(PI()/(2*TIMELINE!$C$200)),0))))))))))</f>
        <v>0</v>
      </c>
      <c r="AE182" s="118" t="n">
        <f aca="false">IF(INPUTS!$F$151&lt;&gt;"Yes",0,IF(INPUTS!$J$151="Follow Construction",AE$100,IF(INPUTS!$J$151="Follow Sales",AE$99,IF(INPUTS!$J$151="Follow Collections",AE$108,IF(OR(TIMELINE!AE201=0,TIMELINE!$C$200=0),0,IF(IF(INPUTS!$J$151="Follow Project Life","Even",IF(INPUTS!$J$151="At Project End","Upfront",INPUTS!$J$151))="Upfront",--(TIMELINE!AE201=1),IF(IF(INPUTS!$J$151="Follow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End","Upfront",INPUTS!$J$151))="Front-loaded",(TIMELINE!$C$200-TIMELINE!AE201+1)*2/(TIMELINE!$C$200*(TIMELINE!$C$200+1)),IF(IF(INPUTS!$J$151="Follow Project Life","Even",IF(INPUTS!$J$151="At Project End","Upfront",INPUTS!$J$151))="Back-loaded",TIMELINE!AE201*2/(TIMELINE!$C$200*(TIMELINE!$C$200+1)),IF(IF(INPUTS!$J$151="Follow Project Life","Even",IF(INPUTS!$J$151="At Project End","Upfront",INPUTS!$J$151))="S-curve",SIN(PI()*(TIMELINE!AE201-0.5)/TIMELINE!$C$200)*SIN(PI()/(2*TIMELINE!$C$200)),0))))))))))</f>
        <v>0</v>
      </c>
      <c r="AF182" s="118" t="n">
        <f aca="false">IF(INPUTS!$F$151&lt;&gt;"Yes",0,IF(INPUTS!$J$151="Follow Construction",AF$100,IF(INPUTS!$J$151="Follow Sales",AF$99,IF(INPUTS!$J$151="Follow Collections",AF$108,IF(OR(TIMELINE!AF201=0,TIMELINE!$C$200=0),0,IF(IF(INPUTS!$J$151="Follow Project Life","Even",IF(INPUTS!$J$151="At Project End","Upfront",INPUTS!$J$151))="Upfront",--(TIMELINE!AF201=1),IF(IF(INPUTS!$J$151="Follow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End","Upfront",INPUTS!$J$151))="Front-loaded",(TIMELINE!$C$200-TIMELINE!AF201+1)*2/(TIMELINE!$C$200*(TIMELINE!$C$200+1)),IF(IF(INPUTS!$J$151="Follow Project Life","Even",IF(INPUTS!$J$151="At Project End","Upfront",INPUTS!$J$151))="Back-loaded",TIMELINE!AF201*2/(TIMELINE!$C$200*(TIMELINE!$C$200+1)),IF(IF(INPUTS!$J$151="Follow Project Life","Even",IF(INPUTS!$J$151="At Project End","Upfront",INPUTS!$J$151))="S-curve",SIN(PI()*(TIMELINE!AF201-0.5)/TIMELINE!$C$200)*SIN(PI()/(2*TIMELINE!$C$200)),0))))))))))</f>
        <v>0</v>
      </c>
      <c r="AG182" s="118" t="n">
        <f aca="false">IF(INPUTS!$F$151&lt;&gt;"Yes",0,IF(INPUTS!$J$151="Follow Construction",AG$100,IF(INPUTS!$J$151="Follow Sales",AG$99,IF(INPUTS!$J$151="Follow Collections",AG$108,IF(OR(TIMELINE!AG201=0,TIMELINE!$C$200=0),0,IF(IF(INPUTS!$J$151="Follow Project Life","Even",IF(INPUTS!$J$151="At Project End","Upfront",INPUTS!$J$151))="Upfront",--(TIMELINE!AG201=1),IF(IF(INPUTS!$J$151="Follow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End","Upfront",INPUTS!$J$151))="Front-loaded",(TIMELINE!$C$200-TIMELINE!AG201+1)*2/(TIMELINE!$C$200*(TIMELINE!$C$200+1)),IF(IF(INPUTS!$J$151="Follow Project Life","Even",IF(INPUTS!$J$151="At Project End","Upfront",INPUTS!$J$151))="Back-loaded",TIMELINE!AG201*2/(TIMELINE!$C$200*(TIMELINE!$C$200+1)),IF(IF(INPUTS!$J$151="Follow Project Life","Even",IF(INPUTS!$J$151="At Project End","Upfront",INPUTS!$J$151))="S-curve",SIN(PI()*(TIMELINE!AG201-0.5)/TIMELINE!$C$200)*SIN(PI()/(2*TIMELINE!$C$200)),0))))))))))</f>
        <v>0</v>
      </c>
      <c r="AH182" s="118" t="n">
        <f aca="false">IF(INPUTS!$F$151&lt;&gt;"Yes",0,IF(INPUTS!$J$151="Follow Construction",AH$100,IF(INPUTS!$J$151="Follow Sales",AH$99,IF(INPUTS!$J$151="Follow Collections",AH$108,IF(OR(TIMELINE!AH201=0,TIMELINE!$C$200=0),0,IF(IF(INPUTS!$J$151="Follow Project Life","Even",IF(INPUTS!$J$151="At Project End","Upfront",INPUTS!$J$151))="Upfront",--(TIMELINE!AH201=1),IF(IF(INPUTS!$J$151="Follow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End","Upfront",INPUTS!$J$151))="Front-loaded",(TIMELINE!$C$200-TIMELINE!AH201+1)*2/(TIMELINE!$C$200*(TIMELINE!$C$200+1)),IF(IF(INPUTS!$J$151="Follow Project Life","Even",IF(INPUTS!$J$151="At Project End","Upfront",INPUTS!$J$151))="Back-loaded",TIMELINE!AH201*2/(TIMELINE!$C$200*(TIMELINE!$C$200+1)),IF(IF(INPUTS!$J$151="Follow Project Life","Even",IF(INPUTS!$J$151="At Project End","Upfront",INPUTS!$J$151))="S-curve",SIN(PI()*(TIMELINE!AH201-0.5)/TIMELINE!$C$200)*SIN(PI()/(2*TIMELINE!$C$200)),0))))))))))</f>
        <v>0</v>
      </c>
      <c r="AI182" s="118" t="n">
        <f aca="false">IF(INPUTS!$F$151&lt;&gt;"Yes",0,IF(INPUTS!$J$151="Follow Construction",AI$100,IF(INPUTS!$J$151="Follow Sales",AI$99,IF(INPUTS!$J$151="Follow Collections",AI$108,IF(OR(TIMELINE!AI201=0,TIMELINE!$C$200=0),0,IF(IF(INPUTS!$J$151="Follow Project Life","Even",IF(INPUTS!$J$151="At Project End","Upfront",INPUTS!$J$151))="Upfront",--(TIMELINE!AI201=1),IF(IF(INPUTS!$J$151="Follow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End","Upfront",INPUTS!$J$151))="Front-loaded",(TIMELINE!$C$200-TIMELINE!AI201+1)*2/(TIMELINE!$C$200*(TIMELINE!$C$200+1)),IF(IF(INPUTS!$J$151="Follow Project Life","Even",IF(INPUTS!$J$151="At Project End","Upfront",INPUTS!$J$151))="Back-loaded",TIMELINE!AI201*2/(TIMELINE!$C$200*(TIMELINE!$C$200+1)),IF(IF(INPUTS!$J$151="Follow Project Life","Even",IF(INPUTS!$J$151="At Project End","Upfront",INPUTS!$J$151))="S-curve",SIN(PI()*(TIMELINE!AI201-0.5)/TIMELINE!$C$200)*SIN(PI()/(2*TIMELINE!$C$200)),0))))))))))</f>
        <v>0</v>
      </c>
      <c r="AJ182" s="118" t="n">
        <f aca="false">IF(INPUTS!$F$151&lt;&gt;"Yes",0,IF(INPUTS!$J$151="Follow Construction",AJ$100,IF(INPUTS!$J$151="Follow Sales",AJ$99,IF(INPUTS!$J$151="Follow Collections",AJ$108,IF(OR(TIMELINE!AJ201=0,TIMELINE!$C$200=0),0,IF(IF(INPUTS!$J$151="Follow Project Life","Even",IF(INPUTS!$J$151="At Project End","Upfront",INPUTS!$J$151))="Upfront",--(TIMELINE!AJ201=1),IF(IF(INPUTS!$J$151="Follow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End","Upfront",INPUTS!$J$151))="Front-loaded",(TIMELINE!$C$200-TIMELINE!AJ201+1)*2/(TIMELINE!$C$200*(TIMELINE!$C$200+1)),IF(IF(INPUTS!$J$151="Follow Project Life","Even",IF(INPUTS!$J$151="At Project End","Upfront",INPUTS!$J$151))="Back-loaded",TIMELINE!AJ201*2/(TIMELINE!$C$200*(TIMELINE!$C$200+1)),IF(IF(INPUTS!$J$151="Follow Project Life","Even",IF(INPUTS!$J$151="At Project End","Upfront",INPUTS!$J$151))="S-curve",SIN(PI()*(TIMELINE!AJ201-0.5)/TIMELINE!$C$200)*SIN(PI()/(2*TIMELINE!$C$200)),0))))))))))</f>
        <v>0</v>
      </c>
      <c r="AK182" s="118" t="n">
        <f aca="false">IF(INPUTS!$F$151&lt;&gt;"Yes",0,IF(INPUTS!$J$151="Follow Construction",AK$100,IF(INPUTS!$J$151="Follow Sales",AK$99,IF(INPUTS!$J$151="Follow Collections",AK$108,IF(OR(TIMELINE!AK201=0,TIMELINE!$C$200=0),0,IF(IF(INPUTS!$J$151="Follow Project Life","Even",IF(INPUTS!$J$151="At Project End","Upfront",INPUTS!$J$151))="Upfront",--(TIMELINE!AK201=1),IF(IF(INPUTS!$J$151="Follow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End","Upfront",INPUTS!$J$151))="Front-loaded",(TIMELINE!$C$200-TIMELINE!AK201+1)*2/(TIMELINE!$C$200*(TIMELINE!$C$200+1)),IF(IF(INPUTS!$J$151="Follow Project Life","Even",IF(INPUTS!$J$151="At Project End","Upfront",INPUTS!$J$151))="Back-loaded",TIMELINE!AK201*2/(TIMELINE!$C$200*(TIMELINE!$C$200+1)),IF(IF(INPUTS!$J$151="Follow Project Life","Even",IF(INPUTS!$J$151="At Project End","Upfront",INPUTS!$J$151))="S-curve",SIN(PI()*(TIMELINE!AK201-0.5)/TIMELINE!$C$200)*SIN(PI()/(2*TIMELINE!$C$200)),0))))))))))</f>
        <v>0</v>
      </c>
      <c r="AL182" s="118" t="n">
        <f aca="false">IF(INPUTS!$F$151&lt;&gt;"Yes",0,IF(INPUTS!$J$151="Follow Construction",AL$100,IF(INPUTS!$J$151="Follow Sales",AL$99,IF(INPUTS!$J$151="Follow Collections",AL$108,IF(OR(TIMELINE!AL201=0,TIMELINE!$C$200=0),0,IF(IF(INPUTS!$J$151="Follow Project Life","Even",IF(INPUTS!$J$151="At Project End","Upfront",INPUTS!$J$151))="Upfront",--(TIMELINE!AL201=1),IF(IF(INPUTS!$J$151="Follow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End","Upfront",INPUTS!$J$151))="Front-loaded",(TIMELINE!$C$200-TIMELINE!AL201+1)*2/(TIMELINE!$C$200*(TIMELINE!$C$200+1)),IF(IF(INPUTS!$J$151="Follow Project Life","Even",IF(INPUTS!$J$151="At Project End","Upfront",INPUTS!$J$151))="Back-loaded",TIMELINE!AL201*2/(TIMELINE!$C$200*(TIMELINE!$C$200+1)),IF(IF(INPUTS!$J$151="Follow Project Life","Even",IF(INPUTS!$J$151="At Project End","Upfront",INPUTS!$J$151))="S-curve",SIN(PI()*(TIMELINE!AL201-0.5)/TIMELINE!$C$200)*SIN(PI()/(2*TIMELINE!$C$200)),0))))))))))</f>
        <v>0</v>
      </c>
      <c r="AM182" s="118" t="n">
        <f aca="false">IF(INPUTS!$F$151&lt;&gt;"Yes",0,IF(INPUTS!$J$151="Follow Construction",AM$100,IF(INPUTS!$J$151="Follow Sales",AM$99,IF(INPUTS!$J$151="Follow Collections",AM$108,IF(OR(TIMELINE!AM201=0,TIMELINE!$C$200=0),0,IF(IF(INPUTS!$J$151="Follow Project Life","Even",IF(INPUTS!$J$151="At Project End","Upfront",INPUTS!$J$151))="Upfront",--(TIMELINE!AM201=1),IF(IF(INPUTS!$J$151="Follow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End","Upfront",INPUTS!$J$151))="Front-loaded",(TIMELINE!$C$200-TIMELINE!AM201+1)*2/(TIMELINE!$C$200*(TIMELINE!$C$200+1)),IF(IF(INPUTS!$J$151="Follow Project Life","Even",IF(INPUTS!$J$151="At Project End","Upfront",INPUTS!$J$151))="Back-loaded",TIMELINE!AM201*2/(TIMELINE!$C$200*(TIMELINE!$C$200+1)),IF(IF(INPUTS!$J$151="Follow Project Life","Even",IF(INPUTS!$J$151="At Project End","Upfront",INPUTS!$J$151))="S-curve",SIN(PI()*(TIMELINE!AM201-0.5)/TIMELINE!$C$200)*SIN(PI()/(2*TIMELINE!$C$200)),0))))))))))</f>
        <v>0</v>
      </c>
      <c r="AN182" s="118" t="n">
        <f aca="false">IF(INPUTS!$F$151&lt;&gt;"Yes",0,IF(INPUTS!$J$151="Follow Construction",AN$100,IF(INPUTS!$J$151="Follow Sales",AN$99,IF(INPUTS!$J$151="Follow Collections",AN$108,IF(OR(TIMELINE!AN201=0,TIMELINE!$C$200=0),0,IF(IF(INPUTS!$J$151="Follow Project Life","Even",IF(INPUTS!$J$151="At Project End","Upfront",INPUTS!$J$151))="Upfront",--(TIMELINE!AN201=1),IF(IF(INPUTS!$J$151="Follow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End","Upfront",INPUTS!$J$151))="Front-loaded",(TIMELINE!$C$200-TIMELINE!AN201+1)*2/(TIMELINE!$C$200*(TIMELINE!$C$200+1)),IF(IF(INPUTS!$J$151="Follow Project Life","Even",IF(INPUTS!$J$151="At Project End","Upfront",INPUTS!$J$151))="Back-loaded",TIMELINE!AN201*2/(TIMELINE!$C$200*(TIMELINE!$C$200+1)),IF(IF(INPUTS!$J$151="Follow Project Life","Even",IF(INPUTS!$J$151="At Project End","Upfront",INPUTS!$J$151))="S-curve",SIN(PI()*(TIMELINE!AN201-0.5)/TIMELINE!$C$200)*SIN(PI()/(2*TIMELINE!$C$200)),0))))))))))</f>
        <v>0</v>
      </c>
      <c r="AO182" s="118" t="n">
        <f aca="false">IF(INPUTS!$F$151&lt;&gt;"Yes",0,IF(INPUTS!$J$151="Follow Construction",AO$100,IF(INPUTS!$J$151="Follow Sales",AO$99,IF(INPUTS!$J$151="Follow Collections",AO$108,IF(OR(TIMELINE!AO201=0,TIMELINE!$C$200=0),0,IF(IF(INPUTS!$J$151="Follow Project Life","Even",IF(INPUTS!$J$151="At Project End","Upfront",INPUTS!$J$151))="Upfront",--(TIMELINE!AO201=1),IF(IF(INPUTS!$J$151="Follow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End","Upfront",INPUTS!$J$151))="Front-loaded",(TIMELINE!$C$200-TIMELINE!AO201+1)*2/(TIMELINE!$C$200*(TIMELINE!$C$200+1)),IF(IF(INPUTS!$J$151="Follow Project Life","Even",IF(INPUTS!$J$151="At Project End","Upfront",INPUTS!$J$151))="Back-loaded",TIMELINE!AO201*2/(TIMELINE!$C$200*(TIMELINE!$C$200+1)),IF(IF(INPUTS!$J$151="Follow Project Life","Even",IF(INPUTS!$J$151="At Project End","Upfront",INPUTS!$J$151))="S-curve",SIN(PI()*(TIMELINE!AO201-0.5)/TIMELINE!$C$200)*SIN(PI()/(2*TIMELINE!$C$200)),0))))))))))</f>
        <v>0</v>
      </c>
      <c r="AP182" s="118" t="n">
        <f aca="false">IF(INPUTS!$F$151&lt;&gt;"Yes",0,IF(INPUTS!$J$151="Follow Construction",AP$100,IF(INPUTS!$J$151="Follow Sales",AP$99,IF(INPUTS!$J$151="Follow Collections",AP$108,IF(OR(TIMELINE!AP201=0,TIMELINE!$C$200=0),0,IF(IF(INPUTS!$J$151="Follow Project Life","Even",IF(INPUTS!$J$151="At Project End","Upfront",INPUTS!$J$151))="Upfront",--(TIMELINE!AP201=1),IF(IF(INPUTS!$J$151="Follow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End","Upfront",INPUTS!$J$151))="Front-loaded",(TIMELINE!$C$200-TIMELINE!AP201+1)*2/(TIMELINE!$C$200*(TIMELINE!$C$200+1)),IF(IF(INPUTS!$J$151="Follow Project Life","Even",IF(INPUTS!$J$151="At Project End","Upfront",INPUTS!$J$151))="Back-loaded",TIMELINE!AP201*2/(TIMELINE!$C$200*(TIMELINE!$C$200+1)),IF(IF(INPUTS!$J$151="Follow Project Life","Even",IF(INPUTS!$J$151="At Project End","Upfront",INPUTS!$J$151))="S-curve",SIN(PI()*(TIMELINE!AP201-0.5)/TIMELINE!$C$200)*SIN(PI()/(2*TIMELINE!$C$200)),0))))))))))</f>
        <v>0</v>
      </c>
      <c r="AQ182" s="118" t="n">
        <f aca="false">IF(INPUTS!$F$151&lt;&gt;"Yes",0,IF(INPUTS!$J$151="Follow Construction",AQ$100,IF(INPUTS!$J$151="Follow Sales",AQ$99,IF(INPUTS!$J$151="Follow Collections",AQ$108,IF(OR(TIMELINE!AQ201=0,TIMELINE!$C$200=0),0,IF(IF(INPUTS!$J$151="Follow Project Life","Even",IF(INPUTS!$J$151="At Project End","Upfront",INPUTS!$J$151))="Upfront",--(TIMELINE!AQ201=1),IF(IF(INPUTS!$J$151="Follow Project Life","Even",IF(INPUTS!$J$151="At Project End","Upfront",INPUTS!$J$151))="Even",1/TIMELINE!$C$200,IF(IF(INPUTS!$J$151="Follow Project Life","Even",IF(INPUTS!$J$151="At Project End","Upfront",INPUTS!$J$151))="Front-loaded",(TIMELINE!$C$200-TIMELINE!AQ201+1)*2/(TIMELINE!$C$200*(TIMELINE!$C$200+1)),IF(IF(INPUTS!$J$151="Follow Project Life","Even",IF(INPUTS!$J$151="At Project End","Upfront",INPUTS!$J$151))="Back-loaded",TIMELINE!AQ201*2/(TIMELINE!$C$200*(TIMELINE!$C$200+1)),IF(IF(INPUTS!$J$151="Follow Project Life","Even",IF(INPUTS!$J$151="At Project End","Upfront",INPUTS!$J$151))="S-curve",SIN(PI()*(TIMELINE!AQ201-0.5)/TIMELINE!$C$200)*SIN(PI()/(2*TIMELINE!$C$200)),0))))))))))</f>
        <v>0</v>
      </c>
    </row>
    <row r="183" customFormat="false" ht="15" hidden="false" customHeight="false" outlineLevel="0" collapsed="false">
      <c r="B183" s="17" t="s">
        <v>689</v>
      </c>
      <c r="C183" s="105" t="str">
        <f aca="false">IF(INPUTS!$B$151="","",IF(INPUTS!$F$151&lt;&gt;"Yes","Off",IF(INPUTS!$M$151&lt;&gt;"OK","ERROR",IF(ABS(C182-1)&lt;0.000000001,"OK",IF(AND(C182=0,INPUTS!$G$151=0),"Zero","ERROR")))))</f>
        <v/>
      </c>
    </row>
    <row r="185" customFormat="false" ht="19.5" hidden="false" customHeight="true" outlineLevel="0" collapsed="false">
      <c r="B185" s="4" t="s">
        <v>690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customFormat="false" ht="15" hidden="false" customHeight="false" outlineLevel="0" collapsed="false">
      <c r="B186" s="3" t="s">
        <v>691</v>
      </c>
      <c r="C186" s="105" t="str">
        <f aca="false">IF(SUMPRODUCT(--(ABS(C12:C16-1)&lt;0.000000001))=5,"OK","ERROR")</f>
        <v>OK</v>
      </c>
    </row>
    <row r="187" customFormat="false" ht="15" hidden="false" customHeight="false" outlineLevel="0" collapsed="false">
      <c r="B187" s="3" t="s">
        <v>692</v>
      </c>
      <c r="C187" s="105" t="str">
        <f aca="false">IF(--(C42="ERROR")+--(C48="ERROR")+--(C54="ERROR")+--(C60="ERROR")+--(C66="ERROR")+--(C72="ERROR")+--(C78="ERROR")+--(C84="ERROR")+--(C90="ERROR")+--(C96="ERROR")=0,"OK","ERROR")</f>
        <v>OK</v>
      </c>
    </row>
    <row r="188" customFormat="false" ht="15" hidden="false" customHeight="false" outlineLevel="0" collapsed="false">
      <c r="B188" s="3" t="s">
        <v>693</v>
      </c>
      <c r="C188" s="105" t="str">
        <f aca="false">IF(OR(ABS(C99-1)&lt;0.000000001,INPUTS!$T$98=0),"OK","ERROR")</f>
        <v>OK</v>
      </c>
    </row>
    <row r="189" customFormat="false" ht="15" hidden="false" customHeight="false" outlineLevel="0" collapsed="false">
      <c r="B189" s="3" t="s">
        <v>694</v>
      </c>
      <c r="C189" s="105" t="str">
        <f aca="false">IF(OR(ABS(C108-1)&lt;0.000000001,INPUTS!$T$98=0),"OK","ERROR")</f>
        <v>OK</v>
      </c>
    </row>
    <row r="190" customFormat="false" ht="15" hidden="false" customHeight="false" outlineLevel="0" collapsed="false">
      <c r="B190" s="3" t="s">
        <v>695</v>
      </c>
      <c r="C190" s="105" t="str">
        <f aca="false">IF(OR(ABS(C100-1)&lt;0.000000001,INPUTS!$U$98=0),"OK","ERROR")</f>
        <v>OK</v>
      </c>
    </row>
    <row r="191" customFormat="false" ht="15" hidden="false" customHeight="false" outlineLevel="0" collapsed="false">
      <c r="B191" s="3" t="s">
        <v>696</v>
      </c>
      <c r="C191" s="105" t="str">
        <f aca="false">IF(--(AND(ABS(C101-1)&gt;0.000000001,ABS(C101)&gt;0.000000001))+--(AND(ABS(C102-1)&gt;0.000000001,ABS(C102)&gt;0.000000001))+--(AND(ABS(C103-1)&gt;0.000000001,ABS(C103)&gt;0.000000001))+--(AND(ABS(C104-1)&gt;0.000000001,ABS(C104)&gt;0.000000001))+--(AND(ABS(C105-1)&gt;0.000000001,ABS(C105)&gt;0.000000001))+--(AND(ABS(C106-1)&gt;0.000000001,ABS(C106)&gt;0.000000001))+--(AND(ABS(C107-1)&gt;0.000000001,ABS(C107)&gt;0.000000001))=0,"OK","ERROR")</f>
        <v>OK</v>
      </c>
    </row>
    <row r="192" customFormat="false" ht="15" hidden="false" customHeight="false" outlineLevel="0" collapsed="false">
      <c r="B192" s="3" t="s">
        <v>697</v>
      </c>
      <c r="C192" s="105" t="str">
        <f aca="false">IF(--(C114="ERROR")+--(C117="ERROR")+--(C120="ERROR")+--(C123="ERROR")+--(C126="ERROR")+--(C129="ERROR")+--(C132="ERROR")+--(C135="ERROR")+--(C138="ERROR")+--(C141="ERROR")+--(C144="ERROR")+--(C147="ERROR")+--(C150="ERROR")+--(C153="ERROR")+--(C156="ERROR")+--(C159="ERROR")+--(C162="ERROR")+--(C165="ERROR")+--(C168="ERROR")+--(C171="ERROR")+--(C174="ERROR")+--(C177="ERROR")+--(C180="ERROR")+--(C183="ERROR")=0,"OK","ERROR")</f>
        <v>OK</v>
      </c>
    </row>
  </sheetData>
  <conditionalFormatting sqref="C186:C192">
    <cfRule type="cellIs" priority="2" operator="equal" aboveAverage="0" equalAverage="0" bottom="0" percent="0" rank="0" text="" dxfId="8">
      <formula>"ERROR"</formula>
    </cfRule>
    <cfRule type="cellIs" priority="3" operator="equal" aboveAverage="0" equalAverage="0" bottom="0" percent="0" rank="0" text="" dxfId="9">
      <formula>"OK"</formula>
    </cfRule>
    <cfRule type="cellIs" priority="4" operator="equal" aboveAverage="0" equalAverage="0" bottom="0" percent="0" rank="0" text="" dxfId="10">
      <formula>"Off"</formula>
    </cfRule>
    <cfRule type="cellIs" priority="5" operator="equal" aboveAverage="0" equalAverage="0" bottom="0" percent="0" rank="0" text="" dxfId="10">
      <formula>"Unused"</formula>
    </cfRule>
    <cfRule type="cellIs" priority="6" operator="equal" aboveAverage="0" equalAverage="0" bottom="0" percent="0" rank="0" text="" dxfId="10">
      <formula>"Excluded"</formula>
    </cfRule>
  </conditionalFormatting>
  <conditionalFormatting sqref="C3">
    <cfRule type="cellIs" priority="7" operator="equal" aboveAverage="0" equalAverage="0" bottom="0" percent="0" rank="0" text="" dxfId="8">
      <formula>"ERROR"</formula>
    </cfRule>
    <cfRule type="cellIs" priority="8" operator="equal" aboveAverage="0" equalAverage="0" bottom="0" percent="0" rank="0" text="" dxfId="9">
      <formula>"OK"</formula>
    </cfRule>
    <cfRule type="cellIs" priority="9" operator="equal" aboveAverage="0" equalAverage="0" bottom="0" percent="0" rank="0" text="" dxfId="10">
      <formula>"Off"</formula>
    </cfRule>
    <cfRule type="cellIs" priority="10" operator="equal" aboveAverage="0" equalAverage="0" bottom="0" percent="0" rank="0" text="" dxfId="10">
      <formula>"Unused"</formula>
    </cfRule>
    <cfRule type="cellIs" priority="11" operator="equal" aboveAverage="0" equalAverage="0" bottom="0" percent="0" rank="0" text="" dxfId="10">
      <formula>"Excluded"</formula>
    </cfRule>
  </conditionalFormatting>
  <conditionalFormatting sqref="C42">
    <cfRule type="cellIs" priority="12" operator="equal" aboveAverage="0" equalAverage="0" bottom="0" percent="0" rank="0" text="" dxfId="8">
      <formula>"ERROR"</formula>
    </cfRule>
    <cfRule type="cellIs" priority="13" operator="equal" aboveAverage="0" equalAverage="0" bottom="0" percent="0" rank="0" text="" dxfId="9">
      <formula>"OK"</formula>
    </cfRule>
    <cfRule type="cellIs" priority="14" operator="equal" aboveAverage="0" equalAverage="0" bottom="0" percent="0" rank="0" text="" dxfId="10">
      <formula>"Off"</formula>
    </cfRule>
    <cfRule type="cellIs" priority="15" operator="equal" aboveAverage="0" equalAverage="0" bottom="0" percent="0" rank="0" text="" dxfId="10">
      <formula>"Unused"</formula>
    </cfRule>
    <cfRule type="cellIs" priority="16" operator="equal" aboveAverage="0" equalAverage="0" bottom="0" percent="0" rank="0" text="" dxfId="10">
      <formula>"Excluded"</formula>
    </cfRule>
    <cfRule type="cellIs" priority="17" operator="equal" aboveAverage="0" equalAverage="0" bottom="0" percent="0" rank="0" text="" dxfId="19">
      <formula>"Step 4"</formula>
    </cfRule>
  </conditionalFormatting>
  <conditionalFormatting sqref="C48">
    <cfRule type="cellIs" priority="18" operator="equal" aboveAverage="0" equalAverage="0" bottom="0" percent="0" rank="0" text="" dxfId="8">
      <formula>"ERROR"</formula>
    </cfRule>
    <cfRule type="cellIs" priority="19" operator="equal" aboveAverage="0" equalAverage="0" bottom="0" percent="0" rank="0" text="" dxfId="9">
      <formula>"OK"</formula>
    </cfRule>
    <cfRule type="cellIs" priority="20" operator="equal" aboveAverage="0" equalAverage="0" bottom="0" percent="0" rank="0" text="" dxfId="10">
      <formula>"Off"</formula>
    </cfRule>
    <cfRule type="cellIs" priority="21" operator="equal" aboveAverage="0" equalAverage="0" bottom="0" percent="0" rank="0" text="" dxfId="10">
      <formula>"Unused"</formula>
    </cfRule>
    <cfRule type="cellIs" priority="22" operator="equal" aboveAverage="0" equalAverage="0" bottom="0" percent="0" rank="0" text="" dxfId="10">
      <formula>"Excluded"</formula>
    </cfRule>
    <cfRule type="cellIs" priority="23" operator="equal" aboveAverage="0" equalAverage="0" bottom="0" percent="0" rank="0" text="" dxfId="19">
      <formula>"Step 4"</formula>
    </cfRule>
  </conditionalFormatting>
  <conditionalFormatting sqref="C54">
    <cfRule type="cellIs" priority="24" operator="equal" aboveAverage="0" equalAverage="0" bottom="0" percent="0" rank="0" text="" dxfId="8">
      <formula>"ERROR"</formula>
    </cfRule>
    <cfRule type="cellIs" priority="25" operator="equal" aboveAverage="0" equalAverage="0" bottom="0" percent="0" rank="0" text="" dxfId="9">
      <formula>"OK"</formula>
    </cfRule>
    <cfRule type="cellIs" priority="26" operator="equal" aboveAverage="0" equalAverage="0" bottom="0" percent="0" rank="0" text="" dxfId="10">
      <formula>"Off"</formula>
    </cfRule>
    <cfRule type="cellIs" priority="27" operator="equal" aboveAverage="0" equalAverage="0" bottom="0" percent="0" rank="0" text="" dxfId="10">
      <formula>"Unused"</formula>
    </cfRule>
    <cfRule type="cellIs" priority="28" operator="equal" aboveAverage="0" equalAverage="0" bottom="0" percent="0" rank="0" text="" dxfId="10">
      <formula>"Excluded"</formula>
    </cfRule>
    <cfRule type="cellIs" priority="29" operator="equal" aboveAverage="0" equalAverage="0" bottom="0" percent="0" rank="0" text="" dxfId="19">
      <formula>"Step 4"</formula>
    </cfRule>
  </conditionalFormatting>
  <conditionalFormatting sqref="C60">
    <cfRule type="cellIs" priority="30" operator="equal" aboveAverage="0" equalAverage="0" bottom="0" percent="0" rank="0" text="" dxfId="8">
      <formula>"ERROR"</formula>
    </cfRule>
    <cfRule type="cellIs" priority="31" operator="equal" aboveAverage="0" equalAverage="0" bottom="0" percent="0" rank="0" text="" dxfId="9">
      <formula>"OK"</formula>
    </cfRule>
    <cfRule type="cellIs" priority="32" operator="equal" aboveAverage="0" equalAverage="0" bottom="0" percent="0" rank="0" text="" dxfId="10">
      <formula>"Off"</formula>
    </cfRule>
    <cfRule type="cellIs" priority="33" operator="equal" aboveAverage="0" equalAverage="0" bottom="0" percent="0" rank="0" text="" dxfId="10">
      <formula>"Unused"</formula>
    </cfRule>
    <cfRule type="cellIs" priority="34" operator="equal" aboveAverage="0" equalAverage="0" bottom="0" percent="0" rank="0" text="" dxfId="10">
      <formula>"Excluded"</formula>
    </cfRule>
    <cfRule type="cellIs" priority="35" operator="equal" aboveAverage="0" equalAverage="0" bottom="0" percent="0" rank="0" text="" dxfId="19">
      <formula>"Step 4"</formula>
    </cfRule>
  </conditionalFormatting>
  <conditionalFormatting sqref="C66">
    <cfRule type="cellIs" priority="36" operator="equal" aboveAverage="0" equalAverage="0" bottom="0" percent="0" rank="0" text="" dxfId="8">
      <formula>"ERROR"</formula>
    </cfRule>
    <cfRule type="cellIs" priority="37" operator="equal" aboveAverage="0" equalAverage="0" bottom="0" percent="0" rank="0" text="" dxfId="9">
      <formula>"OK"</formula>
    </cfRule>
    <cfRule type="cellIs" priority="38" operator="equal" aboveAverage="0" equalAverage="0" bottom="0" percent="0" rank="0" text="" dxfId="10">
      <formula>"Off"</formula>
    </cfRule>
    <cfRule type="cellIs" priority="39" operator="equal" aboveAverage="0" equalAverage="0" bottom="0" percent="0" rank="0" text="" dxfId="10">
      <formula>"Unused"</formula>
    </cfRule>
    <cfRule type="cellIs" priority="40" operator="equal" aboveAverage="0" equalAverage="0" bottom="0" percent="0" rank="0" text="" dxfId="10">
      <formula>"Excluded"</formula>
    </cfRule>
    <cfRule type="cellIs" priority="41" operator="equal" aboveAverage="0" equalAverage="0" bottom="0" percent="0" rank="0" text="" dxfId="19">
      <formula>"Step 4"</formula>
    </cfRule>
  </conditionalFormatting>
  <conditionalFormatting sqref="C72">
    <cfRule type="cellIs" priority="42" operator="equal" aboveAverage="0" equalAverage="0" bottom="0" percent="0" rank="0" text="" dxfId="8">
      <formula>"ERROR"</formula>
    </cfRule>
    <cfRule type="cellIs" priority="43" operator="equal" aboveAverage="0" equalAverage="0" bottom="0" percent="0" rank="0" text="" dxfId="9">
      <formula>"OK"</formula>
    </cfRule>
    <cfRule type="cellIs" priority="44" operator="equal" aboveAverage="0" equalAverage="0" bottom="0" percent="0" rank="0" text="" dxfId="10">
      <formula>"Off"</formula>
    </cfRule>
    <cfRule type="cellIs" priority="45" operator="equal" aboveAverage="0" equalAverage="0" bottom="0" percent="0" rank="0" text="" dxfId="10">
      <formula>"Unused"</formula>
    </cfRule>
    <cfRule type="cellIs" priority="46" operator="equal" aboveAverage="0" equalAverage="0" bottom="0" percent="0" rank="0" text="" dxfId="10">
      <formula>"Excluded"</formula>
    </cfRule>
    <cfRule type="cellIs" priority="47" operator="equal" aboveAverage="0" equalAverage="0" bottom="0" percent="0" rank="0" text="" dxfId="19">
      <formula>"Step 4"</formula>
    </cfRule>
  </conditionalFormatting>
  <conditionalFormatting sqref="C78">
    <cfRule type="cellIs" priority="48" operator="equal" aboveAverage="0" equalAverage="0" bottom="0" percent="0" rank="0" text="" dxfId="8">
      <formula>"ERROR"</formula>
    </cfRule>
    <cfRule type="cellIs" priority="49" operator="equal" aboveAverage="0" equalAverage="0" bottom="0" percent="0" rank="0" text="" dxfId="9">
      <formula>"OK"</formula>
    </cfRule>
    <cfRule type="cellIs" priority="50" operator="equal" aboveAverage="0" equalAverage="0" bottom="0" percent="0" rank="0" text="" dxfId="10">
      <formula>"Off"</formula>
    </cfRule>
    <cfRule type="cellIs" priority="51" operator="equal" aboveAverage="0" equalAverage="0" bottom="0" percent="0" rank="0" text="" dxfId="10">
      <formula>"Unused"</formula>
    </cfRule>
    <cfRule type="cellIs" priority="52" operator="equal" aboveAverage="0" equalAverage="0" bottom="0" percent="0" rank="0" text="" dxfId="10">
      <formula>"Excluded"</formula>
    </cfRule>
    <cfRule type="cellIs" priority="53" operator="equal" aboveAverage="0" equalAverage="0" bottom="0" percent="0" rank="0" text="" dxfId="19">
      <formula>"Step 4"</formula>
    </cfRule>
  </conditionalFormatting>
  <conditionalFormatting sqref="C84">
    <cfRule type="cellIs" priority="54" operator="equal" aboveAverage="0" equalAverage="0" bottom="0" percent="0" rank="0" text="" dxfId="8">
      <formula>"ERROR"</formula>
    </cfRule>
    <cfRule type="cellIs" priority="55" operator="equal" aboveAverage="0" equalAverage="0" bottom="0" percent="0" rank="0" text="" dxfId="9">
      <formula>"OK"</formula>
    </cfRule>
    <cfRule type="cellIs" priority="56" operator="equal" aboveAverage="0" equalAverage="0" bottom="0" percent="0" rank="0" text="" dxfId="10">
      <formula>"Off"</formula>
    </cfRule>
    <cfRule type="cellIs" priority="57" operator="equal" aboveAverage="0" equalAverage="0" bottom="0" percent="0" rank="0" text="" dxfId="10">
      <formula>"Unused"</formula>
    </cfRule>
    <cfRule type="cellIs" priority="58" operator="equal" aboveAverage="0" equalAverage="0" bottom="0" percent="0" rank="0" text="" dxfId="10">
      <formula>"Excluded"</formula>
    </cfRule>
    <cfRule type="cellIs" priority="59" operator="equal" aboveAverage="0" equalAverage="0" bottom="0" percent="0" rank="0" text="" dxfId="19">
      <formula>"Step 4"</formula>
    </cfRule>
  </conditionalFormatting>
  <conditionalFormatting sqref="C90">
    <cfRule type="cellIs" priority="60" operator="equal" aboveAverage="0" equalAverage="0" bottom="0" percent="0" rank="0" text="" dxfId="8">
      <formula>"ERROR"</formula>
    </cfRule>
    <cfRule type="cellIs" priority="61" operator="equal" aboveAverage="0" equalAverage="0" bottom="0" percent="0" rank="0" text="" dxfId="9">
      <formula>"OK"</formula>
    </cfRule>
    <cfRule type="cellIs" priority="62" operator="equal" aboveAverage="0" equalAverage="0" bottom="0" percent="0" rank="0" text="" dxfId="10">
      <formula>"Off"</formula>
    </cfRule>
    <cfRule type="cellIs" priority="63" operator="equal" aboveAverage="0" equalAverage="0" bottom="0" percent="0" rank="0" text="" dxfId="10">
      <formula>"Unused"</formula>
    </cfRule>
    <cfRule type="cellIs" priority="64" operator="equal" aboveAverage="0" equalAverage="0" bottom="0" percent="0" rank="0" text="" dxfId="10">
      <formula>"Excluded"</formula>
    </cfRule>
    <cfRule type="cellIs" priority="65" operator="equal" aboveAverage="0" equalAverage="0" bottom="0" percent="0" rank="0" text="" dxfId="19">
      <formula>"Step 4"</formula>
    </cfRule>
  </conditionalFormatting>
  <conditionalFormatting sqref="C96">
    <cfRule type="cellIs" priority="66" operator="equal" aboveAverage="0" equalAverage="0" bottom="0" percent="0" rank="0" text="" dxfId="8">
      <formula>"ERROR"</formula>
    </cfRule>
    <cfRule type="cellIs" priority="67" operator="equal" aboveAverage="0" equalAverage="0" bottom="0" percent="0" rank="0" text="" dxfId="9">
      <formula>"OK"</formula>
    </cfRule>
    <cfRule type="cellIs" priority="68" operator="equal" aboveAverage="0" equalAverage="0" bottom="0" percent="0" rank="0" text="" dxfId="10">
      <formula>"Off"</formula>
    </cfRule>
    <cfRule type="cellIs" priority="69" operator="equal" aboveAverage="0" equalAverage="0" bottom="0" percent="0" rank="0" text="" dxfId="10">
      <formula>"Unused"</formula>
    </cfRule>
    <cfRule type="cellIs" priority="70" operator="equal" aboveAverage="0" equalAverage="0" bottom="0" percent="0" rank="0" text="" dxfId="10">
      <formula>"Excluded"</formula>
    </cfRule>
    <cfRule type="cellIs" priority="71" operator="equal" aboveAverage="0" equalAverage="0" bottom="0" percent="0" rank="0" text="" dxfId="19">
      <formula>"Step 4"</formula>
    </cfRule>
  </conditionalFormatting>
  <conditionalFormatting sqref="C114">
    <cfRule type="cellIs" priority="72" operator="equal" aboveAverage="0" equalAverage="0" bottom="0" percent="0" rank="0" text="" dxfId="8">
      <formula>"ERROR"</formula>
    </cfRule>
    <cfRule type="cellIs" priority="73" operator="equal" aboveAverage="0" equalAverage="0" bottom="0" percent="0" rank="0" text="" dxfId="9">
      <formula>"OK"</formula>
    </cfRule>
    <cfRule type="cellIs" priority="74" operator="equal" aboveAverage="0" equalAverage="0" bottom="0" percent="0" rank="0" text="" dxfId="10">
      <formula>"Off"</formula>
    </cfRule>
    <cfRule type="cellIs" priority="75" operator="equal" aboveAverage="0" equalAverage="0" bottom="0" percent="0" rank="0" text="" dxfId="10">
      <formula>"Unused"</formula>
    </cfRule>
    <cfRule type="cellIs" priority="76" operator="equal" aboveAverage="0" equalAverage="0" bottom="0" percent="0" rank="0" text="" dxfId="10">
      <formula>"Excluded"</formula>
    </cfRule>
    <cfRule type="cellIs" priority="77" operator="equal" aboveAverage="0" equalAverage="0" bottom="0" percent="0" rank="0" text="" dxfId="19">
      <formula>"Step 4"</formula>
    </cfRule>
  </conditionalFormatting>
  <conditionalFormatting sqref="C117">
    <cfRule type="cellIs" priority="78" operator="equal" aboveAverage="0" equalAverage="0" bottom="0" percent="0" rank="0" text="" dxfId="8">
      <formula>"ERROR"</formula>
    </cfRule>
    <cfRule type="cellIs" priority="79" operator="equal" aboveAverage="0" equalAverage="0" bottom="0" percent="0" rank="0" text="" dxfId="9">
      <formula>"OK"</formula>
    </cfRule>
    <cfRule type="cellIs" priority="80" operator="equal" aboveAverage="0" equalAverage="0" bottom="0" percent="0" rank="0" text="" dxfId="10">
      <formula>"Off"</formula>
    </cfRule>
    <cfRule type="cellIs" priority="81" operator="equal" aboveAverage="0" equalAverage="0" bottom="0" percent="0" rank="0" text="" dxfId="10">
      <formula>"Unused"</formula>
    </cfRule>
    <cfRule type="cellIs" priority="82" operator="equal" aboveAverage="0" equalAverage="0" bottom="0" percent="0" rank="0" text="" dxfId="10">
      <formula>"Excluded"</formula>
    </cfRule>
    <cfRule type="cellIs" priority="83" operator="equal" aboveAverage="0" equalAverage="0" bottom="0" percent="0" rank="0" text="" dxfId="19">
      <formula>"Step 4"</formula>
    </cfRule>
  </conditionalFormatting>
  <conditionalFormatting sqref="C120">
    <cfRule type="cellIs" priority="84" operator="equal" aboveAverage="0" equalAverage="0" bottom="0" percent="0" rank="0" text="" dxfId="8">
      <formula>"ERROR"</formula>
    </cfRule>
    <cfRule type="cellIs" priority="85" operator="equal" aboveAverage="0" equalAverage="0" bottom="0" percent="0" rank="0" text="" dxfId="9">
      <formula>"OK"</formula>
    </cfRule>
    <cfRule type="cellIs" priority="86" operator="equal" aboveAverage="0" equalAverage="0" bottom="0" percent="0" rank="0" text="" dxfId="10">
      <formula>"Off"</formula>
    </cfRule>
    <cfRule type="cellIs" priority="87" operator="equal" aboveAverage="0" equalAverage="0" bottom="0" percent="0" rank="0" text="" dxfId="10">
      <formula>"Unused"</formula>
    </cfRule>
    <cfRule type="cellIs" priority="88" operator="equal" aboveAverage="0" equalAverage="0" bottom="0" percent="0" rank="0" text="" dxfId="10">
      <formula>"Excluded"</formula>
    </cfRule>
    <cfRule type="cellIs" priority="89" operator="equal" aboveAverage="0" equalAverage="0" bottom="0" percent="0" rank="0" text="" dxfId="19">
      <formula>"Step 4"</formula>
    </cfRule>
  </conditionalFormatting>
  <conditionalFormatting sqref="C123">
    <cfRule type="cellIs" priority="90" operator="equal" aboveAverage="0" equalAverage="0" bottom="0" percent="0" rank="0" text="" dxfId="8">
      <formula>"ERROR"</formula>
    </cfRule>
    <cfRule type="cellIs" priority="91" operator="equal" aboveAverage="0" equalAverage="0" bottom="0" percent="0" rank="0" text="" dxfId="9">
      <formula>"OK"</formula>
    </cfRule>
    <cfRule type="cellIs" priority="92" operator="equal" aboveAverage="0" equalAverage="0" bottom="0" percent="0" rank="0" text="" dxfId="10">
      <formula>"Off"</formula>
    </cfRule>
    <cfRule type="cellIs" priority="93" operator="equal" aboveAverage="0" equalAverage="0" bottom="0" percent="0" rank="0" text="" dxfId="10">
      <formula>"Unused"</formula>
    </cfRule>
    <cfRule type="cellIs" priority="94" operator="equal" aboveAverage="0" equalAverage="0" bottom="0" percent="0" rank="0" text="" dxfId="10">
      <formula>"Excluded"</formula>
    </cfRule>
    <cfRule type="cellIs" priority="95" operator="equal" aboveAverage="0" equalAverage="0" bottom="0" percent="0" rank="0" text="" dxfId="19">
      <formula>"Step 4"</formula>
    </cfRule>
  </conditionalFormatting>
  <conditionalFormatting sqref="C126">
    <cfRule type="cellIs" priority="96" operator="equal" aboveAverage="0" equalAverage="0" bottom="0" percent="0" rank="0" text="" dxfId="8">
      <formula>"ERROR"</formula>
    </cfRule>
    <cfRule type="cellIs" priority="97" operator="equal" aboveAverage="0" equalAverage="0" bottom="0" percent="0" rank="0" text="" dxfId="9">
      <formula>"OK"</formula>
    </cfRule>
    <cfRule type="cellIs" priority="98" operator="equal" aboveAverage="0" equalAverage="0" bottom="0" percent="0" rank="0" text="" dxfId="10">
      <formula>"Off"</formula>
    </cfRule>
    <cfRule type="cellIs" priority="99" operator="equal" aboveAverage="0" equalAverage="0" bottom="0" percent="0" rank="0" text="" dxfId="10">
      <formula>"Unused"</formula>
    </cfRule>
    <cfRule type="cellIs" priority="100" operator="equal" aboveAverage="0" equalAverage="0" bottom="0" percent="0" rank="0" text="" dxfId="10">
      <formula>"Excluded"</formula>
    </cfRule>
    <cfRule type="cellIs" priority="101" operator="equal" aboveAverage="0" equalAverage="0" bottom="0" percent="0" rank="0" text="" dxfId="19">
      <formula>"Step 4"</formula>
    </cfRule>
  </conditionalFormatting>
  <conditionalFormatting sqref="C129">
    <cfRule type="cellIs" priority="102" operator="equal" aboveAverage="0" equalAverage="0" bottom="0" percent="0" rank="0" text="" dxfId="8">
      <formula>"ERROR"</formula>
    </cfRule>
    <cfRule type="cellIs" priority="103" operator="equal" aboveAverage="0" equalAverage="0" bottom="0" percent="0" rank="0" text="" dxfId="9">
      <formula>"OK"</formula>
    </cfRule>
    <cfRule type="cellIs" priority="104" operator="equal" aboveAverage="0" equalAverage="0" bottom="0" percent="0" rank="0" text="" dxfId="10">
      <formula>"Off"</formula>
    </cfRule>
    <cfRule type="cellIs" priority="105" operator="equal" aboveAverage="0" equalAverage="0" bottom="0" percent="0" rank="0" text="" dxfId="10">
      <formula>"Unused"</formula>
    </cfRule>
    <cfRule type="cellIs" priority="106" operator="equal" aboveAverage="0" equalAverage="0" bottom="0" percent="0" rank="0" text="" dxfId="10">
      <formula>"Excluded"</formula>
    </cfRule>
    <cfRule type="cellIs" priority="107" operator="equal" aboveAverage="0" equalAverage="0" bottom="0" percent="0" rank="0" text="" dxfId="19">
      <formula>"Step 4"</formula>
    </cfRule>
  </conditionalFormatting>
  <conditionalFormatting sqref="C132">
    <cfRule type="cellIs" priority="108" operator="equal" aboveAverage="0" equalAverage="0" bottom="0" percent="0" rank="0" text="" dxfId="8">
      <formula>"ERROR"</formula>
    </cfRule>
    <cfRule type="cellIs" priority="109" operator="equal" aboveAverage="0" equalAverage="0" bottom="0" percent="0" rank="0" text="" dxfId="9">
      <formula>"OK"</formula>
    </cfRule>
    <cfRule type="cellIs" priority="110" operator="equal" aboveAverage="0" equalAverage="0" bottom="0" percent="0" rank="0" text="" dxfId="10">
      <formula>"Off"</formula>
    </cfRule>
    <cfRule type="cellIs" priority="111" operator="equal" aboveAverage="0" equalAverage="0" bottom="0" percent="0" rank="0" text="" dxfId="10">
      <formula>"Unused"</formula>
    </cfRule>
    <cfRule type="cellIs" priority="112" operator="equal" aboveAverage="0" equalAverage="0" bottom="0" percent="0" rank="0" text="" dxfId="10">
      <formula>"Excluded"</formula>
    </cfRule>
    <cfRule type="cellIs" priority="113" operator="equal" aboveAverage="0" equalAverage="0" bottom="0" percent="0" rank="0" text="" dxfId="19">
      <formula>"Step 4"</formula>
    </cfRule>
  </conditionalFormatting>
  <conditionalFormatting sqref="C135">
    <cfRule type="cellIs" priority="114" operator="equal" aboveAverage="0" equalAverage="0" bottom="0" percent="0" rank="0" text="" dxfId="8">
      <formula>"ERROR"</formula>
    </cfRule>
    <cfRule type="cellIs" priority="115" operator="equal" aboveAverage="0" equalAverage="0" bottom="0" percent="0" rank="0" text="" dxfId="9">
      <formula>"OK"</formula>
    </cfRule>
    <cfRule type="cellIs" priority="116" operator="equal" aboveAverage="0" equalAverage="0" bottom="0" percent="0" rank="0" text="" dxfId="10">
      <formula>"Off"</formula>
    </cfRule>
    <cfRule type="cellIs" priority="117" operator="equal" aboveAverage="0" equalAverage="0" bottom="0" percent="0" rank="0" text="" dxfId="10">
      <formula>"Unused"</formula>
    </cfRule>
    <cfRule type="cellIs" priority="118" operator="equal" aboveAverage="0" equalAverage="0" bottom="0" percent="0" rank="0" text="" dxfId="10">
      <formula>"Excluded"</formula>
    </cfRule>
    <cfRule type="cellIs" priority="119" operator="equal" aboveAverage="0" equalAverage="0" bottom="0" percent="0" rank="0" text="" dxfId="19">
      <formula>"Step 4"</formula>
    </cfRule>
  </conditionalFormatting>
  <conditionalFormatting sqref="C138">
    <cfRule type="cellIs" priority="120" operator="equal" aboveAverage="0" equalAverage="0" bottom="0" percent="0" rank="0" text="" dxfId="8">
      <formula>"ERROR"</formula>
    </cfRule>
    <cfRule type="cellIs" priority="121" operator="equal" aboveAverage="0" equalAverage="0" bottom="0" percent="0" rank="0" text="" dxfId="9">
      <formula>"OK"</formula>
    </cfRule>
    <cfRule type="cellIs" priority="122" operator="equal" aboveAverage="0" equalAverage="0" bottom="0" percent="0" rank="0" text="" dxfId="10">
      <formula>"Off"</formula>
    </cfRule>
    <cfRule type="cellIs" priority="123" operator="equal" aboveAverage="0" equalAverage="0" bottom="0" percent="0" rank="0" text="" dxfId="10">
      <formula>"Unused"</formula>
    </cfRule>
    <cfRule type="cellIs" priority="124" operator="equal" aboveAverage="0" equalAverage="0" bottom="0" percent="0" rank="0" text="" dxfId="10">
      <formula>"Excluded"</formula>
    </cfRule>
    <cfRule type="cellIs" priority="125" operator="equal" aboveAverage="0" equalAverage="0" bottom="0" percent="0" rank="0" text="" dxfId="19">
      <formula>"Step 4"</formula>
    </cfRule>
  </conditionalFormatting>
  <conditionalFormatting sqref="C141">
    <cfRule type="cellIs" priority="126" operator="equal" aboveAverage="0" equalAverage="0" bottom="0" percent="0" rank="0" text="" dxfId="8">
      <formula>"ERROR"</formula>
    </cfRule>
    <cfRule type="cellIs" priority="127" operator="equal" aboveAverage="0" equalAverage="0" bottom="0" percent="0" rank="0" text="" dxfId="9">
      <formula>"OK"</formula>
    </cfRule>
    <cfRule type="cellIs" priority="128" operator="equal" aboveAverage="0" equalAverage="0" bottom="0" percent="0" rank="0" text="" dxfId="10">
      <formula>"Off"</formula>
    </cfRule>
    <cfRule type="cellIs" priority="129" operator="equal" aboveAverage="0" equalAverage="0" bottom="0" percent="0" rank="0" text="" dxfId="10">
      <formula>"Unused"</formula>
    </cfRule>
    <cfRule type="cellIs" priority="130" operator="equal" aboveAverage="0" equalAverage="0" bottom="0" percent="0" rank="0" text="" dxfId="10">
      <formula>"Excluded"</formula>
    </cfRule>
    <cfRule type="cellIs" priority="131" operator="equal" aboveAverage="0" equalAverage="0" bottom="0" percent="0" rank="0" text="" dxfId="19">
      <formula>"Step 4"</formula>
    </cfRule>
  </conditionalFormatting>
  <conditionalFormatting sqref="C144">
    <cfRule type="cellIs" priority="132" operator="equal" aboveAverage="0" equalAverage="0" bottom="0" percent="0" rank="0" text="" dxfId="8">
      <formula>"ERROR"</formula>
    </cfRule>
    <cfRule type="cellIs" priority="133" operator="equal" aboveAverage="0" equalAverage="0" bottom="0" percent="0" rank="0" text="" dxfId="9">
      <formula>"OK"</formula>
    </cfRule>
    <cfRule type="cellIs" priority="134" operator="equal" aboveAverage="0" equalAverage="0" bottom="0" percent="0" rank="0" text="" dxfId="10">
      <formula>"Off"</formula>
    </cfRule>
    <cfRule type="cellIs" priority="135" operator="equal" aboveAverage="0" equalAverage="0" bottom="0" percent="0" rank="0" text="" dxfId="10">
      <formula>"Unused"</formula>
    </cfRule>
    <cfRule type="cellIs" priority="136" operator="equal" aboveAverage="0" equalAverage="0" bottom="0" percent="0" rank="0" text="" dxfId="10">
      <formula>"Excluded"</formula>
    </cfRule>
    <cfRule type="cellIs" priority="137" operator="equal" aboveAverage="0" equalAverage="0" bottom="0" percent="0" rank="0" text="" dxfId="19">
      <formula>"Step 4"</formula>
    </cfRule>
  </conditionalFormatting>
  <conditionalFormatting sqref="C147">
    <cfRule type="cellIs" priority="138" operator="equal" aboveAverage="0" equalAverage="0" bottom="0" percent="0" rank="0" text="" dxfId="8">
      <formula>"ERROR"</formula>
    </cfRule>
    <cfRule type="cellIs" priority="139" operator="equal" aboveAverage="0" equalAverage="0" bottom="0" percent="0" rank="0" text="" dxfId="9">
      <formula>"OK"</formula>
    </cfRule>
    <cfRule type="cellIs" priority="140" operator="equal" aboveAverage="0" equalAverage="0" bottom="0" percent="0" rank="0" text="" dxfId="10">
      <formula>"Off"</formula>
    </cfRule>
    <cfRule type="cellIs" priority="141" operator="equal" aboveAverage="0" equalAverage="0" bottom="0" percent="0" rank="0" text="" dxfId="10">
      <formula>"Unused"</formula>
    </cfRule>
    <cfRule type="cellIs" priority="142" operator="equal" aboveAverage="0" equalAverage="0" bottom="0" percent="0" rank="0" text="" dxfId="10">
      <formula>"Excluded"</formula>
    </cfRule>
    <cfRule type="cellIs" priority="143" operator="equal" aboveAverage="0" equalAverage="0" bottom="0" percent="0" rank="0" text="" dxfId="19">
      <formula>"Step 4"</formula>
    </cfRule>
  </conditionalFormatting>
  <conditionalFormatting sqref="C150">
    <cfRule type="cellIs" priority="144" operator="equal" aboveAverage="0" equalAverage="0" bottom="0" percent="0" rank="0" text="" dxfId="8">
      <formula>"ERROR"</formula>
    </cfRule>
    <cfRule type="cellIs" priority="145" operator="equal" aboveAverage="0" equalAverage="0" bottom="0" percent="0" rank="0" text="" dxfId="9">
      <formula>"OK"</formula>
    </cfRule>
    <cfRule type="cellIs" priority="146" operator="equal" aboveAverage="0" equalAverage="0" bottom="0" percent="0" rank="0" text="" dxfId="10">
      <formula>"Off"</formula>
    </cfRule>
    <cfRule type="cellIs" priority="147" operator="equal" aboveAverage="0" equalAverage="0" bottom="0" percent="0" rank="0" text="" dxfId="10">
      <formula>"Unused"</formula>
    </cfRule>
    <cfRule type="cellIs" priority="148" operator="equal" aboveAverage="0" equalAverage="0" bottom="0" percent="0" rank="0" text="" dxfId="10">
      <formula>"Excluded"</formula>
    </cfRule>
    <cfRule type="cellIs" priority="149" operator="equal" aboveAverage="0" equalAverage="0" bottom="0" percent="0" rank="0" text="" dxfId="19">
      <formula>"Step 4"</formula>
    </cfRule>
  </conditionalFormatting>
  <conditionalFormatting sqref="C153">
    <cfRule type="cellIs" priority="150" operator="equal" aboveAverage="0" equalAverage="0" bottom="0" percent="0" rank="0" text="" dxfId="8">
      <formula>"ERROR"</formula>
    </cfRule>
    <cfRule type="cellIs" priority="151" operator="equal" aboveAverage="0" equalAverage="0" bottom="0" percent="0" rank="0" text="" dxfId="9">
      <formula>"OK"</formula>
    </cfRule>
    <cfRule type="cellIs" priority="152" operator="equal" aboveAverage="0" equalAverage="0" bottom="0" percent="0" rank="0" text="" dxfId="10">
      <formula>"Off"</formula>
    </cfRule>
    <cfRule type="cellIs" priority="153" operator="equal" aboveAverage="0" equalAverage="0" bottom="0" percent="0" rank="0" text="" dxfId="10">
      <formula>"Unused"</formula>
    </cfRule>
    <cfRule type="cellIs" priority="154" operator="equal" aboveAverage="0" equalAverage="0" bottom="0" percent="0" rank="0" text="" dxfId="10">
      <formula>"Excluded"</formula>
    </cfRule>
    <cfRule type="cellIs" priority="155" operator="equal" aboveAverage="0" equalAverage="0" bottom="0" percent="0" rank="0" text="" dxfId="19">
      <formula>"Step 4"</formula>
    </cfRule>
  </conditionalFormatting>
  <conditionalFormatting sqref="C156">
    <cfRule type="cellIs" priority="156" operator="equal" aboveAverage="0" equalAverage="0" bottom="0" percent="0" rank="0" text="" dxfId="8">
      <formula>"ERROR"</formula>
    </cfRule>
    <cfRule type="cellIs" priority="157" operator="equal" aboveAverage="0" equalAverage="0" bottom="0" percent="0" rank="0" text="" dxfId="9">
      <formula>"OK"</formula>
    </cfRule>
    <cfRule type="cellIs" priority="158" operator="equal" aboveAverage="0" equalAverage="0" bottom="0" percent="0" rank="0" text="" dxfId="10">
      <formula>"Off"</formula>
    </cfRule>
    <cfRule type="cellIs" priority="159" operator="equal" aboveAverage="0" equalAverage="0" bottom="0" percent="0" rank="0" text="" dxfId="10">
      <formula>"Unused"</formula>
    </cfRule>
    <cfRule type="cellIs" priority="160" operator="equal" aboveAverage="0" equalAverage="0" bottom="0" percent="0" rank="0" text="" dxfId="10">
      <formula>"Excluded"</formula>
    </cfRule>
    <cfRule type="cellIs" priority="161" operator="equal" aboveAverage="0" equalAverage="0" bottom="0" percent="0" rank="0" text="" dxfId="19">
      <formula>"Step 4"</formula>
    </cfRule>
  </conditionalFormatting>
  <conditionalFormatting sqref="C159">
    <cfRule type="cellIs" priority="162" operator="equal" aboveAverage="0" equalAverage="0" bottom="0" percent="0" rank="0" text="" dxfId="8">
      <formula>"ERROR"</formula>
    </cfRule>
    <cfRule type="cellIs" priority="163" operator="equal" aboveAverage="0" equalAverage="0" bottom="0" percent="0" rank="0" text="" dxfId="9">
      <formula>"OK"</formula>
    </cfRule>
    <cfRule type="cellIs" priority="164" operator="equal" aboveAverage="0" equalAverage="0" bottom="0" percent="0" rank="0" text="" dxfId="10">
      <formula>"Off"</formula>
    </cfRule>
    <cfRule type="cellIs" priority="165" operator="equal" aboveAverage="0" equalAverage="0" bottom="0" percent="0" rank="0" text="" dxfId="10">
      <formula>"Unused"</formula>
    </cfRule>
    <cfRule type="cellIs" priority="166" operator="equal" aboveAverage="0" equalAverage="0" bottom="0" percent="0" rank="0" text="" dxfId="10">
      <formula>"Excluded"</formula>
    </cfRule>
    <cfRule type="cellIs" priority="167" operator="equal" aboveAverage="0" equalAverage="0" bottom="0" percent="0" rank="0" text="" dxfId="19">
      <formula>"Step 4"</formula>
    </cfRule>
  </conditionalFormatting>
  <conditionalFormatting sqref="C162">
    <cfRule type="cellIs" priority="168" operator="equal" aboveAverage="0" equalAverage="0" bottom="0" percent="0" rank="0" text="" dxfId="8">
      <formula>"ERROR"</formula>
    </cfRule>
    <cfRule type="cellIs" priority="169" operator="equal" aboveAverage="0" equalAverage="0" bottom="0" percent="0" rank="0" text="" dxfId="9">
      <formula>"OK"</formula>
    </cfRule>
    <cfRule type="cellIs" priority="170" operator="equal" aboveAverage="0" equalAverage="0" bottom="0" percent="0" rank="0" text="" dxfId="10">
      <formula>"Off"</formula>
    </cfRule>
    <cfRule type="cellIs" priority="171" operator="equal" aboveAverage="0" equalAverage="0" bottom="0" percent="0" rank="0" text="" dxfId="10">
      <formula>"Unused"</formula>
    </cfRule>
    <cfRule type="cellIs" priority="172" operator="equal" aboveAverage="0" equalAverage="0" bottom="0" percent="0" rank="0" text="" dxfId="10">
      <formula>"Excluded"</formula>
    </cfRule>
    <cfRule type="cellIs" priority="173" operator="equal" aboveAverage="0" equalAverage="0" bottom="0" percent="0" rank="0" text="" dxfId="19">
      <formula>"Step 4"</formula>
    </cfRule>
  </conditionalFormatting>
  <conditionalFormatting sqref="C165">
    <cfRule type="cellIs" priority="174" operator="equal" aboveAverage="0" equalAverage="0" bottom="0" percent="0" rank="0" text="" dxfId="8">
      <formula>"ERROR"</formula>
    </cfRule>
    <cfRule type="cellIs" priority="175" operator="equal" aboveAverage="0" equalAverage="0" bottom="0" percent="0" rank="0" text="" dxfId="9">
      <formula>"OK"</formula>
    </cfRule>
    <cfRule type="cellIs" priority="176" operator="equal" aboveAverage="0" equalAverage="0" bottom="0" percent="0" rank="0" text="" dxfId="10">
      <formula>"Off"</formula>
    </cfRule>
    <cfRule type="cellIs" priority="177" operator="equal" aboveAverage="0" equalAverage="0" bottom="0" percent="0" rank="0" text="" dxfId="10">
      <formula>"Unused"</formula>
    </cfRule>
    <cfRule type="cellIs" priority="178" operator="equal" aboveAverage="0" equalAverage="0" bottom="0" percent="0" rank="0" text="" dxfId="10">
      <formula>"Excluded"</formula>
    </cfRule>
    <cfRule type="cellIs" priority="179" operator="equal" aboveAverage="0" equalAverage="0" bottom="0" percent="0" rank="0" text="" dxfId="19">
      <formula>"Step 4"</formula>
    </cfRule>
  </conditionalFormatting>
  <conditionalFormatting sqref="C168">
    <cfRule type="cellIs" priority="180" operator="equal" aboveAverage="0" equalAverage="0" bottom="0" percent="0" rank="0" text="" dxfId="8">
      <formula>"ERROR"</formula>
    </cfRule>
    <cfRule type="cellIs" priority="181" operator="equal" aboveAverage="0" equalAverage="0" bottom="0" percent="0" rank="0" text="" dxfId="9">
      <formula>"OK"</formula>
    </cfRule>
    <cfRule type="cellIs" priority="182" operator="equal" aboveAverage="0" equalAverage="0" bottom="0" percent="0" rank="0" text="" dxfId="10">
      <formula>"Off"</formula>
    </cfRule>
    <cfRule type="cellIs" priority="183" operator="equal" aboveAverage="0" equalAverage="0" bottom="0" percent="0" rank="0" text="" dxfId="10">
      <formula>"Unused"</formula>
    </cfRule>
    <cfRule type="cellIs" priority="184" operator="equal" aboveAverage="0" equalAverage="0" bottom="0" percent="0" rank="0" text="" dxfId="10">
      <formula>"Excluded"</formula>
    </cfRule>
    <cfRule type="cellIs" priority="185" operator="equal" aboveAverage="0" equalAverage="0" bottom="0" percent="0" rank="0" text="" dxfId="19">
      <formula>"Step 4"</formula>
    </cfRule>
  </conditionalFormatting>
  <conditionalFormatting sqref="C171">
    <cfRule type="cellIs" priority="186" operator="equal" aboveAverage="0" equalAverage="0" bottom="0" percent="0" rank="0" text="" dxfId="8">
      <formula>"ERROR"</formula>
    </cfRule>
    <cfRule type="cellIs" priority="187" operator="equal" aboveAverage="0" equalAverage="0" bottom="0" percent="0" rank="0" text="" dxfId="9">
      <formula>"OK"</formula>
    </cfRule>
    <cfRule type="cellIs" priority="188" operator="equal" aboveAverage="0" equalAverage="0" bottom="0" percent="0" rank="0" text="" dxfId="10">
      <formula>"Off"</formula>
    </cfRule>
    <cfRule type="cellIs" priority="189" operator="equal" aboveAverage="0" equalAverage="0" bottom="0" percent="0" rank="0" text="" dxfId="10">
      <formula>"Unused"</formula>
    </cfRule>
    <cfRule type="cellIs" priority="190" operator="equal" aboveAverage="0" equalAverage="0" bottom="0" percent="0" rank="0" text="" dxfId="10">
      <formula>"Excluded"</formula>
    </cfRule>
    <cfRule type="cellIs" priority="191" operator="equal" aboveAverage="0" equalAverage="0" bottom="0" percent="0" rank="0" text="" dxfId="19">
      <formula>"Step 4"</formula>
    </cfRule>
  </conditionalFormatting>
  <conditionalFormatting sqref="C174">
    <cfRule type="cellIs" priority="192" operator="equal" aboveAverage="0" equalAverage="0" bottom="0" percent="0" rank="0" text="" dxfId="8">
      <formula>"ERROR"</formula>
    </cfRule>
    <cfRule type="cellIs" priority="193" operator="equal" aboveAverage="0" equalAverage="0" bottom="0" percent="0" rank="0" text="" dxfId="9">
      <formula>"OK"</formula>
    </cfRule>
    <cfRule type="cellIs" priority="194" operator="equal" aboveAverage="0" equalAverage="0" bottom="0" percent="0" rank="0" text="" dxfId="10">
      <formula>"Off"</formula>
    </cfRule>
    <cfRule type="cellIs" priority="195" operator="equal" aboveAverage="0" equalAverage="0" bottom="0" percent="0" rank="0" text="" dxfId="10">
      <formula>"Unused"</formula>
    </cfRule>
    <cfRule type="cellIs" priority="196" operator="equal" aboveAverage="0" equalAverage="0" bottom="0" percent="0" rank="0" text="" dxfId="10">
      <formula>"Excluded"</formula>
    </cfRule>
    <cfRule type="cellIs" priority="197" operator="equal" aboveAverage="0" equalAverage="0" bottom="0" percent="0" rank="0" text="" dxfId="19">
      <formula>"Step 4"</formula>
    </cfRule>
  </conditionalFormatting>
  <conditionalFormatting sqref="C177">
    <cfRule type="cellIs" priority="198" operator="equal" aboveAverage="0" equalAverage="0" bottom="0" percent="0" rank="0" text="" dxfId="8">
      <formula>"ERROR"</formula>
    </cfRule>
    <cfRule type="cellIs" priority="199" operator="equal" aboveAverage="0" equalAverage="0" bottom="0" percent="0" rank="0" text="" dxfId="9">
      <formula>"OK"</formula>
    </cfRule>
    <cfRule type="cellIs" priority="200" operator="equal" aboveAverage="0" equalAverage="0" bottom="0" percent="0" rank="0" text="" dxfId="10">
      <formula>"Off"</formula>
    </cfRule>
    <cfRule type="cellIs" priority="201" operator="equal" aboveAverage="0" equalAverage="0" bottom="0" percent="0" rank="0" text="" dxfId="10">
      <formula>"Unused"</formula>
    </cfRule>
    <cfRule type="cellIs" priority="202" operator="equal" aboveAverage="0" equalAverage="0" bottom="0" percent="0" rank="0" text="" dxfId="10">
      <formula>"Excluded"</formula>
    </cfRule>
    <cfRule type="cellIs" priority="203" operator="equal" aboveAverage="0" equalAverage="0" bottom="0" percent="0" rank="0" text="" dxfId="19">
      <formula>"Step 4"</formula>
    </cfRule>
  </conditionalFormatting>
  <conditionalFormatting sqref="C180">
    <cfRule type="cellIs" priority="204" operator="equal" aboveAverage="0" equalAverage="0" bottom="0" percent="0" rank="0" text="" dxfId="8">
      <formula>"ERROR"</formula>
    </cfRule>
    <cfRule type="cellIs" priority="205" operator="equal" aboveAverage="0" equalAverage="0" bottom="0" percent="0" rank="0" text="" dxfId="9">
      <formula>"OK"</formula>
    </cfRule>
    <cfRule type="cellIs" priority="206" operator="equal" aboveAverage="0" equalAverage="0" bottom="0" percent="0" rank="0" text="" dxfId="10">
      <formula>"Off"</formula>
    </cfRule>
    <cfRule type="cellIs" priority="207" operator="equal" aboveAverage="0" equalAverage="0" bottom="0" percent="0" rank="0" text="" dxfId="10">
      <formula>"Unused"</formula>
    </cfRule>
    <cfRule type="cellIs" priority="208" operator="equal" aboveAverage="0" equalAverage="0" bottom="0" percent="0" rank="0" text="" dxfId="10">
      <formula>"Excluded"</formula>
    </cfRule>
    <cfRule type="cellIs" priority="209" operator="equal" aboveAverage="0" equalAverage="0" bottom="0" percent="0" rank="0" text="" dxfId="19">
      <formula>"Step 4"</formula>
    </cfRule>
  </conditionalFormatting>
  <conditionalFormatting sqref="C183">
    <cfRule type="cellIs" priority="210" operator="equal" aboveAverage="0" equalAverage="0" bottom="0" percent="0" rank="0" text="" dxfId="8">
      <formula>"ERROR"</formula>
    </cfRule>
    <cfRule type="cellIs" priority="211" operator="equal" aboveAverage="0" equalAverage="0" bottom="0" percent="0" rank="0" text="" dxfId="9">
      <formula>"OK"</formula>
    </cfRule>
    <cfRule type="cellIs" priority="212" operator="equal" aboveAverage="0" equalAverage="0" bottom="0" percent="0" rank="0" text="" dxfId="10">
      <formula>"Off"</formula>
    </cfRule>
    <cfRule type="cellIs" priority="213" operator="equal" aboveAverage="0" equalAverage="0" bottom="0" percent="0" rank="0" text="" dxfId="10">
      <formula>"Unused"</formula>
    </cfRule>
    <cfRule type="cellIs" priority="214" operator="equal" aboveAverage="0" equalAverage="0" bottom="0" percent="0" rank="0" text="" dxfId="10">
      <formula>"Excluded"</formula>
    </cfRule>
    <cfRule type="cellIs" priority="215" operator="equal" aboveAverage="0" equalAverage="0" bottom="0" percent="0" rank="0" text="" dxfId="19">
      <formula>"Step 4"</formula>
    </cfRule>
  </conditionalFormatting>
  <conditionalFormatting sqref="D18:AQ193">
    <cfRule type="cellIs" priority="216" operator="greaterThan" aboveAverage="0" equalAverage="0" bottom="0" percent="0" rank="0" text="" dxfId="2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AQ4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3" min="4" style="0" width="10"/>
  </cols>
  <sheetData>
    <row r="2" customFormat="false" ht="19.7" hidden="false" customHeight="false" outlineLevel="0" collapsed="false">
      <c r="B2" s="1" t="s">
        <v>698</v>
      </c>
    </row>
    <row r="3" customFormat="false" ht="15" hidden="false" customHeight="false" outlineLevel="0" collapsed="false">
      <c r="B3" s="2" t="s">
        <v>699</v>
      </c>
      <c r="C3" s="34" t="str">
        <f aca="false">IF(COUNTIF(C458:C464,"ERROR")=0,"OK","ERROR")</f>
        <v>OK</v>
      </c>
    </row>
    <row r="4" customFormat="false" ht="15" hidden="false" customHeight="false" outlineLevel="0" collapsed="false">
      <c r="B4" s="17" t="s">
        <v>700</v>
      </c>
    </row>
    <row r="6" customFormat="false" ht="15" hidden="false" customHeight="false" outlineLevel="0" collapsed="false">
      <c r="B6" s="112" t="s">
        <v>186</v>
      </c>
      <c r="C6" s="102" t="s">
        <v>662</v>
      </c>
      <c r="D6" s="113" t="str">
        <f aca="false">TIMELINE!D8</f>
        <v>Q1</v>
      </c>
      <c r="E6" s="113" t="str">
        <f aca="false">TIMELINE!E8</f>
        <v>Q2</v>
      </c>
      <c r="F6" s="113" t="str">
        <f aca="false">TIMELINE!F8</f>
        <v>Q3</v>
      </c>
      <c r="G6" s="113" t="str">
        <f aca="false">TIMELINE!G8</f>
        <v>Q4</v>
      </c>
      <c r="H6" s="113" t="str">
        <f aca="false">TIMELINE!H8</f>
        <v>Q5</v>
      </c>
      <c r="I6" s="113" t="str">
        <f aca="false">TIMELINE!I8</f>
        <v>Q6</v>
      </c>
      <c r="J6" s="113" t="str">
        <f aca="false">TIMELINE!J8</f>
        <v>Q7</v>
      </c>
      <c r="K6" s="113" t="str">
        <f aca="false">TIMELINE!K8</f>
        <v>Q8</v>
      </c>
      <c r="L6" s="113" t="str">
        <f aca="false">TIMELINE!L8</f>
        <v>Q9</v>
      </c>
      <c r="M6" s="113" t="str">
        <f aca="false">TIMELINE!M8</f>
        <v>Q10</v>
      </c>
      <c r="N6" s="113" t="str">
        <f aca="false">TIMELINE!N8</f>
        <v>Q11</v>
      </c>
      <c r="O6" s="113" t="str">
        <f aca="false">TIMELINE!O8</f>
        <v>Q12</v>
      </c>
      <c r="P6" s="113" t="str">
        <f aca="false">TIMELINE!P8</f>
        <v>Q13</v>
      </c>
      <c r="Q6" s="113" t="str">
        <f aca="false">TIMELINE!Q8</f>
        <v>Q14</v>
      </c>
      <c r="R6" s="113" t="str">
        <f aca="false">TIMELINE!R8</f>
        <v>Q15</v>
      </c>
      <c r="S6" s="113" t="str">
        <f aca="false">TIMELINE!S8</f>
        <v>Q16</v>
      </c>
      <c r="T6" s="113" t="str">
        <f aca="false">TIMELINE!T8</f>
        <v>Q17</v>
      </c>
      <c r="U6" s="113" t="str">
        <f aca="false">TIMELINE!U8</f>
        <v>Q18</v>
      </c>
      <c r="V6" s="113" t="str">
        <f aca="false">TIMELINE!V8</f>
        <v>Q19</v>
      </c>
      <c r="W6" s="113" t="str">
        <f aca="false">TIMELINE!W8</f>
        <v>Q20</v>
      </c>
      <c r="X6" s="113" t="str">
        <f aca="false">TIMELINE!X8</f>
        <v>Q21</v>
      </c>
      <c r="Y6" s="113" t="str">
        <f aca="false">TIMELINE!Y8</f>
        <v>Q22</v>
      </c>
      <c r="Z6" s="113" t="str">
        <f aca="false">TIMELINE!Z8</f>
        <v>Q23</v>
      </c>
      <c r="AA6" s="113" t="str">
        <f aca="false">TIMELINE!AA8</f>
        <v>Q24</v>
      </c>
      <c r="AB6" s="113" t="str">
        <f aca="false">TIMELINE!AB8</f>
        <v>Q25</v>
      </c>
      <c r="AC6" s="113" t="str">
        <f aca="false">TIMELINE!AC8</f>
        <v>Q26</v>
      </c>
      <c r="AD6" s="113" t="str">
        <f aca="false">TIMELINE!AD8</f>
        <v>Q27</v>
      </c>
      <c r="AE6" s="113" t="str">
        <f aca="false">TIMELINE!AE8</f>
        <v>Q28</v>
      </c>
      <c r="AF6" s="113" t="str">
        <f aca="false">TIMELINE!AF8</f>
        <v>Q29</v>
      </c>
      <c r="AG6" s="113" t="str">
        <f aca="false">TIMELINE!AG8</f>
        <v>Q30</v>
      </c>
      <c r="AH6" s="113" t="str">
        <f aca="false">TIMELINE!AH8</f>
        <v>Q31</v>
      </c>
      <c r="AI6" s="113" t="str">
        <f aca="false">TIMELINE!AI8</f>
        <v>Q32</v>
      </c>
      <c r="AJ6" s="113" t="str">
        <f aca="false">TIMELINE!AJ8</f>
        <v>Q33</v>
      </c>
      <c r="AK6" s="113" t="str">
        <f aca="false">TIMELINE!AK8</f>
        <v>Q34</v>
      </c>
      <c r="AL6" s="113" t="str">
        <f aca="false">TIMELINE!AL8</f>
        <v>Q35</v>
      </c>
      <c r="AM6" s="113" t="str">
        <f aca="false">TIMELINE!AM8</f>
        <v>Q36</v>
      </c>
      <c r="AN6" s="113" t="str">
        <f aca="false">TIMELINE!AN8</f>
        <v>Q37</v>
      </c>
      <c r="AO6" s="113" t="str">
        <f aca="false">TIMELINE!AO8</f>
        <v>Q38</v>
      </c>
      <c r="AP6" s="113" t="str">
        <f aca="false">TIMELINE!AP8</f>
        <v>Q39</v>
      </c>
      <c r="AQ6" s="113" t="str">
        <f aca="false">TIMELINE!AQ8</f>
        <v>Q40</v>
      </c>
    </row>
    <row r="7" customFormat="false" ht="15" hidden="false" customHeight="false" outlineLevel="0" collapsed="false">
      <c r="B7" s="17" t="s">
        <v>701</v>
      </c>
      <c r="D7" s="120" t="n">
        <f aca="false">TIMELINE!D7</f>
        <v>1</v>
      </c>
      <c r="E7" s="120" t="n">
        <f aca="false">TIMELINE!E7</f>
        <v>2</v>
      </c>
      <c r="F7" s="120" t="n">
        <f aca="false">TIMELINE!F7</f>
        <v>3</v>
      </c>
      <c r="G7" s="120" t="n">
        <f aca="false">TIMELINE!G7</f>
        <v>4</v>
      </c>
      <c r="H7" s="120" t="n">
        <f aca="false">TIMELINE!H7</f>
        <v>5</v>
      </c>
      <c r="I7" s="120" t="n">
        <f aca="false">TIMELINE!I7</f>
        <v>6</v>
      </c>
      <c r="J7" s="120" t="n">
        <f aca="false">TIMELINE!J7</f>
        <v>7</v>
      </c>
      <c r="K7" s="120" t="n">
        <f aca="false">TIMELINE!K7</f>
        <v>8</v>
      </c>
      <c r="L7" s="120" t="n">
        <f aca="false">TIMELINE!L7</f>
        <v>9</v>
      </c>
      <c r="M7" s="120" t="n">
        <f aca="false">TIMELINE!M7</f>
        <v>10</v>
      </c>
      <c r="N7" s="120" t="n">
        <f aca="false">TIMELINE!N7</f>
        <v>11</v>
      </c>
      <c r="O7" s="120" t="n">
        <f aca="false">TIMELINE!O7</f>
        <v>12</v>
      </c>
      <c r="P7" s="120" t="n">
        <f aca="false">TIMELINE!P7</f>
        <v>13</v>
      </c>
      <c r="Q7" s="120" t="n">
        <f aca="false">TIMELINE!Q7</f>
        <v>14</v>
      </c>
      <c r="R7" s="120" t="n">
        <f aca="false">TIMELINE!R7</f>
        <v>15</v>
      </c>
      <c r="S7" s="120" t="n">
        <f aca="false">TIMELINE!S7</f>
        <v>16</v>
      </c>
      <c r="T7" s="120" t="n">
        <f aca="false">TIMELINE!T7</f>
        <v>17</v>
      </c>
      <c r="U7" s="120" t="n">
        <f aca="false">TIMELINE!U7</f>
        <v>18</v>
      </c>
      <c r="V7" s="120" t="n">
        <f aca="false">TIMELINE!V7</f>
        <v>19</v>
      </c>
      <c r="W7" s="120" t="n">
        <f aca="false">TIMELINE!W7</f>
        <v>20</v>
      </c>
      <c r="X7" s="120" t="n">
        <f aca="false">TIMELINE!X7</f>
        <v>21</v>
      </c>
      <c r="Y7" s="120" t="n">
        <f aca="false">TIMELINE!Y7</f>
        <v>22</v>
      </c>
      <c r="Z7" s="120" t="n">
        <f aca="false">TIMELINE!Z7</f>
        <v>23</v>
      </c>
      <c r="AA7" s="120" t="n">
        <f aca="false">TIMELINE!AA7</f>
        <v>24</v>
      </c>
      <c r="AB7" s="120" t="n">
        <f aca="false">TIMELINE!AB7</f>
        <v>25</v>
      </c>
      <c r="AC7" s="120" t="n">
        <f aca="false">TIMELINE!AC7</f>
        <v>26</v>
      </c>
      <c r="AD7" s="120" t="n">
        <f aca="false">TIMELINE!AD7</f>
        <v>27</v>
      </c>
      <c r="AE7" s="120" t="n">
        <f aca="false">TIMELINE!AE7</f>
        <v>28</v>
      </c>
      <c r="AF7" s="120" t="n">
        <f aca="false">TIMELINE!AF7</f>
        <v>29</v>
      </c>
      <c r="AG7" s="120" t="n">
        <f aca="false">TIMELINE!AG7</f>
        <v>30</v>
      </c>
      <c r="AH7" s="120" t="n">
        <f aca="false">TIMELINE!AH7</f>
        <v>31</v>
      </c>
      <c r="AI7" s="120" t="n">
        <f aca="false">TIMELINE!AI7</f>
        <v>32</v>
      </c>
      <c r="AJ7" s="120" t="n">
        <f aca="false">TIMELINE!AJ7</f>
        <v>33</v>
      </c>
      <c r="AK7" s="120" t="n">
        <f aca="false">TIMELINE!AK7</f>
        <v>34</v>
      </c>
      <c r="AL7" s="120" t="n">
        <f aca="false">TIMELINE!AL7</f>
        <v>35</v>
      </c>
      <c r="AM7" s="120" t="n">
        <f aca="false">TIMELINE!AM7</f>
        <v>36</v>
      </c>
      <c r="AN7" s="120" t="n">
        <f aca="false">TIMELINE!AN7</f>
        <v>37</v>
      </c>
      <c r="AO7" s="120" t="n">
        <f aca="false">TIMELINE!AO7</f>
        <v>38</v>
      </c>
      <c r="AP7" s="120" t="n">
        <f aca="false">TIMELINE!AP7</f>
        <v>39</v>
      </c>
      <c r="AQ7" s="120" t="n">
        <f aca="false">TIMELINE!AQ7</f>
        <v>40</v>
      </c>
    </row>
    <row r="8" customFormat="false" ht="15" hidden="false" customHeight="false" outlineLevel="0" collapsed="false">
      <c r="B8" s="17" t="s">
        <v>663</v>
      </c>
      <c r="D8" s="114" t="n">
        <f aca="false">TIMELINE!D9</f>
        <v>46568</v>
      </c>
      <c r="E8" s="114" t="n">
        <f aca="false">TIMELINE!E9</f>
        <v>46660</v>
      </c>
      <c r="F8" s="114" t="n">
        <f aca="false">TIMELINE!F9</f>
        <v>46752</v>
      </c>
      <c r="G8" s="114" t="n">
        <f aca="false">TIMELINE!G9</f>
        <v>46843</v>
      </c>
      <c r="H8" s="114" t="n">
        <f aca="false">TIMELINE!H9</f>
        <v>46934</v>
      </c>
      <c r="I8" s="114" t="n">
        <f aca="false">TIMELINE!I9</f>
        <v>47026</v>
      </c>
      <c r="J8" s="114" t="n">
        <f aca="false">TIMELINE!J9</f>
        <v>47118</v>
      </c>
      <c r="K8" s="114" t="n">
        <f aca="false">TIMELINE!K9</f>
        <v>47208</v>
      </c>
      <c r="L8" s="114" t="n">
        <f aca="false">TIMELINE!L9</f>
        <v>47299</v>
      </c>
      <c r="M8" s="114" t="n">
        <f aca="false">TIMELINE!M9</f>
        <v>47391</v>
      </c>
      <c r="N8" s="114" t="n">
        <f aca="false">TIMELINE!N9</f>
        <v>47483</v>
      </c>
      <c r="O8" s="114" t="n">
        <f aca="false">TIMELINE!O9</f>
        <v>47573</v>
      </c>
      <c r="P8" s="114" t="n">
        <f aca="false">TIMELINE!P9</f>
        <v>47664</v>
      </c>
      <c r="Q8" s="114" t="n">
        <f aca="false">TIMELINE!Q9</f>
        <v>47756</v>
      </c>
      <c r="R8" s="114" t="n">
        <f aca="false">TIMELINE!R9</f>
        <v>47848</v>
      </c>
      <c r="S8" s="114" t="n">
        <f aca="false">TIMELINE!S9</f>
        <v>47938</v>
      </c>
      <c r="T8" s="114" t="n">
        <f aca="false">TIMELINE!T9</f>
        <v>48029</v>
      </c>
      <c r="U8" s="114" t="n">
        <f aca="false">TIMELINE!U9</f>
        <v>48121</v>
      </c>
      <c r="V8" s="114" t="n">
        <f aca="false">TIMELINE!V9</f>
        <v>48213</v>
      </c>
      <c r="W8" s="114" t="n">
        <f aca="false">TIMELINE!W9</f>
        <v>48304</v>
      </c>
      <c r="X8" s="114" t="n">
        <f aca="false">TIMELINE!X9</f>
        <v>48395</v>
      </c>
      <c r="Y8" s="114" t="n">
        <f aca="false">TIMELINE!Y9</f>
        <v>48487</v>
      </c>
      <c r="Z8" s="114" t="n">
        <f aca="false">TIMELINE!Z9</f>
        <v>48579</v>
      </c>
      <c r="AA8" s="114" t="n">
        <f aca="false">TIMELINE!AA9</f>
        <v>48669</v>
      </c>
      <c r="AB8" s="114" t="n">
        <f aca="false">TIMELINE!AB9</f>
        <v>48760</v>
      </c>
      <c r="AC8" s="114" t="n">
        <f aca="false">TIMELINE!AC9</f>
        <v>48852</v>
      </c>
      <c r="AD8" s="114" t="n">
        <f aca="false">TIMELINE!AD9</f>
        <v>48944</v>
      </c>
      <c r="AE8" s="114" t="n">
        <f aca="false">TIMELINE!AE9</f>
        <v>49034</v>
      </c>
      <c r="AF8" s="114" t="n">
        <f aca="false">TIMELINE!AF9</f>
        <v>49125</v>
      </c>
      <c r="AG8" s="114" t="n">
        <f aca="false">TIMELINE!AG9</f>
        <v>49217</v>
      </c>
      <c r="AH8" s="114" t="n">
        <f aca="false">TIMELINE!AH9</f>
        <v>49309</v>
      </c>
      <c r="AI8" s="114" t="n">
        <f aca="false">TIMELINE!AI9</f>
        <v>49399</v>
      </c>
      <c r="AJ8" s="114" t="n">
        <f aca="false">TIMELINE!AJ9</f>
        <v>49490</v>
      </c>
      <c r="AK8" s="114" t="n">
        <f aca="false">TIMELINE!AK9</f>
        <v>49582</v>
      </c>
      <c r="AL8" s="114" t="n">
        <f aca="false">TIMELINE!AL9</f>
        <v>49674</v>
      </c>
      <c r="AM8" s="114" t="n">
        <f aca="false">TIMELINE!AM9</f>
        <v>49765</v>
      </c>
      <c r="AN8" s="114" t="n">
        <f aca="false">TIMELINE!AN9</f>
        <v>49856</v>
      </c>
      <c r="AO8" s="114" t="n">
        <f aca="false">TIMELINE!AO9</f>
        <v>49948</v>
      </c>
      <c r="AP8" s="114" t="n">
        <f aca="false">TIMELINE!AP9</f>
        <v>50040</v>
      </c>
      <c r="AQ8" s="114" t="n">
        <f aca="false">TIMELINE!AQ9</f>
        <v>50130</v>
      </c>
    </row>
    <row r="10" customFormat="false" ht="19.5" hidden="false" customHeight="true" outlineLevel="0" collapsed="false">
      <c r="B10" s="4" t="s">
        <v>702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customFormat="false" ht="15" hidden="false" customHeight="false" outlineLevel="0" collapsed="false">
      <c r="B11" s="17" t="s">
        <v>703</v>
      </c>
    </row>
    <row r="12" customFormat="false" ht="30" hidden="false" customHeight="true" outlineLevel="0" collapsed="false">
      <c r="B12" s="27" t="s">
        <v>704</v>
      </c>
      <c r="C12" s="27" t="s">
        <v>510</v>
      </c>
      <c r="D12" s="27" t="s">
        <v>511</v>
      </c>
      <c r="E12" s="27" t="s">
        <v>705</v>
      </c>
      <c r="F12" s="27" t="s">
        <v>706</v>
      </c>
      <c r="G12" s="27" t="s">
        <v>707</v>
      </c>
    </row>
    <row r="13" customFormat="false" ht="15" hidden="false" customHeight="false" outlineLevel="0" collapsed="false">
      <c r="B13" s="110" t="str">
        <f aca="false">IF(INPUTS!$E$88="Yes",INPUTS!$B$88&amp;"   →   "&amp;INPUTS!$L$88,"Product row 1 (off)")</f>
        <v>Villas   →   CLP – Villa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</row>
    <row r="14" customFormat="false" ht="15" hidden="false" customHeight="false" outlineLevel="0" collapsed="false">
      <c r="B14" s="121" t="str">
        <f aca="false">IF(INPUTS!$E$88&lt;&gt;"Yes","",IFERROR(CHOOSE(MATCH(INPUTS!$L$88,LISTS!$R$5:$R$10,0),INPUTS!$B$219,INPUTS!$B$253,INPUTS!$B$287,INPUTS!$B$321,INPUTS!$B$355,INPUTS!$B$389),"")&amp;"")</f>
        <v>Earnest money</v>
      </c>
      <c r="C14" s="122" t="str">
        <f aca="false">IF(INPUTS!$E$88&lt;&gt;"Yes","",IFERROR(CHOOSE(MATCH(INPUTS!$L$88,LISTS!$R$5:$R$10,0),INPUTS!$C$219,INPUTS!$C$253,INPUTS!$C$287,INPUTS!$C$321,INPUTS!$C$355,INPUTS!$C$389),"")&amp;"")</f>
        <v>Booking + quarters</v>
      </c>
      <c r="D14" s="123" t="n">
        <f aca="false">IF(INPUTS!$E$88&lt;&gt;"Yes",0,N(IFERROR(CHOOSE(MATCH(INPUTS!$L$88,LISTS!$R$5:$R$10,0),INPUTS!$D$219,INPUTS!$D$253,INPUTS!$D$287,INPUTS!$D$321,INPUTS!$D$355,INPUTS!$D$389),"")))</f>
        <v>0</v>
      </c>
      <c r="E14" s="124" t="n">
        <f aca="false">IF(INPUTS!$E$88&lt;&gt;"Yes",0,N(IFERROR(CHOOSE(MATCH(INPUTS!$L$88,LISTS!$R$5:$R$10,0),INPUTS!$E$219,INPUTS!$E$253,INPUTS!$E$287,INPUTS!$E$321,INPUTS!$E$355,INPUTS!$E$389),"")))</f>
        <v>0.1</v>
      </c>
      <c r="F14" s="125" t="str">
        <f aca="false">IF(AND(C14="Construction % complete",E14&gt;0),MAX(COUNTIF(CURVES!$D$41:$AQ$41,"&lt;"&amp;(D14-0.000000001))+1,INPUTS!$R$88),"")</f>
        <v/>
      </c>
      <c r="G14" s="126" t="str">
        <f aca="false">IF(E14=0,"",IF(C14="Booking + quarters",IF(D14=0,"at booking",D14&amp;" qtr(s) after booking"),IF(F14&gt;INPUTS!$C$24,"NOT REACHED in model","construction "&amp;TEXT(D14,"0%")&amp;" reached in Q"&amp;F14)))</f>
        <v>at booking</v>
      </c>
      <c r="H14" s="126"/>
      <c r="I14" s="126"/>
      <c r="J14" s="126"/>
      <c r="K14" s="126"/>
      <c r="L14" s="126"/>
    </row>
    <row r="15" customFormat="false" ht="15" hidden="false" customHeight="false" outlineLevel="0" collapsed="false">
      <c r="B15" s="121" t="str">
        <f aca="false">IF(INPUTS!$E$88&lt;&gt;"Yes","",IFERROR(CHOOSE(MATCH(INPUTS!$L$88,LISTS!$R$5:$R$10,0),INPUTS!$B$220,INPUTS!$B$254,INPUTS!$B$288,INPUTS!$B$322,INPUTS!$B$356,INPUTS!$B$390),"")&amp;"")</f>
        <v>Agreement to sell (ATS)</v>
      </c>
      <c r="C15" s="122" t="str">
        <f aca="false">IF(INPUTS!$E$88&lt;&gt;"Yes","",IFERROR(CHOOSE(MATCH(INPUTS!$L$88,LISTS!$R$5:$R$10,0),INPUTS!$C$220,INPUTS!$C$254,INPUTS!$C$288,INPUTS!$C$322,INPUTS!$C$356,INPUTS!$C$390),"")&amp;"")</f>
        <v>Booking + quarters</v>
      </c>
      <c r="D15" s="123" t="n">
        <f aca="false">IF(INPUTS!$E$88&lt;&gt;"Yes",0,N(IFERROR(CHOOSE(MATCH(INPUTS!$L$88,LISTS!$R$5:$R$10,0),INPUTS!$D$220,INPUTS!$D$254,INPUTS!$D$288,INPUTS!$D$322,INPUTS!$D$356,INPUTS!$D$390),"")))</f>
        <v>1</v>
      </c>
      <c r="E15" s="124" t="n">
        <f aca="false">IF(INPUTS!$E$88&lt;&gt;"Yes",0,N(IFERROR(CHOOSE(MATCH(INPUTS!$L$88,LISTS!$R$5:$R$10,0),INPUTS!$E$220,INPUTS!$E$254,INPUTS!$E$288,INPUTS!$E$322,INPUTS!$E$356,INPUTS!$E$390),"")))</f>
        <v>0.1</v>
      </c>
      <c r="F15" s="125" t="str">
        <f aca="false">IF(AND(C15="Construction % complete",E15&gt;0),MAX(COUNTIF(CURVES!$D$41:$AQ$41,"&lt;"&amp;(D15-0.000000001))+1,INPUTS!$R$88),"")</f>
        <v/>
      </c>
      <c r="G15" s="126" t="str">
        <f aca="false">IF(E15=0,"",IF(C15="Booking + quarters",IF(D15=0,"at booking",D15&amp;" qtr(s) after booking"),IF(F15&gt;INPUTS!$C$24,"NOT REACHED in model","construction "&amp;TEXT(D15,"0%")&amp;" reached in Q"&amp;F15)))</f>
        <v>1 qtr(s) after booking</v>
      </c>
      <c r="H15" s="126"/>
      <c r="I15" s="126"/>
      <c r="J15" s="126"/>
      <c r="K15" s="126"/>
      <c r="L15" s="126"/>
    </row>
    <row r="16" customFormat="false" ht="15" hidden="false" customHeight="false" outlineLevel="0" collapsed="false">
      <c r="B16" s="121" t="str">
        <f aca="false">IF(INPUTS!$E$88&lt;&gt;"Yes","",IFERROR(CHOOSE(MATCH(INPUTS!$L$88,LISTS!$R$5:$R$10,0),INPUTS!$B$221,INPUTS!$B$255,INPUTS!$B$289,INPUTS!$B$323,INPUTS!$B$357,INPUTS!$B$391),"")&amp;"")</f>
        <v>Commencement of construction</v>
      </c>
      <c r="C16" s="122" t="str">
        <f aca="false">IF(INPUTS!$E$88&lt;&gt;"Yes","",IFERROR(CHOOSE(MATCH(INPUTS!$L$88,LISTS!$R$5:$R$10,0),INPUTS!$C$221,INPUTS!$C$255,INPUTS!$C$289,INPUTS!$C$323,INPUTS!$C$357,INPUTS!$C$391),"")&amp;"")</f>
        <v>Construction % complete</v>
      </c>
      <c r="D16" s="123" t="n">
        <f aca="false">IF(INPUTS!$E$88&lt;&gt;"Yes",0,N(IFERROR(CHOOSE(MATCH(INPUTS!$L$88,LISTS!$R$5:$R$10,0),INPUTS!$D$221,INPUTS!$D$255,INPUTS!$D$289,INPUTS!$D$323,INPUTS!$D$357,INPUTS!$D$391),"")))</f>
        <v>0.05</v>
      </c>
      <c r="E16" s="124" t="n">
        <f aca="false">IF(INPUTS!$E$88&lt;&gt;"Yes",0,N(IFERROR(CHOOSE(MATCH(INPUTS!$L$88,LISTS!$R$5:$R$10,0),INPUTS!$E$221,INPUTS!$E$255,INPUTS!$E$289,INPUTS!$E$323,INPUTS!$E$357,INPUTS!$E$391),"")))</f>
        <v>0.1</v>
      </c>
      <c r="F16" s="125" t="n">
        <f aca="false">IF(AND(C16="Construction % complete",E16&gt;0),MAX(COUNTIF(CURVES!$D$41:$AQ$41,"&lt;"&amp;(D16-0.000000001))+1,INPUTS!$R$88),"")</f>
        <v>5</v>
      </c>
      <c r="G16" s="126" t="str">
        <f aca="false">IF(E16=0,"",IF(C16="Booking + quarters",IF(D16=0,"at booking",D16&amp;" qtr(s) after booking"),IF(F16&gt;INPUTS!$C$24,"NOT REACHED in model","construction "&amp;TEXT(D16,"0%")&amp;" reached in Q"&amp;F16)))</f>
        <v>construction 5% reached in Q5</v>
      </c>
      <c r="H16" s="126"/>
      <c r="I16" s="126"/>
      <c r="J16" s="126"/>
      <c r="K16" s="126"/>
      <c r="L16" s="126"/>
    </row>
    <row r="17" customFormat="false" ht="15" hidden="false" customHeight="false" outlineLevel="0" collapsed="false">
      <c r="B17" s="121" t="str">
        <f aca="false">IF(INPUTS!$E$88&lt;&gt;"Yes","",IFERROR(CHOOSE(MATCH(INPUTS!$L$88,LISTS!$R$5:$R$10,0),INPUTS!$B$222,INPUTS!$B$256,INPUTS!$B$290,INPUTS!$B$324,INPUTS!$B$358,INPUTS!$B$392),"")&amp;"")</f>
        <v>Ground plinth</v>
      </c>
      <c r="C17" s="122" t="str">
        <f aca="false">IF(INPUTS!$E$88&lt;&gt;"Yes","",IFERROR(CHOOSE(MATCH(INPUTS!$L$88,LISTS!$R$5:$R$10,0),INPUTS!$C$222,INPUTS!$C$256,INPUTS!$C$290,INPUTS!$C$324,INPUTS!$C$358,INPUTS!$C$392),"")&amp;"")</f>
        <v>Construction % complete</v>
      </c>
      <c r="D17" s="123" t="n">
        <f aca="false">IF(INPUTS!$E$88&lt;&gt;"Yes",0,N(IFERROR(CHOOSE(MATCH(INPUTS!$L$88,LISTS!$R$5:$R$10,0),INPUTS!$D$222,INPUTS!$D$256,INPUTS!$D$290,INPUTS!$D$324,INPUTS!$D$358,INPUTS!$D$392),"")))</f>
        <v>0.15</v>
      </c>
      <c r="E17" s="124" t="n">
        <f aca="false">IF(INPUTS!$E$88&lt;&gt;"Yes",0,N(IFERROR(CHOOSE(MATCH(INPUTS!$L$88,LISTS!$R$5:$R$10,0),INPUTS!$E$222,INPUTS!$E$256,INPUTS!$E$290,INPUTS!$E$324,INPUTS!$E$358,INPUTS!$E$392),"")))</f>
        <v>0.1</v>
      </c>
      <c r="F17" s="125" t="n">
        <f aca="false">IF(AND(C17="Construction % complete",E17&gt;0),MAX(COUNTIF(CURVES!$D$41:$AQ$41,"&lt;"&amp;(D17-0.000000001))+1,INPUTS!$R$88),"")</f>
        <v>7</v>
      </c>
      <c r="G17" s="126" t="str">
        <f aca="false">IF(E17=0,"",IF(C17="Booking + quarters",IF(D17=0,"at booking",D17&amp;" qtr(s) after booking"),IF(F17&gt;INPUTS!$C$24,"NOT REACHED in model","construction "&amp;TEXT(D17,"0%")&amp;" reached in Q"&amp;F17)))</f>
        <v>construction 15% reached in Q7</v>
      </c>
      <c r="H17" s="126"/>
      <c r="I17" s="126"/>
      <c r="J17" s="126"/>
      <c r="K17" s="126"/>
      <c r="L17" s="126"/>
    </row>
    <row r="18" customFormat="false" ht="15" hidden="false" customHeight="false" outlineLevel="0" collapsed="false">
      <c r="B18" s="121" t="str">
        <f aca="false">IF(INPUTS!$E$88&lt;&gt;"Yes","",IFERROR(CHOOSE(MATCH(INPUTS!$L$88,LISTS!$R$5:$R$10,0),INPUTS!$B$223,INPUTS!$B$257,INPUTS!$B$291,INPUTS!$B$325,INPUTS!$B$359,INPUTS!$B$393),"")&amp;"")</f>
        <v>First floor roof casting</v>
      </c>
      <c r="C18" s="122" t="str">
        <f aca="false">IF(INPUTS!$E$88&lt;&gt;"Yes","",IFERROR(CHOOSE(MATCH(INPUTS!$L$88,LISTS!$R$5:$R$10,0),INPUTS!$C$223,INPUTS!$C$257,INPUTS!$C$291,INPUTS!$C$325,INPUTS!$C$359,INPUTS!$C$393),"")&amp;"")</f>
        <v>Construction % complete</v>
      </c>
      <c r="D18" s="123" t="n">
        <f aca="false">IF(INPUTS!$E$88&lt;&gt;"Yes",0,N(IFERROR(CHOOSE(MATCH(INPUTS!$L$88,LISTS!$R$5:$R$10,0),INPUTS!$D$223,INPUTS!$D$257,INPUTS!$D$291,INPUTS!$D$325,INPUTS!$D$359,INPUTS!$D$393),"")))</f>
        <v>0.35</v>
      </c>
      <c r="E18" s="124" t="n">
        <f aca="false">IF(INPUTS!$E$88&lt;&gt;"Yes",0,N(IFERROR(CHOOSE(MATCH(INPUTS!$L$88,LISTS!$R$5:$R$10,0),INPUTS!$E$223,INPUTS!$E$257,INPUTS!$E$291,INPUTS!$E$325,INPUTS!$E$359,INPUTS!$E$393),"")))</f>
        <v>0.15</v>
      </c>
      <c r="F18" s="125" t="n">
        <f aca="false">IF(AND(C18="Construction % complete",E18&gt;0),MAX(COUNTIF(CURVES!$D$41:$AQ$41,"&lt;"&amp;(D18-0.000000001))+1,INPUTS!$R$88),"")</f>
        <v>8</v>
      </c>
      <c r="G18" s="126" t="str">
        <f aca="false">IF(E18=0,"",IF(C18="Booking + quarters",IF(D18=0,"at booking",D18&amp;" qtr(s) after booking"),IF(F18&gt;INPUTS!$C$24,"NOT REACHED in model","construction "&amp;TEXT(D18,"0%")&amp;" reached in Q"&amp;F18)))</f>
        <v>construction 35% reached in Q8</v>
      </c>
      <c r="H18" s="126"/>
      <c r="I18" s="126"/>
      <c r="J18" s="126"/>
      <c r="K18" s="126"/>
      <c r="L18" s="126"/>
    </row>
    <row r="19" customFormat="false" ht="15" hidden="false" customHeight="false" outlineLevel="0" collapsed="false">
      <c r="B19" s="121" t="str">
        <f aca="false">IF(INPUTS!$E$88&lt;&gt;"Yes","",IFERROR(CHOOSE(MATCH(INPUTS!$L$88,LISTS!$R$5:$R$10,0),INPUTS!$B$224,INPUTS!$B$258,INPUTS!$B$292,INPUTS!$B$326,INPUTS!$B$360,INPUTS!$B$394),"")&amp;"")</f>
        <v>Second floor roof casting</v>
      </c>
      <c r="C19" s="122" t="str">
        <f aca="false">IF(INPUTS!$E$88&lt;&gt;"Yes","",IFERROR(CHOOSE(MATCH(INPUTS!$L$88,LISTS!$R$5:$R$10,0),INPUTS!$C$224,INPUTS!$C$258,INPUTS!$C$292,INPUTS!$C$326,INPUTS!$C$360,INPUTS!$C$394),"")&amp;"")</f>
        <v>Construction % complete</v>
      </c>
      <c r="D19" s="123" t="n">
        <f aca="false">IF(INPUTS!$E$88&lt;&gt;"Yes",0,N(IFERROR(CHOOSE(MATCH(INPUTS!$L$88,LISTS!$R$5:$R$10,0),INPUTS!$D$224,INPUTS!$D$258,INPUTS!$D$292,INPUTS!$D$326,INPUTS!$D$360,INPUTS!$D$394),"")))</f>
        <v>0.55</v>
      </c>
      <c r="E19" s="124" t="n">
        <f aca="false">IF(INPUTS!$E$88&lt;&gt;"Yes",0,N(IFERROR(CHOOSE(MATCH(INPUTS!$L$88,LISTS!$R$5:$R$10,0),INPUTS!$E$224,INPUTS!$E$258,INPUTS!$E$292,INPUTS!$E$326,INPUTS!$E$360,INPUTS!$E$394),"")))</f>
        <v>0.15</v>
      </c>
      <c r="F19" s="125" t="n">
        <f aca="false">IF(AND(C19="Construction % complete",E19&gt;0),MAX(COUNTIF(CURVES!$D$41:$AQ$41,"&lt;"&amp;(D19-0.000000001))+1,INPUTS!$R$88),"")</f>
        <v>10</v>
      </c>
      <c r="G19" s="126" t="str">
        <f aca="false">IF(E19=0,"",IF(C19="Booking + quarters",IF(D19=0,"at booking",D19&amp;" qtr(s) after booking"),IF(F19&gt;INPUTS!$C$24,"NOT REACHED in model","construction "&amp;TEXT(D19,"0%")&amp;" reached in Q"&amp;F19)))</f>
        <v>construction 55% reached in Q10</v>
      </c>
      <c r="H19" s="126"/>
      <c r="I19" s="126"/>
      <c r="J19" s="126"/>
      <c r="K19" s="126"/>
      <c r="L19" s="126"/>
    </row>
    <row r="20" customFormat="false" ht="15" hidden="false" customHeight="false" outlineLevel="0" collapsed="false">
      <c r="B20" s="121" t="str">
        <f aca="false">IF(INPUTS!$E$88&lt;&gt;"Yes","",IFERROR(CHOOSE(MATCH(INPUTS!$L$88,LISTS!$R$5:$R$10,0),INPUTS!$B$225,INPUTS!$B$259,INPUTS!$B$293,INPUTS!$B$327,INPUTS!$B$361,INPUTS!$B$395),"")&amp;"")</f>
        <v>Third floor roof casting</v>
      </c>
      <c r="C20" s="122" t="str">
        <f aca="false">IF(INPUTS!$E$88&lt;&gt;"Yes","",IFERROR(CHOOSE(MATCH(INPUTS!$L$88,LISTS!$R$5:$R$10,0),INPUTS!$C$225,INPUTS!$C$259,INPUTS!$C$293,INPUTS!$C$327,INPUTS!$C$361,INPUTS!$C$395),"")&amp;"")</f>
        <v>Construction % complete</v>
      </c>
      <c r="D20" s="123" t="n">
        <f aca="false">IF(INPUTS!$E$88&lt;&gt;"Yes",0,N(IFERROR(CHOOSE(MATCH(INPUTS!$L$88,LISTS!$R$5:$R$10,0),INPUTS!$D$225,INPUTS!$D$259,INPUTS!$D$293,INPUTS!$D$327,INPUTS!$D$361,INPUTS!$D$395),"")))</f>
        <v>0.75</v>
      </c>
      <c r="E20" s="124" t="n">
        <f aca="false">IF(INPUTS!$E$88&lt;&gt;"Yes",0,N(IFERROR(CHOOSE(MATCH(INPUTS!$L$88,LISTS!$R$5:$R$10,0),INPUTS!$E$225,INPUTS!$E$259,INPUTS!$E$293,INPUTS!$E$327,INPUTS!$E$361,INPUTS!$E$395),"")))</f>
        <v>0.15</v>
      </c>
      <c r="F20" s="125" t="n">
        <f aca="false">IF(AND(C20="Construction % complete",E20&gt;0),MAX(COUNTIF(CURVES!$D$41:$AQ$41,"&lt;"&amp;(D20-0.000000001))+1,INPUTS!$R$88),"")</f>
        <v>11</v>
      </c>
      <c r="G20" s="126" t="str">
        <f aca="false">IF(E20=0,"",IF(C20="Booking + quarters",IF(D20=0,"at booking",D20&amp;" qtr(s) after booking"),IF(F20&gt;INPUTS!$C$24,"NOT REACHED in model","construction "&amp;TEXT(D20,"0%")&amp;" reached in Q"&amp;F20)))</f>
        <v>construction 75% reached in Q11</v>
      </c>
      <c r="H20" s="126"/>
      <c r="I20" s="126"/>
      <c r="J20" s="126"/>
      <c r="K20" s="126"/>
      <c r="L20" s="126"/>
    </row>
    <row r="21" customFormat="false" ht="15" hidden="false" customHeight="false" outlineLevel="0" collapsed="false">
      <c r="B21" s="121" t="str">
        <f aca="false">IF(INPUTS!$E$88&lt;&gt;"Yes","",IFERROR(CHOOSE(MATCH(INPUTS!$L$88,LISTS!$R$5:$R$10,0),INPUTS!$B$226,INPUTS!$B$260,INPUTS!$B$294,INPUTS!$B$328,INPUTS!$B$362,INPUTS!$B$396),"")&amp;"")</f>
        <v>Completion certificate (CC)</v>
      </c>
      <c r="C21" s="122" t="str">
        <f aca="false">IF(INPUTS!$E$88&lt;&gt;"Yes","",IFERROR(CHOOSE(MATCH(INPUTS!$L$88,LISTS!$R$5:$R$10,0),INPUTS!$C$226,INPUTS!$C$260,INPUTS!$C$294,INPUTS!$C$328,INPUTS!$C$362,INPUTS!$C$396),"")&amp;"")</f>
        <v>Construction % complete</v>
      </c>
      <c r="D21" s="123" t="n">
        <f aca="false">IF(INPUTS!$E$88&lt;&gt;"Yes",0,N(IFERROR(CHOOSE(MATCH(INPUTS!$L$88,LISTS!$R$5:$R$10,0),INPUTS!$D$226,INPUTS!$D$260,INPUTS!$D$294,INPUTS!$D$328,INPUTS!$D$362,INPUTS!$D$396),"")))</f>
        <v>0.95</v>
      </c>
      <c r="E21" s="124" t="n">
        <f aca="false">IF(INPUTS!$E$88&lt;&gt;"Yes",0,N(IFERROR(CHOOSE(MATCH(INPUTS!$L$88,LISTS!$R$5:$R$10,0),INPUTS!$E$226,INPUTS!$E$260,INPUTS!$E$294,INPUTS!$E$328,INPUTS!$E$362,INPUTS!$E$396),"")))</f>
        <v>0.05</v>
      </c>
      <c r="F21" s="125" t="n">
        <f aca="false">IF(AND(C21="Construction % complete",E21&gt;0),MAX(COUNTIF(CURVES!$D$41:$AQ$41,"&lt;"&amp;(D21-0.000000001))+1,INPUTS!$R$88),"")</f>
        <v>14</v>
      </c>
      <c r="G21" s="126" t="str">
        <f aca="false">IF(E21=0,"",IF(C21="Booking + quarters",IF(D21=0,"at booking",D21&amp;" qtr(s) after booking"),IF(F21&gt;INPUTS!$C$24,"NOT REACHED in model","construction "&amp;TEXT(D21,"0%")&amp;" reached in Q"&amp;F21)))</f>
        <v>construction 95% reached in Q14</v>
      </c>
      <c r="H21" s="126"/>
      <c r="I21" s="126"/>
      <c r="J21" s="126"/>
      <c r="K21" s="126"/>
      <c r="L21" s="126"/>
    </row>
    <row r="22" customFormat="false" ht="15" hidden="false" customHeight="false" outlineLevel="0" collapsed="false">
      <c r="B22" s="121" t="str">
        <f aca="false">IF(INPUTS!$E$88&lt;&gt;"Yes","",IFERROR(CHOOSE(MATCH(INPUTS!$L$88,LISTS!$R$5:$R$10,0),INPUTS!$B$227,INPUTS!$B$261,INPUTS!$B$295,INPUTS!$B$329,INPUTS!$B$363,INPUTS!$B$397),"")&amp;"")</f>
        <v>Possession</v>
      </c>
      <c r="C22" s="122" t="str">
        <f aca="false">IF(INPUTS!$E$88&lt;&gt;"Yes","",IFERROR(CHOOSE(MATCH(INPUTS!$L$88,LISTS!$R$5:$R$10,0),INPUTS!$C$227,INPUTS!$C$261,INPUTS!$C$295,INPUTS!$C$329,INPUTS!$C$363,INPUTS!$C$397),"")&amp;"")</f>
        <v>Construction % complete</v>
      </c>
      <c r="D22" s="123" t="n">
        <f aca="false">IF(INPUTS!$E$88&lt;&gt;"Yes",0,N(IFERROR(CHOOSE(MATCH(INPUTS!$L$88,LISTS!$R$5:$R$10,0),INPUTS!$D$227,INPUTS!$D$261,INPUTS!$D$295,INPUTS!$D$329,INPUTS!$D$363,INPUTS!$D$397),"")))</f>
        <v>1</v>
      </c>
      <c r="E22" s="124" t="n">
        <f aca="false">IF(INPUTS!$E$88&lt;&gt;"Yes",0,N(IFERROR(CHOOSE(MATCH(INPUTS!$L$88,LISTS!$R$5:$R$10,0),INPUTS!$E$227,INPUTS!$E$261,INPUTS!$E$295,INPUTS!$E$329,INPUTS!$E$363,INPUTS!$E$397),"")))</f>
        <v>0.1</v>
      </c>
      <c r="F22" s="125" t="n">
        <f aca="false">IF(AND(C22="Construction % complete",E22&gt;0),MAX(COUNTIF(CURVES!$D$41:$AQ$41,"&lt;"&amp;(D22-0.000000001))+1,INPUTS!$R$88),"")</f>
        <v>15</v>
      </c>
      <c r="G22" s="126" t="str">
        <f aca="false">IF(E22=0,"",IF(C22="Booking + quarters",IF(D22=0,"at booking",D22&amp;" qtr(s) after booking"),IF(F22&gt;INPUTS!$C$24,"NOT REACHED in model","construction "&amp;TEXT(D22,"0%")&amp;" reached in Q"&amp;F22)))</f>
        <v>construction 100% reached in Q15</v>
      </c>
      <c r="H22" s="126"/>
      <c r="I22" s="126"/>
      <c r="J22" s="126"/>
      <c r="K22" s="126"/>
      <c r="L22" s="126"/>
    </row>
    <row r="23" customFormat="false" ht="15" hidden="false" customHeight="false" outlineLevel="0" collapsed="false">
      <c r="B23" s="121" t="str">
        <f aca="false">IF(INPUTS!$E$88&lt;&gt;"Yes","",IFERROR(CHOOSE(MATCH(INPUTS!$L$88,LISTS!$R$5:$R$10,0),INPUTS!$B$228,INPUTS!$B$262,INPUTS!$B$296,INPUTS!$B$330,INPUTS!$B$364,INPUTS!$B$398),"")&amp;"")</f>
        <v/>
      </c>
      <c r="C23" s="122" t="str">
        <f aca="false">IF(INPUTS!$E$88&lt;&gt;"Yes","",IFERROR(CHOOSE(MATCH(INPUTS!$L$88,LISTS!$R$5:$R$10,0),INPUTS!$C$228,INPUTS!$C$262,INPUTS!$C$296,INPUTS!$C$330,INPUTS!$C$364,INPUTS!$C$398),"")&amp;"")</f>
        <v/>
      </c>
      <c r="D23" s="123" t="n">
        <f aca="false">IF(INPUTS!$E$88&lt;&gt;"Yes",0,N(IFERROR(CHOOSE(MATCH(INPUTS!$L$88,LISTS!$R$5:$R$10,0),INPUTS!$D$228,INPUTS!$D$262,INPUTS!$D$296,INPUTS!$D$330,INPUTS!$D$364,INPUTS!$D$398),"")))</f>
        <v>0</v>
      </c>
      <c r="E23" s="124" t="n">
        <f aca="false">IF(INPUTS!$E$88&lt;&gt;"Yes",0,N(IFERROR(CHOOSE(MATCH(INPUTS!$L$88,LISTS!$R$5:$R$10,0),INPUTS!$E$228,INPUTS!$E$262,INPUTS!$E$296,INPUTS!$E$330,INPUTS!$E$364,INPUTS!$E$398),"")))</f>
        <v>0</v>
      </c>
      <c r="F23" s="125" t="str">
        <f aca="false">IF(AND(C23="Construction % complete",E23&gt;0),MAX(COUNTIF(CURVES!$D$41:$AQ$41,"&lt;"&amp;(D23-0.000000001))+1,INPUTS!$R$88),"")</f>
        <v/>
      </c>
      <c r="G23" s="126" t="str">
        <f aca="false">IF(E23=0,"",IF(C23="Booking + quarters",IF(D23=0,"at booking",D23&amp;" qtr(s) after booking"),IF(F23&gt;INPUTS!$C$24,"NOT REACHED in model","construction "&amp;TEXT(D23,"0%")&amp;" reached in Q"&amp;F23)))</f>
        <v/>
      </c>
      <c r="H23" s="126"/>
      <c r="I23" s="126"/>
      <c r="J23" s="126"/>
      <c r="K23" s="126"/>
      <c r="L23" s="126"/>
    </row>
    <row r="24" customFormat="false" ht="15" hidden="false" customHeight="false" outlineLevel="0" collapsed="false">
      <c r="B24" s="121" t="str">
        <f aca="false">IF(INPUTS!$E$88&lt;&gt;"Yes","",IFERROR(CHOOSE(MATCH(INPUTS!$L$88,LISTS!$R$5:$R$10,0),INPUTS!$B$229,INPUTS!$B$263,INPUTS!$B$297,INPUTS!$B$331,INPUTS!$B$365,INPUTS!$B$399),"")&amp;"")</f>
        <v/>
      </c>
      <c r="C24" s="122" t="str">
        <f aca="false">IF(INPUTS!$E$88&lt;&gt;"Yes","",IFERROR(CHOOSE(MATCH(INPUTS!$L$88,LISTS!$R$5:$R$10,0),INPUTS!$C$229,INPUTS!$C$263,INPUTS!$C$297,INPUTS!$C$331,INPUTS!$C$365,INPUTS!$C$399),"")&amp;"")</f>
        <v/>
      </c>
      <c r="D24" s="123" t="n">
        <f aca="false">IF(INPUTS!$E$88&lt;&gt;"Yes",0,N(IFERROR(CHOOSE(MATCH(INPUTS!$L$88,LISTS!$R$5:$R$10,0),INPUTS!$D$229,INPUTS!$D$263,INPUTS!$D$297,INPUTS!$D$331,INPUTS!$D$365,INPUTS!$D$399),"")))</f>
        <v>0</v>
      </c>
      <c r="E24" s="124" t="n">
        <f aca="false">IF(INPUTS!$E$88&lt;&gt;"Yes",0,N(IFERROR(CHOOSE(MATCH(INPUTS!$L$88,LISTS!$R$5:$R$10,0),INPUTS!$E$229,INPUTS!$E$263,INPUTS!$E$297,INPUTS!$E$331,INPUTS!$E$365,INPUTS!$E$399),"")))</f>
        <v>0</v>
      </c>
      <c r="F24" s="125" t="str">
        <f aca="false">IF(AND(C24="Construction % complete",E24&gt;0),MAX(COUNTIF(CURVES!$D$41:$AQ$41,"&lt;"&amp;(D24-0.000000001))+1,INPUTS!$R$88),"")</f>
        <v/>
      </c>
      <c r="G24" s="126" t="str">
        <f aca="false">IF(E24=0,"",IF(C24="Booking + quarters",IF(D24=0,"at booking",D24&amp;" qtr(s) after booking"),IF(F24&gt;INPUTS!$C$24,"NOT REACHED in model","construction "&amp;TEXT(D24,"0%")&amp;" reached in Q"&amp;F24)))</f>
        <v/>
      </c>
      <c r="H24" s="126"/>
      <c r="I24" s="126"/>
      <c r="J24" s="126"/>
      <c r="K24" s="126"/>
      <c r="L24" s="126"/>
    </row>
    <row r="25" customFormat="false" ht="15" hidden="false" customHeight="false" outlineLevel="0" collapsed="false">
      <c r="B25" s="121" t="str">
        <f aca="false">IF(INPUTS!$E$88&lt;&gt;"Yes","",IFERROR(CHOOSE(MATCH(INPUTS!$L$88,LISTS!$R$5:$R$10,0),INPUTS!$B$230,INPUTS!$B$264,INPUTS!$B$298,INPUTS!$B$332,INPUTS!$B$366,INPUTS!$B$400),"")&amp;"")</f>
        <v/>
      </c>
      <c r="C25" s="122" t="str">
        <f aca="false">IF(INPUTS!$E$88&lt;&gt;"Yes","",IFERROR(CHOOSE(MATCH(INPUTS!$L$88,LISTS!$R$5:$R$10,0),INPUTS!$C$230,INPUTS!$C$264,INPUTS!$C$298,INPUTS!$C$332,INPUTS!$C$366,INPUTS!$C$400),"")&amp;"")</f>
        <v/>
      </c>
      <c r="D25" s="123" t="n">
        <f aca="false">IF(INPUTS!$E$88&lt;&gt;"Yes",0,N(IFERROR(CHOOSE(MATCH(INPUTS!$L$88,LISTS!$R$5:$R$10,0),INPUTS!$D$230,INPUTS!$D$264,INPUTS!$D$298,INPUTS!$D$332,INPUTS!$D$366,INPUTS!$D$400),"")))</f>
        <v>0</v>
      </c>
      <c r="E25" s="124" t="n">
        <f aca="false">IF(INPUTS!$E$88&lt;&gt;"Yes",0,N(IFERROR(CHOOSE(MATCH(INPUTS!$L$88,LISTS!$R$5:$R$10,0),INPUTS!$E$230,INPUTS!$E$264,INPUTS!$E$298,INPUTS!$E$332,INPUTS!$E$366,INPUTS!$E$400),"")))</f>
        <v>0</v>
      </c>
      <c r="F25" s="125" t="str">
        <f aca="false">IF(AND(C25="Construction % complete",E25&gt;0),MAX(COUNTIF(CURVES!$D$41:$AQ$41,"&lt;"&amp;(D25-0.000000001))+1,INPUTS!$R$88),"")</f>
        <v/>
      </c>
      <c r="G25" s="126" t="str">
        <f aca="false">IF(E25=0,"",IF(C25="Booking + quarters",IF(D25=0,"at booking",D25&amp;" qtr(s) after booking"),IF(F25&gt;INPUTS!$C$24,"NOT REACHED in model","construction "&amp;TEXT(D25,"0%")&amp;" reached in Q"&amp;F25)))</f>
        <v/>
      </c>
      <c r="H25" s="126"/>
      <c r="I25" s="126"/>
      <c r="J25" s="126"/>
      <c r="K25" s="126"/>
      <c r="L25" s="126"/>
    </row>
    <row r="26" customFormat="false" ht="15" hidden="false" customHeight="false" outlineLevel="0" collapsed="false">
      <c r="B26" s="121" t="str">
        <f aca="false">IF(INPUTS!$E$88&lt;&gt;"Yes","",IFERROR(CHOOSE(MATCH(INPUTS!$L$88,LISTS!$R$5:$R$10,0),INPUTS!$B$231,INPUTS!$B$265,INPUTS!$B$299,INPUTS!$B$333,INPUTS!$B$367,INPUTS!$B$401),"")&amp;"")</f>
        <v/>
      </c>
      <c r="C26" s="122" t="str">
        <f aca="false">IF(INPUTS!$E$88&lt;&gt;"Yes","",IFERROR(CHOOSE(MATCH(INPUTS!$L$88,LISTS!$R$5:$R$10,0),INPUTS!$C$231,INPUTS!$C$265,INPUTS!$C$299,INPUTS!$C$333,INPUTS!$C$367,INPUTS!$C$401),"")&amp;"")</f>
        <v/>
      </c>
      <c r="D26" s="123" t="n">
        <f aca="false">IF(INPUTS!$E$88&lt;&gt;"Yes",0,N(IFERROR(CHOOSE(MATCH(INPUTS!$L$88,LISTS!$R$5:$R$10,0),INPUTS!$D$231,INPUTS!$D$265,INPUTS!$D$299,INPUTS!$D$333,INPUTS!$D$367,INPUTS!$D$401),"")))</f>
        <v>0</v>
      </c>
      <c r="E26" s="124" t="n">
        <f aca="false">IF(INPUTS!$E$88&lt;&gt;"Yes",0,N(IFERROR(CHOOSE(MATCH(INPUTS!$L$88,LISTS!$R$5:$R$10,0),INPUTS!$E$231,INPUTS!$E$265,INPUTS!$E$299,INPUTS!$E$333,INPUTS!$E$367,INPUTS!$E$401),"")))</f>
        <v>0</v>
      </c>
      <c r="F26" s="125" t="str">
        <f aca="false">IF(AND(C26="Construction % complete",E26&gt;0),MAX(COUNTIF(CURVES!$D$41:$AQ$41,"&lt;"&amp;(D26-0.000000001))+1,INPUTS!$R$88),"")</f>
        <v/>
      </c>
      <c r="G26" s="126" t="str">
        <f aca="false">IF(E26=0,"",IF(C26="Booking + quarters",IF(D26=0,"at booking",D26&amp;" qtr(s) after booking"),IF(F26&gt;INPUTS!$C$24,"NOT REACHED in model","construction "&amp;TEXT(D26,"0%")&amp;" reached in Q"&amp;F26)))</f>
        <v/>
      </c>
      <c r="H26" s="126"/>
      <c r="I26" s="126"/>
      <c r="J26" s="126"/>
      <c r="K26" s="126"/>
      <c r="L26" s="126"/>
    </row>
    <row r="27" customFormat="false" ht="15" hidden="false" customHeight="false" outlineLevel="0" collapsed="false">
      <c r="B27" s="121" t="str">
        <f aca="false">IF(INPUTS!$E$88&lt;&gt;"Yes","",IFERROR(CHOOSE(MATCH(INPUTS!$L$88,LISTS!$R$5:$R$10,0),INPUTS!$B$232,INPUTS!$B$266,INPUTS!$B$300,INPUTS!$B$334,INPUTS!$B$368,INPUTS!$B$402),"")&amp;"")</f>
        <v/>
      </c>
      <c r="C27" s="122" t="str">
        <f aca="false">IF(INPUTS!$E$88&lt;&gt;"Yes","",IFERROR(CHOOSE(MATCH(INPUTS!$L$88,LISTS!$R$5:$R$10,0),INPUTS!$C$232,INPUTS!$C$266,INPUTS!$C$300,INPUTS!$C$334,INPUTS!$C$368,INPUTS!$C$402),"")&amp;"")</f>
        <v/>
      </c>
      <c r="D27" s="123" t="n">
        <f aca="false">IF(INPUTS!$E$88&lt;&gt;"Yes",0,N(IFERROR(CHOOSE(MATCH(INPUTS!$L$88,LISTS!$R$5:$R$10,0),INPUTS!$D$232,INPUTS!$D$266,INPUTS!$D$300,INPUTS!$D$334,INPUTS!$D$368,INPUTS!$D$402),"")))</f>
        <v>0</v>
      </c>
      <c r="E27" s="124" t="n">
        <f aca="false">IF(INPUTS!$E$88&lt;&gt;"Yes",0,N(IFERROR(CHOOSE(MATCH(INPUTS!$L$88,LISTS!$R$5:$R$10,0),INPUTS!$E$232,INPUTS!$E$266,INPUTS!$E$300,INPUTS!$E$334,INPUTS!$E$368,INPUTS!$E$402),"")))</f>
        <v>0</v>
      </c>
      <c r="F27" s="125" t="str">
        <f aca="false">IF(AND(C27="Construction % complete",E27&gt;0),MAX(COUNTIF(CURVES!$D$41:$AQ$41,"&lt;"&amp;(D27-0.000000001))+1,INPUTS!$R$88),"")</f>
        <v/>
      </c>
      <c r="G27" s="126" t="str">
        <f aca="false">IF(E27=0,"",IF(C27="Booking + quarters",IF(D27=0,"at booking",D27&amp;" qtr(s) after booking"),IF(F27&gt;INPUTS!$C$24,"NOT REACHED in model","construction "&amp;TEXT(D27,"0%")&amp;" reached in Q"&amp;F27)))</f>
        <v/>
      </c>
      <c r="H27" s="126"/>
      <c r="I27" s="126"/>
      <c r="J27" s="126"/>
      <c r="K27" s="126"/>
      <c r="L27" s="126"/>
    </row>
    <row r="28" customFormat="false" ht="15" hidden="false" customHeight="false" outlineLevel="0" collapsed="false">
      <c r="B28" s="121" t="str">
        <f aca="false">IF(INPUTS!$E$88&lt;&gt;"Yes","",IFERROR(CHOOSE(MATCH(INPUTS!$L$88,LISTS!$R$5:$R$10,0),INPUTS!$B$233,INPUTS!$B$267,INPUTS!$B$301,INPUTS!$B$335,INPUTS!$B$369,INPUTS!$B$403),"")&amp;"")</f>
        <v/>
      </c>
      <c r="C28" s="122" t="str">
        <f aca="false">IF(INPUTS!$E$88&lt;&gt;"Yes","",IFERROR(CHOOSE(MATCH(INPUTS!$L$88,LISTS!$R$5:$R$10,0),INPUTS!$C$233,INPUTS!$C$267,INPUTS!$C$301,INPUTS!$C$335,INPUTS!$C$369,INPUTS!$C$403),"")&amp;"")</f>
        <v/>
      </c>
      <c r="D28" s="123" t="n">
        <f aca="false">IF(INPUTS!$E$88&lt;&gt;"Yes",0,N(IFERROR(CHOOSE(MATCH(INPUTS!$L$88,LISTS!$R$5:$R$10,0),INPUTS!$D$233,INPUTS!$D$267,INPUTS!$D$301,INPUTS!$D$335,INPUTS!$D$369,INPUTS!$D$403),"")))</f>
        <v>0</v>
      </c>
      <c r="E28" s="124" t="n">
        <f aca="false">IF(INPUTS!$E$88&lt;&gt;"Yes",0,N(IFERROR(CHOOSE(MATCH(INPUTS!$L$88,LISTS!$R$5:$R$10,0),INPUTS!$E$233,INPUTS!$E$267,INPUTS!$E$301,INPUTS!$E$335,INPUTS!$E$369,INPUTS!$E$403),"")))</f>
        <v>0</v>
      </c>
      <c r="F28" s="125" t="str">
        <f aca="false">IF(AND(C28="Construction % complete",E28&gt;0),MAX(COUNTIF(CURVES!$D$41:$AQ$41,"&lt;"&amp;(D28-0.000000001))+1,INPUTS!$R$88),"")</f>
        <v/>
      </c>
      <c r="G28" s="126" t="str">
        <f aca="false">IF(E28=0,"",IF(C28="Booking + quarters",IF(D28=0,"at booking",D28&amp;" qtr(s) after booking"),IF(F28&gt;INPUTS!$C$24,"NOT REACHED in model","construction "&amp;TEXT(D28,"0%")&amp;" reached in Q"&amp;F28)))</f>
        <v/>
      </c>
      <c r="H28" s="126"/>
      <c r="I28" s="126"/>
      <c r="J28" s="126"/>
      <c r="K28" s="126"/>
      <c r="L28" s="126"/>
    </row>
    <row r="29" customFormat="false" ht="15" hidden="false" customHeight="false" outlineLevel="0" collapsed="false">
      <c r="B29" s="121" t="str">
        <f aca="false">IF(INPUTS!$E$88&lt;&gt;"Yes","",IFERROR(CHOOSE(MATCH(INPUTS!$L$88,LISTS!$R$5:$R$10,0),INPUTS!$B$234,INPUTS!$B$268,INPUTS!$B$302,INPUTS!$B$336,INPUTS!$B$370,INPUTS!$B$404),"")&amp;"")</f>
        <v/>
      </c>
      <c r="C29" s="122" t="str">
        <f aca="false">IF(INPUTS!$E$88&lt;&gt;"Yes","",IFERROR(CHOOSE(MATCH(INPUTS!$L$88,LISTS!$R$5:$R$10,0),INPUTS!$C$234,INPUTS!$C$268,INPUTS!$C$302,INPUTS!$C$336,INPUTS!$C$370,INPUTS!$C$404),"")&amp;"")</f>
        <v/>
      </c>
      <c r="D29" s="123" t="n">
        <f aca="false">IF(INPUTS!$E$88&lt;&gt;"Yes",0,N(IFERROR(CHOOSE(MATCH(INPUTS!$L$88,LISTS!$R$5:$R$10,0),INPUTS!$D$234,INPUTS!$D$268,INPUTS!$D$302,INPUTS!$D$336,INPUTS!$D$370,INPUTS!$D$404),"")))</f>
        <v>0</v>
      </c>
      <c r="E29" s="124" t="n">
        <f aca="false">IF(INPUTS!$E$88&lt;&gt;"Yes",0,N(IFERROR(CHOOSE(MATCH(INPUTS!$L$88,LISTS!$R$5:$R$10,0),INPUTS!$E$234,INPUTS!$E$268,INPUTS!$E$302,INPUTS!$E$336,INPUTS!$E$370,INPUTS!$E$404),"")))</f>
        <v>0</v>
      </c>
      <c r="F29" s="125" t="str">
        <f aca="false">IF(AND(C29="Construction % complete",E29&gt;0),MAX(COUNTIF(CURVES!$D$41:$AQ$41,"&lt;"&amp;(D29-0.000000001))+1,INPUTS!$R$88),"")</f>
        <v/>
      </c>
      <c r="G29" s="126" t="str">
        <f aca="false">IF(E29=0,"",IF(C29="Booking + quarters",IF(D29=0,"at booking",D29&amp;" qtr(s) after booking"),IF(F29&gt;INPUTS!$C$24,"NOT REACHED in model","construction "&amp;TEXT(D29,"0%")&amp;" reached in Q"&amp;F29)))</f>
        <v/>
      </c>
      <c r="H29" s="126"/>
      <c r="I29" s="126"/>
      <c r="J29" s="126"/>
      <c r="K29" s="126"/>
      <c r="L29" s="126"/>
    </row>
    <row r="30" customFormat="false" ht="15" hidden="false" customHeight="false" outlineLevel="0" collapsed="false">
      <c r="B30" s="121" t="str">
        <f aca="false">IF(INPUTS!$E$88&lt;&gt;"Yes","",IFERROR(CHOOSE(MATCH(INPUTS!$L$88,LISTS!$R$5:$R$10,0),INPUTS!$B$235,INPUTS!$B$269,INPUTS!$B$303,INPUTS!$B$337,INPUTS!$B$371,INPUTS!$B$405),"")&amp;"")</f>
        <v/>
      </c>
      <c r="C30" s="122" t="str">
        <f aca="false">IF(INPUTS!$E$88&lt;&gt;"Yes","",IFERROR(CHOOSE(MATCH(INPUTS!$L$88,LISTS!$R$5:$R$10,0),INPUTS!$C$235,INPUTS!$C$269,INPUTS!$C$303,INPUTS!$C$337,INPUTS!$C$371,INPUTS!$C$405),"")&amp;"")</f>
        <v/>
      </c>
      <c r="D30" s="123" t="n">
        <f aca="false">IF(INPUTS!$E$88&lt;&gt;"Yes",0,N(IFERROR(CHOOSE(MATCH(INPUTS!$L$88,LISTS!$R$5:$R$10,0),INPUTS!$D$235,INPUTS!$D$269,INPUTS!$D$303,INPUTS!$D$337,INPUTS!$D$371,INPUTS!$D$405),"")))</f>
        <v>0</v>
      </c>
      <c r="E30" s="124" t="n">
        <f aca="false">IF(INPUTS!$E$88&lt;&gt;"Yes",0,N(IFERROR(CHOOSE(MATCH(INPUTS!$L$88,LISTS!$R$5:$R$10,0),INPUTS!$E$235,INPUTS!$E$269,INPUTS!$E$303,INPUTS!$E$337,INPUTS!$E$371,INPUTS!$E$405),"")))</f>
        <v>0</v>
      </c>
      <c r="F30" s="125" t="str">
        <f aca="false">IF(AND(C30="Construction % complete",E30&gt;0),MAX(COUNTIF(CURVES!$D$41:$AQ$41,"&lt;"&amp;(D30-0.000000001))+1,INPUTS!$R$88),"")</f>
        <v/>
      </c>
      <c r="G30" s="126" t="str">
        <f aca="false">IF(E30=0,"",IF(C30="Booking + quarters",IF(D30=0,"at booking",D30&amp;" qtr(s) after booking"),IF(F30&gt;INPUTS!$C$24,"NOT REACHED in model","construction "&amp;TEXT(D30,"0%")&amp;" reached in Q"&amp;F30)))</f>
        <v/>
      </c>
      <c r="H30" s="126"/>
      <c r="I30" s="126"/>
      <c r="J30" s="126"/>
      <c r="K30" s="126"/>
      <c r="L30" s="126"/>
    </row>
    <row r="31" customFormat="false" ht="15" hidden="false" customHeight="false" outlineLevel="0" collapsed="false">
      <c r="B31" s="121" t="str">
        <f aca="false">IF(INPUTS!$E$88&lt;&gt;"Yes","",IFERROR(CHOOSE(MATCH(INPUTS!$L$88,LISTS!$R$5:$R$10,0),INPUTS!$B$236,INPUTS!$B$270,INPUTS!$B$304,INPUTS!$B$338,INPUTS!$B$372,INPUTS!$B$406),"")&amp;"")</f>
        <v/>
      </c>
      <c r="C31" s="122" t="str">
        <f aca="false">IF(INPUTS!$E$88&lt;&gt;"Yes","",IFERROR(CHOOSE(MATCH(INPUTS!$L$88,LISTS!$R$5:$R$10,0),INPUTS!$C$236,INPUTS!$C$270,INPUTS!$C$304,INPUTS!$C$338,INPUTS!$C$372,INPUTS!$C$406),"")&amp;"")</f>
        <v/>
      </c>
      <c r="D31" s="123" t="n">
        <f aca="false">IF(INPUTS!$E$88&lt;&gt;"Yes",0,N(IFERROR(CHOOSE(MATCH(INPUTS!$L$88,LISTS!$R$5:$R$10,0),INPUTS!$D$236,INPUTS!$D$270,INPUTS!$D$304,INPUTS!$D$338,INPUTS!$D$372,INPUTS!$D$406),"")))</f>
        <v>0</v>
      </c>
      <c r="E31" s="124" t="n">
        <f aca="false">IF(INPUTS!$E$88&lt;&gt;"Yes",0,N(IFERROR(CHOOSE(MATCH(INPUTS!$L$88,LISTS!$R$5:$R$10,0),INPUTS!$E$236,INPUTS!$E$270,INPUTS!$E$304,INPUTS!$E$338,INPUTS!$E$372,INPUTS!$E$406),"")))</f>
        <v>0</v>
      </c>
      <c r="F31" s="125" t="str">
        <f aca="false">IF(AND(C31="Construction % complete",E31&gt;0),MAX(COUNTIF(CURVES!$D$41:$AQ$41,"&lt;"&amp;(D31-0.000000001))+1,INPUTS!$R$88),"")</f>
        <v/>
      </c>
      <c r="G31" s="126" t="str">
        <f aca="false">IF(E31=0,"",IF(C31="Booking + quarters",IF(D31=0,"at booking",D31&amp;" qtr(s) after booking"),IF(F31&gt;INPUTS!$C$24,"NOT REACHED in model","construction "&amp;TEXT(D31,"0%")&amp;" reached in Q"&amp;F31)))</f>
        <v/>
      </c>
      <c r="H31" s="126"/>
      <c r="I31" s="126"/>
      <c r="J31" s="126"/>
      <c r="K31" s="126"/>
      <c r="L31" s="126"/>
    </row>
    <row r="32" customFormat="false" ht="15" hidden="false" customHeight="false" outlineLevel="0" collapsed="false">
      <c r="B32" s="121" t="str">
        <f aca="false">IF(INPUTS!$E$88&lt;&gt;"Yes","",IFERROR(CHOOSE(MATCH(INPUTS!$L$88,LISTS!$R$5:$R$10,0),INPUTS!$B$237,INPUTS!$B$271,INPUTS!$B$305,INPUTS!$B$339,INPUTS!$B$373,INPUTS!$B$407),"")&amp;"")</f>
        <v/>
      </c>
      <c r="C32" s="122" t="str">
        <f aca="false">IF(INPUTS!$E$88&lt;&gt;"Yes","",IFERROR(CHOOSE(MATCH(INPUTS!$L$88,LISTS!$R$5:$R$10,0),INPUTS!$C$237,INPUTS!$C$271,INPUTS!$C$305,INPUTS!$C$339,INPUTS!$C$373,INPUTS!$C$407),"")&amp;"")</f>
        <v/>
      </c>
      <c r="D32" s="123" t="n">
        <f aca="false">IF(INPUTS!$E$88&lt;&gt;"Yes",0,N(IFERROR(CHOOSE(MATCH(INPUTS!$L$88,LISTS!$R$5:$R$10,0),INPUTS!$D$237,INPUTS!$D$271,INPUTS!$D$305,INPUTS!$D$339,INPUTS!$D$373,INPUTS!$D$407),"")))</f>
        <v>0</v>
      </c>
      <c r="E32" s="124" t="n">
        <f aca="false">IF(INPUTS!$E$88&lt;&gt;"Yes",0,N(IFERROR(CHOOSE(MATCH(INPUTS!$L$88,LISTS!$R$5:$R$10,0),INPUTS!$E$237,INPUTS!$E$271,INPUTS!$E$305,INPUTS!$E$339,INPUTS!$E$373,INPUTS!$E$407),"")))</f>
        <v>0</v>
      </c>
      <c r="F32" s="125" t="str">
        <f aca="false">IF(AND(C32="Construction % complete",E32&gt;0),MAX(COUNTIF(CURVES!$D$41:$AQ$41,"&lt;"&amp;(D32-0.000000001))+1,INPUTS!$R$88),"")</f>
        <v/>
      </c>
      <c r="G32" s="126" t="str">
        <f aca="false">IF(E32=0,"",IF(C32="Booking + quarters",IF(D32=0,"at booking",D32&amp;" qtr(s) after booking"),IF(F32&gt;INPUTS!$C$24,"NOT REACHED in model","construction "&amp;TEXT(D32,"0%")&amp;" reached in Q"&amp;F32)))</f>
        <v/>
      </c>
      <c r="H32" s="126"/>
      <c r="I32" s="126"/>
      <c r="J32" s="126"/>
      <c r="K32" s="126"/>
      <c r="L32" s="126"/>
    </row>
    <row r="33" customFormat="false" ht="15" hidden="false" customHeight="false" outlineLevel="0" collapsed="false">
      <c r="B33" s="121" t="str">
        <f aca="false">IF(INPUTS!$E$88&lt;&gt;"Yes","",IFERROR(CHOOSE(MATCH(INPUTS!$L$88,LISTS!$R$5:$R$10,0),INPUTS!$B$238,INPUTS!$B$272,INPUTS!$B$306,INPUTS!$B$340,INPUTS!$B$374,INPUTS!$B$408),"")&amp;"")</f>
        <v/>
      </c>
      <c r="C33" s="122" t="str">
        <f aca="false">IF(INPUTS!$E$88&lt;&gt;"Yes","",IFERROR(CHOOSE(MATCH(INPUTS!$L$88,LISTS!$R$5:$R$10,0),INPUTS!$C$238,INPUTS!$C$272,INPUTS!$C$306,INPUTS!$C$340,INPUTS!$C$374,INPUTS!$C$408),"")&amp;"")</f>
        <v/>
      </c>
      <c r="D33" s="123" t="n">
        <f aca="false">IF(INPUTS!$E$88&lt;&gt;"Yes",0,N(IFERROR(CHOOSE(MATCH(INPUTS!$L$88,LISTS!$R$5:$R$10,0),INPUTS!$D$238,INPUTS!$D$272,INPUTS!$D$306,INPUTS!$D$340,INPUTS!$D$374,INPUTS!$D$408),"")))</f>
        <v>0</v>
      </c>
      <c r="E33" s="124" t="n">
        <f aca="false">IF(INPUTS!$E$88&lt;&gt;"Yes",0,N(IFERROR(CHOOSE(MATCH(INPUTS!$L$88,LISTS!$R$5:$R$10,0),INPUTS!$E$238,INPUTS!$E$272,INPUTS!$E$306,INPUTS!$E$340,INPUTS!$E$374,INPUTS!$E$408),"")))</f>
        <v>0</v>
      </c>
      <c r="F33" s="125" t="str">
        <f aca="false">IF(AND(C33="Construction % complete",E33&gt;0),MAX(COUNTIF(CURVES!$D$41:$AQ$41,"&lt;"&amp;(D33-0.000000001))+1,INPUTS!$R$88),"")</f>
        <v/>
      </c>
      <c r="G33" s="126" t="str">
        <f aca="false">IF(E33=0,"",IF(C33="Booking + quarters",IF(D33=0,"at booking",D33&amp;" qtr(s) after booking"),IF(F33&gt;INPUTS!$C$24,"NOT REACHED in model","construction "&amp;TEXT(D33,"0%")&amp;" reached in Q"&amp;F33)))</f>
        <v/>
      </c>
      <c r="H33" s="126"/>
      <c r="I33" s="126"/>
      <c r="J33" s="126"/>
      <c r="K33" s="126"/>
      <c r="L33" s="126"/>
    </row>
    <row r="34" customFormat="false" ht="15" hidden="false" customHeight="false" outlineLevel="0" collapsed="false">
      <c r="B34" s="121" t="str">
        <f aca="false">IF(INPUTS!$E$88&lt;&gt;"Yes","",IFERROR(CHOOSE(MATCH(INPUTS!$L$88,LISTS!$R$5:$R$10,0),INPUTS!$B$239,INPUTS!$B$273,INPUTS!$B$307,INPUTS!$B$341,INPUTS!$B$375,INPUTS!$B$409),"")&amp;"")</f>
        <v/>
      </c>
      <c r="C34" s="122" t="str">
        <f aca="false">IF(INPUTS!$E$88&lt;&gt;"Yes","",IFERROR(CHOOSE(MATCH(INPUTS!$L$88,LISTS!$R$5:$R$10,0),INPUTS!$C$239,INPUTS!$C$273,INPUTS!$C$307,INPUTS!$C$341,INPUTS!$C$375,INPUTS!$C$409),"")&amp;"")</f>
        <v/>
      </c>
      <c r="D34" s="123" t="n">
        <f aca="false">IF(INPUTS!$E$88&lt;&gt;"Yes",0,N(IFERROR(CHOOSE(MATCH(INPUTS!$L$88,LISTS!$R$5:$R$10,0),INPUTS!$D$239,INPUTS!$D$273,INPUTS!$D$307,INPUTS!$D$341,INPUTS!$D$375,INPUTS!$D$409),"")))</f>
        <v>0</v>
      </c>
      <c r="E34" s="124" t="n">
        <f aca="false">IF(INPUTS!$E$88&lt;&gt;"Yes",0,N(IFERROR(CHOOSE(MATCH(INPUTS!$L$88,LISTS!$R$5:$R$10,0),INPUTS!$E$239,INPUTS!$E$273,INPUTS!$E$307,INPUTS!$E$341,INPUTS!$E$375,INPUTS!$E$409),"")))</f>
        <v>0</v>
      </c>
      <c r="F34" s="125" t="str">
        <f aca="false">IF(AND(C34="Construction % complete",E34&gt;0),MAX(COUNTIF(CURVES!$D$41:$AQ$41,"&lt;"&amp;(D34-0.000000001))+1,INPUTS!$R$88),"")</f>
        <v/>
      </c>
      <c r="G34" s="126" t="str">
        <f aca="false">IF(E34=0,"",IF(C34="Booking + quarters",IF(D34=0,"at booking",D34&amp;" qtr(s) after booking"),IF(F34&gt;INPUTS!$C$24,"NOT REACHED in model","construction "&amp;TEXT(D34,"0%")&amp;" reached in Q"&amp;F34)))</f>
        <v/>
      </c>
      <c r="H34" s="126"/>
      <c r="I34" s="126"/>
      <c r="J34" s="126"/>
      <c r="K34" s="126"/>
      <c r="L34" s="126"/>
    </row>
    <row r="35" customFormat="false" ht="15" hidden="false" customHeight="false" outlineLevel="0" collapsed="false">
      <c r="B35" s="121" t="str">
        <f aca="false">IF(INPUTS!$E$88&lt;&gt;"Yes","",IFERROR(CHOOSE(MATCH(INPUTS!$L$88,LISTS!$R$5:$R$10,0),INPUTS!$B$240,INPUTS!$B$274,INPUTS!$B$308,INPUTS!$B$342,INPUTS!$B$376,INPUTS!$B$410),"")&amp;"")</f>
        <v/>
      </c>
      <c r="C35" s="122" t="str">
        <f aca="false">IF(INPUTS!$E$88&lt;&gt;"Yes","",IFERROR(CHOOSE(MATCH(INPUTS!$L$88,LISTS!$R$5:$R$10,0),INPUTS!$C$240,INPUTS!$C$274,INPUTS!$C$308,INPUTS!$C$342,INPUTS!$C$376,INPUTS!$C$410),"")&amp;"")</f>
        <v/>
      </c>
      <c r="D35" s="123" t="n">
        <f aca="false">IF(INPUTS!$E$88&lt;&gt;"Yes",0,N(IFERROR(CHOOSE(MATCH(INPUTS!$L$88,LISTS!$R$5:$R$10,0),INPUTS!$D$240,INPUTS!$D$274,INPUTS!$D$308,INPUTS!$D$342,INPUTS!$D$376,INPUTS!$D$410),"")))</f>
        <v>0</v>
      </c>
      <c r="E35" s="124" t="n">
        <f aca="false">IF(INPUTS!$E$88&lt;&gt;"Yes",0,N(IFERROR(CHOOSE(MATCH(INPUTS!$L$88,LISTS!$R$5:$R$10,0),INPUTS!$E$240,INPUTS!$E$274,INPUTS!$E$308,INPUTS!$E$342,INPUTS!$E$376,INPUTS!$E$410),"")))</f>
        <v>0</v>
      </c>
      <c r="F35" s="125" t="str">
        <f aca="false">IF(AND(C35="Construction % complete",E35&gt;0),MAX(COUNTIF(CURVES!$D$41:$AQ$41,"&lt;"&amp;(D35-0.000000001))+1,INPUTS!$R$88),"")</f>
        <v/>
      </c>
      <c r="G35" s="126" t="str">
        <f aca="false">IF(E35=0,"",IF(C35="Booking + quarters",IF(D35=0,"at booking",D35&amp;" qtr(s) after booking"),IF(F35&gt;INPUTS!$C$24,"NOT REACHED in model","construction "&amp;TEXT(D35,"0%")&amp;" reached in Q"&amp;F35)))</f>
        <v/>
      </c>
      <c r="H35" s="126"/>
      <c r="I35" s="126"/>
      <c r="J35" s="126"/>
      <c r="K35" s="126"/>
      <c r="L35" s="126"/>
    </row>
    <row r="36" customFormat="false" ht="15" hidden="false" customHeight="false" outlineLevel="0" collapsed="false">
      <c r="B36" s="121" t="str">
        <f aca="false">IF(INPUTS!$E$88&lt;&gt;"Yes","",IFERROR(CHOOSE(MATCH(INPUTS!$L$88,LISTS!$R$5:$R$10,0),INPUTS!$B$241,INPUTS!$B$275,INPUTS!$B$309,INPUTS!$B$343,INPUTS!$B$377,INPUTS!$B$411),"")&amp;"")</f>
        <v/>
      </c>
      <c r="C36" s="122" t="str">
        <f aca="false">IF(INPUTS!$E$88&lt;&gt;"Yes","",IFERROR(CHOOSE(MATCH(INPUTS!$L$88,LISTS!$R$5:$R$10,0),INPUTS!$C$241,INPUTS!$C$275,INPUTS!$C$309,INPUTS!$C$343,INPUTS!$C$377,INPUTS!$C$411),"")&amp;"")</f>
        <v/>
      </c>
      <c r="D36" s="123" t="n">
        <f aca="false">IF(INPUTS!$E$88&lt;&gt;"Yes",0,N(IFERROR(CHOOSE(MATCH(INPUTS!$L$88,LISTS!$R$5:$R$10,0),INPUTS!$D$241,INPUTS!$D$275,INPUTS!$D$309,INPUTS!$D$343,INPUTS!$D$377,INPUTS!$D$411),"")))</f>
        <v>0</v>
      </c>
      <c r="E36" s="124" t="n">
        <f aca="false">IF(INPUTS!$E$88&lt;&gt;"Yes",0,N(IFERROR(CHOOSE(MATCH(INPUTS!$L$88,LISTS!$R$5:$R$10,0),INPUTS!$E$241,INPUTS!$E$275,INPUTS!$E$309,INPUTS!$E$343,INPUTS!$E$377,INPUTS!$E$411),"")))</f>
        <v>0</v>
      </c>
      <c r="F36" s="125" t="str">
        <f aca="false">IF(AND(C36="Construction % complete",E36&gt;0),MAX(COUNTIF(CURVES!$D$41:$AQ$41,"&lt;"&amp;(D36-0.000000001))+1,INPUTS!$R$88),"")</f>
        <v/>
      </c>
      <c r="G36" s="126" t="str">
        <f aca="false">IF(E36=0,"",IF(C36="Booking + quarters",IF(D36=0,"at booking",D36&amp;" qtr(s) after booking"),IF(F36&gt;INPUTS!$C$24,"NOT REACHED in model","construction "&amp;TEXT(D36,"0%")&amp;" reached in Q"&amp;F36)))</f>
        <v/>
      </c>
      <c r="H36" s="126"/>
      <c r="I36" s="126"/>
      <c r="J36" s="126"/>
      <c r="K36" s="126"/>
      <c r="L36" s="126"/>
    </row>
    <row r="37" customFormat="false" ht="15" hidden="false" customHeight="false" outlineLevel="0" collapsed="false">
      <c r="B37" s="121" t="str">
        <f aca="false">IF(INPUTS!$E$88&lt;&gt;"Yes","",IFERROR(CHOOSE(MATCH(INPUTS!$L$88,LISTS!$R$5:$R$10,0),INPUTS!$B$242,INPUTS!$B$276,INPUTS!$B$310,INPUTS!$B$344,INPUTS!$B$378,INPUTS!$B$412),"")&amp;"")</f>
        <v/>
      </c>
      <c r="C37" s="122" t="str">
        <f aca="false">IF(INPUTS!$E$88&lt;&gt;"Yes","",IFERROR(CHOOSE(MATCH(INPUTS!$L$88,LISTS!$R$5:$R$10,0),INPUTS!$C$242,INPUTS!$C$276,INPUTS!$C$310,INPUTS!$C$344,INPUTS!$C$378,INPUTS!$C$412),"")&amp;"")</f>
        <v/>
      </c>
      <c r="D37" s="123" t="n">
        <f aca="false">IF(INPUTS!$E$88&lt;&gt;"Yes",0,N(IFERROR(CHOOSE(MATCH(INPUTS!$L$88,LISTS!$R$5:$R$10,0),INPUTS!$D$242,INPUTS!$D$276,INPUTS!$D$310,INPUTS!$D$344,INPUTS!$D$378,INPUTS!$D$412),"")))</f>
        <v>0</v>
      </c>
      <c r="E37" s="124" t="n">
        <f aca="false">IF(INPUTS!$E$88&lt;&gt;"Yes",0,N(IFERROR(CHOOSE(MATCH(INPUTS!$L$88,LISTS!$R$5:$R$10,0),INPUTS!$E$242,INPUTS!$E$276,INPUTS!$E$310,INPUTS!$E$344,INPUTS!$E$378,INPUTS!$E$412),"")))</f>
        <v>0</v>
      </c>
      <c r="F37" s="125" t="str">
        <f aca="false">IF(AND(C37="Construction % complete",E37&gt;0),MAX(COUNTIF(CURVES!$D$41:$AQ$41,"&lt;"&amp;(D37-0.000000001))+1,INPUTS!$R$88),"")</f>
        <v/>
      </c>
      <c r="G37" s="126" t="str">
        <f aca="false">IF(E37=0,"",IF(C37="Booking + quarters",IF(D37=0,"at booking",D37&amp;" qtr(s) after booking"),IF(F37&gt;INPUTS!$C$24,"NOT REACHED in model","construction "&amp;TEXT(D37,"0%")&amp;" reached in Q"&amp;F37)))</f>
        <v/>
      </c>
      <c r="H37" s="126"/>
      <c r="I37" s="126"/>
      <c r="J37" s="126"/>
      <c r="K37" s="126"/>
      <c r="L37" s="126"/>
    </row>
    <row r="38" customFormat="false" ht="15" hidden="false" customHeight="false" outlineLevel="0" collapsed="false">
      <c r="B38" s="121" t="str">
        <f aca="false">IF(INPUTS!$E$88&lt;&gt;"Yes","",IFERROR(CHOOSE(MATCH(INPUTS!$L$88,LISTS!$R$5:$R$10,0),INPUTS!$B$243,INPUTS!$B$277,INPUTS!$B$311,INPUTS!$B$345,INPUTS!$B$379,INPUTS!$B$413),"")&amp;"")</f>
        <v/>
      </c>
      <c r="C38" s="122" t="str">
        <f aca="false">IF(INPUTS!$E$88&lt;&gt;"Yes","",IFERROR(CHOOSE(MATCH(INPUTS!$L$88,LISTS!$R$5:$R$10,0),INPUTS!$C$243,INPUTS!$C$277,INPUTS!$C$311,INPUTS!$C$345,INPUTS!$C$379,INPUTS!$C$413),"")&amp;"")</f>
        <v/>
      </c>
      <c r="D38" s="123" t="n">
        <f aca="false">IF(INPUTS!$E$88&lt;&gt;"Yes",0,N(IFERROR(CHOOSE(MATCH(INPUTS!$L$88,LISTS!$R$5:$R$10,0),INPUTS!$D$243,INPUTS!$D$277,INPUTS!$D$311,INPUTS!$D$345,INPUTS!$D$379,INPUTS!$D$413),"")))</f>
        <v>0</v>
      </c>
      <c r="E38" s="124" t="n">
        <f aca="false">IF(INPUTS!$E$88&lt;&gt;"Yes",0,N(IFERROR(CHOOSE(MATCH(INPUTS!$L$88,LISTS!$R$5:$R$10,0),INPUTS!$E$243,INPUTS!$E$277,INPUTS!$E$311,INPUTS!$E$345,INPUTS!$E$379,INPUTS!$E$413),"")))</f>
        <v>0</v>
      </c>
      <c r="F38" s="125" t="str">
        <f aca="false">IF(AND(C38="Construction % complete",E38&gt;0),MAX(COUNTIF(CURVES!$D$41:$AQ$41,"&lt;"&amp;(D38-0.000000001))+1,INPUTS!$R$88),"")</f>
        <v/>
      </c>
      <c r="G38" s="126" t="str">
        <f aca="false">IF(E38=0,"",IF(C38="Booking + quarters",IF(D38=0,"at booking",D38&amp;" qtr(s) after booking"),IF(F38&gt;INPUTS!$C$24,"NOT REACHED in model","construction "&amp;TEXT(D38,"0%")&amp;" reached in Q"&amp;F38)))</f>
        <v/>
      </c>
      <c r="H38" s="126"/>
      <c r="I38" s="126"/>
      <c r="J38" s="126"/>
      <c r="K38" s="126"/>
      <c r="L38" s="126"/>
    </row>
    <row r="39" customFormat="false" ht="15" hidden="false" customHeight="false" outlineLevel="0" collapsed="false">
      <c r="B39" s="121" t="str">
        <f aca="false">IF(INPUTS!$E$88&lt;&gt;"Yes","",IFERROR(CHOOSE(MATCH(INPUTS!$L$88,LISTS!$R$5:$R$10,0),INPUTS!$B$244,INPUTS!$B$278,INPUTS!$B$312,INPUTS!$B$346,INPUTS!$B$380,INPUTS!$B$414),"")&amp;"")</f>
        <v/>
      </c>
      <c r="C39" s="122" t="str">
        <f aca="false">IF(INPUTS!$E$88&lt;&gt;"Yes","",IFERROR(CHOOSE(MATCH(INPUTS!$L$88,LISTS!$R$5:$R$10,0),INPUTS!$C$244,INPUTS!$C$278,INPUTS!$C$312,INPUTS!$C$346,INPUTS!$C$380,INPUTS!$C$414),"")&amp;"")</f>
        <v/>
      </c>
      <c r="D39" s="123" t="n">
        <f aca="false">IF(INPUTS!$E$88&lt;&gt;"Yes",0,N(IFERROR(CHOOSE(MATCH(INPUTS!$L$88,LISTS!$R$5:$R$10,0),INPUTS!$D$244,INPUTS!$D$278,INPUTS!$D$312,INPUTS!$D$346,INPUTS!$D$380,INPUTS!$D$414),"")))</f>
        <v>0</v>
      </c>
      <c r="E39" s="124" t="n">
        <f aca="false">IF(INPUTS!$E$88&lt;&gt;"Yes",0,N(IFERROR(CHOOSE(MATCH(INPUTS!$L$88,LISTS!$R$5:$R$10,0),INPUTS!$E$244,INPUTS!$E$278,INPUTS!$E$312,INPUTS!$E$346,INPUTS!$E$380,INPUTS!$E$414),"")))</f>
        <v>0</v>
      </c>
      <c r="F39" s="125" t="str">
        <f aca="false">IF(AND(C39="Construction % complete",E39&gt;0),MAX(COUNTIF(CURVES!$D$41:$AQ$41,"&lt;"&amp;(D39-0.000000001))+1,INPUTS!$R$88),"")</f>
        <v/>
      </c>
      <c r="G39" s="126" t="str">
        <f aca="false">IF(E39=0,"",IF(C39="Booking + quarters",IF(D39=0,"at booking",D39&amp;" qtr(s) after booking"),IF(F39&gt;INPUTS!$C$24,"NOT REACHED in model","construction "&amp;TEXT(D39,"0%")&amp;" reached in Q"&amp;F39)))</f>
        <v/>
      </c>
      <c r="H39" s="126"/>
      <c r="I39" s="126"/>
      <c r="J39" s="126"/>
      <c r="K39" s="126"/>
      <c r="L39" s="126"/>
    </row>
    <row r="40" customFormat="false" ht="15" hidden="false" customHeight="false" outlineLevel="0" collapsed="false">
      <c r="B40" s="121" t="str">
        <f aca="false">IF(INPUTS!$E$88&lt;&gt;"Yes","",IFERROR(CHOOSE(MATCH(INPUTS!$L$88,LISTS!$R$5:$R$10,0),INPUTS!$B$245,INPUTS!$B$279,INPUTS!$B$313,INPUTS!$B$347,INPUTS!$B$381,INPUTS!$B$415),"")&amp;"")</f>
        <v/>
      </c>
      <c r="C40" s="122" t="str">
        <f aca="false">IF(INPUTS!$E$88&lt;&gt;"Yes","",IFERROR(CHOOSE(MATCH(INPUTS!$L$88,LISTS!$R$5:$R$10,0),INPUTS!$C$245,INPUTS!$C$279,INPUTS!$C$313,INPUTS!$C$347,INPUTS!$C$381,INPUTS!$C$415),"")&amp;"")</f>
        <v/>
      </c>
      <c r="D40" s="123" t="n">
        <f aca="false">IF(INPUTS!$E$88&lt;&gt;"Yes",0,N(IFERROR(CHOOSE(MATCH(INPUTS!$L$88,LISTS!$R$5:$R$10,0),INPUTS!$D$245,INPUTS!$D$279,INPUTS!$D$313,INPUTS!$D$347,INPUTS!$D$381,INPUTS!$D$415),"")))</f>
        <v>0</v>
      </c>
      <c r="E40" s="124" t="n">
        <f aca="false">IF(INPUTS!$E$88&lt;&gt;"Yes",0,N(IFERROR(CHOOSE(MATCH(INPUTS!$L$88,LISTS!$R$5:$R$10,0),INPUTS!$E$245,INPUTS!$E$279,INPUTS!$E$313,INPUTS!$E$347,INPUTS!$E$381,INPUTS!$E$415),"")))</f>
        <v>0</v>
      </c>
      <c r="F40" s="125" t="str">
        <f aca="false">IF(AND(C40="Construction % complete",E40&gt;0),MAX(COUNTIF(CURVES!$D$41:$AQ$41,"&lt;"&amp;(D40-0.000000001))+1,INPUTS!$R$88),"")</f>
        <v/>
      </c>
      <c r="G40" s="126" t="str">
        <f aca="false">IF(E40=0,"",IF(C40="Booking + quarters",IF(D40=0,"at booking",D40&amp;" qtr(s) after booking"),IF(F40&gt;INPUTS!$C$24,"NOT REACHED in model","construction "&amp;TEXT(D40,"0%")&amp;" reached in Q"&amp;F40)))</f>
        <v/>
      </c>
      <c r="H40" s="126"/>
      <c r="I40" s="126"/>
      <c r="J40" s="126"/>
      <c r="K40" s="126"/>
      <c r="L40" s="126"/>
    </row>
    <row r="41" customFormat="false" ht="15" hidden="false" customHeight="false" outlineLevel="0" collapsed="false">
      <c r="B41" s="121" t="str">
        <f aca="false">IF(INPUTS!$E$88&lt;&gt;"Yes","",IFERROR(CHOOSE(MATCH(INPUTS!$L$88,LISTS!$R$5:$R$10,0),INPUTS!$B$246,INPUTS!$B$280,INPUTS!$B$314,INPUTS!$B$348,INPUTS!$B$382,INPUTS!$B$416),"")&amp;"")</f>
        <v/>
      </c>
      <c r="C41" s="122" t="str">
        <f aca="false">IF(INPUTS!$E$88&lt;&gt;"Yes","",IFERROR(CHOOSE(MATCH(INPUTS!$L$88,LISTS!$R$5:$R$10,0),INPUTS!$C$246,INPUTS!$C$280,INPUTS!$C$314,INPUTS!$C$348,INPUTS!$C$382,INPUTS!$C$416),"")&amp;"")</f>
        <v/>
      </c>
      <c r="D41" s="123" t="n">
        <f aca="false">IF(INPUTS!$E$88&lt;&gt;"Yes",0,N(IFERROR(CHOOSE(MATCH(INPUTS!$L$88,LISTS!$R$5:$R$10,0),INPUTS!$D$246,INPUTS!$D$280,INPUTS!$D$314,INPUTS!$D$348,INPUTS!$D$382,INPUTS!$D$416),"")))</f>
        <v>0</v>
      </c>
      <c r="E41" s="124" t="n">
        <f aca="false">IF(INPUTS!$E$88&lt;&gt;"Yes",0,N(IFERROR(CHOOSE(MATCH(INPUTS!$L$88,LISTS!$R$5:$R$10,0),INPUTS!$E$246,INPUTS!$E$280,INPUTS!$E$314,INPUTS!$E$348,INPUTS!$E$382,INPUTS!$E$416),"")))</f>
        <v>0</v>
      </c>
      <c r="F41" s="125" t="str">
        <f aca="false">IF(AND(C41="Construction % complete",E41&gt;0),MAX(COUNTIF(CURVES!$D$41:$AQ$41,"&lt;"&amp;(D41-0.000000001))+1,INPUTS!$R$88),"")</f>
        <v/>
      </c>
      <c r="G41" s="126" t="str">
        <f aca="false">IF(E41=0,"",IF(C41="Booking + quarters",IF(D41=0,"at booking",D41&amp;" qtr(s) after booking"),IF(F41&gt;INPUTS!$C$24,"NOT REACHED in model","construction "&amp;TEXT(D41,"0%")&amp;" reached in Q"&amp;F41)))</f>
        <v/>
      </c>
      <c r="H41" s="126"/>
      <c r="I41" s="126"/>
      <c r="J41" s="126"/>
      <c r="K41" s="126"/>
      <c r="L41" s="126"/>
    </row>
    <row r="42" customFormat="false" ht="15" hidden="false" customHeight="false" outlineLevel="0" collapsed="false">
      <c r="B42" s="121" t="str">
        <f aca="false">IF(INPUTS!$E$88&lt;&gt;"Yes","",IFERROR(CHOOSE(MATCH(INPUTS!$L$88,LISTS!$R$5:$R$10,0),INPUTS!$B$247,INPUTS!$B$281,INPUTS!$B$315,INPUTS!$B$349,INPUTS!$B$383,INPUTS!$B$417),"")&amp;"")</f>
        <v/>
      </c>
      <c r="C42" s="122" t="str">
        <f aca="false">IF(INPUTS!$E$88&lt;&gt;"Yes","",IFERROR(CHOOSE(MATCH(INPUTS!$L$88,LISTS!$R$5:$R$10,0),INPUTS!$C$247,INPUTS!$C$281,INPUTS!$C$315,INPUTS!$C$349,INPUTS!$C$383,INPUTS!$C$417),"")&amp;"")</f>
        <v/>
      </c>
      <c r="D42" s="123" t="n">
        <f aca="false">IF(INPUTS!$E$88&lt;&gt;"Yes",0,N(IFERROR(CHOOSE(MATCH(INPUTS!$L$88,LISTS!$R$5:$R$10,0),INPUTS!$D$247,INPUTS!$D$281,INPUTS!$D$315,INPUTS!$D$349,INPUTS!$D$383,INPUTS!$D$417),"")))</f>
        <v>0</v>
      </c>
      <c r="E42" s="124" t="n">
        <f aca="false">IF(INPUTS!$E$88&lt;&gt;"Yes",0,N(IFERROR(CHOOSE(MATCH(INPUTS!$L$88,LISTS!$R$5:$R$10,0),INPUTS!$E$247,INPUTS!$E$281,INPUTS!$E$315,INPUTS!$E$349,INPUTS!$E$383,INPUTS!$E$417),"")))</f>
        <v>0</v>
      </c>
      <c r="F42" s="125" t="str">
        <f aca="false">IF(AND(C42="Construction % complete",E42&gt;0),MAX(COUNTIF(CURVES!$D$41:$AQ$41,"&lt;"&amp;(D42-0.000000001))+1,INPUTS!$R$88),"")</f>
        <v/>
      </c>
      <c r="G42" s="126" t="str">
        <f aca="false">IF(E42=0,"",IF(C42="Booking + quarters",IF(D42=0,"at booking",D42&amp;" qtr(s) after booking"),IF(F42&gt;INPUTS!$C$24,"NOT REACHED in model","construction "&amp;TEXT(D42,"0%")&amp;" reached in Q"&amp;F42)))</f>
        <v/>
      </c>
      <c r="H42" s="126"/>
      <c r="I42" s="126"/>
      <c r="J42" s="126"/>
      <c r="K42" s="126"/>
      <c r="L42" s="126"/>
    </row>
    <row r="43" customFormat="false" ht="15" hidden="false" customHeight="false" outlineLevel="0" collapsed="false">
      <c r="B43" s="121" t="str">
        <f aca="false">IF(INPUTS!$E$88&lt;&gt;"Yes","",IFERROR(CHOOSE(MATCH(INPUTS!$L$88,LISTS!$R$5:$R$10,0),INPUTS!$B$248,INPUTS!$B$282,INPUTS!$B$316,INPUTS!$B$350,INPUTS!$B$384,INPUTS!$B$418),"")&amp;"")</f>
        <v/>
      </c>
      <c r="C43" s="122" t="str">
        <f aca="false">IF(INPUTS!$E$88&lt;&gt;"Yes","",IFERROR(CHOOSE(MATCH(INPUTS!$L$88,LISTS!$R$5:$R$10,0),INPUTS!$C$248,INPUTS!$C$282,INPUTS!$C$316,INPUTS!$C$350,INPUTS!$C$384,INPUTS!$C$418),"")&amp;"")</f>
        <v/>
      </c>
      <c r="D43" s="123" t="n">
        <f aca="false">IF(INPUTS!$E$88&lt;&gt;"Yes",0,N(IFERROR(CHOOSE(MATCH(INPUTS!$L$88,LISTS!$R$5:$R$10,0),INPUTS!$D$248,INPUTS!$D$282,INPUTS!$D$316,INPUTS!$D$350,INPUTS!$D$384,INPUTS!$D$418),"")))</f>
        <v>0</v>
      </c>
      <c r="E43" s="124" t="n">
        <f aca="false">IF(INPUTS!$E$88&lt;&gt;"Yes",0,N(IFERROR(CHOOSE(MATCH(INPUTS!$L$88,LISTS!$R$5:$R$10,0),INPUTS!$E$248,INPUTS!$E$282,INPUTS!$E$316,INPUTS!$E$350,INPUTS!$E$384,INPUTS!$E$418),"")))</f>
        <v>0</v>
      </c>
      <c r="F43" s="125" t="str">
        <f aca="false">IF(AND(C43="Construction % complete",E43&gt;0),MAX(COUNTIF(CURVES!$D$41:$AQ$41,"&lt;"&amp;(D43-0.000000001))+1,INPUTS!$R$88),"")</f>
        <v/>
      </c>
      <c r="G43" s="126" t="str">
        <f aca="false">IF(E43=0,"",IF(C43="Booking + quarters",IF(D43=0,"at booking",D43&amp;" qtr(s) after booking"),IF(F43&gt;INPUTS!$C$24,"NOT REACHED in model","construction "&amp;TEXT(D43,"0%")&amp;" reached in Q"&amp;F43)))</f>
        <v/>
      </c>
      <c r="H43" s="126"/>
      <c r="I43" s="126"/>
      <c r="J43" s="126"/>
      <c r="K43" s="126"/>
      <c r="L43" s="126"/>
    </row>
    <row r="44" customFormat="false" ht="15" hidden="false" customHeight="false" outlineLevel="0" collapsed="false">
      <c r="B44" s="127" t="s">
        <v>708</v>
      </c>
      <c r="D44" s="128" t="n">
        <f aca="false">SUMIFS($E$14:$E$43,$C$14:$C$43,"Booking + quarters",$D$14:$D$43,0)</f>
        <v>0.1</v>
      </c>
      <c r="E44" s="128" t="n">
        <f aca="false">SUMIFS($E$14:$E$43,$C$14:$C$43,"Booking + quarters",$D$14:$D$43,1)</f>
        <v>0.1</v>
      </c>
      <c r="F44" s="128" t="n">
        <f aca="false">SUMIFS($E$14:$E$43,$C$14:$C$43,"Booking + quarters",$D$14:$D$43,2)</f>
        <v>0</v>
      </c>
      <c r="G44" s="128" t="n">
        <f aca="false">SUMIFS($E$14:$E$43,$C$14:$C$43,"Booking + quarters",$D$14:$D$43,3)</f>
        <v>0</v>
      </c>
      <c r="H44" s="128" t="n">
        <f aca="false">SUMIFS($E$14:$E$43,$C$14:$C$43,"Booking + quarters",$D$14:$D$43,4)</f>
        <v>0</v>
      </c>
      <c r="I44" s="128" t="n">
        <f aca="false">SUMIFS($E$14:$E$43,$C$14:$C$43,"Booking + quarters",$D$14:$D$43,5)</f>
        <v>0</v>
      </c>
      <c r="J44" s="128" t="n">
        <f aca="false">SUMIFS($E$14:$E$43,$C$14:$C$43,"Booking + quarters",$D$14:$D$43,6)</f>
        <v>0</v>
      </c>
      <c r="K44" s="128" t="n">
        <f aca="false">SUMIFS($E$14:$E$43,$C$14:$C$43,"Booking + quarters",$D$14:$D$43,7)</f>
        <v>0</v>
      </c>
      <c r="L44" s="128" t="n">
        <f aca="false">SUMIFS($E$14:$E$43,$C$14:$C$43,"Booking + quarters",$D$14:$D$43,8)</f>
        <v>0</v>
      </c>
      <c r="M44" s="128" t="n">
        <f aca="false">SUMIFS($E$14:$E$43,$C$14:$C$43,"Booking + quarters",$D$14:$D$43,9)</f>
        <v>0</v>
      </c>
      <c r="N44" s="128" t="n">
        <f aca="false">SUMIFS($E$14:$E$43,$C$14:$C$43,"Booking + quarters",$D$14:$D$43,10)</f>
        <v>0</v>
      </c>
      <c r="O44" s="128" t="n">
        <f aca="false">SUMIFS($E$14:$E$43,$C$14:$C$43,"Booking + quarters",$D$14:$D$43,11)</f>
        <v>0</v>
      </c>
      <c r="P44" s="128" t="n">
        <f aca="false">SUMIFS($E$14:$E$43,$C$14:$C$43,"Booking + quarters",$D$14:$D$43,12)</f>
        <v>0</v>
      </c>
    </row>
    <row r="45" customFormat="false" ht="15" hidden="false" customHeight="false" outlineLevel="0" collapsed="false">
      <c r="B45" s="127" t="s">
        <v>709</v>
      </c>
      <c r="C45" s="105" t="str">
        <f aca="false">IF(INPUTS!$E$88&lt;&gt;"Yes","Off",IF(ABS(SUM($E$14:$E$43)-1)&lt;0.000001,"OK","ERROR"))</f>
        <v>OK</v>
      </c>
    </row>
    <row r="46" customFormat="false" ht="15" hidden="false" customHeight="false" outlineLevel="0" collapsed="false">
      <c r="B46" s="110" t="str">
        <f aca="false">IF(INPUTS!$E$89="Yes",INPUTS!$B$89&amp;"   →   "&amp;INPUTS!$L$89,"Product row 2 (off)")</f>
        <v>Apartments – Towers A &amp; B   →   CLP – Apartment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</row>
    <row r="47" customFormat="false" ht="15" hidden="false" customHeight="false" outlineLevel="0" collapsed="false">
      <c r="B47" s="121" t="str">
        <f aca="false">IF(INPUTS!$E$89&lt;&gt;"Yes","",IFERROR(CHOOSE(MATCH(INPUTS!$L$89,LISTS!$R$5:$R$10,0),INPUTS!$B$219,INPUTS!$B$253,INPUTS!$B$287,INPUTS!$B$321,INPUTS!$B$355,INPUTS!$B$389),"")&amp;"")</f>
        <v>Booking amount</v>
      </c>
      <c r="C47" s="122" t="str">
        <f aca="false">IF(INPUTS!$E$89&lt;&gt;"Yes","",IFERROR(CHOOSE(MATCH(INPUTS!$L$89,LISTS!$R$5:$R$10,0),INPUTS!$C$219,INPUTS!$C$253,INPUTS!$C$287,INPUTS!$C$321,INPUTS!$C$355,INPUTS!$C$389),"")&amp;"")</f>
        <v>Booking + quarters</v>
      </c>
      <c r="D47" s="123" t="n">
        <f aca="false">IF(INPUTS!$E$89&lt;&gt;"Yes",0,N(IFERROR(CHOOSE(MATCH(INPUTS!$L$89,LISTS!$R$5:$R$10,0),INPUTS!$D$219,INPUTS!$D$253,INPUTS!$D$287,INPUTS!$D$321,INPUTS!$D$355,INPUTS!$D$389),"")))</f>
        <v>0</v>
      </c>
      <c r="E47" s="124" t="n">
        <f aca="false">IF(INPUTS!$E$89&lt;&gt;"Yes",0,N(IFERROR(CHOOSE(MATCH(INPUTS!$L$89,LISTS!$R$5:$R$10,0),INPUTS!$E$219,INPUTS!$E$253,INPUTS!$E$287,INPUTS!$E$321,INPUTS!$E$355,INPUTS!$E$389),"")))</f>
        <v>0.1</v>
      </c>
      <c r="F47" s="125" t="str">
        <f aca="false">IF(AND(C47="Construction % complete",E47&gt;0),MAX(COUNTIF(CURVES!$D$47:$AQ$47,"&lt;"&amp;(D47-0.000000001))+1,INPUTS!$R$89),"")</f>
        <v/>
      </c>
      <c r="G47" s="126" t="str">
        <f aca="false">IF(E47=0,"",IF(C47="Booking + quarters",IF(D47=0,"at booking",D47&amp;" qtr(s) after booking"),IF(F47&gt;INPUTS!$C$24,"NOT REACHED in model","construction "&amp;TEXT(D47,"0%")&amp;" reached in Q"&amp;F47)))</f>
        <v>at booking</v>
      </c>
      <c r="H47" s="126"/>
      <c r="I47" s="126"/>
      <c r="J47" s="126"/>
      <c r="K47" s="126"/>
      <c r="L47" s="126"/>
    </row>
    <row r="48" customFormat="false" ht="15" hidden="false" customHeight="false" outlineLevel="0" collapsed="false">
      <c r="B48" s="121" t="str">
        <f aca="false">IF(INPUTS!$E$89&lt;&gt;"Yes","",IFERROR(CHOOSE(MATCH(INPUTS!$L$89,LISTS!$R$5:$R$10,0),INPUTS!$B$220,INPUTS!$B$254,INPUTS!$B$288,INPUTS!$B$322,INPUTS!$B$356,INPUTS!$B$390),"")&amp;"")</f>
        <v>Agreement to sell (ATS)</v>
      </c>
      <c r="C48" s="122" t="str">
        <f aca="false">IF(INPUTS!$E$89&lt;&gt;"Yes","",IFERROR(CHOOSE(MATCH(INPUTS!$L$89,LISTS!$R$5:$R$10,0),INPUTS!$C$220,INPUTS!$C$254,INPUTS!$C$288,INPUTS!$C$322,INPUTS!$C$356,INPUTS!$C$390),"")&amp;"")</f>
        <v>Booking + quarters</v>
      </c>
      <c r="D48" s="123" t="n">
        <f aca="false">IF(INPUTS!$E$89&lt;&gt;"Yes",0,N(IFERROR(CHOOSE(MATCH(INPUTS!$L$89,LISTS!$R$5:$R$10,0),INPUTS!$D$220,INPUTS!$D$254,INPUTS!$D$288,INPUTS!$D$322,INPUTS!$D$356,INPUTS!$D$390),"")))</f>
        <v>1</v>
      </c>
      <c r="E48" s="124" t="n">
        <f aca="false">IF(INPUTS!$E$89&lt;&gt;"Yes",0,N(IFERROR(CHOOSE(MATCH(INPUTS!$L$89,LISTS!$R$5:$R$10,0),INPUTS!$E$220,INPUTS!$E$254,INPUTS!$E$288,INPUTS!$E$322,INPUTS!$E$356,INPUTS!$E$390),"")))</f>
        <v>0.1</v>
      </c>
      <c r="F48" s="125" t="str">
        <f aca="false">IF(AND(C48="Construction % complete",E48&gt;0),MAX(COUNTIF(CURVES!$D$47:$AQ$47,"&lt;"&amp;(D48-0.000000001))+1,INPUTS!$R$89),"")</f>
        <v/>
      </c>
      <c r="G48" s="126" t="str">
        <f aca="false">IF(E48=0,"",IF(C48="Booking + quarters",IF(D48=0,"at booking",D48&amp;" qtr(s) after booking"),IF(F48&gt;INPUTS!$C$24,"NOT REACHED in model","construction "&amp;TEXT(D48,"0%")&amp;" reached in Q"&amp;F48)))</f>
        <v>1 qtr(s) after booking</v>
      </c>
      <c r="H48" s="126"/>
      <c r="I48" s="126"/>
      <c r="J48" s="126"/>
      <c r="K48" s="126"/>
      <c r="L48" s="126"/>
    </row>
    <row r="49" customFormat="false" ht="15" hidden="false" customHeight="false" outlineLevel="0" collapsed="false">
      <c r="B49" s="121" t="str">
        <f aca="false">IF(INPUTS!$E$89&lt;&gt;"Yes","",IFERROR(CHOOSE(MATCH(INPUTS!$L$89,LISTS!$R$5:$R$10,0),INPUTS!$B$221,INPUTS!$B$255,INPUTS!$B$289,INPUTS!$B$323,INPUTS!$B$357,INPUTS!$B$391),"")&amp;"")</f>
        <v>Foundation completion</v>
      </c>
      <c r="C49" s="122" t="str">
        <f aca="false">IF(INPUTS!$E$89&lt;&gt;"Yes","",IFERROR(CHOOSE(MATCH(INPUTS!$L$89,LISTS!$R$5:$R$10,0),INPUTS!$C$221,INPUTS!$C$255,INPUTS!$C$289,INPUTS!$C$323,INPUTS!$C$357,INPUTS!$C$391),"")&amp;"")</f>
        <v>Construction % complete</v>
      </c>
      <c r="D49" s="123" t="n">
        <f aca="false">IF(INPUTS!$E$89&lt;&gt;"Yes",0,N(IFERROR(CHOOSE(MATCH(INPUTS!$L$89,LISTS!$R$5:$R$10,0),INPUTS!$D$221,INPUTS!$D$255,INPUTS!$D$289,INPUTS!$D$323,INPUTS!$D$357,INPUTS!$D$391),"")))</f>
        <v>0.1</v>
      </c>
      <c r="E49" s="124" t="n">
        <f aca="false">IF(INPUTS!$E$89&lt;&gt;"Yes",0,N(IFERROR(CHOOSE(MATCH(INPUTS!$L$89,LISTS!$R$5:$R$10,0),INPUTS!$E$221,INPUTS!$E$255,INPUTS!$E$289,INPUTS!$E$323,INPUTS!$E$357,INPUTS!$E$391),"")))</f>
        <v>0.1</v>
      </c>
      <c r="F49" s="125" t="n">
        <f aca="false">IF(AND(C49="Construction % complete",E49&gt;0),MAX(COUNTIF(CURVES!$D$47:$AQ$47,"&lt;"&amp;(D49-0.000000001))+1,INPUTS!$R$89),"")</f>
        <v>8</v>
      </c>
      <c r="G49" s="126" t="str">
        <f aca="false">IF(E49=0,"",IF(C49="Booking + quarters",IF(D49=0,"at booking",D49&amp;" qtr(s) after booking"),IF(F49&gt;INPUTS!$C$24,"NOT REACHED in model","construction "&amp;TEXT(D49,"0%")&amp;" reached in Q"&amp;F49)))</f>
        <v>construction 10% reached in Q8</v>
      </c>
      <c r="H49" s="126"/>
      <c r="I49" s="126"/>
      <c r="J49" s="126"/>
      <c r="K49" s="126"/>
      <c r="L49" s="126"/>
    </row>
    <row r="50" customFormat="false" ht="15" hidden="false" customHeight="false" outlineLevel="0" collapsed="false">
      <c r="B50" s="121" t="str">
        <f aca="false">IF(INPUTS!$E$89&lt;&gt;"Yes","",IFERROR(CHOOSE(MATCH(INPUTS!$L$89,LISTS!$R$5:$R$10,0),INPUTS!$B$222,INPUTS!$B$256,INPUTS!$B$290,INPUTS!$B$324,INPUTS!$B$358,INPUTS!$B$392),"")&amp;"")</f>
        <v>Podium / plinth</v>
      </c>
      <c r="C50" s="122" t="str">
        <f aca="false">IF(INPUTS!$E$89&lt;&gt;"Yes","",IFERROR(CHOOSE(MATCH(INPUTS!$L$89,LISTS!$R$5:$R$10,0),INPUTS!$C$222,INPUTS!$C$256,INPUTS!$C$290,INPUTS!$C$324,INPUTS!$C$358,INPUTS!$C$392),"")&amp;"")</f>
        <v>Construction % complete</v>
      </c>
      <c r="D50" s="123" t="n">
        <f aca="false">IF(INPUTS!$E$89&lt;&gt;"Yes",0,N(IFERROR(CHOOSE(MATCH(INPUTS!$L$89,LISTS!$R$5:$R$10,0),INPUTS!$D$222,INPUTS!$D$256,INPUTS!$D$290,INPUTS!$D$324,INPUTS!$D$358,INPUTS!$D$392),"")))</f>
        <v>0.2</v>
      </c>
      <c r="E50" s="124" t="n">
        <f aca="false">IF(INPUTS!$E$89&lt;&gt;"Yes",0,N(IFERROR(CHOOSE(MATCH(INPUTS!$L$89,LISTS!$R$5:$R$10,0),INPUTS!$E$222,INPUTS!$E$256,INPUTS!$E$290,INPUTS!$E$324,INPUTS!$E$358,INPUTS!$E$392),"")))</f>
        <v>0.1</v>
      </c>
      <c r="F50" s="125" t="n">
        <f aca="false">IF(AND(C50="Construction % complete",E50&gt;0),MAX(COUNTIF(CURVES!$D$47:$AQ$47,"&lt;"&amp;(D50-0.000000001))+1,INPUTS!$R$89),"")</f>
        <v>9</v>
      </c>
      <c r="G50" s="126" t="str">
        <f aca="false">IF(E50=0,"",IF(C50="Booking + quarters",IF(D50=0,"at booking",D50&amp;" qtr(s) after booking"),IF(F50&gt;INPUTS!$C$24,"NOT REACHED in model","construction "&amp;TEXT(D50,"0%")&amp;" reached in Q"&amp;F50)))</f>
        <v>construction 20% reached in Q9</v>
      </c>
      <c r="H50" s="126"/>
      <c r="I50" s="126"/>
      <c r="J50" s="126"/>
      <c r="K50" s="126"/>
      <c r="L50" s="126"/>
    </row>
    <row r="51" customFormat="false" ht="15" hidden="false" customHeight="false" outlineLevel="0" collapsed="false">
      <c r="B51" s="121" t="str">
        <f aca="false">IF(INPUTS!$E$89&lt;&gt;"Yes","",IFERROR(CHOOSE(MATCH(INPUTS!$L$89,LISTS!$R$5:$R$10,0),INPUTS!$B$223,INPUTS!$B$257,INPUTS!$B$291,INPUTS!$B$325,INPUTS!$B$359,INPUTS!$B$393),"")&amp;"")</f>
        <v>Slab casting – 25% floors</v>
      </c>
      <c r="C51" s="122" t="str">
        <f aca="false">IF(INPUTS!$E$89&lt;&gt;"Yes","",IFERROR(CHOOSE(MATCH(INPUTS!$L$89,LISTS!$R$5:$R$10,0),INPUTS!$C$223,INPUTS!$C$257,INPUTS!$C$291,INPUTS!$C$325,INPUTS!$C$359,INPUTS!$C$393),"")&amp;"")</f>
        <v>Construction % complete</v>
      </c>
      <c r="D51" s="123" t="n">
        <f aca="false">IF(INPUTS!$E$89&lt;&gt;"Yes",0,N(IFERROR(CHOOSE(MATCH(INPUTS!$L$89,LISTS!$R$5:$R$10,0),INPUTS!$D$223,INPUTS!$D$257,INPUTS!$D$291,INPUTS!$D$325,INPUTS!$D$359,INPUTS!$D$393),"")))</f>
        <v>0.35</v>
      </c>
      <c r="E51" s="124" t="n">
        <f aca="false">IF(INPUTS!$E$89&lt;&gt;"Yes",0,N(IFERROR(CHOOSE(MATCH(INPUTS!$L$89,LISTS!$R$5:$R$10,0),INPUTS!$E$223,INPUTS!$E$257,INPUTS!$E$291,INPUTS!$E$325,INPUTS!$E$359,INPUTS!$E$393),"")))</f>
        <v>0.1</v>
      </c>
      <c r="F51" s="125" t="n">
        <f aca="false">IF(AND(C51="Construction % complete",E51&gt;0),MAX(COUNTIF(CURVES!$D$47:$AQ$47,"&lt;"&amp;(D51-0.000000001))+1,INPUTS!$R$89),"")</f>
        <v>11</v>
      </c>
      <c r="G51" s="126" t="str">
        <f aca="false">IF(E51=0,"",IF(C51="Booking + quarters",IF(D51=0,"at booking",D51&amp;" qtr(s) after booking"),IF(F51&gt;INPUTS!$C$24,"NOT REACHED in model","construction "&amp;TEXT(D51,"0%")&amp;" reached in Q"&amp;F51)))</f>
        <v>construction 35% reached in Q11</v>
      </c>
      <c r="H51" s="126"/>
      <c r="I51" s="126"/>
      <c r="J51" s="126"/>
      <c r="K51" s="126"/>
      <c r="L51" s="126"/>
    </row>
    <row r="52" customFormat="false" ht="15" hidden="false" customHeight="false" outlineLevel="0" collapsed="false">
      <c r="B52" s="121" t="str">
        <f aca="false">IF(INPUTS!$E$89&lt;&gt;"Yes","",IFERROR(CHOOSE(MATCH(INPUTS!$L$89,LISTS!$R$5:$R$10,0),INPUTS!$B$224,INPUTS!$B$258,INPUTS!$B$292,INPUTS!$B$326,INPUTS!$B$360,INPUTS!$B$394),"")&amp;"")</f>
        <v>Slab casting – 50% floors</v>
      </c>
      <c r="C52" s="122" t="str">
        <f aca="false">IF(INPUTS!$E$89&lt;&gt;"Yes","",IFERROR(CHOOSE(MATCH(INPUTS!$L$89,LISTS!$R$5:$R$10,0),INPUTS!$C$224,INPUTS!$C$258,INPUTS!$C$292,INPUTS!$C$326,INPUTS!$C$360,INPUTS!$C$394),"")&amp;"")</f>
        <v>Construction % complete</v>
      </c>
      <c r="D52" s="123" t="n">
        <f aca="false">IF(INPUTS!$E$89&lt;&gt;"Yes",0,N(IFERROR(CHOOSE(MATCH(INPUTS!$L$89,LISTS!$R$5:$R$10,0),INPUTS!$D$224,INPUTS!$D$258,INPUTS!$D$292,INPUTS!$D$326,INPUTS!$D$360,INPUTS!$D$394),"")))</f>
        <v>0.5</v>
      </c>
      <c r="E52" s="124" t="n">
        <f aca="false">IF(INPUTS!$E$89&lt;&gt;"Yes",0,N(IFERROR(CHOOSE(MATCH(INPUTS!$L$89,LISTS!$R$5:$R$10,0),INPUTS!$E$224,INPUTS!$E$258,INPUTS!$E$292,INPUTS!$E$326,INPUTS!$E$360,INPUTS!$E$394),"")))</f>
        <v>0.1</v>
      </c>
      <c r="F52" s="125" t="n">
        <f aca="false">IF(AND(C52="Construction % complete",E52&gt;0),MAX(COUNTIF(CURVES!$D$47:$AQ$47,"&lt;"&amp;(D52-0.000000001))+1,INPUTS!$R$89),"")</f>
        <v>12</v>
      </c>
      <c r="G52" s="126" t="str">
        <f aca="false">IF(E52=0,"",IF(C52="Booking + quarters",IF(D52=0,"at booking",D52&amp;" qtr(s) after booking"),IF(F52&gt;INPUTS!$C$24,"NOT REACHED in model","construction "&amp;TEXT(D52,"0%")&amp;" reached in Q"&amp;F52)))</f>
        <v>construction 50% reached in Q12</v>
      </c>
      <c r="H52" s="126"/>
      <c r="I52" s="126"/>
      <c r="J52" s="126"/>
      <c r="K52" s="126"/>
      <c r="L52" s="126"/>
    </row>
    <row r="53" customFormat="false" ht="15" hidden="false" customHeight="false" outlineLevel="0" collapsed="false">
      <c r="B53" s="121" t="str">
        <f aca="false">IF(INPUTS!$E$89&lt;&gt;"Yes","",IFERROR(CHOOSE(MATCH(INPUTS!$L$89,LISTS!$R$5:$R$10,0),INPUTS!$B$225,INPUTS!$B$259,INPUTS!$B$293,INPUTS!$B$327,INPUTS!$B$361,INPUTS!$B$395),"")&amp;"")</f>
        <v>Slab casting – 75% floors</v>
      </c>
      <c r="C53" s="122" t="str">
        <f aca="false">IF(INPUTS!$E$89&lt;&gt;"Yes","",IFERROR(CHOOSE(MATCH(INPUTS!$L$89,LISTS!$R$5:$R$10,0),INPUTS!$C$225,INPUTS!$C$259,INPUTS!$C$293,INPUTS!$C$327,INPUTS!$C$361,INPUTS!$C$395),"")&amp;"")</f>
        <v>Construction % complete</v>
      </c>
      <c r="D53" s="123" t="n">
        <f aca="false">IF(INPUTS!$E$89&lt;&gt;"Yes",0,N(IFERROR(CHOOSE(MATCH(INPUTS!$L$89,LISTS!$R$5:$R$10,0),INPUTS!$D$225,INPUTS!$D$259,INPUTS!$D$293,INPUTS!$D$327,INPUTS!$D$361,INPUTS!$D$395),"")))</f>
        <v>0.65</v>
      </c>
      <c r="E53" s="124" t="n">
        <f aca="false">IF(INPUTS!$E$89&lt;&gt;"Yes",0,N(IFERROR(CHOOSE(MATCH(INPUTS!$L$89,LISTS!$R$5:$R$10,0),INPUTS!$E$225,INPUTS!$E$259,INPUTS!$E$293,INPUTS!$E$327,INPUTS!$E$361,INPUTS!$E$395),"")))</f>
        <v>0.1</v>
      </c>
      <c r="F53" s="125" t="n">
        <f aca="false">IF(AND(C53="Construction % complete",E53&gt;0),MAX(COUNTIF(CURVES!$D$47:$AQ$47,"&lt;"&amp;(D53-0.000000001))+1,INPUTS!$R$89),"")</f>
        <v>14</v>
      </c>
      <c r="G53" s="126" t="str">
        <f aca="false">IF(E53=0,"",IF(C53="Booking + quarters",IF(D53=0,"at booking",D53&amp;" qtr(s) after booking"),IF(F53&gt;INPUTS!$C$24,"NOT REACHED in model","construction "&amp;TEXT(D53,"0%")&amp;" reached in Q"&amp;F53)))</f>
        <v>construction 65% reached in Q14</v>
      </c>
      <c r="H53" s="126"/>
      <c r="I53" s="126"/>
      <c r="J53" s="126"/>
      <c r="K53" s="126"/>
      <c r="L53" s="126"/>
    </row>
    <row r="54" customFormat="false" ht="15" hidden="false" customHeight="false" outlineLevel="0" collapsed="false">
      <c r="B54" s="121" t="str">
        <f aca="false">IF(INPUTS!$E$89&lt;&gt;"Yes","",IFERROR(CHOOSE(MATCH(INPUTS!$L$89,LISTS!$R$5:$R$10,0),INPUTS!$B$226,INPUTS!$B$260,INPUTS!$B$294,INPUTS!$B$328,INPUTS!$B$362,INPUTS!$B$396),"")&amp;"")</f>
        <v>Top slab casting</v>
      </c>
      <c r="C54" s="122" t="str">
        <f aca="false">IF(INPUTS!$E$89&lt;&gt;"Yes","",IFERROR(CHOOSE(MATCH(INPUTS!$L$89,LISTS!$R$5:$R$10,0),INPUTS!$C$226,INPUTS!$C$260,INPUTS!$C$294,INPUTS!$C$328,INPUTS!$C$362,INPUTS!$C$396),"")&amp;"")</f>
        <v>Construction % complete</v>
      </c>
      <c r="D54" s="123" t="n">
        <f aca="false">IF(INPUTS!$E$89&lt;&gt;"Yes",0,N(IFERROR(CHOOSE(MATCH(INPUTS!$L$89,LISTS!$R$5:$R$10,0),INPUTS!$D$226,INPUTS!$D$260,INPUTS!$D$294,INPUTS!$D$328,INPUTS!$D$362,INPUTS!$D$396),"")))</f>
        <v>0.8</v>
      </c>
      <c r="E54" s="124" t="n">
        <f aca="false">IF(INPUTS!$E$89&lt;&gt;"Yes",0,N(IFERROR(CHOOSE(MATCH(INPUTS!$L$89,LISTS!$R$5:$R$10,0),INPUTS!$E$226,INPUTS!$E$260,INPUTS!$E$294,INPUTS!$E$328,INPUTS!$E$362,INPUTS!$E$396),"")))</f>
        <v>0.1</v>
      </c>
      <c r="F54" s="125" t="n">
        <f aca="false">IF(AND(C54="Construction % complete",E54&gt;0),MAX(COUNTIF(CURVES!$D$47:$AQ$47,"&lt;"&amp;(D54-0.000000001))+1,INPUTS!$R$89),"")</f>
        <v>16</v>
      </c>
      <c r="G54" s="126" t="str">
        <f aca="false">IF(E54=0,"",IF(C54="Booking + quarters",IF(D54=0,"at booking",D54&amp;" qtr(s) after booking"),IF(F54&gt;INPUTS!$C$24,"NOT REACHED in model","construction "&amp;TEXT(D54,"0%")&amp;" reached in Q"&amp;F54)))</f>
        <v>construction 80% reached in Q16</v>
      </c>
      <c r="H54" s="126"/>
      <c r="I54" s="126"/>
      <c r="J54" s="126"/>
      <c r="K54" s="126"/>
      <c r="L54" s="126"/>
    </row>
    <row r="55" customFormat="false" ht="15" hidden="false" customHeight="false" outlineLevel="0" collapsed="false">
      <c r="B55" s="121" t="str">
        <f aca="false">IF(INPUTS!$E$89&lt;&gt;"Yes","",IFERROR(CHOOSE(MATCH(INPUTS!$L$89,LISTS!$R$5:$R$10,0),INPUTS!$B$227,INPUTS!$B$261,INPUTS!$B$295,INPUTS!$B$329,INPUTS!$B$363,INPUTS!$B$397),"")&amp;"")</f>
        <v>Brickwork &amp; plaster</v>
      </c>
      <c r="C55" s="122" t="str">
        <f aca="false">IF(INPUTS!$E$89&lt;&gt;"Yes","",IFERROR(CHOOSE(MATCH(INPUTS!$L$89,LISTS!$R$5:$R$10,0),INPUTS!$C$227,INPUTS!$C$261,INPUTS!$C$295,INPUTS!$C$329,INPUTS!$C$363,INPUTS!$C$397),"")&amp;"")</f>
        <v>Construction % complete</v>
      </c>
      <c r="D55" s="123" t="n">
        <f aca="false">IF(INPUTS!$E$89&lt;&gt;"Yes",0,N(IFERROR(CHOOSE(MATCH(INPUTS!$L$89,LISTS!$R$5:$R$10,0),INPUTS!$D$227,INPUTS!$D$261,INPUTS!$D$295,INPUTS!$D$329,INPUTS!$D$363,INPUTS!$D$397),"")))</f>
        <v>0.9</v>
      </c>
      <c r="E55" s="124" t="n">
        <f aca="false">IF(INPUTS!$E$89&lt;&gt;"Yes",0,N(IFERROR(CHOOSE(MATCH(INPUTS!$L$89,LISTS!$R$5:$R$10,0),INPUTS!$E$227,INPUTS!$E$261,INPUTS!$E$295,INPUTS!$E$329,INPUTS!$E$363,INPUTS!$E$397),"")))</f>
        <v>0.05</v>
      </c>
      <c r="F55" s="125" t="n">
        <f aca="false">IF(AND(C55="Construction % complete",E55&gt;0),MAX(COUNTIF(CURVES!$D$47:$AQ$47,"&lt;"&amp;(D55-0.000000001))+1,INPUTS!$R$89),"")</f>
        <v>17</v>
      </c>
      <c r="G55" s="126" t="str">
        <f aca="false">IF(E55=0,"",IF(C55="Booking + quarters",IF(D55=0,"at booking",D55&amp;" qtr(s) after booking"),IF(F55&gt;INPUTS!$C$24,"NOT REACHED in model","construction "&amp;TEXT(D55,"0%")&amp;" reached in Q"&amp;F55)))</f>
        <v>construction 90% reached in Q17</v>
      </c>
      <c r="H55" s="126"/>
      <c r="I55" s="126"/>
      <c r="J55" s="126"/>
      <c r="K55" s="126"/>
      <c r="L55" s="126"/>
    </row>
    <row r="56" customFormat="false" ht="15" hidden="false" customHeight="false" outlineLevel="0" collapsed="false">
      <c r="B56" s="121" t="str">
        <f aca="false">IF(INPUTS!$E$89&lt;&gt;"Yes","",IFERROR(CHOOSE(MATCH(INPUTS!$L$89,LISTS!$R$5:$R$10,0),INPUTS!$B$228,INPUTS!$B$262,INPUTS!$B$296,INPUTS!$B$330,INPUTS!$B$364,INPUTS!$B$398),"")&amp;"")</f>
        <v>Flooring &amp; finishing</v>
      </c>
      <c r="C56" s="122" t="str">
        <f aca="false">IF(INPUTS!$E$89&lt;&gt;"Yes","",IFERROR(CHOOSE(MATCH(INPUTS!$L$89,LISTS!$R$5:$R$10,0),INPUTS!$C$228,INPUTS!$C$262,INPUTS!$C$296,INPUTS!$C$330,INPUTS!$C$364,INPUTS!$C$398),"")&amp;"")</f>
        <v>Construction % complete</v>
      </c>
      <c r="D56" s="123" t="n">
        <f aca="false">IF(INPUTS!$E$89&lt;&gt;"Yes",0,N(IFERROR(CHOOSE(MATCH(INPUTS!$L$89,LISTS!$R$5:$R$10,0),INPUTS!$D$228,INPUTS!$D$262,INPUTS!$D$296,INPUTS!$D$330,INPUTS!$D$364,INPUTS!$D$398),"")))</f>
        <v>0.95</v>
      </c>
      <c r="E56" s="124" t="n">
        <f aca="false">IF(INPUTS!$E$89&lt;&gt;"Yes",0,N(IFERROR(CHOOSE(MATCH(INPUTS!$L$89,LISTS!$R$5:$R$10,0),INPUTS!$E$228,INPUTS!$E$262,INPUTS!$E$296,INPUTS!$E$330,INPUTS!$E$364,INPUTS!$E$398),"")))</f>
        <v>0.05</v>
      </c>
      <c r="F56" s="125" t="n">
        <f aca="false">IF(AND(C56="Construction % complete",E56&gt;0),MAX(COUNTIF(CURVES!$D$47:$AQ$47,"&lt;"&amp;(D56-0.000000001))+1,INPUTS!$R$89),"")</f>
        <v>18</v>
      </c>
      <c r="G56" s="126" t="str">
        <f aca="false">IF(E56=0,"",IF(C56="Booking + quarters",IF(D56=0,"at booking",D56&amp;" qtr(s) after booking"),IF(F56&gt;INPUTS!$C$24,"NOT REACHED in model","construction "&amp;TEXT(D56,"0%")&amp;" reached in Q"&amp;F56)))</f>
        <v>construction 95% reached in Q18</v>
      </c>
      <c r="H56" s="126"/>
      <c r="I56" s="126"/>
      <c r="J56" s="126"/>
      <c r="K56" s="126"/>
      <c r="L56" s="126"/>
    </row>
    <row r="57" customFormat="false" ht="15" hidden="false" customHeight="false" outlineLevel="0" collapsed="false">
      <c r="B57" s="121" t="str">
        <f aca="false">IF(INPUTS!$E$89&lt;&gt;"Yes","",IFERROR(CHOOSE(MATCH(INPUTS!$L$89,LISTS!$R$5:$R$10,0),INPUTS!$B$229,INPUTS!$B$263,INPUTS!$B$297,INPUTS!$B$331,INPUTS!$B$365,INPUTS!$B$399),"")&amp;"")</f>
        <v>Possession</v>
      </c>
      <c r="C57" s="122" t="str">
        <f aca="false">IF(INPUTS!$E$89&lt;&gt;"Yes","",IFERROR(CHOOSE(MATCH(INPUTS!$L$89,LISTS!$R$5:$R$10,0),INPUTS!$C$229,INPUTS!$C$263,INPUTS!$C$297,INPUTS!$C$331,INPUTS!$C$365,INPUTS!$C$399),"")&amp;"")</f>
        <v>Construction % complete</v>
      </c>
      <c r="D57" s="123" t="n">
        <f aca="false">IF(INPUTS!$E$89&lt;&gt;"Yes",0,N(IFERROR(CHOOSE(MATCH(INPUTS!$L$89,LISTS!$R$5:$R$10,0),INPUTS!$D$229,INPUTS!$D$263,INPUTS!$D$297,INPUTS!$D$331,INPUTS!$D$365,INPUTS!$D$399),"")))</f>
        <v>1</v>
      </c>
      <c r="E57" s="124" t="n">
        <f aca="false">IF(INPUTS!$E$89&lt;&gt;"Yes",0,N(IFERROR(CHOOSE(MATCH(INPUTS!$L$89,LISTS!$R$5:$R$10,0),INPUTS!$E$229,INPUTS!$E$263,INPUTS!$E$297,INPUTS!$E$331,INPUTS!$E$365,INPUTS!$E$399),"")))</f>
        <v>0.1</v>
      </c>
      <c r="F57" s="125" t="n">
        <f aca="false">IF(AND(C57="Construction % complete",E57&gt;0),MAX(COUNTIF(CURVES!$D$47:$AQ$47,"&lt;"&amp;(D57-0.000000001))+1,INPUTS!$R$89),"")</f>
        <v>20</v>
      </c>
      <c r="G57" s="126" t="str">
        <f aca="false">IF(E57=0,"",IF(C57="Booking + quarters",IF(D57=0,"at booking",D57&amp;" qtr(s) after booking"),IF(F57&gt;INPUTS!$C$24,"NOT REACHED in model","construction "&amp;TEXT(D57,"0%")&amp;" reached in Q"&amp;F57)))</f>
        <v>construction 100% reached in Q20</v>
      </c>
      <c r="H57" s="126"/>
      <c r="I57" s="126"/>
      <c r="J57" s="126"/>
      <c r="K57" s="126"/>
      <c r="L57" s="126"/>
    </row>
    <row r="58" customFormat="false" ht="15" hidden="false" customHeight="false" outlineLevel="0" collapsed="false">
      <c r="B58" s="121" t="str">
        <f aca="false">IF(INPUTS!$E$89&lt;&gt;"Yes","",IFERROR(CHOOSE(MATCH(INPUTS!$L$89,LISTS!$R$5:$R$10,0),INPUTS!$B$230,INPUTS!$B$264,INPUTS!$B$298,INPUTS!$B$332,INPUTS!$B$366,INPUTS!$B$400),"")&amp;"")</f>
        <v/>
      </c>
      <c r="C58" s="122" t="str">
        <f aca="false">IF(INPUTS!$E$89&lt;&gt;"Yes","",IFERROR(CHOOSE(MATCH(INPUTS!$L$89,LISTS!$R$5:$R$10,0),INPUTS!$C$230,INPUTS!$C$264,INPUTS!$C$298,INPUTS!$C$332,INPUTS!$C$366,INPUTS!$C$400),"")&amp;"")</f>
        <v/>
      </c>
      <c r="D58" s="123" t="n">
        <f aca="false">IF(INPUTS!$E$89&lt;&gt;"Yes",0,N(IFERROR(CHOOSE(MATCH(INPUTS!$L$89,LISTS!$R$5:$R$10,0),INPUTS!$D$230,INPUTS!$D$264,INPUTS!$D$298,INPUTS!$D$332,INPUTS!$D$366,INPUTS!$D$400),"")))</f>
        <v>0</v>
      </c>
      <c r="E58" s="124" t="n">
        <f aca="false">IF(INPUTS!$E$89&lt;&gt;"Yes",0,N(IFERROR(CHOOSE(MATCH(INPUTS!$L$89,LISTS!$R$5:$R$10,0),INPUTS!$E$230,INPUTS!$E$264,INPUTS!$E$298,INPUTS!$E$332,INPUTS!$E$366,INPUTS!$E$400),"")))</f>
        <v>0</v>
      </c>
      <c r="F58" s="125" t="str">
        <f aca="false">IF(AND(C58="Construction % complete",E58&gt;0),MAX(COUNTIF(CURVES!$D$47:$AQ$47,"&lt;"&amp;(D58-0.000000001))+1,INPUTS!$R$89),"")</f>
        <v/>
      </c>
      <c r="G58" s="126" t="str">
        <f aca="false">IF(E58=0,"",IF(C58="Booking + quarters",IF(D58=0,"at booking",D58&amp;" qtr(s) after booking"),IF(F58&gt;INPUTS!$C$24,"NOT REACHED in model","construction "&amp;TEXT(D58,"0%")&amp;" reached in Q"&amp;F58)))</f>
        <v/>
      </c>
      <c r="H58" s="126"/>
      <c r="I58" s="126"/>
      <c r="J58" s="126"/>
      <c r="K58" s="126"/>
      <c r="L58" s="126"/>
    </row>
    <row r="59" customFormat="false" ht="15" hidden="false" customHeight="false" outlineLevel="0" collapsed="false">
      <c r="B59" s="121" t="str">
        <f aca="false">IF(INPUTS!$E$89&lt;&gt;"Yes","",IFERROR(CHOOSE(MATCH(INPUTS!$L$89,LISTS!$R$5:$R$10,0),INPUTS!$B$231,INPUTS!$B$265,INPUTS!$B$299,INPUTS!$B$333,INPUTS!$B$367,INPUTS!$B$401),"")&amp;"")</f>
        <v/>
      </c>
      <c r="C59" s="122" t="str">
        <f aca="false">IF(INPUTS!$E$89&lt;&gt;"Yes","",IFERROR(CHOOSE(MATCH(INPUTS!$L$89,LISTS!$R$5:$R$10,0),INPUTS!$C$231,INPUTS!$C$265,INPUTS!$C$299,INPUTS!$C$333,INPUTS!$C$367,INPUTS!$C$401),"")&amp;"")</f>
        <v/>
      </c>
      <c r="D59" s="123" t="n">
        <f aca="false">IF(INPUTS!$E$89&lt;&gt;"Yes",0,N(IFERROR(CHOOSE(MATCH(INPUTS!$L$89,LISTS!$R$5:$R$10,0),INPUTS!$D$231,INPUTS!$D$265,INPUTS!$D$299,INPUTS!$D$333,INPUTS!$D$367,INPUTS!$D$401),"")))</f>
        <v>0</v>
      </c>
      <c r="E59" s="124" t="n">
        <f aca="false">IF(INPUTS!$E$89&lt;&gt;"Yes",0,N(IFERROR(CHOOSE(MATCH(INPUTS!$L$89,LISTS!$R$5:$R$10,0),INPUTS!$E$231,INPUTS!$E$265,INPUTS!$E$299,INPUTS!$E$333,INPUTS!$E$367,INPUTS!$E$401),"")))</f>
        <v>0</v>
      </c>
      <c r="F59" s="125" t="str">
        <f aca="false">IF(AND(C59="Construction % complete",E59&gt;0),MAX(COUNTIF(CURVES!$D$47:$AQ$47,"&lt;"&amp;(D59-0.000000001))+1,INPUTS!$R$89),"")</f>
        <v/>
      </c>
      <c r="G59" s="126" t="str">
        <f aca="false">IF(E59=0,"",IF(C59="Booking + quarters",IF(D59=0,"at booking",D59&amp;" qtr(s) after booking"),IF(F59&gt;INPUTS!$C$24,"NOT REACHED in model","construction "&amp;TEXT(D59,"0%")&amp;" reached in Q"&amp;F59)))</f>
        <v/>
      </c>
      <c r="H59" s="126"/>
      <c r="I59" s="126"/>
      <c r="J59" s="126"/>
      <c r="K59" s="126"/>
      <c r="L59" s="126"/>
    </row>
    <row r="60" customFormat="false" ht="15" hidden="false" customHeight="false" outlineLevel="0" collapsed="false">
      <c r="B60" s="121" t="str">
        <f aca="false">IF(INPUTS!$E$89&lt;&gt;"Yes","",IFERROR(CHOOSE(MATCH(INPUTS!$L$89,LISTS!$R$5:$R$10,0),INPUTS!$B$232,INPUTS!$B$266,INPUTS!$B$300,INPUTS!$B$334,INPUTS!$B$368,INPUTS!$B$402),"")&amp;"")</f>
        <v/>
      </c>
      <c r="C60" s="122" t="str">
        <f aca="false">IF(INPUTS!$E$89&lt;&gt;"Yes","",IFERROR(CHOOSE(MATCH(INPUTS!$L$89,LISTS!$R$5:$R$10,0),INPUTS!$C$232,INPUTS!$C$266,INPUTS!$C$300,INPUTS!$C$334,INPUTS!$C$368,INPUTS!$C$402),"")&amp;"")</f>
        <v/>
      </c>
      <c r="D60" s="123" t="n">
        <f aca="false">IF(INPUTS!$E$89&lt;&gt;"Yes",0,N(IFERROR(CHOOSE(MATCH(INPUTS!$L$89,LISTS!$R$5:$R$10,0),INPUTS!$D$232,INPUTS!$D$266,INPUTS!$D$300,INPUTS!$D$334,INPUTS!$D$368,INPUTS!$D$402),"")))</f>
        <v>0</v>
      </c>
      <c r="E60" s="124" t="n">
        <f aca="false">IF(INPUTS!$E$89&lt;&gt;"Yes",0,N(IFERROR(CHOOSE(MATCH(INPUTS!$L$89,LISTS!$R$5:$R$10,0),INPUTS!$E$232,INPUTS!$E$266,INPUTS!$E$300,INPUTS!$E$334,INPUTS!$E$368,INPUTS!$E$402),"")))</f>
        <v>0</v>
      </c>
      <c r="F60" s="125" t="str">
        <f aca="false">IF(AND(C60="Construction % complete",E60&gt;0),MAX(COUNTIF(CURVES!$D$47:$AQ$47,"&lt;"&amp;(D60-0.000000001))+1,INPUTS!$R$89),"")</f>
        <v/>
      </c>
      <c r="G60" s="126" t="str">
        <f aca="false">IF(E60=0,"",IF(C60="Booking + quarters",IF(D60=0,"at booking",D60&amp;" qtr(s) after booking"),IF(F60&gt;INPUTS!$C$24,"NOT REACHED in model","construction "&amp;TEXT(D60,"0%")&amp;" reached in Q"&amp;F60)))</f>
        <v/>
      </c>
      <c r="H60" s="126"/>
      <c r="I60" s="126"/>
      <c r="J60" s="126"/>
      <c r="K60" s="126"/>
      <c r="L60" s="126"/>
    </row>
    <row r="61" customFormat="false" ht="15" hidden="false" customHeight="false" outlineLevel="0" collapsed="false">
      <c r="B61" s="121" t="str">
        <f aca="false">IF(INPUTS!$E$89&lt;&gt;"Yes","",IFERROR(CHOOSE(MATCH(INPUTS!$L$89,LISTS!$R$5:$R$10,0),INPUTS!$B$233,INPUTS!$B$267,INPUTS!$B$301,INPUTS!$B$335,INPUTS!$B$369,INPUTS!$B$403),"")&amp;"")</f>
        <v/>
      </c>
      <c r="C61" s="122" t="str">
        <f aca="false">IF(INPUTS!$E$89&lt;&gt;"Yes","",IFERROR(CHOOSE(MATCH(INPUTS!$L$89,LISTS!$R$5:$R$10,0),INPUTS!$C$233,INPUTS!$C$267,INPUTS!$C$301,INPUTS!$C$335,INPUTS!$C$369,INPUTS!$C$403),"")&amp;"")</f>
        <v/>
      </c>
      <c r="D61" s="123" t="n">
        <f aca="false">IF(INPUTS!$E$89&lt;&gt;"Yes",0,N(IFERROR(CHOOSE(MATCH(INPUTS!$L$89,LISTS!$R$5:$R$10,0),INPUTS!$D$233,INPUTS!$D$267,INPUTS!$D$301,INPUTS!$D$335,INPUTS!$D$369,INPUTS!$D$403),"")))</f>
        <v>0</v>
      </c>
      <c r="E61" s="124" t="n">
        <f aca="false">IF(INPUTS!$E$89&lt;&gt;"Yes",0,N(IFERROR(CHOOSE(MATCH(INPUTS!$L$89,LISTS!$R$5:$R$10,0),INPUTS!$E$233,INPUTS!$E$267,INPUTS!$E$301,INPUTS!$E$335,INPUTS!$E$369,INPUTS!$E$403),"")))</f>
        <v>0</v>
      </c>
      <c r="F61" s="125" t="str">
        <f aca="false">IF(AND(C61="Construction % complete",E61&gt;0),MAX(COUNTIF(CURVES!$D$47:$AQ$47,"&lt;"&amp;(D61-0.000000001))+1,INPUTS!$R$89),"")</f>
        <v/>
      </c>
      <c r="G61" s="126" t="str">
        <f aca="false">IF(E61=0,"",IF(C61="Booking + quarters",IF(D61=0,"at booking",D61&amp;" qtr(s) after booking"),IF(F61&gt;INPUTS!$C$24,"NOT REACHED in model","construction "&amp;TEXT(D61,"0%")&amp;" reached in Q"&amp;F61)))</f>
        <v/>
      </c>
      <c r="H61" s="126"/>
      <c r="I61" s="126"/>
      <c r="J61" s="126"/>
      <c r="K61" s="126"/>
      <c r="L61" s="126"/>
    </row>
    <row r="62" customFormat="false" ht="15" hidden="false" customHeight="false" outlineLevel="0" collapsed="false">
      <c r="B62" s="121" t="str">
        <f aca="false">IF(INPUTS!$E$89&lt;&gt;"Yes","",IFERROR(CHOOSE(MATCH(INPUTS!$L$89,LISTS!$R$5:$R$10,0),INPUTS!$B$234,INPUTS!$B$268,INPUTS!$B$302,INPUTS!$B$336,INPUTS!$B$370,INPUTS!$B$404),"")&amp;"")</f>
        <v/>
      </c>
      <c r="C62" s="122" t="str">
        <f aca="false">IF(INPUTS!$E$89&lt;&gt;"Yes","",IFERROR(CHOOSE(MATCH(INPUTS!$L$89,LISTS!$R$5:$R$10,0),INPUTS!$C$234,INPUTS!$C$268,INPUTS!$C$302,INPUTS!$C$336,INPUTS!$C$370,INPUTS!$C$404),"")&amp;"")</f>
        <v/>
      </c>
      <c r="D62" s="123" t="n">
        <f aca="false">IF(INPUTS!$E$89&lt;&gt;"Yes",0,N(IFERROR(CHOOSE(MATCH(INPUTS!$L$89,LISTS!$R$5:$R$10,0),INPUTS!$D$234,INPUTS!$D$268,INPUTS!$D$302,INPUTS!$D$336,INPUTS!$D$370,INPUTS!$D$404),"")))</f>
        <v>0</v>
      </c>
      <c r="E62" s="124" t="n">
        <f aca="false">IF(INPUTS!$E$89&lt;&gt;"Yes",0,N(IFERROR(CHOOSE(MATCH(INPUTS!$L$89,LISTS!$R$5:$R$10,0),INPUTS!$E$234,INPUTS!$E$268,INPUTS!$E$302,INPUTS!$E$336,INPUTS!$E$370,INPUTS!$E$404),"")))</f>
        <v>0</v>
      </c>
      <c r="F62" s="125" t="str">
        <f aca="false">IF(AND(C62="Construction % complete",E62&gt;0),MAX(COUNTIF(CURVES!$D$47:$AQ$47,"&lt;"&amp;(D62-0.000000001))+1,INPUTS!$R$89),"")</f>
        <v/>
      </c>
      <c r="G62" s="126" t="str">
        <f aca="false">IF(E62=0,"",IF(C62="Booking + quarters",IF(D62=0,"at booking",D62&amp;" qtr(s) after booking"),IF(F62&gt;INPUTS!$C$24,"NOT REACHED in model","construction "&amp;TEXT(D62,"0%")&amp;" reached in Q"&amp;F62)))</f>
        <v/>
      </c>
      <c r="H62" s="126"/>
      <c r="I62" s="126"/>
      <c r="J62" s="126"/>
      <c r="K62" s="126"/>
      <c r="L62" s="126"/>
    </row>
    <row r="63" customFormat="false" ht="15" hidden="false" customHeight="false" outlineLevel="0" collapsed="false">
      <c r="B63" s="121" t="str">
        <f aca="false">IF(INPUTS!$E$89&lt;&gt;"Yes","",IFERROR(CHOOSE(MATCH(INPUTS!$L$89,LISTS!$R$5:$R$10,0),INPUTS!$B$235,INPUTS!$B$269,INPUTS!$B$303,INPUTS!$B$337,INPUTS!$B$371,INPUTS!$B$405),"")&amp;"")</f>
        <v/>
      </c>
      <c r="C63" s="122" t="str">
        <f aca="false">IF(INPUTS!$E$89&lt;&gt;"Yes","",IFERROR(CHOOSE(MATCH(INPUTS!$L$89,LISTS!$R$5:$R$10,0),INPUTS!$C$235,INPUTS!$C$269,INPUTS!$C$303,INPUTS!$C$337,INPUTS!$C$371,INPUTS!$C$405),"")&amp;"")</f>
        <v/>
      </c>
      <c r="D63" s="123" t="n">
        <f aca="false">IF(INPUTS!$E$89&lt;&gt;"Yes",0,N(IFERROR(CHOOSE(MATCH(INPUTS!$L$89,LISTS!$R$5:$R$10,0),INPUTS!$D$235,INPUTS!$D$269,INPUTS!$D$303,INPUTS!$D$337,INPUTS!$D$371,INPUTS!$D$405),"")))</f>
        <v>0</v>
      </c>
      <c r="E63" s="124" t="n">
        <f aca="false">IF(INPUTS!$E$89&lt;&gt;"Yes",0,N(IFERROR(CHOOSE(MATCH(INPUTS!$L$89,LISTS!$R$5:$R$10,0),INPUTS!$E$235,INPUTS!$E$269,INPUTS!$E$303,INPUTS!$E$337,INPUTS!$E$371,INPUTS!$E$405),"")))</f>
        <v>0</v>
      </c>
      <c r="F63" s="125" t="str">
        <f aca="false">IF(AND(C63="Construction % complete",E63&gt;0),MAX(COUNTIF(CURVES!$D$47:$AQ$47,"&lt;"&amp;(D63-0.000000001))+1,INPUTS!$R$89),"")</f>
        <v/>
      </c>
      <c r="G63" s="126" t="str">
        <f aca="false">IF(E63=0,"",IF(C63="Booking + quarters",IF(D63=0,"at booking",D63&amp;" qtr(s) after booking"),IF(F63&gt;INPUTS!$C$24,"NOT REACHED in model","construction "&amp;TEXT(D63,"0%")&amp;" reached in Q"&amp;F63)))</f>
        <v/>
      </c>
      <c r="H63" s="126"/>
      <c r="I63" s="126"/>
      <c r="J63" s="126"/>
      <c r="K63" s="126"/>
      <c r="L63" s="126"/>
    </row>
    <row r="64" customFormat="false" ht="15" hidden="false" customHeight="false" outlineLevel="0" collapsed="false">
      <c r="B64" s="121" t="str">
        <f aca="false">IF(INPUTS!$E$89&lt;&gt;"Yes","",IFERROR(CHOOSE(MATCH(INPUTS!$L$89,LISTS!$R$5:$R$10,0),INPUTS!$B$236,INPUTS!$B$270,INPUTS!$B$304,INPUTS!$B$338,INPUTS!$B$372,INPUTS!$B$406),"")&amp;"")</f>
        <v/>
      </c>
      <c r="C64" s="122" t="str">
        <f aca="false">IF(INPUTS!$E$89&lt;&gt;"Yes","",IFERROR(CHOOSE(MATCH(INPUTS!$L$89,LISTS!$R$5:$R$10,0),INPUTS!$C$236,INPUTS!$C$270,INPUTS!$C$304,INPUTS!$C$338,INPUTS!$C$372,INPUTS!$C$406),"")&amp;"")</f>
        <v/>
      </c>
      <c r="D64" s="123" t="n">
        <f aca="false">IF(INPUTS!$E$89&lt;&gt;"Yes",0,N(IFERROR(CHOOSE(MATCH(INPUTS!$L$89,LISTS!$R$5:$R$10,0),INPUTS!$D$236,INPUTS!$D$270,INPUTS!$D$304,INPUTS!$D$338,INPUTS!$D$372,INPUTS!$D$406),"")))</f>
        <v>0</v>
      </c>
      <c r="E64" s="124" t="n">
        <f aca="false">IF(INPUTS!$E$89&lt;&gt;"Yes",0,N(IFERROR(CHOOSE(MATCH(INPUTS!$L$89,LISTS!$R$5:$R$10,0),INPUTS!$E$236,INPUTS!$E$270,INPUTS!$E$304,INPUTS!$E$338,INPUTS!$E$372,INPUTS!$E$406),"")))</f>
        <v>0</v>
      </c>
      <c r="F64" s="125" t="str">
        <f aca="false">IF(AND(C64="Construction % complete",E64&gt;0),MAX(COUNTIF(CURVES!$D$47:$AQ$47,"&lt;"&amp;(D64-0.000000001))+1,INPUTS!$R$89),"")</f>
        <v/>
      </c>
      <c r="G64" s="126" t="str">
        <f aca="false">IF(E64=0,"",IF(C64="Booking + quarters",IF(D64=0,"at booking",D64&amp;" qtr(s) after booking"),IF(F64&gt;INPUTS!$C$24,"NOT REACHED in model","construction "&amp;TEXT(D64,"0%")&amp;" reached in Q"&amp;F64)))</f>
        <v/>
      </c>
      <c r="H64" s="126"/>
      <c r="I64" s="126"/>
      <c r="J64" s="126"/>
      <c r="K64" s="126"/>
      <c r="L64" s="126"/>
    </row>
    <row r="65" customFormat="false" ht="15" hidden="false" customHeight="false" outlineLevel="0" collapsed="false">
      <c r="B65" s="121" t="str">
        <f aca="false">IF(INPUTS!$E$89&lt;&gt;"Yes","",IFERROR(CHOOSE(MATCH(INPUTS!$L$89,LISTS!$R$5:$R$10,0),INPUTS!$B$237,INPUTS!$B$271,INPUTS!$B$305,INPUTS!$B$339,INPUTS!$B$373,INPUTS!$B$407),"")&amp;"")</f>
        <v/>
      </c>
      <c r="C65" s="122" t="str">
        <f aca="false">IF(INPUTS!$E$89&lt;&gt;"Yes","",IFERROR(CHOOSE(MATCH(INPUTS!$L$89,LISTS!$R$5:$R$10,0),INPUTS!$C$237,INPUTS!$C$271,INPUTS!$C$305,INPUTS!$C$339,INPUTS!$C$373,INPUTS!$C$407),"")&amp;"")</f>
        <v/>
      </c>
      <c r="D65" s="123" t="n">
        <f aca="false">IF(INPUTS!$E$89&lt;&gt;"Yes",0,N(IFERROR(CHOOSE(MATCH(INPUTS!$L$89,LISTS!$R$5:$R$10,0),INPUTS!$D$237,INPUTS!$D$271,INPUTS!$D$305,INPUTS!$D$339,INPUTS!$D$373,INPUTS!$D$407),"")))</f>
        <v>0</v>
      </c>
      <c r="E65" s="124" t="n">
        <f aca="false">IF(INPUTS!$E$89&lt;&gt;"Yes",0,N(IFERROR(CHOOSE(MATCH(INPUTS!$L$89,LISTS!$R$5:$R$10,0),INPUTS!$E$237,INPUTS!$E$271,INPUTS!$E$305,INPUTS!$E$339,INPUTS!$E$373,INPUTS!$E$407),"")))</f>
        <v>0</v>
      </c>
      <c r="F65" s="125" t="str">
        <f aca="false">IF(AND(C65="Construction % complete",E65&gt;0),MAX(COUNTIF(CURVES!$D$47:$AQ$47,"&lt;"&amp;(D65-0.000000001))+1,INPUTS!$R$89),"")</f>
        <v/>
      </c>
      <c r="G65" s="126" t="str">
        <f aca="false">IF(E65=0,"",IF(C65="Booking + quarters",IF(D65=0,"at booking",D65&amp;" qtr(s) after booking"),IF(F65&gt;INPUTS!$C$24,"NOT REACHED in model","construction "&amp;TEXT(D65,"0%")&amp;" reached in Q"&amp;F65)))</f>
        <v/>
      </c>
      <c r="H65" s="126"/>
      <c r="I65" s="126"/>
      <c r="J65" s="126"/>
      <c r="K65" s="126"/>
      <c r="L65" s="126"/>
    </row>
    <row r="66" customFormat="false" ht="15" hidden="false" customHeight="false" outlineLevel="0" collapsed="false">
      <c r="B66" s="121" t="str">
        <f aca="false">IF(INPUTS!$E$89&lt;&gt;"Yes","",IFERROR(CHOOSE(MATCH(INPUTS!$L$89,LISTS!$R$5:$R$10,0),INPUTS!$B$238,INPUTS!$B$272,INPUTS!$B$306,INPUTS!$B$340,INPUTS!$B$374,INPUTS!$B$408),"")&amp;"")</f>
        <v/>
      </c>
      <c r="C66" s="122" t="str">
        <f aca="false">IF(INPUTS!$E$89&lt;&gt;"Yes","",IFERROR(CHOOSE(MATCH(INPUTS!$L$89,LISTS!$R$5:$R$10,0),INPUTS!$C$238,INPUTS!$C$272,INPUTS!$C$306,INPUTS!$C$340,INPUTS!$C$374,INPUTS!$C$408),"")&amp;"")</f>
        <v/>
      </c>
      <c r="D66" s="123" t="n">
        <f aca="false">IF(INPUTS!$E$89&lt;&gt;"Yes",0,N(IFERROR(CHOOSE(MATCH(INPUTS!$L$89,LISTS!$R$5:$R$10,0),INPUTS!$D$238,INPUTS!$D$272,INPUTS!$D$306,INPUTS!$D$340,INPUTS!$D$374,INPUTS!$D$408),"")))</f>
        <v>0</v>
      </c>
      <c r="E66" s="124" t="n">
        <f aca="false">IF(INPUTS!$E$89&lt;&gt;"Yes",0,N(IFERROR(CHOOSE(MATCH(INPUTS!$L$89,LISTS!$R$5:$R$10,0),INPUTS!$E$238,INPUTS!$E$272,INPUTS!$E$306,INPUTS!$E$340,INPUTS!$E$374,INPUTS!$E$408),"")))</f>
        <v>0</v>
      </c>
      <c r="F66" s="125" t="str">
        <f aca="false">IF(AND(C66="Construction % complete",E66&gt;0),MAX(COUNTIF(CURVES!$D$47:$AQ$47,"&lt;"&amp;(D66-0.000000001))+1,INPUTS!$R$89),"")</f>
        <v/>
      </c>
      <c r="G66" s="126" t="str">
        <f aca="false">IF(E66=0,"",IF(C66="Booking + quarters",IF(D66=0,"at booking",D66&amp;" qtr(s) after booking"),IF(F66&gt;INPUTS!$C$24,"NOT REACHED in model","construction "&amp;TEXT(D66,"0%")&amp;" reached in Q"&amp;F66)))</f>
        <v/>
      </c>
      <c r="H66" s="126"/>
      <c r="I66" s="126"/>
      <c r="J66" s="126"/>
      <c r="K66" s="126"/>
      <c r="L66" s="126"/>
    </row>
    <row r="67" customFormat="false" ht="15" hidden="false" customHeight="false" outlineLevel="0" collapsed="false">
      <c r="B67" s="121" t="str">
        <f aca="false">IF(INPUTS!$E$89&lt;&gt;"Yes","",IFERROR(CHOOSE(MATCH(INPUTS!$L$89,LISTS!$R$5:$R$10,0),INPUTS!$B$239,INPUTS!$B$273,INPUTS!$B$307,INPUTS!$B$341,INPUTS!$B$375,INPUTS!$B$409),"")&amp;"")</f>
        <v/>
      </c>
      <c r="C67" s="122" t="str">
        <f aca="false">IF(INPUTS!$E$89&lt;&gt;"Yes","",IFERROR(CHOOSE(MATCH(INPUTS!$L$89,LISTS!$R$5:$R$10,0),INPUTS!$C$239,INPUTS!$C$273,INPUTS!$C$307,INPUTS!$C$341,INPUTS!$C$375,INPUTS!$C$409),"")&amp;"")</f>
        <v/>
      </c>
      <c r="D67" s="123" t="n">
        <f aca="false">IF(INPUTS!$E$89&lt;&gt;"Yes",0,N(IFERROR(CHOOSE(MATCH(INPUTS!$L$89,LISTS!$R$5:$R$10,0),INPUTS!$D$239,INPUTS!$D$273,INPUTS!$D$307,INPUTS!$D$341,INPUTS!$D$375,INPUTS!$D$409),"")))</f>
        <v>0</v>
      </c>
      <c r="E67" s="124" t="n">
        <f aca="false">IF(INPUTS!$E$89&lt;&gt;"Yes",0,N(IFERROR(CHOOSE(MATCH(INPUTS!$L$89,LISTS!$R$5:$R$10,0),INPUTS!$E$239,INPUTS!$E$273,INPUTS!$E$307,INPUTS!$E$341,INPUTS!$E$375,INPUTS!$E$409),"")))</f>
        <v>0</v>
      </c>
      <c r="F67" s="125" t="str">
        <f aca="false">IF(AND(C67="Construction % complete",E67&gt;0),MAX(COUNTIF(CURVES!$D$47:$AQ$47,"&lt;"&amp;(D67-0.000000001))+1,INPUTS!$R$89),"")</f>
        <v/>
      </c>
      <c r="G67" s="126" t="str">
        <f aca="false">IF(E67=0,"",IF(C67="Booking + quarters",IF(D67=0,"at booking",D67&amp;" qtr(s) after booking"),IF(F67&gt;INPUTS!$C$24,"NOT REACHED in model","construction "&amp;TEXT(D67,"0%")&amp;" reached in Q"&amp;F67)))</f>
        <v/>
      </c>
      <c r="H67" s="126"/>
      <c r="I67" s="126"/>
      <c r="J67" s="126"/>
      <c r="K67" s="126"/>
      <c r="L67" s="126"/>
    </row>
    <row r="68" customFormat="false" ht="15" hidden="false" customHeight="false" outlineLevel="0" collapsed="false">
      <c r="B68" s="121" t="str">
        <f aca="false">IF(INPUTS!$E$89&lt;&gt;"Yes","",IFERROR(CHOOSE(MATCH(INPUTS!$L$89,LISTS!$R$5:$R$10,0),INPUTS!$B$240,INPUTS!$B$274,INPUTS!$B$308,INPUTS!$B$342,INPUTS!$B$376,INPUTS!$B$410),"")&amp;"")</f>
        <v/>
      </c>
      <c r="C68" s="122" t="str">
        <f aca="false">IF(INPUTS!$E$89&lt;&gt;"Yes","",IFERROR(CHOOSE(MATCH(INPUTS!$L$89,LISTS!$R$5:$R$10,0),INPUTS!$C$240,INPUTS!$C$274,INPUTS!$C$308,INPUTS!$C$342,INPUTS!$C$376,INPUTS!$C$410),"")&amp;"")</f>
        <v/>
      </c>
      <c r="D68" s="123" t="n">
        <f aca="false">IF(INPUTS!$E$89&lt;&gt;"Yes",0,N(IFERROR(CHOOSE(MATCH(INPUTS!$L$89,LISTS!$R$5:$R$10,0),INPUTS!$D$240,INPUTS!$D$274,INPUTS!$D$308,INPUTS!$D$342,INPUTS!$D$376,INPUTS!$D$410),"")))</f>
        <v>0</v>
      </c>
      <c r="E68" s="124" t="n">
        <f aca="false">IF(INPUTS!$E$89&lt;&gt;"Yes",0,N(IFERROR(CHOOSE(MATCH(INPUTS!$L$89,LISTS!$R$5:$R$10,0),INPUTS!$E$240,INPUTS!$E$274,INPUTS!$E$308,INPUTS!$E$342,INPUTS!$E$376,INPUTS!$E$410),"")))</f>
        <v>0</v>
      </c>
      <c r="F68" s="125" t="str">
        <f aca="false">IF(AND(C68="Construction % complete",E68&gt;0),MAX(COUNTIF(CURVES!$D$47:$AQ$47,"&lt;"&amp;(D68-0.000000001))+1,INPUTS!$R$89),"")</f>
        <v/>
      </c>
      <c r="G68" s="126" t="str">
        <f aca="false">IF(E68=0,"",IF(C68="Booking + quarters",IF(D68=0,"at booking",D68&amp;" qtr(s) after booking"),IF(F68&gt;INPUTS!$C$24,"NOT REACHED in model","construction "&amp;TEXT(D68,"0%")&amp;" reached in Q"&amp;F68)))</f>
        <v/>
      </c>
      <c r="H68" s="126"/>
      <c r="I68" s="126"/>
      <c r="J68" s="126"/>
      <c r="K68" s="126"/>
      <c r="L68" s="126"/>
    </row>
    <row r="69" customFormat="false" ht="15" hidden="false" customHeight="false" outlineLevel="0" collapsed="false">
      <c r="B69" s="121" t="str">
        <f aca="false">IF(INPUTS!$E$89&lt;&gt;"Yes","",IFERROR(CHOOSE(MATCH(INPUTS!$L$89,LISTS!$R$5:$R$10,0),INPUTS!$B$241,INPUTS!$B$275,INPUTS!$B$309,INPUTS!$B$343,INPUTS!$B$377,INPUTS!$B$411),"")&amp;"")</f>
        <v/>
      </c>
      <c r="C69" s="122" t="str">
        <f aca="false">IF(INPUTS!$E$89&lt;&gt;"Yes","",IFERROR(CHOOSE(MATCH(INPUTS!$L$89,LISTS!$R$5:$R$10,0),INPUTS!$C$241,INPUTS!$C$275,INPUTS!$C$309,INPUTS!$C$343,INPUTS!$C$377,INPUTS!$C$411),"")&amp;"")</f>
        <v/>
      </c>
      <c r="D69" s="123" t="n">
        <f aca="false">IF(INPUTS!$E$89&lt;&gt;"Yes",0,N(IFERROR(CHOOSE(MATCH(INPUTS!$L$89,LISTS!$R$5:$R$10,0),INPUTS!$D$241,INPUTS!$D$275,INPUTS!$D$309,INPUTS!$D$343,INPUTS!$D$377,INPUTS!$D$411),"")))</f>
        <v>0</v>
      </c>
      <c r="E69" s="124" t="n">
        <f aca="false">IF(INPUTS!$E$89&lt;&gt;"Yes",0,N(IFERROR(CHOOSE(MATCH(INPUTS!$L$89,LISTS!$R$5:$R$10,0),INPUTS!$E$241,INPUTS!$E$275,INPUTS!$E$309,INPUTS!$E$343,INPUTS!$E$377,INPUTS!$E$411),"")))</f>
        <v>0</v>
      </c>
      <c r="F69" s="125" t="str">
        <f aca="false">IF(AND(C69="Construction % complete",E69&gt;0),MAX(COUNTIF(CURVES!$D$47:$AQ$47,"&lt;"&amp;(D69-0.000000001))+1,INPUTS!$R$89),"")</f>
        <v/>
      </c>
      <c r="G69" s="126" t="str">
        <f aca="false">IF(E69=0,"",IF(C69="Booking + quarters",IF(D69=0,"at booking",D69&amp;" qtr(s) after booking"),IF(F69&gt;INPUTS!$C$24,"NOT REACHED in model","construction "&amp;TEXT(D69,"0%")&amp;" reached in Q"&amp;F69)))</f>
        <v/>
      </c>
      <c r="H69" s="126"/>
      <c r="I69" s="126"/>
      <c r="J69" s="126"/>
      <c r="K69" s="126"/>
      <c r="L69" s="126"/>
    </row>
    <row r="70" customFormat="false" ht="15" hidden="false" customHeight="false" outlineLevel="0" collapsed="false">
      <c r="B70" s="121" t="str">
        <f aca="false">IF(INPUTS!$E$89&lt;&gt;"Yes","",IFERROR(CHOOSE(MATCH(INPUTS!$L$89,LISTS!$R$5:$R$10,0),INPUTS!$B$242,INPUTS!$B$276,INPUTS!$B$310,INPUTS!$B$344,INPUTS!$B$378,INPUTS!$B$412),"")&amp;"")</f>
        <v/>
      </c>
      <c r="C70" s="122" t="str">
        <f aca="false">IF(INPUTS!$E$89&lt;&gt;"Yes","",IFERROR(CHOOSE(MATCH(INPUTS!$L$89,LISTS!$R$5:$R$10,0),INPUTS!$C$242,INPUTS!$C$276,INPUTS!$C$310,INPUTS!$C$344,INPUTS!$C$378,INPUTS!$C$412),"")&amp;"")</f>
        <v/>
      </c>
      <c r="D70" s="123" t="n">
        <f aca="false">IF(INPUTS!$E$89&lt;&gt;"Yes",0,N(IFERROR(CHOOSE(MATCH(INPUTS!$L$89,LISTS!$R$5:$R$10,0),INPUTS!$D$242,INPUTS!$D$276,INPUTS!$D$310,INPUTS!$D$344,INPUTS!$D$378,INPUTS!$D$412),"")))</f>
        <v>0</v>
      </c>
      <c r="E70" s="124" t="n">
        <f aca="false">IF(INPUTS!$E$89&lt;&gt;"Yes",0,N(IFERROR(CHOOSE(MATCH(INPUTS!$L$89,LISTS!$R$5:$R$10,0),INPUTS!$E$242,INPUTS!$E$276,INPUTS!$E$310,INPUTS!$E$344,INPUTS!$E$378,INPUTS!$E$412),"")))</f>
        <v>0</v>
      </c>
      <c r="F70" s="125" t="str">
        <f aca="false">IF(AND(C70="Construction % complete",E70&gt;0),MAX(COUNTIF(CURVES!$D$47:$AQ$47,"&lt;"&amp;(D70-0.000000001))+1,INPUTS!$R$89),"")</f>
        <v/>
      </c>
      <c r="G70" s="126" t="str">
        <f aca="false">IF(E70=0,"",IF(C70="Booking + quarters",IF(D70=0,"at booking",D70&amp;" qtr(s) after booking"),IF(F70&gt;INPUTS!$C$24,"NOT REACHED in model","construction "&amp;TEXT(D70,"0%")&amp;" reached in Q"&amp;F70)))</f>
        <v/>
      </c>
      <c r="H70" s="126"/>
      <c r="I70" s="126"/>
      <c r="J70" s="126"/>
      <c r="K70" s="126"/>
      <c r="L70" s="126"/>
    </row>
    <row r="71" customFormat="false" ht="15" hidden="false" customHeight="false" outlineLevel="0" collapsed="false">
      <c r="B71" s="121" t="str">
        <f aca="false">IF(INPUTS!$E$89&lt;&gt;"Yes","",IFERROR(CHOOSE(MATCH(INPUTS!$L$89,LISTS!$R$5:$R$10,0),INPUTS!$B$243,INPUTS!$B$277,INPUTS!$B$311,INPUTS!$B$345,INPUTS!$B$379,INPUTS!$B$413),"")&amp;"")</f>
        <v/>
      </c>
      <c r="C71" s="122" t="str">
        <f aca="false">IF(INPUTS!$E$89&lt;&gt;"Yes","",IFERROR(CHOOSE(MATCH(INPUTS!$L$89,LISTS!$R$5:$R$10,0),INPUTS!$C$243,INPUTS!$C$277,INPUTS!$C$311,INPUTS!$C$345,INPUTS!$C$379,INPUTS!$C$413),"")&amp;"")</f>
        <v/>
      </c>
      <c r="D71" s="123" t="n">
        <f aca="false">IF(INPUTS!$E$89&lt;&gt;"Yes",0,N(IFERROR(CHOOSE(MATCH(INPUTS!$L$89,LISTS!$R$5:$R$10,0),INPUTS!$D$243,INPUTS!$D$277,INPUTS!$D$311,INPUTS!$D$345,INPUTS!$D$379,INPUTS!$D$413),"")))</f>
        <v>0</v>
      </c>
      <c r="E71" s="124" t="n">
        <f aca="false">IF(INPUTS!$E$89&lt;&gt;"Yes",0,N(IFERROR(CHOOSE(MATCH(INPUTS!$L$89,LISTS!$R$5:$R$10,0),INPUTS!$E$243,INPUTS!$E$277,INPUTS!$E$311,INPUTS!$E$345,INPUTS!$E$379,INPUTS!$E$413),"")))</f>
        <v>0</v>
      </c>
      <c r="F71" s="125" t="str">
        <f aca="false">IF(AND(C71="Construction % complete",E71&gt;0),MAX(COUNTIF(CURVES!$D$47:$AQ$47,"&lt;"&amp;(D71-0.000000001))+1,INPUTS!$R$89),"")</f>
        <v/>
      </c>
      <c r="G71" s="126" t="str">
        <f aca="false">IF(E71=0,"",IF(C71="Booking + quarters",IF(D71=0,"at booking",D71&amp;" qtr(s) after booking"),IF(F71&gt;INPUTS!$C$24,"NOT REACHED in model","construction "&amp;TEXT(D71,"0%")&amp;" reached in Q"&amp;F71)))</f>
        <v/>
      </c>
      <c r="H71" s="126"/>
      <c r="I71" s="126"/>
      <c r="J71" s="126"/>
      <c r="K71" s="126"/>
      <c r="L71" s="126"/>
    </row>
    <row r="72" customFormat="false" ht="15" hidden="false" customHeight="false" outlineLevel="0" collapsed="false">
      <c r="B72" s="121" t="str">
        <f aca="false">IF(INPUTS!$E$89&lt;&gt;"Yes","",IFERROR(CHOOSE(MATCH(INPUTS!$L$89,LISTS!$R$5:$R$10,0),INPUTS!$B$244,INPUTS!$B$278,INPUTS!$B$312,INPUTS!$B$346,INPUTS!$B$380,INPUTS!$B$414),"")&amp;"")</f>
        <v/>
      </c>
      <c r="C72" s="122" t="str">
        <f aca="false">IF(INPUTS!$E$89&lt;&gt;"Yes","",IFERROR(CHOOSE(MATCH(INPUTS!$L$89,LISTS!$R$5:$R$10,0),INPUTS!$C$244,INPUTS!$C$278,INPUTS!$C$312,INPUTS!$C$346,INPUTS!$C$380,INPUTS!$C$414),"")&amp;"")</f>
        <v/>
      </c>
      <c r="D72" s="123" t="n">
        <f aca="false">IF(INPUTS!$E$89&lt;&gt;"Yes",0,N(IFERROR(CHOOSE(MATCH(INPUTS!$L$89,LISTS!$R$5:$R$10,0),INPUTS!$D$244,INPUTS!$D$278,INPUTS!$D$312,INPUTS!$D$346,INPUTS!$D$380,INPUTS!$D$414),"")))</f>
        <v>0</v>
      </c>
      <c r="E72" s="124" t="n">
        <f aca="false">IF(INPUTS!$E$89&lt;&gt;"Yes",0,N(IFERROR(CHOOSE(MATCH(INPUTS!$L$89,LISTS!$R$5:$R$10,0),INPUTS!$E$244,INPUTS!$E$278,INPUTS!$E$312,INPUTS!$E$346,INPUTS!$E$380,INPUTS!$E$414),"")))</f>
        <v>0</v>
      </c>
      <c r="F72" s="125" t="str">
        <f aca="false">IF(AND(C72="Construction % complete",E72&gt;0),MAX(COUNTIF(CURVES!$D$47:$AQ$47,"&lt;"&amp;(D72-0.000000001))+1,INPUTS!$R$89),"")</f>
        <v/>
      </c>
      <c r="G72" s="126" t="str">
        <f aca="false">IF(E72=0,"",IF(C72="Booking + quarters",IF(D72=0,"at booking",D72&amp;" qtr(s) after booking"),IF(F72&gt;INPUTS!$C$24,"NOT REACHED in model","construction "&amp;TEXT(D72,"0%")&amp;" reached in Q"&amp;F72)))</f>
        <v/>
      </c>
      <c r="H72" s="126"/>
      <c r="I72" s="126"/>
      <c r="J72" s="126"/>
      <c r="K72" s="126"/>
      <c r="L72" s="126"/>
    </row>
    <row r="73" customFormat="false" ht="15" hidden="false" customHeight="false" outlineLevel="0" collapsed="false">
      <c r="B73" s="121" t="str">
        <f aca="false">IF(INPUTS!$E$89&lt;&gt;"Yes","",IFERROR(CHOOSE(MATCH(INPUTS!$L$89,LISTS!$R$5:$R$10,0),INPUTS!$B$245,INPUTS!$B$279,INPUTS!$B$313,INPUTS!$B$347,INPUTS!$B$381,INPUTS!$B$415),"")&amp;"")</f>
        <v/>
      </c>
      <c r="C73" s="122" t="str">
        <f aca="false">IF(INPUTS!$E$89&lt;&gt;"Yes","",IFERROR(CHOOSE(MATCH(INPUTS!$L$89,LISTS!$R$5:$R$10,0),INPUTS!$C$245,INPUTS!$C$279,INPUTS!$C$313,INPUTS!$C$347,INPUTS!$C$381,INPUTS!$C$415),"")&amp;"")</f>
        <v/>
      </c>
      <c r="D73" s="123" t="n">
        <f aca="false">IF(INPUTS!$E$89&lt;&gt;"Yes",0,N(IFERROR(CHOOSE(MATCH(INPUTS!$L$89,LISTS!$R$5:$R$10,0),INPUTS!$D$245,INPUTS!$D$279,INPUTS!$D$313,INPUTS!$D$347,INPUTS!$D$381,INPUTS!$D$415),"")))</f>
        <v>0</v>
      </c>
      <c r="E73" s="124" t="n">
        <f aca="false">IF(INPUTS!$E$89&lt;&gt;"Yes",0,N(IFERROR(CHOOSE(MATCH(INPUTS!$L$89,LISTS!$R$5:$R$10,0),INPUTS!$E$245,INPUTS!$E$279,INPUTS!$E$313,INPUTS!$E$347,INPUTS!$E$381,INPUTS!$E$415),"")))</f>
        <v>0</v>
      </c>
      <c r="F73" s="125" t="str">
        <f aca="false">IF(AND(C73="Construction % complete",E73&gt;0),MAX(COUNTIF(CURVES!$D$47:$AQ$47,"&lt;"&amp;(D73-0.000000001))+1,INPUTS!$R$89),"")</f>
        <v/>
      </c>
      <c r="G73" s="126" t="str">
        <f aca="false">IF(E73=0,"",IF(C73="Booking + quarters",IF(D73=0,"at booking",D73&amp;" qtr(s) after booking"),IF(F73&gt;INPUTS!$C$24,"NOT REACHED in model","construction "&amp;TEXT(D73,"0%")&amp;" reached in Q"&amp;F73)))</f>
        <v/>
      </c>
      <c r="H73" s="126"/>
      <c r="I73" s="126"/>
      <c r="J73" s="126"/>
      <c r="K73" s="126"/>
      <c r="L73" s="126"/>
    </row>
    <row r="74" customFormat="false" ht="15" hidden="false" customHeight="false" outlineLevel="0" collapsed="false">
      <c r="B74" s="121" t="str">
        <f aca="false">IF(INPUTS!$E$89&lt;&gt;"Yes","",IFERROR(CHOOSE(MATCH(INPUTS!$L$89,LISTS!$R$5:$R$10,0),INPUTS!$B$246,INPUTS!$B$280,INPUTS!$B$314,INPUTS!$B$348,INPUTS!$B$382,INPUTS!$B$416),"")&amp;"")</f>
        <v/>
      </c>
      <c r="C74" s="122" t="str">
        <f aca="false">IF(INPUTS!$E$89&lt;&gt;"Yes","",IFERROR(CHOOSE(MATCH(INPUTS!$L$89,LISTS!$R$5:$R$10,0),INPUTS!$C$246,INPUTS!$C$280,INPUTS!$C$314,INPUTS!$C$348,INPUTS!$C$382,INPUTS!$C$416),"")&amp;"")</f>
        <v/>
      </c>
      <c r="D74" s="123" t="n">
        <f aca="false">IF(INPUTS!$E$89&lt;&gt;"Yes",0,N(IFERROR(CHOOSE(MATCH(INPUTS!$L$89,LISTS!$R$5:$R$10,0),INPUTS!$D$246,INPUTS!$D$280,INPUTS!$D$314,INPUTS!$D$348,INPUTS!$D$382,INPUTS!$D$416),"")))</f>
        <v>0</v>
      </c>
      <c r="E74" s="124" t="n">
        <f aca="false">IF(INPUTS!$E$89&lt;&gt;"Yes",0,N(IFERROR(CHOOSE(MATCH(INPUTS!$L$89,LISTS!$R$5:$R$10,0),INPUTS!$E$246,INPUTS!$E$280,INPUTS!$E$314,INPUTS!$E$348,INPUTS!$E$382,INPUTS!$E$416),"")))</f>
        <v>0</v>
      </c>
      <c r="F74" s="125" t="str">
        <f aca="false">IF(AND(C74="Construction % complete",E74&gt;0),MAX(COUNTIF(CURVES!$D$47:$AQ$47,"&lt;"&amp;(D74-0.000000001))+1,INPUTS!$R$89),"")</f>
        <v/>
      </c>
      <c r="G74" s="126" t="str">
        <f aca="false">IF(E74=0,"",IF(C74="Booking + quarters",IF(D74=0,"at booking",D74&amp;" qtr(s) after booking"),IF(F74&gt;INPUTS!$C$24,"NOT REACHED in model","construction "&amp;TEXT(D74,"0%")&amp;" reached in Q"&amp;F74)))</f>
        <v/>
      </c>
      <c r="H74" s="126"/>
      <c r="I74" s="126"/>
      <c r="J74" s="126"/>
      <c r="K74" s="126"/>
      <c r="L74" s="126"/>
    </row>
    <row r="75" customFormat="false" ht="15" hidden="false" customHeight="false" outlineLevel="0" collapsed="false">
      <c r="B75" s="121" t="str">
        <f aca="false">IF(INPUTS!$E$89&lt;&gt;"Yes","",IFERROR(CHOOSE(MATCH(INPUTS!$L$89,LISTS!$R$5:$R$10,0),INPUTS!$B$247,INPUTS!$B$281,INPUTS!$B$315,INPUTS!$B$349,INPUTS!$B$383,INPUTS!$B$417),"")&amp;"")</f>
        <v/>
      </c>
      <c r="C75" s="122" t="str">
        <f aca="false">IF(INPUTS!$E$89&lt;&gt;"Yes","",IFERROR(CHOOSE(MATCH(INPUTS!$L$89,LISTS!$R$5:$R$10,0),INPUTS!$C$247,INPUTS!$C$281,INPUTS!$C$315,INPUTS!$C$349,INPUTS!$C$383,INPUTS!$C$417),"")&amp;"")</f>
        <v/>
      </c>
      <c r="D75" s="123" t="n">
        <f aca="false">IF(INPUTS!$E$89&lt;&gt;"Yes",0,N(IFERROR(CHOOSE(MATCH(INPUTS!$L$89,LISTS!$R$5:$R$10,0),INPUTS!$D$247,INPUTS!$D$281,INPUTS!$D$315,INPUTS!$D$349,INPUTS!$D$383,INPUTS!$D$417),"")))</f>
        <v>0</v>
      </c>
      <c r="E75" s="124" t="n">
        <f aca="false">IF(INPUTS!$E$89&lt;&gt;"Yes",0,N(IFERROR(CHOOSE(MATCH(INPUTS!$L$89,LISTS!$R$5:$R$10,0),INPUTS!$E$247,INPUTS!$E$281,INPUTS!$E$315,INPUTS!$E$349,INPUTS!$E$383,INPUTS!$E$417),"")))</f>
        <v>0</v>
      </c>
      <c r="F75" s="125" t="str">
        <f aca="false">IF(AND(C75="Construction % complete",E75&gt;0),MAX(COUNTIF(CURVES!$D$47:$AQ$47,"&lt;"&amp;(D75-0.000000001))+1,INPUTS!$R$89),"")</f>
        <v/>
      </c>
      <c r="G75" s="126" t="str">
        <f aca="false">IF(E75=0,"",IF(C75="Booking + quarters",IF(D75=0,"at booking",D75&amp;" qtr(s) after booking"),IF(F75&gt;INPUTS!$C$24,"NOT REACHED in model","construction "&amp;TEXT(D75,"0%")&amp;" reached in Q"&amp;F75)))</f>
        <v/>
      </c>
      <c r="H75" s="126"/>
      <c r="I75" s="126"/>
      <c r="J75" s="126"/>
      <c r="K75" s="126"/>
      <c r="L75" s="126"/>
    </row>
    <row r="76" customFormat="false" ht="15" hidden="false" customHeight="false" outlineLevel="0" collapsed="false">
      <c r="B76" s="121" t="str">
        <f aca="false">IF(INPUTS!$E$89&lt;&gt;"Yes","",IFERROR(CHOOSE(MATCH(INPUTS!$L$89,LISTS!$R$5:$R$10,0),INPUTS!$B$248,INPUTS!$B$282,INPUTS!$B$316,INPUTS!$B$350,INPUTS!$B$384,INPUTS!$B$418),"")&amp;"")</f>
        <v/>
      </c>
      <c r="C76" s="122" t="str">
        <f aca="false">IF(INPUTS!$E$89&lt;&gt;"Yes","",IFERROR(CHOOSE(MATCH(INPUTS!$L$89,LISTS!$R$5:$R$10,0),INPUTS!$C$248,INPUTS!$C$282,INPUTS!$C$316,INPUTS!$C$350,INPUTS!$C$384,INPUTS!$C$418),"")&amp;"")</f>
        <v/>
      </c>
      <c r="D76" s="123" t="n">
        <f aca="false">IF(INPUTS!$E$89&lt;&gt;"Yes",0,N(IFERROR(CHOOSE(MATCH(INPUTS!$L$89,LISTS!$R$5:$R$10,0),INPUTS!$D$248,INPUTS!$D$282,INPUTS!$D$316,INPUTS!$D$350,INPUTS!$D$384,INPUTS!$D$418),"")))</f>
        <v>0</v>
      </c>
      <c r="E76" s="124" t="n">
        <f aca="false">IF(INPUTS!$E$89&lt;&gt;"Yes",0,N(IFERROR(CHOOSE(MATCH(INPUTS!$L$89,LISTS!$R$5:$R$10,0),INPUTS!$E$248,INPUTS!$E$282,INPUTS!$E$316,INPUTS!$E$350,INPUTS!$E$384,INPUTS!$E$418),"")))</f>
        <v>0</v>
      </c>
      <c r="F76" s="125" t="str">
        <f aca="false">IF(AND(C76="Construction % complete",E76&gt;0),MAX(COUNTIF(CURVES!$D$47:$AQ$47,"&lt;"&amp;(D76-0.000000001))+1,INPUTS!$R$89),"")</f>
        <v/>
      </c>
      <c r="G76" s="126" t="str">
        <f aca="false">IF(E76=0,"",IF(C76="Booking + quarters",IF(D76=0,"at booking",D76&amp;" qtr(s) after booking"),IF(F76&gt;INPUTS!$C$24,"NOT REACHED in model","construction "&amp;TEXT(D76,"0%")&amp;" reached in Q"&amp;F76)))</f>
        <v/>
      </c>
      <c r="H76" s="126"/>
      <c r="I76" s="126"/>
      <c r="J76" s="126"/>
      <c r="K76" s="126"/>
      <c r="L76" s="126"/>
    </row>
    <row r="77" customFormat="false" ht="15" hidden="false" customHeight="false" outlineLevel="0" collapsed="false">
      <c r="B77" s="127" t="s">
        <v>708</v>
      </c>
      <c r="D77" s="128" t="n">
        <f aca="false">SUMIFS($E$47:$E$76,$C$47:$C$76,"Booking + quarters",$D$47:$D$76,0)</f>
        <v>0.1</v>
      </c>
      <c r="E77" s="128" t="n">
        <f aca="false">SUMIFS($E$47:$E$76,$C$47:$C$76,"Booking + quarters",$D$47:$D$76,1)</f>
        <v>0.1</v>
      </c>
      <c r="F77" s="128" t="n">
        <f aca="false">SUMIFS($E$47:$E$76,$C$47:$C$76,"Booking + quarters",$D$47:$D$76,2)</f>
        <v>0</v>
      </c>
      <c r="G77" s="128" t="n">
        <f aca="false">SUMIFS($E$47:$E$76,$C$47:$C$76,"Booking + quarters",$D$47:$D$76,3)</f>
        <v>0</v>
      </c>
      <c r="H77" s="128" t="n">
        <f aca="false">SUMIFS($E$47:$E$76,$C$47:$C$76,"Booking + quarters",$D$47:$D$76,4)</f>
        <v>0</v>
      </c>
      <c r="I77" s="128" t="n">
        <f aca="false">SUMIFS($E$47:$E$76,$C$47:$C$76,"Booking + quarters",$D$47:$D$76,5)</f>
        <v>0</v>
      </c>
      <c r="J77" s="128" t="n">
        <f aca="false">SUMIFS($E$47:$E$76,$C$47:$C$76,"Booking + quarters",$D$47:$D$76,6)</f>
        <v>0</v>
      </c>
      <c r="K77" s="128" t="n">
        <f aca="false">SUMIFS($E$47:$E$76,$C$47:$C$76,"Booking + quarters",$D$47:$D$76,7)</f>
        <v>0</v>
      </c>
      <c r="L77" s="128" t="n">
        <f aca="false">SUMIFS($E$47:$E$76,$C$47:$C$76,"Booking + quarters",$D$47:$D$76,8)</f>
        <v>0</v>
      </c>
      <c r="M77" s="128" t="n">
        <f aca="false">SUMIFS($E$47:$E$76,$C$47:$C$76,"Booking + quarters",$D$47:$D$76,9)</f>
        <v>0</v>
      </c>
      <c r="N77" s="128" t="n">
        <f aca="false">SUMIFS($E$47:$E$76,$C$47:$C$76,"Booking + quarters",$D$47:$D$76,10)</f>
        <v>0</v>
      </c>
      <c r="O77" s="128" t="n">
        <f aca="false">SUMIFS($E$47:$E$76,$C$47:$C$76,"Booking + quarters",$D$47:$D$76,11)</f>
        <v>0</v>
      </c>
      <c r="P77" s="128" t="n">
        <f aca="false">SUMIFS($E$47:$E$76,$C$47:$C$76,"Booking + quarters",$D$47:$D$76,12)</f>
        <v>0</v>
      </c>
    </row>
    <row r="78" customFormat="false" ht="15" hidden="false" customHeight="false" outlineLevel="0" collapsed="false">
      <c r="B78" s="127" t="s">
        <v>709</v>
      </c>
      <c r="C78" s="105" t="str">
        <f aca="false">IF(INPUTS!$E$89&lt;&gt;"Yes","Off",IF(ABS(SUM($E$47:$E$76)-1)&lt;0.000001,"OK","ERROR"))</f>
        <v>OK</v>
      </c>
    </row>
    <row r="79" customFormat="false" ht="15" hidden="false" customHeight="false" outlineLevel="0" collapsed="false">
      <c r="B79" s="110" t="str">
        <f aca="false">IF(INPUTS!$E$90="Yes",INPUTS!$B$90&amp;"   →   "&amp;INPUTS!$L$90,"Product row 3 (off)")</f>
        <v>Studios   →   CLP – Apartment</v>
      </c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</row>
    <row r="80" customFormat="false" ht="15" hidden="false" customHeight="false" outlineLevel="0" collapsed="false">
      <c r="B80" s="121" t="str">
        <f aca="false">IF(INPUTS!$E$90&lt;&gt;"Yes","",IFERROR(CHOOSE(MATCH(INPUTS!$L$90,LISTS!$R$5:$R$10,0),INPUTS!$B$219,INPUTS!$B$253,INPUTS!$B$287,INPUTS!$B$321,INPUTS!$B$355,INPUTS!$B$389),"")&amp;"")</f>
        <v>Booking amount</v>
      </c>
      <c r="C80" s="122" t="str">
        <f aca="false">IF(INPUTS!$E$90&lt;&gt;"Yes","",IFERROR(CHOOSE(MATCH(INPUTS!$L$90,LISTS!$R$5:$R$10,0),INPUTS!$C$219,INPUTS!$C$253,INPUTS!$C$287,INPUTS!$C$321,INPUTS!$C$355,INPUTS!$C$389),"")&amp;"")</f>
        <v>Booking + quarters</v>
      </c>
      <c r="D80" s="123" t="n">
        <f aca="false">IF(INPUTS!$E$90&lt;&gt;"Yes",0,N(IFERROR(CHOOSE(MATCH(INPUTS!$L$90,LISTS!$R$5:$R$10,0),INPUTS!$D$219,INPUTS!$D$253,INPUTS!$D$287,INPUTS!$D$321,INPUTS!$D$355,INPUTS!$D$389),"")))</f>
        <v>0</v>
      </c>
      <c r="E80" s="124" t="n">
        <f aca="false">IF(INPUTS!$E$90&lt;&gt;"Yes",0,N(IFERROR(CHOOSE(MATCH(INPUTS!$L$90,LISTS!$R$5:$R$10,0),INPUTS!$E$219,INPUTS!$E$253,INPUTS!$E$287,INPUTS!$E$321,INPUTS!$E$355,INPUTS!$E$389),"")))</f>
        <v>0.1</v>
      </c>
      <c r="F80" s="125" t="str">
        <f aca="false">IF(AND(C80="Construction % complete",E80&gt;0),MAX(COUNTIF(CURVES!$D$53:$AQ$53,"&lt;"&amp;(D80-0.000000001))+1,INPUTS!$R$90),"")</f>
        <v/>
      </c>
      <c r="G80" s="126" t="str">
        <f aca="false">IF(E80=0,"",IF(C80="Booking + quarters",IF(D80=0,"at booking",D80&amp;" qtr(s) after booking"),IF(F80&gt;INPUTS!$C$24,"NOT REACHED in model","construction "&amp;TEXT(D80,"0%")&amp;" reached in Q"&amp;F80)))</f>
        <v>at booking</v>
      </c>
      <c r="H80" s="126"/>
      <c r="I80" s="126"/>
      <c r="J80" s="126"/>
      <c r="K80" s="126"/>
      <c r="L80" s="126"/>
    </row>
    <row r="81" customFormat="false" ht="15" hidden="false" customHeight="false" outlineLevel="0" collapsed="false">
      <c r="B81" s="121" t="str">
        <f aca="false">IF(INPUTS!$E$90&lt;&gt;"Yes","",IFERROR(CHOOSE(MATCH(INPUTS!$L$90,LISTS!$R$5:$R$10,0),INPUTS!$B$220,INPUTS!$B$254,INPUTS!$B$288,INPUTS!$B$322,INPUTS!$B$356,INPUTS!$B$390),"")&amp;"")</f>
        <v>Agreement to sell (ATS)</v>
      </c>
      <c r="C81" s="122" t="str">
        <f aca="false">IF(INPUTS!$E$90&lt;&gt;"Yes","",IFERROR(CHOOSE(MATCH(INPUTS!$L$90,LISTS!$R$5:$R$10,0),INPUTS!$C$220,INPUTS!$C$254,INPUTS!$C$288,INPUTS!$C$322,INPUTS!$C$356,INPUTS!$C$390),"")&amp;"")</f>
        <v>Booking + quarters</v>
      </c>
      <c r="D81" s="123" t="n">
        <f aca="false">IF(INPUTS!$E$90&lt;&gt;"Yes",0,N(IFERROR(CHOOSE(MATCH(INPUTS!$L$90,LISTS!$R$5:$R$10,0),INPUTS!$D$220,INPUTS!$D$254,INPUTS!$D$288,INPUTS!$D$322,INPUTS!$D$356,INPUTS!$D$390),"")))</f>
        <v>1</v>
      </c>
      <c r="E81" s="124" t="n">
        <f aca="false">IF(INPUTS!$E$90&lt;&gt;"Yes",0,N(IFERROR(CHOOSE(MATCH(INPUTS!$L$90,LISTS!$R$5:$R$10,0),INPUTS!$E$220,INPUTS!$E$254,INPUTS!$E$288,INPUTS!$E$322,INPUTS!$E$356,INPUTS!$E$390),"")))</f>
        <v>0.1</v>
      </c>
      <c r="F81" s="125" t="str">
        <f aca="false">IF(AND(C81="Construction % complete",E81&gt;0),MAX(COUNTIF(CURVES!$D$53:$AQ$53,"&lt;"&amp;(D81-0.000000001))+1,INPUTS!$R$90),"")</f>
        <v/>
      </c>
      <c r="G81" s="126" t="str">
        <f aca="false">IF(E81=0,"",IF(C81="Booking + quarters",IF(D81=0,"at booking",D81&amp;" qtr(s) after booking"),IF(F81&gt;INPUTS!$C$24,"NOT REACHED in model","construction "&amp;TEXT(D81,"0%")&amp;" reached in Q"&amp;F81)))</f>
        <v>1 qtr(s) after booking</v>
      </c>
      <c r="H81" s="126"/>
      <c r="I81" s="126"/>
      <c r="J81" s="126"/>
      <c r="K81" s="126"/>
      <c r="L81" s="126"/>
    </row>
    <row r="82" customFormat="false" ht="15" hidden="false" customHeight="false" outlineLevel="0" collapsed="false">
      <c r="B82" s="121" t="str">
        <f aca="false">IF(INPUTS!$E$90&lt;&gt;"Yes","",IFERROR(CHOOSE(MATCH(INPUTS!$L$90,LISTS!$R$5:$R$10,0),INPUTS!$B$221,INPUTS!$B$255,INPUTS!$B$289,INPUTS!$B$323,INPUTS!$B$357,INPUTS!$B$391),"")&amp;"")</f>
        <v>Foundation completion</v>
      </c>
      <c r="C82" s="122" t="str">
        <f aca="false">IF(INPUTS!$E$90&lt;&gt;"Yes","",IFERROR(CHOOSE(MATCH(INPUTS!$L$90,LISTS!$R$5:$R$10,0),INPUTS!$C$221,INPUTS!$C$255,INPUTS!$C$289,INPUTS!$C$323,INPUTS!$C$357,INPUTS!$C$391),"")&amp;"")</f>
        <v>Construction % complete</v>
      </c>
      <c r="D82" s="123" t="n">
        <f aca="false">IF(INPUTS!$E$90&lt;&gt;"Yes",0,N(IFERROR(CHOOSE(MATCH(INPUTS!$L$90,LISTS!$R$5:$R$10,0),INPUTS!$D$221,INPUTS!$D$255,INPUTS!$D$289,INPUTS!$D$323,INPUTS!$D$357,INPUTS!$D$391),"")))</f>
        <v>0.1</v>
      </c>
      <c r="E82" s="124" t="n">
        <f aca="false">IF(INPUTS!$E$90&lt;&gt;"Yes",0,N(IFERROR(CHOOSE(MATCH(INPUTS!$L$90,LISTS!$R$5:$R$10,0),INPUTS!$E$221,INPUTS!$E$255,INPUTS!$E$289,INPUTS!$E$323,INPUTS!$E$357,INPUTS!$E$391),"")))</f>
        <v>0.1</v>
      </c>
      <c r="F82" s="125" t="n">
        <f aca="false">IF(AND(C82="Construction % complete",E82&gt;0),MAX(COUNTIF(CURVES!$D$53:$AQ$53,"&lt;"&amp;(D82-0.000000001))+1,INPUTS!$R$90),"")</f>
        <v>8</v>
      </c>
      <c r="G82" s="126" t="str">
        <f aca="false">IF(E82=0,"",IF(C82="Booking + quarters",IF(D82=0,"at booking",D82&amp;" qtr(s) after booking"),IF(F82&gt;INPUTS!$C$24,"NOT REACHED in model","construction "&amp;TEXT(D82,"0%")&amp;" reached in Q"&amp;F82)))</f>
        <v>construction 10% reached in Q8</v>
      </c>
      <c r="H82" s="126"/>
      <c r="I82" s="126"/>
      <c r="J82" s="126"/>
      <c r="K82" s="126"/>
      <c r="L82" s="126"/>
    </row>
    <row r="83" customFormat="false" ht="15" hidden="false" customHeight="false" outlineLevel="0" collapsed="false">
      <c r="B83" s="121" t="str">
        <f aca="false">IF(INPUTS!$E$90&lt;&gt;"Yes","",IFERROR(CHOOSE(MATCH(INPUTS!$L$90,LISTS!$R$5:$R$10,0),INPUTS!$B$222,INPUTS!$B$256,INPUTS!$B$290,INPUTS!$B$324,INPUTS!$B$358,INPUTS!$B$392),"")&amp;"")</f>
        <v>Podium / plinth</v>
      </c>
      <c r="C83" s="122" t="str">
        <f aca="false">IF(INPUTS!$E$90&lt;&gt;"Yes","",IFERROR(CHOOSE(MATCH(INPUTS!$L$90,LISTS!$R$5:$R$10,0),INPUTS!$C$222,INPUTS!$C$256,INPUTS!$C$290,INPUTS!$C$324,INPUTS!$C$358,INPUTS!$C$392),"")&amp;"")</f>
        <v>Construction % complete</v>
      </c>
      <c r="D83" s="123" t="n">
        <f aca="false">IF(INPUTS!$E$90&lt;&gt;"Yes",0,N(IFERROR(CHOOSE(MATCH(INPUTS!$L$90,LISTS!$R$5:$R$10,0),INPUTS!$D$222,INPUTS!$D$256,INPUTS!$D$290,INPUTS!$D$324,INPUTS!$D$358,INPUTS!$D$392),"")))</f>
        <v>0.2</v>
      </c>
      <c r="E83" s="124" t="n">
        <f aca="false">IF(INPUTS!$E$90&lt;&gt;"Yes",0,N(IFERROR(CHOOSE(MATCH(INPUTS!$L$90,LISTS!$R$5:$R$10,0),INPUTS!$E$222,INPUTS!$E$256,INPUTS!$E$290,INPUTS!$E$324,INPUTS!$E$358,INPUTS!$E$392),"")))</f>
        <v>0.1</v>
      </c>
      <c r="F83" s="125" t="n">
        <f aca="false">IF(AND(C83="Construction % complete",E83&gt;0),MAX(COUNTIF(CURVES!$D$53:$AQ$53,"&lt;"&amp;(D83-0.000000001))+1,INPUTS!$R$90),"")</f>
        <v>9</v>
      </c>
      <c r="G83" s="126" t="str">
        <f aca="false">IF(E83=0,"",IF(C83="Booking + quarters",IF(D83=0,"at booking",D83&amp;" qtr(s) after booking"),IF(F83&gt;INPUTS!$C$24,"NOT REACHED in model","construction "&amp;TEXT(D83,"0%")&amp;" reached in Q"&amp;F83)))</f>
        <v>construction 20% reached in Q9</v>
      </c>
      <c r="H83" s="126"/>
      <c r="I83" s="126"/>
      <c r="J83" s="126"/>
      <c r="K83" s="126"/>
      <c r="L83" s="126"/>
    </row>
    <row r="84" customFormat="false" ht="15" hidden="false" customHeight="false" outlineLevel="0" collapsed="false">
      <c r="B84" s="121" t="str">
        <f aca="false">IF(INPUTS!$E$90&lt;&gt;"Yes","",IFERROR(CHOOSE(MATCH(INPUTS!$L$90,LISTS!$R$5:$R$10,0),INPUTS!$B$223,INPUTS!$B$257,INPUTS!$B$291,INPUTS!$B$325,INPUTS!$B$359,INPUTS!$B$393),"")&amp;"")</f>
        <v>Slab casting – 25% floors</v>
      </c>
      <c r="C84" s="122" t="str">
        <f aca="false">IF(INPUTS!$E$90&lt;&gt;"Yes","",IFERROR(CHOOSE(MATCH(INPUTS!$L$90,LISTS!$R$5:$R$10,0),INPUTS!$C$223,INPUTS!$C$257,INPUTS!$C$291,INPUTS!$C$325,INPUTS!$C$359,INPUTS!$C$393),"")&amp;"")</f>
        <v>Construction % complete</v>
      </c>
      <c r="D84" s="123" t="n">
        <f aca="false">IF(INPUTS!$E$90&lt;&gt;"Yes",0,N(IFERROR(CHOOSE(MATCH(INPUTS!$L$90,LISTS!$R$5:$R$10,0),INPUTS!$D$223,INPUTS!$D$257,INPUTS!$D$291,INPUTS!$D$325,INPUTS!$D$359,INPUTS!$D$393),"")))</f>
        <v>0.35</v>
      </c>
      <c r="E84" s="124" t="n">
        <f aca="false">IF(INPUTS!$E$90&lt;&gt;"Yes",0,N(IFERROR(CHOOSE(MATCH(INPUTS!$L$90,LISTS!$R$5:$R$10,0),INPUTS!$E$223,INPUTS!$E$257,INPUTS!$E$291,INPUTS!$E$325,INPUTS!$E$359,INPUTS!$E$393),"")))</f>
        <v>0.1</v>
      </c>
      <c r="F84" s="125" t="n">
        <f aca="false">IF(AND(C84="Construction % complete",E84&gt;0),MAX(COUNTIF(CURVES!$D$53:$AQ$53,"&lt;"&amp;(D84-0.000000001))+1,INPUTS!$R$90),"")</f>
        <v>10</v>
      </c>
      <c r="G84" s="126" t="str">
        <f aca="false">IF(E84=0,"",IF(C84="Booking + quarters",IF(D84=0,"at booking",D84&amp;" qtr(s) after booking"),IF(F84&gt;INPUTS!$C$24,"NOT REACHED in model","construction "&amp;TEXT(D84,"0%")&amp;" reached in Q"&amp;F84)))</f>
        <v>construction 35% reached in Q10</v>
      </c>
      <c r="H84" s="126"/>
      <c r="I84" s="126"/>
      <c r="J84" s="126"/>
      <c r="K84" s="126"/>
      <c r="L84" s="126"/>
    </row>
    <row r="85" customFormat="false" ht="15" hidden="false" customHeight="false" outlineLevel="0" collapsed="false">
      <c r="B85" s="121" t="str">
        <f aca="false">IF(INPUTS!$E$90&lt;&gt;"Yes","",IFERROR(CHOOSE(MATCH(INPUTS!$L$90,LISTS!$R$5:$R$10,0),INPUTS!$B$224,INPUTS!$B$258,INPUTS!$B$292,INPUTS!$B$326,INPUTS!$B$360,INPUTS!$B$394),"")&amp;"")</f>
        <v>Slab casting – 50% floors</v>
      </c>
      <c r="C85" s="122" t="str">
        <f aca="false">IF(INPUTS!$E$90&lt;&gt;"Yes","",IFERROR(CHOOSE(MATCH(INPUTS!$L$90,LISTS!$R$5:$R$10,0),INPUTS!$C$224,INPUTS!$C$258,INPUTS!$C$292,INPUTS!$C$326,INPUTS!$C$360,INPUTS!$C$394),"")&amp;"")</f>
        <v>Construction % complete</v>
      </c>
      <c r="D85" s="123" t="n">
        <f aca="false">IF(INPUTS!$E$90&lt;&gt;"Yes",0,N(IFERROR(CHOOSE(MATCH(INPUTS!$L$90,LISTS!$R$5:$R$10,0),INPUTS!$D$224,INPUTS!$D$258,INPUTS!$D$292,INPUTS!$D$326,INPUTS!$D$360,INPUTS!$D$394),"")))</f>
        <v>0.5</v>
      </c>
      <c r="E85" s="124" t="n">
        <f aca="false">IF(INPUTS!$E$90&lt;&gt;"Yes",0,N(IFERROR(CHOOSE(MATCH(INPUTS!$L$90,LISTS!$R$5:$R$10,0),INPUTS!$E$224,INPUTS!$E$258,INPUTS!$E$292,INPUTS!$E$326,INPUTS!$E$360,INPUTS!$E$394),"")))</f>
        <v>0.1</v>
      </c>
      <c r="F85" s="125" t="n">
        <f aca="false">IF(AND(C85="Construction % complete",E85&gt;0),MAX(COUNTIF(CURVES!$D$53:$AQ$53,"&lt;"&amp;(D85-0.000000001))+1,INPUTS!$R$90),"")</f>
        <v>11</v>
      </c>
      <c r="G85" s="126" t="str">
        <f aca="false">IF(E85=0,"",IF(C85="Booking + quarters",IF(D85=0,"at booking",D85&amp;" qtr(s) after booking"),IF(F85&gt;INPUTS!$C$24,"NOT REACHED in model","construction "&amp;TEXT(D85,"0%")&amp;" reached in Q"&amp;F85)))</f>
        <v>construction 50% reached in Q11</v>
      </c>
      <c r="H85" s="126"/>
      <c r="I85" s="126"/>
      <c r="J85" s="126"/>
      <c r="K85" s="126"/>
      <c r="L85" s="126"/>
    </row>
    <row r="86" customFormat="false" ht="15" hidden="false" customHeight="false" outlineLevel="0" collapsed="false">
      <c r="B86" s="121" t="str">
        <f aca="false">IF(INPUTS!$E$90&lt;&gt;"Yes","",IFERROR(CHOOSE(MATCH(INPUTS!$L$90,LISTS!$R$5:$R$10,0),INPUTS!$B$225,INPUTS!$B$259,INPUTS!$B$293,INPUTS!$B$327,INPUTS!$B$361,INPUTS!$B$395),"")&amp;"")</f>
        <v>Slab casting – 75% floors</v>
      </c>
      <c r="C86" s="122" t="str">
        <f aca="false">IF(INPUTS!$E$90&lt;&gt;"Yes","",IFERROR(CHOOSE(MATCH(INPUTS!$L$90,LISTS!$R$5:$R$10,0),INPUTS!$C$225,INPUTS!$C$259,INPUTS!$C$293,INPUTS!$C$327,INPUTS!$C$361,INPUTS!$C$395),"")&amp;"")</f>
        <v>Construction % complete</v>
      </c>
      <c r="D86" s="123" t="n">
        <f aca="false">IF(INPUTS!$E$90&lt;&gt;"Yes",0,N(IFERROR(CHOOSE(MATCH(INPUTS!$L$90,LISTS!$R$5:$R$10,0),INPUTS!$D$225,INPUTS!$D$259,INPUTS!$D$293,INPUTS!$D$327,INPUTS!$D$361,INPUTS!$D$395),"")))</f>
        <v>0.65</v>
      </c>
      <c r="E86" s="124" t="n">
        <f aca="false">IF(INPUTS!$E$90&lt;&gt;"Yes",0,N(IFERROR(CHOOSE(MATCH(INPUTS!$L$90,LISTS!$R$5:$R$10,0),INPUTS!$E$225,INPUTS!$E$259,INPUTS!$E$293,INPUTS!$E$327,INPUTS!$E$361,INPUTS!$E$395),"")))</f>
        <v>0.1</v>
      </c>
      <c r="F86" s="125" t="n">
        <f aca="false">IF(AND(C86="Construction % complete",E86&gt;0),MAX(COUNTIF(CURVES!$D$53:$AQ$53,"&lt;"&amp;(D86-0.000000001))+1,INPUTS!$R$90),"")</f>
        <v>13</v>
      </c>
      <c r="G86" s="126" t="str">
        <f aca="false">IF(E86=0,"",IF(C86="Booking + quarters",IF(D86=0,"at booking",D86&amp;" qtr(s) after booking"),IF(F86&gt;INPUTS!$C$24,"NOT REACHED in model","construction "&amp;TEXT(D86,"0%")&amp;" reached in Q"&amp;F86)))</f>
        <v>construction 65% reached in Q13</v>
      </c>
      <c r="H86" s="126"/>
      <c r="I86" s="126"/>
      <c r="J86" s="126"/>
      <c r="K86" s="126"/>
      <c r="L86" s="126"/>
    </row>
    <row r="87" customFormat="false" ht="15" hidden="false" customHeight="false" outlineLevel="0" collapsed="false">
      <c r="B87" s="121" t="str">
        <f aca="false">IF(INPUTS!$E$90&lt;&gt;"Yes","",IFERROR(CHOOSE(MATCH(INPUTS!$L$90,LISTS!$R$5:$R$10,0),INPUTS!$B$226,INPUTS!$B$260,INPUTS!$B$294,INPUTS!$B$328,INPUTS!$B$362,INPUTS!$B$396),"")&amp;"")</f>
        <v>Top slab casting</v>
      </c>
      <c r="C87" s="122" t="str">
        <f aca="false">IF(INPUTS!$E$90&lt;&gt;"Yes","",IFERROR(CHOOSE(MATCH(INPUTS!$L$90,LISTS!$R$5:$R$10,0),INPUTS!$C$226,INPUTS!$C$260,INPUTS!$C$294,INPUTS!$C$328,INPUTS!$C$362,INPUTS!$C$396),"")&amp;"")</f>
        <v>Construction % complete</v>
      </c>
      <c r="D87" s="123" t="n">
        <f aca="false">IF(INPUTS!$E$90&lt;&gt;"Yes",0,N(IFERROR(CHOOSE(MATCH(INPUTS!$L$90,LISTS!$R$5:$R$10,0),INPUTS!$D$226,INPUTS!$D$260,INPUTS!$D$294,INPUTS!$D$328,INPUTS!$D$362,INPUTS!$D$396),"")))</f>
        <v>0.8</v>
      </c>
      <c r="E87" s="124" t="n">
        <f aca="false">IF(INPUTS!$E$90&lt;&gt;"Yes",0,N(IFERROR(CHOOSE(MATCH(INPUTS!$L$90,LISTS!$R$5:$R$10,0),INPUTS!$E$226,INPUTS!$E$260,INPUTS!$E$294,INPUTS!$E$328,INPUTS!$E$362,INPUTS!$E$396),"")))</f>
        <v>0.1</v>
      </c>
      <c r="F87" s="125" t="n">
        <f aca="false">IF(AND(C87="Construction % complete",E87&gt;0),MAX(COUNTIF(CURVES!$D$53:$AQ$53,"&lt;"&amp;(D87-0.000000001))+1,INPUTS!$R$90),"")</f>
        <v>14</v>
      </c>
      <c r="G87" s="126" t="str">
        <f aca="false">IF(E87=0,"",IF(C87="Booking + quarters",IF(D87=0,"at booking",D87&amp;" qtr(s) after booking"),IF(F87&gt;INPUTS!$C$24,"NOT REACHED in model","construction "&amp;TEXT(D87,"0%")&amp;" reached in Q"&amp;F87)))</f>
        <v>construction 80% reached in Q14</v>
      </c>
      <c r="H87" s="126"/>
      <c r="I87" s="126"/>
      <c r="J87" s="126"/>
      <c r="K87" s="126"/>
      <c r="L87" s="126"/>
    </row>
    <row r="88" customFormat="false" ht="15" hidden="false" customHeight="false" outlineLevel="0" collapsed="false">
      <c r="B88" s="121" t="str">
        <f aca="false">IF(INPUTS!$E$90&lt;&gt;"Yes","",IFERROR(CHOOSE(MATCH(INPUTS!$L$90,LISTS!$R$5:$R$10,0),INPUTS!$B$227,INPUTS!$B$261,INPUTS!$B$295,INPUTS!$B$329,INPUTS!$B$363,INPUTS!$B$397),"")&amp;"")</f>
        <v>Brickwork &amp; plaster</v>
      </c>
      <c r="C88" s="122" t="str">
        <f aca="false">IF(INPUTS!$E$90&lt;&gt;"Yes","",IFERROR(CHOOSE(MATCH(INPUTS!$L$90,LISTS!$R$5:$R$10,0),INPUTS!$C$227,INPUTS!$C$261,INPUTS!$C$295,INPUTS!$C$329,INPUTS!$C$363,INPUTS!$C$397),"")&amp;"")</f>
        <v>Construction % complete</v>
      </c>
      <c r="D88" s="123" t="n">
        <f aca="false">IF(INPUTS!$E$90&lt;&gt;"Yes",0,N(IFERROR(CHOOSE(MATCH(INPUTS!$L$90,LISTS!$R$5:$R$10,0),INPUTS!$D$227,INPUTS!$D$261,INPUTS!$D$295,INPUTS!$D$329,INPUTS!$D$363,INPUTS!$D$397),"")))</f>
        <v>0.9</v>
      </c>
      <c r="E88" s="124" t="n">
        <f aca="false">IF(INPUTS!$E$90&lt;&gt;"Yes",0,N(IFERROR(CHOOSE(MATCH(INPUTS!$L$90,LISTS!$R$5:$R$10,0),INPUTS!$E$227,INPUTS!$E$261,INPUTS!$E$295,INPUTS!$E$329,INPUTS!$E$363,INPUTS!$E$397),"")))</f>
        <v>0.05</v>
      </c>
      <c r="F88" s="125" t="n">
        <f aca="false">IF(AND(C88="Construction % complete",E88&gt;0),MAX(COUNTIF(CURVES!$D$53:$AQ$53,"&lt;"&amp;(D88-0.000000001))+1,INPUTS!$R$90),"")</f>
        <v>15</v>
      </c>
      <c r="G88" s="126" t="str">
        <f aca="false">IF(E88=0,"",IF(C88="Booking + quarters",IF(D88=0,"at booking",D88&amp;" qtr(s) after booking"),IF(F88&gt;INPUTS!$C$24,"NOT REACHED in model","construction "&amp;TEXT(D88,"0%")&amp;" reached in Q"&amp;F88)))</f>
        <v>construction 90% reached in Q15</v>
      </c>
      <c r="H88" s="126"/>
      <c r="I88" s="126"/>
      <c r="J88" s="126"/>
      <c r="K88" s="126"/>
      <c r="L88" s="126"/>
    </row>
    <row r="89" customFormat="false" ht="15" hidden="false" customHeight="false" outlineLevel="0" collapsed="false">
      <c r="B89" s="121" t="str">
        <f aca="false">IF(INPUTS!$E$90&lt;&gt;"Yes","",IFERROR(CHOOSE(MATCH(INPUTS!$L$90,LISTS!$R$5:$R$10,0),INPUTS!$B$228,INPUTS!$B$262,INPUTS!$B$296,INPUTS!$B$330,INPUTS!$B$364,INPUTS!$B$398),"")&amp;"")</f>
        <v>Flooring &amp; finishing</v>
      </c>
      <c r="C89" s="122" t="str">
        <f aca="false">IF(INPUTS!$E$90&lt;&gt;"Yes","",IFERROR(CHOOSE(MATCH(INPUTS!$L$90,LISTS!$R$5:$R$10,0),INPUTS!$C$228,INPUTS!$C$262,INPUTS!$C$296,INPUTS!$C$330,INPUTS!$C$364,INPUTS!$C$398),"")&amp;"")</f>
        <v>Construction % complete</v>
      </c>
      <c r="D89" s="123" t="n">
        <f aca="false">IF(INPUTS!$E$90&lt;&gt;"Yes",0,N(IFERROR(CHOOSE(MATCH(INPUTS!$L$90,LISTS!$R$5:$R$10,0),INPUTS!$D$228,INPUTS!$D$262,INPUTS!$D$296,INPUTS!$D$330,INPUTS!$D$364,INPUTS!$D$398),"")))</f>
        <v>0.95</v>
      </c>
      <c r="E89" s="124" t="n">
        <f aca="false">IF(INPUTS!$E$90&lt;&gt;"Yes",0,N(IFERROR(CHOOSE(MATCH(INPUTS!$L$90,LISTS!$R$5:$R$10,0),INPUTS!$E$228,INPUTS!$E$262,INPUTS!$E$296,INPUTS!$E$330,INPUTS!$E$364,INPUTS!$E$398),"")))</f>
        <v>0.05</v>
      </c>
      <c r="F89" s="125" t="n">
        <f aca="false">IF(AND(C89="Construction % complete",E89&gt;0),MAX(COUNTIF(CURVES!$D$53:$AQ$53,"&lt;"&amp;(D89-0.000000001))+1,INPUTS!$R$90),"")</f>
        <v>16</v>
      </c>
      <c r="G89" s="126" t="str">
        <f aca="false">IF(E89=0,"",IF(C89="Booking + quarters",IF(D89=0,"at booking",D89&amp;" qtr(s) after booking"),IF(F89&gt;INPUTS!$C$24,"NOT REACHED in model","construction "&amp;TEXT(D89,"0%")&amp;" reached in Q"&amp;F89)))</f>
        <v>construction 95% reached in Q16</v>
      </c>
      <c r="H89" s="126"/>
      <c r="I89" s="126"/>
      <c r="J89" s="126"/>
      <c r="K89" s="126"/>
      <c r="L89" s="126"/>
    </row>
    <row r="90" customFormat="false" ht="15" hidden="false" customHeight="false" outlineLevel="0" collapsed="false">
      <c r="B90" s="121" t="str">
        <f aca="false">IF(INPUTS!$E$90&lt;&gt;"Yes","",IFERROR(CHOOSE(MATCH(INPUTS!$L$90,LISTS!$R$5:$R$10,0),INPUTS!$B$229,INPUTS!$B$263,INPUTS!$B$297,INPUTS!$B$331,INPUTS!$B$365,INPUTS!$B$399),"")&amp;"")</f>
        <v>Possession</v>
      </c>
      <c r="C90" s="122" t="str">
        <f aca="false">IF(INPUTS!$E$90&lt;&gt;"Yes","",IFERROR(CHOOSE(MATCH(INPUTS!$L$90,LISTS!$R$5:$R$10,0),INPUTS!$C$229,INPUTS!$C$263,INPUTS!$C$297,INPUTS!$C$331,INPUTS!$C$365,INPUTS!$C$399),"")&amp;"")</f>
        <v>Construction % complete</v>
      </c>
      <c r="D90" s="123" t="n">
        <f aca="false">IF(INPUTS!$E$90&lt;&gt;"Yes",0,N(IFERROR(CHOOSE(MATCH(INPUTS!$L$90,LISTS!$R$5:$R$10,0),INPUTS!$D$229,INPUTS!$D$263,INPUTS!$D$297,INPUTS!$D$331,INPUTS!$D$365,INPUTS!$D$399),"")))</f>
        <v>1</v>
      </c>
      <c r="E90" s="124" t="n">
        <f aca="false">IF(INPUTS!$E$90&lt;&gt;"Yes",0,N(IFERROR(CHOOSE(MATCH(INPUTS!$L$90,LISTS!$R$5:$R$10,0),INPUTS!$E$229,INPUTS!$E$263,INPUTS!$E$297,INPUTS!$E$331,INPUTS!$E$365,INPUTS!$E$399),"")))</f>
        <v>0.1</v>
      </c>
      <c r="F90" s="125" t="n">
        <f aca="false">IF(AND(C90="Construction % complete",E90&gt;0),MAX(COUNTIF(CURVES!$D$53:$AQ$53,"&lt;"&amp;(D90-0.000000001))+1,INPUTS!$R$90),"")</f>
        <v>17</v>
      </c>
      <c r="G90" s="126" t="str">
        <f aca="false">IF(E90=0,"",IF(C90="Booking + quarters",IF(D90=0,"at booking",D90&amp;" qtr(s) after booking"),IF(F90&gt;INPUTS!$C$24,"NOT REACHED in model","construction "&amp;TEXT(D90,"0%")&amp;" reached in Q"&amp;F90)))</f>
        <v>construction 100% reached in Q17</v>
      </c>
      <c r="H90" s="126"/>
      <c r="I90" s="126"/>
      <c r="J90" s="126"/>
      <c r="K90" s="126"/>
      <c r="L90" s="126"/>
    </row>
    <row r="91" customFormat="false" ht="15" hidden="false" customHeight="false" outlineLevel="0" collapsed="false">
      <c r="B91" s="121" t="str">
        <f aca="false">IF(INPUTS!$E$90&lt;&gt;"Yes","",IFERROR(CHOOSE(MATCH(INPUTS!$L$90,LISTS!$R$5:$R$10,0),INPUTS!$B$230,INPUTS!$B$264,INPUTS!$B$298,INPUTS!$B$332,INPUTS!$B$366,INPUTS!$B$400),"")&amp;"")</f>
        <v/>
      </c>
      <c r="C91" s="122" t="str">
        <f aca="false">IF(INPUTS!$E$90&lt;&gt;"Yes","",IFERROR(CHOOSE(MATCH(INPUTS!$L$90,LISTS!$R$5:$R$10,0),INPUTS!$C$230,INPUTS!$C$264,INPUTS!$C$298,INPUTS!$C$332,INPUTS!$C$366,INPUTS!$C$400),"")&amp;"")</f>
        <v/>
      </c>
      <c r="D91" s="123" t="n">
        <f aca="false">IF(INPUTS!$E$90&lt;&gt;"Yes",0,N(IFERROR(CHOOSE(MATCH(INPUTS!$L$90,LISTS!$R$5:$R$10,0),INPUTS!$D$230,INPUTS!$D$264,INPUTS!$D$298,INPUTS!$D$332,INPUTS!$D$366,INPUTS!$D$400),"")))</f>
        <v>0</v>
      </c>
      <c r="E91" s="124" t="n">
        <f aca="false">IF(INPUTS!$E$90&lt;&gt;"Yes",0,N(IFERROR(CHOOSE(MATCH(INPUTS!$L$90,LISTS!$R$5:$R$10,0),INPUTS!$E$230,INPUTS!$E$264,INPUTS!$E$298,INPUTS!$E$332,INPUTS!$E$366,INPUTS!$E$400),"")))</f>
        <v>0</v>
      </c>
      <c r="F91" s="125" t="str">
        <f aca="false">IF(AND(C91="Construction % complete",E91&gt;0),MAX(COUNTIF(CURVES!$D$53:$AQ$53,"&lt;"&amp;(D91-0.000000001))+1,INPUTS!$R$90),"")</f>
        <v/>
      </c>
      <c r="G91" s="126" t="str">
        <f aca="false">IF(E91=0,"",IF(C91="Booking + quarters",IF(D91=0,"at booking",D91&amp;" qtr(s) after booking"),IF(F91&gt;INPUTS!$C$24,"NOT REACHED in model","construction "&amp;TEXT(D91,"0%")&amp;" reached in Q"&amp;F91)))</f>
        <v/>
      </c>
      <c r="H91" s="126"/>
      <c r="I91" s="126"/>
      <c r="J91" s="126"/>
      <c r="K91" s="126"/>
      <c r="L91" s="126"/>
    </row>
    <row r="92" customFormat="false" ht="15" hidden="false" customHeight="false" outlineLevel="0" collapsed="false">
      <c r="B92" s="121" t="str">
        <f aca="false">IF(INPUTS!$E$90&lt;&gt;"Yes","",IFERROR(CHOOSE(MATCH(INPUTS!$L$90,LISTS!$R$5:$R$10,0),INPUTS!$B$231,INPUTS!$B$265,INPUTS!$B$299,INPUTS!$B$333,INPUTS!$B$367,INPUTS!$B$401),"")&amp;"")</f>
        <v/>
      </c>
      <c r="C92" s="122" t="str">
        <f aca="false">IF(INPUTS!$E$90&lt;&gt;"Yes","",IFERROR(CHOOSE(MATCH(INPUTS!$L$90,LISTS!$R$5:$R$10,0),INPUTS!$C$231,INPUTS!$C$265,INPUTS!$C$299,INPUTS!$C$333,INPUTS!$C$367,INPUTS!$C$401),"")&amp;"")</f>
        <v/>
      </c>
      <c r="D92" s="123" t="n">
        <f aca="false">IF(INPUTS!$E$90&lt;&gt;"Yes",0,N(IFERROR(CHOOSE(MATCH(INPUTS!$L$90,LISTS!$R$5:$R$10,0),INPUTS!$D$231,INPUTS!$D$265,INPUTS!$D$299,INPUTS!$D$333,INPUTS!$D$367,INPUTS!$D$401),"")))</f>
        <v>0</v>
      </c>
      <c r="E92" s="124" t="n">
        <f aca="false">IF(INPUTS!$E$90&lt;&gt;"Yes",0,N(IFERROR(CHOOSE(MATCH(INPUTS!$L$90,LISTS!$R$5:$R$10,0),INPUTS!$E$231,INPUTS!$E$265,INPUTS!$E$299,INPUTS!$E$333,INPUTS!$E$367,INPUTS!$E$401),"")))</f>
        <v>0</v>
      </c>
      <c r="F92" s="125" t="str">
        <f aca="false">IF(AND(C92="Construction % complete",E92&gt;0),MAX(COUNTIF(CURVES!$D$53:$AQ$53,"&lt;"&amp;(D92-0.000000001))+1,INPUTS!$R$90),"")</f>
        <v/>
      </c>
      <c r="G92" s="126" t="str">
        <f aca="false">IF(E92=0,"",IF(C92="Booking + quarters",IF(D92=0,"at booking",D92&amp;" qtr(s) after booking"),IF(F92&gt;INPUTS!$C$24,"NOT REACHED in model","construction "&amp;TEXT(D92,"0%")&amp;" reached in Q"&amp;F92)))</f>
        <v/>
      </c>
      <c r="H92" s="126"/>
      <c r="I92" s="126"/>
      <c r="J92" s="126"/>
      <c r="K92" s="126"/>
      <c r="L92" s="126"/>
    </row>
    <row r="93" customFormat="false" ht="15" hidden="false" customHeight="false" outlineLevel="0" collapsed="false">
      <c r="B93" s="121" t="str">
        <f aca="false">IF(INPUTS!$E$90&lt;&gt;"Yes","",IFERROR(CHOOSE(MATCH(INPUTS!$L$90,LISTS!$R$5:$R$10,0),INPUTS!$B$232,INPUTS!$B$266,INPUTS!$B$300,INPUTS!$B$334,INPUTS!$B$368,INPUTS!$B$402),"")&amp;"")</f>
        <v/>
      </c>
      <c r="C93" s="122" t="str">
        <f aca="false">IF(INPUTS!$E$90&lt;&gt;"Yes","",IFERROR(CHOOSE(MATCH(INPUTS!$L$90,LISTS!$R$5:$R$10,0),INPUTS!$C$232,INPUTS!$C$266,INPUTS!$C$300,INPUTS!$C$334,INPUTS!$C$368,INPUTS!$C$402),"")&amp;"")</f>
        <v/>
      </c>
      <c r="D93" s="123" t="n">
        <f aca="false">IF(INPUTS!$E$90&lt;&gt;"Yes",0,N(IFERROR(CHOOSE(MATCH(INPUTS!$L$90,LISTS!$R$5:$R$10,0),INPUTS!$D$232,INPUTS!$D$266,INPUTS!$D$300,INPUTS!$D$334,INPUTS!$D$368,INPUTS!$D$402),"")))</f>
        <v>0</v>
      </c>
      <c r="E93" s="124" t="n">
        <f aca="false">IF(INPUTS!$E$90&lt;&gt;"Yes",0,N(IFERROR(CHOOSE(MATCH(INPUTS!$L$90,LISTS!$R$5:$R$10,0),INPUTS!$E$232,INPUTS!$E$266,INPUTS!$E$300,INPUTS!$E$334,INPUTS!$E$368,INPUTS!$E$402),"")))</f>
        <v>0</v>
      </c>
      <c r="F93" s="125" t="str">
        <f aca="false">IF(AND(C93="Construction % complete",E93&gt;0),MAX(COUNTIF(CURVES!$D$53:$AQ$53,"&lt;"&amp;(D93-0.000000001))+1,INPUTS!$R$90),"")</f>
        <v/>
      </c>
      <c r="G93" s="126" t="str">
        <f aca="false">IF(E93=0,"",IF(C93="Booking + quarters",IF(D93=0,"at booking",D93&amp;" qtr(s) after booking"),IF(F93&gt;INPUTS!$C$24,"NOT REACHED in model","construction "&amp;TEXT(D93,"0%")&amp;" reached in Q"&amp;F93)))</f>
        <v/>
      </c>
      <c r="H93" s="126"/>
      <c r="I93" s="126"/>
      <c r="J93" s="126"/>
      <c r="K93" s="126"/>
      <c r="L93" s="126"/>
    </row>
    <row r="94" customFormat="false" ht="15" hidden="false" customHeight="false" outlineLevel="0" collapsed="false">
      <c r="B94" s="121" t="str">
        <f aca="false">IF(INPUTS!$E$90&lt;&gt;"Yes","",IFERROR(CHOOSE(MATCH(INPUTS!$L$90,LISTS!$R$5:$R$10,0),INPUTS!$B$233,INPUTS!$B$267,INPUTS!$B$301,INPUTS!$B$335,INPUTS!$B$369,INPUTS!$B$403),"")&amp;"")</f>
        <v/>
      </c>
      <c r="C94" s="122" t="str">
        <f aca="false">IF(INPUTS!$E$90&lt;&gt;"Yes","",IFERROR(CHOOSE(MATCH(INPUTS!$L$90,LISTS!$R$5:$R$10,0),INPUTS!$C$233,INPUTS!$C$267,INPUTS!$C$301,INPUTS!$C$335,INPUTS!$C$369,INPUTS!$C$403),"")&amp;"")</f>
        <v/>
      </c>
      <c r="D94" s="123" t="n">
        <f aca="false">IF(INPUTS!$E$90&lt;&gt;"Yes",0,N(IFERROR(CHOOSE(MATCH(INPUTS!$L$90,LISTS!$R$5:$R$10,0),INPUTS!$D$233,INPUTS!$D$267,INPUTS!$D$301,INPUTS!$D$335,INPUTS!$D$369,INPUTS!$D$403),"")))</f>
        <v>0</v>
      </c>
      <c r="E94" s="124" t="n">
        <f aca="false">IF(INPUTS!$E$90&lt;&gt;"Yes",0,N(IFERROR(CHOOSE(MATCH(INPUTS!$L$90,LISTS!$R$5:$R$10,0),INPUTS!$E$233,INPUTS!$E$267,INPUTS!$E$301,INPUTS!$E$335,INPUTS!$E$369,INPUTS!$E$403),"")))</f>
        <v>0</v>
      </c>
      <c r="F94" s="125" t="str">
        <f aca="false">IF(AND(C94="Construction % complete",E94&gt;0),MAX(COUNTIF(CURVES!$D$53:$AQ$53,"&lt;"&amp;(D94-0.000000001))+1,INPUTS!$R$90),"")</f>
        <v/>
      </c>
      <c r="G94" s="126" t="str">
        <f aca="false">IF(E94=0,"",IF(C94="Booking + quarters",IF(D94=0,"at booking",D94&amp;" qtr(s) after booking"),IF(F94&gt;INPUTS!$C$24,"NOT REACHED in model","construction "&amp;TEXT(D94,"0%")&amp;" reached in Q"&amp;F94)))</f>
        <v/>
      </c>
      <c r="H94" s="126"/>
      <c r="I94" s="126"/>
      <c r="J94" s="126"/>
      <c r="K94" s="126"/>
      <c r="L94" s="126"/>
    </row>
    <row r="95" customFormat="false" ht="15" hidden="false" customHeight="false" outlineLevel="0" collapsed="false">
      <c r="B95" s="121" t="str">
        <f aca="false">IF(INPUTS!$E$90&lt;&gt;"Yes","",IFERROR(CHOOSE(MATCH(INPUTS!$L$90,LISTS!$R$5:$R$10,0),INPUTS!$B$234,INPUTS!$B$268,INPUTS!$B$302,INPUTS!$B$336,INPUTS!$B$370,INPUTS!$B$404),"")&amp;"")</f>
        <v/>
      </c>
      <c r="C95" s="122" t="str">
        <f aca="false">IF(INPUTS!$E$90&lt;&gt;"Yes","",IFERROR(CHOOSE(MATCH(INPUTS!$L$90,LISTS!$R$5:$R$10,0),INPUTS!$C$234,INPUTS!$C$268,INPUTS!$C$302,INPUTS!$C$336,INPUTS!$C$370,INPUTS!$C$404),"")&amp;"")</f>
        <v/>
      </c>
      <c r="D95" s="123" t="n">
        <f aca="false">IF(INPUTS!$E$90&lt;&gt;"Yes",0,N(IFERROR(CHOOSE(MATCH(INPUTS!$L$90,LISTS!$R$5:$R$10,0),INPUTS!$D$234,INPUTS!$D$268,INPUTS!$D$302,INPUTS!$D$336,INPUTS!$D$370,INPUTS!$D$404),"")))</f>
        <v>0</v>
      </c>
      <c r="E95" s="124" t="n">
        <f aca="false">IF(INPUTS!$E$90&lt;&gt;"Yes",0,N(IFERROR(CHOOSE(MATCH(INPUTS!$L$90,LISTS!$R$5:$R$10,0),INPUTS!$E$234,INPUTS!$E$268,INPUTS!$E$302,INPUTS!$E$336,INPUTS!$E$370,INPUTS!$E$404),"")))</f>
        <v>0</v>
      </c>
      <c r="F95" s="125" t="str">
        <f aca="false">IF(AND(C95="Construction % complete",E95&gt;0),MAX(COUNTIF(CURVES!$D$53:$AQ$53,"&lt;"&amp;(D95-0.000000001))+1,INPUTS!$R$90),"")</f>
        <v/>
      </c>
      <c r="G95" s="126" t="str">
        <f aca="false">IF(E95=0,"",IF(C95="Booking + quarters",IF(D95=0,"at booking",D95&amp;" qtr(s) after booking"),IF(F95&gt;INPUTS!$C$24,"NOT REACHED in model","construction "&amp;TEXT(D95,"0%")&amp;" reached in Q"&amp;F95)))</f>
        <v/>
      </c>
      <c r="H95" s="126"/>
      <c r="I95" s="126"/>
      <c r="J95" s="126"/>
      <c r="K95" s="126"/>
      <c r="L95" s="126"/>
    </row>
    <row r="96" customFormat="false" ht="15" hidden="false" customHeight="false" outlineLevel="0" collapsed="false">
      <c r="B96" s="121" t="str">
        <f aca="false">IF(INPUTS!$E$90&lt;&gt;"Yes","",IFERROR(CHOOSE(MATCH(INPUTS!$L$90,LISTS!$R$5:$R$10,0),INPUTS!$B$235,INPUTS!$B$269,INPUTS!$B$303,INPUTS!$B$337,INPUTS!$B$371,INPUTS!$B$405),"")&amp;"")</f>
        <v/>
      </c>
      <c r="C96" s="122" t="str">
        <f aca="false">IF(INPUTS!$E$90&lt;&gt;"Yes","",IFERROR(CHOOSE(MATCH(INPUTS!$L$90,LISTS!$R$5:$R$10,0),INPUTS!$C$235,INPUTS!$C$269,INPUTS!$C$303,INPUTS!$C$337,INPUTS!$C$371,INPUTS!$C$405),"")&amp;"")</f>
        <v/>
      </c>
      <c r="D96" s="123" t="n">
        <f aca="false">IF(INPUTS!$E$90&lt;&gt;"Yes",0,N(IFERROR(CHOOSE(MATCH(INPUTS!$L$90,LISTS!$R$5:$R$10,0),INPUTS!$D$235,INPUTS!$D$269,INPUTS!$D$303,INPUTS!$D$337,INPUTS!$D$371,INPUTS!$D$405),"")))</f>
        <v>0</v>
      </c>
      <c r="E96" s="124" t="n">
        <f aca="false">IF(INPUTS!$E$90&lt;&gt;"Yes",0,N(IFERROR(CHOOSE(MATCH(INPUTS!$L$90,LISTS!$R$5:$R$10,0),INPUTS!$E$235,INPUTS!$E$269,INPUTS!$E$303,INPUTS!$E$337,INPUTS!$E$371,INPUTS!$E$405),"")))</f>
        <v>0</v>
      </c>
      <c r="F96" s="125" t="str">
        <f aca="false">IF(AND(C96="Construction % complete",E96&gt;0),MAX(COUNTIF(CURVES!$D$53:$AQ$53,"&lt;"&amp;(D96-0.000000001))+1,INPUTS!$R$90),"")</f>
        <v/>
      </c>
      <c r="G96" s="126" t="str">
        <f aca="false">IF(E96=0,"",IF(C96="Booking + quarters",IF(D96=0,"at booking",D96&amp;" qtr(s) after booking"),IF(F96&gt;INPUTS!$C$24,"NOT REACHED in model","construction "&amp;TEXT(D96,"0%")&amp;" reached in Q"&amp;F96)))</f>
        <v/>
      </c>
      <c r="H96" s="126"/>
      <c r="I96" s="126"/>
      <c r="J96" s="126"/>
      <c r="K96" s="126"/>
      <c r="L96" s="126"/>
    </row>
    <row r="97" customFormat="false" ht="15" hidden="false" customHeight="false" outlineLevel="0" collapsed="false">
      <c r="B97" s="121" t="str">
        <f aca="false">IF(INPUTS!$E$90&lt;&gt;"Yes","",IFERROR(CHOOSE(MATCH(INPUTS!$L$90,LISTS!$R$5:$R$10,0),INPUTS!$B$236,INPUTS!$B$270,INPUTS!$B$304,INPUTS!$B$338,INPUTS!$B$372,INPUTS!$B$406),"")&amp;"")</f>
        <v/>
      </c>
      <c r="C97" s="122" t="str">
        <f aca="false">IF(INPUTS!$E$90&lt;&gt;"Yes","",IFERROR(CHOOSE(MATCH(INPUTS!$L$90,LISTS!$R$5:$R$10,0),INPUTS!$C$236,INPUTS!$C$270,INPUTS!$C$304,INPUTS!$C$338,INPUTS!$C$372,INPUTS!$C$406),"")&amp;"")</f>
        <v/>
      </c>
      <c r="D97" s="123" t="n">
        <f aca="false">IF(INPUTS!$E$90&lt;&gt;"Yes",0,N(IFERROR(CHOOSE(MATCH(INPUTS!$L$90,LISTS!$R$5:$R$10,0),INPUTS!$D$236,INPUTS!$D$270,INPUTS!$D$304,INPUTS!$D$338,INPUTS!$D$372,INPUTS!$D$406),"")))</f>
        <v>0</v>
      </c>
      <c r="E97" s="124" t="n">
        <f aca="false">IF(INPUTS!$E$90&lt;&gt;"Yes",0,N(IFERROR(CHOOSE(MATCH(INPUTS!$L$90,LISTS!$R$5:$R$10,0),INPUTS!$E$236,INPUTS!$E$270,INPUTS!$E$304,INPUTS!$E$338,INPUTS!$E$372,INPUTS!$E$406),"")))</f>
        <v>0</v>
      </c>
      <c r="F97" s="125" t="str">
        <f aca="false">IF(AND(C97="Construction % complete",E97&gt;0),MAX(COUNTIF(CURVES!$D$53:$AQ$53,"&lt;"&amp;(D97-0.000000001))+1,INPUTS!$R$90),"")</f>
        <v/>
      </c>
      <c r="G97" s="126" t="str">
        <f aca="false">IF(E97=0,"",IF(C97="Booking + quarters",IF(D97=0,"at booking",D97&amp;" qtr(s) after booking"),IF(F97&gt;INPUTS!$C$24,"NOT REACHED in model","construction "&amp;TEXT(D97,"0%")&amp;" reached in Q"&amp;F97)))</f>
        <v/>
      </c>
      <c r="H97" s="126"/>
      <c r="I97" s="126"/>
      <c r="J97" s="126"/>
      <c r="K97" s="126"/>
      <c r="L97" s="126"/>
    </row>
    <row r="98" customFormat="false" ht="15" hidden="false" customHeight="false" outlineLevel="0" collapsed="false">
      <c r="B98" s="121" t="str">
        <f aca="false">IF(INPUTS!$E$90&lt;&gt;"Yes","",IFERROR(CHOOSE(MATCH(INPUTS!$L$90,LISTS!$R$5:$R$10,0),INPUTS!$B$237,INPUTS!$B$271,INPUTS!$B$305,INPUTS!$B$339,INPUTS!$B$373,INPUTS!$B$407),"")&amp;"")</f>
        <v/>
      </c>
      <c r="C98" s="122" t="str">
        <f aca="false">IF(INPUTS!$E$90&lt;&gt;"Yes","",IFERROR(CHOOSE(MATCH(INPUTS!$L$90,LISTS!$R$5:$R$10,0),INPUTS!$C$237,INPUTS!$C$271,INPUTS!$C$305,INPUTS!$C$339,INPUTS!$C$373,INPUTS!$C$407),"")&amp;"")</f>
        <v/>
      </c>
      <c r="D98" s="123" t="n">
        <f aca="false">IF(INPUTS!$E$90&lt;&gt;"Yes",0,N(IFERROR(CHOOSE(MATCH(INPUTS!$L$90,LISTS!$R$5:$R$10,0),INPUTS!$D$237,INPUTS!$D$271,INPUTS!$D$305,INPUTS!$D$339,INPUTS!$D$373,INPUTS!$D$407),"")))</f>
        <v>0</v>
      </c>
      <c r="E98" s="124" t="n">
        <f aca="false">IF(INPUTS!$E$90&lt;&gt;"Yes",0,N(IFERROR(CHOOSE(MATCH(INPUTS!$L$90,LISTS!$R$5:$R$10,0),INPUTS!$E$237,INPUTS!$E$271,INPUTS!$E$305,INPUTS!$E$339,INPUTS!$E$373,INPUTS!$E$407),"")))</f>
        <v>0</v>
      </c>
      <c r="F98" s="125" t="str">
        <f aca="false">IF(AND(C98="Construction % complete",E98&gt;0),MAX(COUNTIF(CURVES!$D$53:$AQ$53,"&lt;"&amp;(D98-0.000000001))+1,INPUTS!$R$90),"")</f>
        <v/>
      </c>
      <c r="G98" s="126" t="str">
        <f aca="false">IF(E98=0,"",IF(C98="Booking + quarters",IF(D98=0,"at booking",D98&amp;" qtr(s) after booking"),IF(F98&gt;INPUTS!$C$24,"NOT REACHED in model","construction "&amp;TEXT(D98,"0%")&amp;" reached in Q"&amp;F98)))</f>
        <v/>
      </c>
      <c r="H98" s="126"/>
      <c r="I98" s="126"/>
      <c r="J98" s="126"/>
      <c r="K98" s="126"/>
      <c r="L98" s="126"/>
    </row>
    <row r="99" customFormat="false" ht="15" hidden="false" customHeight="false" outlineLevel="0" collapsed="false">
      <c r="B99" s="121" t="str">
        <f aca="false">IF(INPUTS!$E$90&lt;&gt;"Yes","",IFERROR(CHOOSE(MATCH(INPUTS!$L$90,LISTS!$R$5:$R$10,0),INPUTS!$B$238,INPUTS!$B$272,INPUTS!$B$306,INPUTS!$B$340,INPUTS!$B$374,INPUTS!$B$408),"")&amp;"")</f>
        <v/>
      </c>
      <c r="C99" s="122" t="str">
        <f aca="false">IF(INPUTS!$E$90&lt;&gt;"Yes","",IFERROR(CHOOSE(MATCH(INPUTS!$L$90,LISTS!$R$5:$R$10,0),INPUTS!$C$238,INPUTS!$C$272,INPUTS!$C$306,INPUTS!$C$340,INPUTS!$C$374,INPUTS!$C$408),"")&amp;"")</f>
        <v/>
      </c>
      <c r="D99" s="123" t="n">
        <f aca="false">IF(INPUTS!$E$90&lt;&gt;"Yes",0,N(IFERROR(CHOOSE(MATCH(INPUTS!$L$90,LISTS!$R$5:$R$10,0),INPUTS!$D$238,INPUTS!$D$272,INPUTS!$D$306,INPUTS!$D$340,INPUTS!$D$374,INPUTS!$D$408),"")))</f>
        <v>0</v>
      </c>
      <c r="E99" s="124" t="n">
        <f aca="false">IF(INPUTS!$E$90&lt;&gt;"Yes",0,N(IFERROR(CHOOSE(MATCH(INPUTS!$L$90,LISTS!$R$5:$R$10,0),INPUTS!$E$238,INPUTS!$E$272,INPUTS!$E$306,INPUTS!$E$340,INPUTS!$E$374,INPUTS!$E$408),"")))</f>
        <v>0</v>
      </c>
      <c r="F99" s="125" t="str">
        <f aca="false">IF(AND(C99="Construction % complete",E99&gt;0),MAX(COUNTIF(CURVES!$D$53:$AQ$53,"&lt;"&amp;(D99-0.000000001))+1,INPUTS!$R$90),"")</f>
        <v/>
      </c>
      <c r="G99" s="126" t="str">
        <f aca="false">IF(E99=0,"",IF(C99="Booking + quarters",IF(D99=0,"at booking",D99&amp;" qtr(s) after booking"),IF(F99&gt;INPUTS!$C$24,"NOT REACHED in model","construction "&amp;TEXT(D99,"0%")&amp;" reached in Q"&amp;F99)))</f>
        <v/>
      </c>
      <c r="H99" s="126"/>
      <c r="I99" s="126"/>
      <c r="J99" s="126"/>
      <c r="K99" s="126"/>
      <c r="L99" s="126"/>
    </row>
    <row r="100" customFormat="false" ht="15" hidden="false" customHeight="false" outlineLevel="0" collapsed="false">
      <c r="B100" s="121" t="str">
        <f aca="false">IF(INPUTS!$E$90&lt;&gt;"Yes","",IFERROR(CHOOSE(MATCH(INPUTS!$L$90,LISTS!$R$5:$R$10,0),INPUTS!$B$239,INPUTS!$B$273,INPUTS!$B$307,INPUTS!$B$341,INPUTS!$B$375,INPUTS!$B$409),"")&amp;"")</f>
        <v/>
      </c>
      <c r="C100" s="122" t="str">
        <f aca="false">IF(INPUTS!$E$90&lt;&gt;"Yes","",IFERROR(CHOOSE(MATCH(INPUTS!$L$90,LISTS!$R$5:$R$10,0),INPUTS!$C$239,INPUTS!$C$273,INPUTS!$C$307,INPUTS!$C$341,INPUTS!$C$375,INPUTS!$C$409),"")&amp;"")</f>
        <v/>
      </c>
      <c r="D100" s="123" t="n">
        <f aca="false">IF(INPUTS!$E$90&lt;&gt;"Yes",0,N(IFERROR(CHOOSE(MATCH(INPUTS!$L$90,LISTS!$R$5:$R$10,0),INPUTS!$D$239,INPUTS!$D$273,INPUTS!$D$307,INPUTS!$D$341,INPUTS!$D$375,INPUTS!$D$409),"")))</f>
        <v>0</v>
      </c>
      <c r="E100" s="124" t="n">
        <f aca="false">IF(INPUTS!$E$90&lt;&gt;"Yes",0,N(IFERROR(CHOOSE(MATCH(INPUTS!$L$90,LISTS!$R$5:$R$10,0),INPUTS!$E$239,INPUTS!$E$273,INPUTS!$E$307,INPUTS!$E$341,INPUTS!$E$375,INPUTS!$E$409),"")))</f>
        <v>0</v>
      </c>
      <c r="F100" s="125" t="str">
        <f aca="false">IF(AND(C100="Construction % complete",E100&gt;0),MAX(COUNTIF(CURVES!$D$53:$AQ$53,"&lt;"&amp;(D100-0.000000001))+1,INPUTS!$R$90),"")</f>
        <v/>
      </c>
      <c r="G100" s="126" t="str">
        <f aca="false">IF(E100=0,"",IF(C100="Booking + quarters",IF(D100=0,"at booking",D100&amp;" qtr(s) after booking"),IF(F100&gt;INPUTS!$C$24,"NOT REACHED in model","construction "&amp;TEXT(D100,"0%")&amp;" reached in Q"&amp;F100)))</f>
        <v/>
      </c>
      <c r="H100" s="126"/>
      <c r="I100" s="126"/>
      <c r="J100" s="126"/>
      <c r="K100" s="126"/>
      <c r="L100" s="126"/>
    </row>
    <row r="101" customFormat="false" ht="15" hidden="false" customHeight="false" outlineLevel="0" collapsed="false">
      <c r="B101" s="121" t="str">
        <f aca="false">IF(INPUTS!$E$90&lt;&gt;"Yes","",IFERROR(CHOOSE(MATCH(INPUTS!$L$90,LISTS!$R$5:$R$10,0),INPUTS!$B$240,INPUTS!$B$274,INPUTS!$B$308,INPUTS!$B$342,INPUTS!$B$376,INPUTS!$B$410),"")&amp;"")</f>
        <v/>
      </c>
      <c r="C101" s="122" t="str">
        <f aca="false">IF(INPUTS!$E$90&lt;&gt;"Yes","",IFERROR(CHOOSE(MATCH(INPUTS!$L$90,LISTS!$R$5:$R$10,0),INPUTS!$C$240,INPUTS!$C$274,INPUTS!$C$308,INPUTS!$C$342,INPUTS!$C$376,INPUTS!$C$410),"")&amp;"")</f>
        <v/>
      </c>
      <c r="D101" s="123" t="n">
        <f aca="false">IF(INPUTS!$E$90&lt;&gt;"Yes",0,N(IFERROR(CHOOSE(MATCH(INPUTS!$L$90,LISTS!$R$5:$R$10,0),INPUTS!$D$240,INPUTS!$D$274,INPUTS!$D$308,INPUTS!$D$342,INPUTS!$D$376,INPUTS!$D$410),"")))</f>
        <v>0</v>
      </c>
      <c r="E101" s="124" t="n">
        <f aca="false">IF(INPUTS!$E$90&lt;&gt;"Yes",0,N(IFERROR(CHOOSE(MATCH(INPUTS!$L$90,LISTS!$R$5:$R$10,0),INPUTS!$E$240,INPUTS!$E$274,INPUTS!$E$308,INPUTS!$E$342,INPUTS!$E$376,INPUTS!$E$410),"")))</f>
        <v>0</v>
      </c>
      <c r="F101" s="125" t="str">
        <f aca="false">IF(AND(C101="Construction % complete",E101&gt;0),MAX(COUNTIF(CURVES!$D$53:$AQ$53,"&lt;"&amp;(D101-0.000000001))+1,INPUTS!$R$90),"")</f>
        <v/>
      </c>
      <c r="G101" s="126" t="str">
        <f aca="false">IF(E101=0,"",IF(C101="Booking + quarters",IF(D101=0,"at booking",D101&amp;" qtr(s) after booking"),IF(F101&gt;INPUTS!$C$24,"NOT REACHED in model","construction "&amp;TEXT(D101,"0%")&amp;" reached in Q"&amp;F101)))</f>
        <v/>
      </c>
      <c r="H101" s="126"/>
      <c r="I101" s="126"/>
      <c r="J101" s="126"/>
      <c r="K101" s="126"/>
      <c r="L101" s="126"/>
    </row>
    <row r="102" customFormat="false" ht="15" hidden="false" customHeight="false" outlineLevel="0" collapsed="false">
      <c r="B102" s="121" t="str">
        <f aca="false">IF(INPUTS!$E$90&lt;&gt;"Yes","",IFERROR(CHOOSE(MATCH(INPUTS!$L$90,LISTS!$R$5:$R$10,0),INPUTS!$B$241,INPUTS!$B$275,INPUTS!$B$309,INPUTS!$B$343,INPUTS!$B$377,INPUTS!$B$411),"")&amp;"")</f>
        <v/>
      </c>
      <c r="C102" s="122" t="str">
        <f aca="false">IF(INPUTS!$E$90&lt;&gt;"Yes","",IFERROR(CHOOSE(MATCH(INPUTS!$L$90,LISTS!$R$5:$R$10,0),INPUTS!$C$241,INPUTS!$C$275,INPUTS!$C$309,INPUTS!$C$343,INPUTS!$C$377,INPUTS!$C$411),"")&amp;"")</f>
        <v/>
      </c>
      <c r="D102" s="123" t="n">
        <f aca="false">IF(INPUTS!$E$90&lt;&gt;"Yes",0,N(IFERROR(CHOOSE(MATCH(INPUTS!$L$90,LISTS!$R$5:$R$10,0),INPUTS!$D$241,INPUTS!$D$275,INPUTS!$D$309,INPUTS!$D$343,INPUTS!$D$377,INPUTS!$D$411),"")))</f>
        <v>0</v>
      </c>
      <c r="E102" s="124" t="n">
        <f aca="false">IF(INPUTS!$E$90&lt;&gt;"Yes",0,N(IFERROR(CHOOSE(MATCH(INPUTS!$L$90,LISTS!$R$5:$R$10,0),INPUTS!$E$241,INPUTS!$E$275,INPUTS!$E$309,INPUTS!$E$343,INPUTS!$E$377,INPUTS!$E$411),"")))</f>
        <v>0</v>
      </c>
      <c r="F102" s="125" t="str">
        <f aca="false">IF(AND(C102="Construction % complete",E102&gt;0),MAX(COUNTIF(CURVES!$D$53:$AQ$53,"&lt;"&amp;(D102-0.000000001))+1,INPUTS!$R$90),"")</f>
        <v/>
      </c>
      <c r="G102" s="126" t="str">
        <f aca="false">IF(E102=0,"",IF(C102="Booking + quarters",IF(D102=0,"at booking",D102&amp;" qtr(s) after booking"),IF(F102&gt;INPUTS!$C$24,"NOT REACHED in model","construction "&amp;TEXT(D102,"0%")&amp;" reached in Q"&amp;F102)))</f>
        <v/>
      </c>
      <c r="H102" s="126"/>
      <c r="I102" s="126"/>
      <c r="J102" s="126"/>
      <c r="K102" s="126"/>
      <c r="L102" s="126"/>
    </row>
    <row r="103" customFormat="false" ht="15" hidden="false" customHeight="false" outlineLevel="0" collapsed="false">
      <c r="B103" s="121" t="str">
        <f aca="false">IF(INPUTS!$E$90&lt;&gt;"Yes","",IFERROR(CHOOSE(MATCH(INPUTS!$L$90,LISTS!$R$5:$R$10,0),INPUTS!$B$242,INPUTS!$B$276,INPUTS!$B$310,INPUTS!$B$344,INPUTS!$B$378,INPUTS!$B$412),"")&amp;"")</f>
        <v/>
      </c>
      <c r="C103" s="122" t="str">
        <f aca="false">IF(INPUTS!$E$90&lt;&gt;"Yes","",IFERROR(CHOOSE(MATCH(INPUTS!$L$90,LISTS!$R$5:$R$10,0),INPUTS!$C$242,INPUTS!$C$276,INPUTS!$C$310,INPUTS!$C$344,INPUTS!$C$378,INPUTS!$C$412),"")&amp;"")</f>
        <v/>
      </c>
      <c r="D103" s="123" t="n">
        <f aca="false">IF(INPUTS!$E$90&lt;&gt;"Yes",0,N(IFERROR(CHOOSE(MATCH(INPUTS!$L$90,LISTS!$R$5:$R$10,0),INPUTS!$D$242,INPUTS!$D$276,INPUTS!$D$310,INPUTS!$D$344,INPUTS!$D$378,INPUTS!$D$412),"")))</f>
        <v>0</v>
      </c>
      <c r="E103" s="124" t="n">
        <f aca="false">IF(INPUTS!$E$90&lt;&gt;"Yes",0,N(IFERROR(CHOOSE(MATCH(INPUTS!$L$90,LISTS!$R$5:$R$10,0),INPUTS!$E$242,INPUTS!$E$276,INPUTS!$E$310,INPUTS!$E$344,INPUTS!$E$378,INPUTS!$E$412),"")))</f>
        <v>0</v>
      </c>
      <c r="F103" s="125" t="str">
        <f aca="false">IF(AND(C103="Construction % complete",E103&gt;0),MAX(COUNTIF(CURVES!$D$53:$AQ$53,"&lt;"&amp;(D103-0.000000001))+1,INPUTS!$R$90),"")</f>
        <v/>
      </c>
      <c r="G103" s="126" t="str">
        <f aca="false">IF(E103=0,"",IF(C103="Booking + quarters",IF(D103=0,"at booking",D103&amp;" qtr(s) after booking"),IF(F103&gt;INPUTS!$C$24,"NOT REACHED in model","construction "&amp;TEXT(D103,"0%")&amp;" reached in Q"&amp;F103)))</f>
        <v/>
      </c>
      <c r="H103" s="126"/>
      <c r="I103" s="126"/>
      <c r="J103" s="126"/>
      <c r="K103" s="126"/>
      <c r="L103" s="126"/>
    </row>
    <row r="104" customFormat="false" ht="15" hidden="false" customHeight="false" outlineLevel="0" collapsed="false">
      <c r="B104" s="121" t="str">
        <f aca="false">IF(INPUTS!$E$90&lt;&gt;"Yes","",IFERROR(CHOOSE(MATCH(INPUTS!$L$90,LISTS!$R$5:$R$10,0),INPUTS!$B$243,INPUTS!$B$277,INPUTS!$B$311,INPUTS!$B$345,INPUTS!$B$379,INPUTS!$B$413),"")&amp;"")</f>
        <v/>
      </c>
      <c r="C104" s="122" t="str">
        <f aca="false">IF(INPUTS!$E$90&lt;&gt;"Yes","",IFERROR(CHOOSE(MATCH(INPUTS!$L$90,LISTS!$R$5:$R$10,0),INPUTS!$C$243,INPUTS!$C$277,INPUTS!$C$311,INPUTS!$C$345,INPUTS!$C$379,INPUTS!$C$413),"")&amp;"")</f>
        <v/>
      </c>
      <c r="D104" s="123" t="n">
        <f aca="false">IF(INPUTS!$E$90&lt;&gt;"Yes",0,N(IFERROR(CHOOSE(MATCH(INPUTS!$L$90,LISTS!$R$5:$R$10,0),INPUTS!$D$243,INPUTS!$D$277,INPUTS!$D$311,INPUTS!$D$345,INPUTS!$D$379,INPUTS!$D$413),"")))</f>
        <v>0</v>
      </c>
      <c r="E104" s="124" t="n">
        <f aca="false">IF(INPUTS!$E$90&lt;&gt;"Yes",0,N(IFERROR(CHOOSE(MATCH(INPUTS!$L$90,LISTS!$R$5:$R$10,0),INPUTS!$E$243,INPUTS!$E$277,INPUTS!$E$311,INPUTS!$E$345,INPUTS!$E$379,INPUTS!$E$413),"")))</f>
        <v>0</v>
      </c>
      <c r="F104" s="125" t="str">
        <f aca="false">IF(AND(C104="Construction % complete",E104&gt;0),MAX(COUNTIF(CURVES!$D$53:$AQ$53,"&lt;"&amp;(D104-0.000000001))+1,INPUTS!$R$90),"")</f>
        <v/>
      </c>
      <c r="G104" s="126" t="str">
        <f aca="false">IF(E104=0,"",IF(C104="Booking + quarters",IF(D104=0,"at booking",D104&amp;" qtr(s) after booking"),IF(F104&gt;INPUTS!$C$24,"NOT REACHED in model","construction "&amp;TEXT(D104,"0%")&amp;" reached in Q"&amp;F104)))</f>
        <v/>
      </c>
      <c r="H104" s="126"/>
      <c r="I104" s="126"/>
      <c r="J104" s="126"/>
      <c r="K104" s="126"/>
      <c r="L104" s="126"/>
    </row>
    <row r="105" customFormat="false" ht="15" hidden="false" customHeight="false" outlineLevel="0" collapsed="false">
      <c r="B105" s="121" t="str">
        <f aca="false">IF(INPUTS!$E$90&lt;&gt;"Yes","",IFERROR(CHOOSE(MATCH(INPUTS!$L$90,LISTS!$R$5:$R$10,0),INPUTS!$B$244,INPUTS!$B$278,INPUTS!$B$312,INPUTS!$B$346,INPUTS!$B$380,INPUTS!$B$414),"")&amp;"")</f>
        <v/>
      </c>
      <c r="C105" s="122" t="str">
        <f aca="false">IF(INPUTS!$E$90&lt;&gt;"Yes","",IFERROR(CHOOSE(MATCH(INPUTS!$L$90,LISTS!$R$5:$R$10,0),INPUTS!$C$244,INPUTS!$C$278,INPUTS!$C$312,INPUTS!$C$346,INPUTS!$C$380,INPUTS!$C$414),"")&amp;"")</f>
        <v/>
      </c>
      <c r="D105" s="123" t="n">
        <f aca="false">IF(INPUTS!$E$90&lt;&gt;"Yes",0,N(IFERROR(CHOOSE(MATCH(INPUTS!$L$90,LISTS!$R$5:$R$10,0),INPUTS!$D$244,INPUTS!$D$278,INPUTS!$D$312,INPUTS!$D$346,INPUTS!$D$380,INPUTS!$D$414),"")))</f>
        <v>0</v>
      </c>
      <c r="E105" s="124" t="n">
        <f aca="false">IF(INPUTS!$E$90&lt;&gt;"Yes",0,N(IFERROR(CHOOSE(MATCH(INPUTS!$L$90,LISTS!$R$5:$R$10,0),INPUTS!$E$244,INPUTS!$E$278,INPUTS!$E$312,INPUTS!$E$346,INPUTS!$E$380,INPUTS!$E$414),"")))</f>
        <v>0</v>
      </c>
      <c r="F105" s="125" t="str">
        <f aca="false">IF(AND(C105="Construction % complete",E105&gt;0),MAX(COUNTIF(CURVES!$D$53:$AQ$53,"&lt;"&amp;(D105-0.000000001))+1,INPUTS!$R$90),"")</f>
        <v/>
      </c>
      <c r="G105" s="126" t="str">
        <f aca="false">IF(E105=0,"",IF(C105="Booking + quarters",IF(D105=0,"at booking",D105&amp;" qtr(s) after booking"),IF(F105&gt;INPUTS!$C$24,"NOT REACHED in model","construction "&amp;TEXT(D105,"0%")&amp;" reached in Q"&amp;F105)))</f>
        <v/>
      </c>
      <c r="H105" s="126"/>
      <c r="I105" s="126"/>
      <c r="J105" s="126"/>
      <c r="K105" s="126"/>
      <c r="L105" s="126"/>
    </row>
    <row r="106" customFormat="false" ht="15" hidden="false" customHeight="false" outlineLevel="0" collapsed="false">
      <c r="B106" s="121" t="str">
        <f aca="false">IF(INPUTS!$E$90&lt;&gt;"Yes","",IFERROR(CHOOSE(MATCH(INPUTS!$L$90,LISTS!$R$5:$R$10,0),INPUTS!$B$245,INPUTS!$B$279,INPUTS!$B$313,INPUTS!$B$347,INPUTS!$B$381,INPUTS!$B$415),"")&amp;"")</f>
        <v/>
      </c>
      <c r="C106" s="122" t="str">
        <f aca="false">IF(INPUTS!$E$90&lt;&gt;"Yes","",IFERROR(CHOOSE(MATCH(INPUTS!$L$90,LISTS!$R$5:$R$10,0),INPUTS!$C$245,INPUTS!$C$279,INPUTS!$C$313,INPUTS!$C$347,INPUTS!$C$381,INPUTS!$C$415),"")&amp;"")</f>
        <v/>
      </c>
      <c r="D106" s="123" t="n">
        <f aca="false">IF(INPUTS!$E$90&lt;&gt;"Yes",0,N(IFERROR(CHOOSE(MATCH(INPUTS!$L$90,LISTS!$R$5:$R$10,0),INPUTS!$D$245,INPUTS!$D$279,INPUTS!$D$313,INPUTS!$D$347,INPUTS!$D$381,INPUTS!$D$415),"")))</f>
        <v>0</v>
      </c>
      <c r="E106" s="124" t="n">
        <f aca="false">IF(INPUTS!$E$90&lt;&gt;"Yes",0,N(IFERROR(CHOOSE(MATCH(INPUTS!$L$90,LISTS!$R$5:$R$10,0),INPUTS!$E$245,INPUTS!$E$279,INPUTS!$E$313,INPUTS!$E$347,INPUTS!$E$381,INPUTS!$E$415),"")))</f>
        <v>0</v>
      </c>
      <c r="F106" s="125" t="str">
        <f aca="false">IF(AND(C106="Construction % complete",E106&gt;0),MAX(COUNTIF(CURVES!$D$53:$AQ$53,"&lt;"&amp;(D106-0.000000001))+1,INPUTS!$R$90),"")</f>
        <v/>
      </c>
      <c r="G106" s="126" t="str">
        <f aca="false">IF(E106=0,"",IF(C106="Booking + quarters",IF(D106=0,"at booking",D106&amp;" qtr(s) after booking"),IF(F106&gt;INPUTS!$C$24,"NOT REACHED in model","construction "&amp;TEXT(D106,"0%")&amp;" reached in Q"&amp;F106)))</f>
        <v/>
      </c>
      <c r="H106" s="126"/>
      <c r="I106" s="126"/>
      <c r="J106" s="126"/>
      <c r="K106" s="126"/>
      <c r="L106" s="126"/>
    </row>
    <row r="107" customFormat="false" ht="15" hidden="false" customHeight="false" outlineLevel="0" collapsed="false">
      <c r="B107" s="121" t="str">
        <f aca="false">IF(INPUTS!$E$90&lt;&gt;"Yes","",IFERROR(CHOOSE(MATCH(INPUTS!$L$90,LISTS!$R$5:$R$10,0),INPUTS!$B$246,INPUTS!$B$280,INPUTS!$B$314,INPUTS!$B$348,INPUTS!$B$382,INPUTS!$B$416),"")&amp;"")</f>
        <v/>
      </c>
      <c r="C107" s="122" t="str">
        <f aca="false">IF(INPUTS!$E$90&lt;&gt;"Yes","",IFERROR(CHOOSE(MATCH(INPUTS!$L$90,LISTS!$R$5:$R$10,0),INPUTS!$C$246,INPUTS!$C$280,INPUTS!$C$314,INPUTS!$C$348,INPUTS!$C$382,INPUTS!$C$416),"")&amp;"")</f>
        <v/>
      </c>
      <c r="D107" s="123" t="n">
        <f aca="false">IF(INPUTS!$E$90&lt;&gt;"Yes",0,N(IFERROR(CHOOSE(MATCH(INPUTS!$L$90,LISTS!$R$5:$R$10,0),INPUTS!$D$246,INPUTS!$D$280,INPUTS!$D$314,INPUTS!$D$348,INPUTS!$D$382,INPUTS!$D$416),"")))</f>
        <v>0</v>
      </c>
      <c r="E107" s="124" t="n">
        <f aca="false">IF(INPUTS!$E$90&lt;&gt;"Yes",0,N(IFERROR(CHOOSE(MATCH(INPUTS!$L$90,LISTS!$R$5:$R$10,0),INPUTS!$E$246,INPUTS!$E$280,INPUTS!$E$314,INPUTS!$E$348,INPUTS!$E$382,INPUTS!$E$416),"")))</f>
        <v>0</v>
      </c>
      <c r="F107" s="125" t="str">
        <f aca="false">IF(AND(C107="Construction % complete",E107&gt;0),MAX(COUNTIF(CURVES!$D$53:$AQ$53,"&lt;"&amp;(D107-0.000000001))+1,INPUTS!$R$90),"")</f>
        <v/>
      </c>
      <c r="G107" s="126" t="str">
        <f aca="false">IF(E107=0,"",IF(C107="Booking + quarters",IF(D107=0,"at booking",D107&amp;" qtr(s) after booking"),IF(F107&gt;INPUTS!$C$24,"NOT REACHED in model","construction "&amp;TEXT(D107,"0%")&amp;" reached in Q"&amp;F107)))</f>
        <v/>
      </c>
      <c r="H107" s="126"/>
      <c r="I107" s="126"/>
      <c r="J107" s="126"/>
      <c r="K107" s="126"/>
      <c r="L107" s="126"/>
    </row>
    <row r="108" customFormat="false" ht="15" hidden="false" customHeight="false" outlineLevel="0" collapsed="false">
      <c r="B108" s="121" t="str">
        <f aca="false">IF(INPUTS!$E$90&lt;&gt;"Yes","",IFERROR(CHOOSE(MATCH(INPUTS!$L$90,LISTS!$R$5:$R$10,0),INPUTS!$B$247,INPUTS!$B$281,INPUTS!$B$315,INPUTS!$B$349,INPUTS!$B$383,INPUTS!$B$417),"")&amp;"")</f>
        <v/>
      </c>
      <c r="C108" s="122" t="str">
        <f aca="false">IF(INPUTS!$E$90&lt;&gt;"Yes","",IFERROR(CHOOSE(MATCH(INPUTS!$L$90,LISTS!$R$5:$R$10,0),INPUTS!$C$247,INPUTS!$C$281,INPUTS!$C$315,INPUTS!$C$349,INPUTS!$C$383,INPUTS!$C$417),"")&amp;"")</f>
        <v/>
      </c>
      <c r="D108" s="123" t="n">
        <f aca="false">IF(INPUTS!$E$90&lt;&gt;"Yes",0,N(IFERROR(CHOOSE(MATCH(INPUTS!$L$90,LISTS!$R$5:$R$10,0),INPUTS!$D$247,INPUTS!$D$281,INPUTS!$D$315,INPUTS!$D$349,INPUTS!$D$383,INPUTS!$D$417),"")))</f>
        <v>0</v>
      </c>
      <c r="E108" s="124" t="n">
        <f aca="false">IF(INPUTS!$E$90&lt;&gt;"Yes",0,N(IFERROR(CHOOSE(MATCH(INPUTS!$L$90,LISTS!$R$5:$R$10,0),INPUTS!$E$247,INPUTS!$E$281,INPUTS!$E$315,INPUTS!$E$349,INPUTS!$E$383,INPUTS!$E$417),"")))</f>
        <v>0</v>
      </c>
      <c r="F108" s="125" t="str">
        <f aca="false">IF(AND(C108="Construction % complete",E108&gt;0),MAX(COUNTIF(CURVES!$D$53:$AQ$53,"&lt;"&amp;(D108-0.000000001))+1,INPUTS!$R$90),"")</f>
        <v/>
      </c>
      <c r="G108" s="126" t="str">
        <f aca="false">IF(E108=0,"",IF(C108="Booking + quarters",IF(D108=0,"at booking",D108&amp;" qtr(s) after booking"),IF(F108&gt;INPUTS!$C$24,"NOT REACHED in model","construction "&amp;TEXT(D108,"0%")&amp;" reached in Q"&amp;F108)))</f>
        <v/>
      </c>
      <c r="H108" s="126"/>
      <c r="I108" s="126"/>
      <c r="J108" s="126"/>
      <c r="K108" s="126"/>
      <c r="L108" s="126"/>
    </row>
    <row r="109" customFormat="false" ht="15" hidden="false" customHeight="false" outlineLevel="0" collapsed="false">
      <c r="B109" s="121" t="str">
        <f aca="false">IF(INPUTS!$E$90&lt;&gt;"Yes","",IFERROR(CHOOSE(MATCH(INPUTS!$L$90,LISTS!$R$5:$R$10,0),INPUTS!$B$248,INPUTS!$B$282,INPUTS!$B$316,INPUTS!$B$350,INPUTS!$B$384,INPUTS!$B$418),"")&amp;"")</f>
        <v/>
      </c>
      <c r="C109" s="122" t="str">
        <f aca="false">IF(INPUTS!$E$90&lt;&gt;"Yes","",IFERROR(CHOOSE(MATCH(INPUTS!$L$90,LISTS!$R$5:$R$10,0),INPUTS!$C$248,INPUTS!$C$282,INPUTS!$C$316,INPUTS!$C$350,INPUTS!$C$384,INPUTS!$C$418),"")&amp;"")</f>
        <v/>
      </c>
      <c r="D109" s="123" t="n">
        <f aca="false">IF(INPUTS!$E$90&lt;&gt;"Yes",0,N(IFERROR(CHOOSE(MATCH(INPUTS!$L$90,LISTS!$R$5:$R$10,0),INPUTS!$D$248,INPUTS!$D$282,INPUTS!$D$316,INPUTS!$D$350,INPUTS!$D$384,INPUTS!$D$418),"")))</f>
        <v>0</v>
      </c>
      <c r="E109" s="124" t="n">
        <f aca="false">IF(INPUTS!$E$90&lt;&gt;"Yes",0,N(IFERROR(CHOOSE(MATCH(INPUTS!$L$90,LISTS!$R$5:$R$10,0),INPUTS!$E$248,INPUTS!$E$282,INPUTS!$E$316,INPUTS!$E$350,INPUTS!$E$384,INPUTS!$E$418),"")))</f>
        <v>0</v>
      </c>
      <c r="F109" s="125" t="str">
        <f aca="false">IF(AND(C109="Construction % complete",E109&gt;0),MAX(COUNTIF(CURVES!$D$53:$AQ$53,"&lt;"&amp;(D109-0.000000001))+1,INPUTS!$R$90),"")</f>
        <v/>
      </c>
      <c r="G109" s="126" t="str">
        <f aca="false">IF(E109=0,"",IF(C109="Booking + quarters",IF(D109=0,"at booking",D109&amp;" qtr(s) after booking"),IF(F109&gt;INPUTS!$C$24,"NOT REACHED in model","construction "&amp;TEXT(D109,"0%")&amp;" reached in Q"&amp;F109)))</f>
        <v/>
      </c>
      <c r="H109" s="126"/>
      <c r="I109" s="126"/>
      <c r="J109" s="126"/>
      <c r="K109" s="126"/>
      <c r="L109" s="126"/>
    </row>
    <row r="110" customFormat="false" ht="15" hidden="false" customHeight="false" outlineLevel="0" collapsed="false">
      <c r="B110" s="127" t="s">
        <v>708</v>
      </c>
      <c r="D110" s="128" t="n">
        <f aca="false">SUMIFS($E$80:$E$109,$C$80:$C$109,"Booking + quarters",$D$80:$D$109,0)</f>
        <v>0.1</v>
      </c>
      <c r="E110" s="128" t="n">
        <f aca="false">SUMIFS($E$80:$E$109,$C$80:$C$109,"Booking + quarters",$D$80:$D$109,1)</f>
        <v>0.1</v>
      </c>
      <c r="F110" s="128" t="n">
        <f aca="false">SUMIFS($E$80:$E$109,$C$80:$C$109,"Booking + quarters",$D$80:$D$109,2)</f>
        <v>0</v>
      </c>
      <c r="G110" s="128" t="n">
        <f aca="false">SUMIFS($E$80:$E$109,$C$80:$C$109,"Booking + quarters",$D$80:$D$109,3)</f>
        <v>0</v>
      </c>
      <c r="H110" s="128" t="n">
        <f aca="false">SUMIFS($E$80:$E$109,$C$80:$C$109,"Booking + quarters",$D$80:$D$109,4)</f>
        <v>0</v>
      </c>
      <c r="I110" s="128" t="n">
        <f aca="false">SUMIFS($E$80:$E$109,$C$80:$C$109,"Booking + quarters",$D$80:$D$109,5)</f>
        <v>0</v>
      </c>
      <c r="J110" s="128" t="n">
        <f aca="false">SUMIFS($E$80:$E$109,$C$80:$C$109,"Booking + quarters",$D$80:$D$109,6)</f>
        <v>0</v>
      </c>
      <c r="K110" s="128" t="n">
        <f aca="false">SUMIFS($E$80:$E$109,$C$80:$C$109,"Booking + quarters",$D$80:$D$109,7)</f>
        <v>0</v>
      </c>
      <c r="L110" s="128" t="n">
        <f aca="false">SUMIFS($E$80:$E$109,$C$80:$C$109,"Booking + quarters",$D$80:$D$109,8)</f>
        <v>0</v>
      </c>
      <c r="M110" s="128" t="n">
        <f aca="false">SUMIFS($E$80:$E$109,$C$80:$C$109,"Booking + quarters",$D$80:$D$109,9)</f>
        <v>0</v>
      </c>
      <c r="N110" s="128" t="n">
        <f aca="false">SUMIFS($E$80:$E$109,$C$80:$C$109,"Booking + quarters",$D$80:$D$109,10)</f>
        <v>0</v>
      </c>
      <c r="O110" s="128" t="n">
        <f aca="false">SUMIFS($E$80:$E$109,$C$80:$C$109,"Booking + quarters",$D$80:$D$109,11)</f>
        <v>0</v>
      </c>
      <c r="P110" s="128" t="n">
        <f aca="false">SUMIFS($E$80:$E$109,$C$80:$C$109,"Booking + quarters",$D$80:$D$109,12)</f>
        <v>0</v>
      </c>
    </row>
    <row r="111" customFormat="false" ht="15" hidden="false" customHeight="false" outlineLevel="0" collapsed="false">
      <c r="B111" s="127" t="s">
        <v>709</v>
      </c>
      <c r="C111" s="105" t="str">
        <f aca="false">IF(INPUTS!$E$90&lt;&gt;"Yes","Off",IF(ABS(SUM($E$80:$E$109)-1)&lt;0.000001,"OK","ERROR"))</f>
        <v>OK</v>
      </c>
    </row>
    <row r="112" customFormat="false" ht="15" hidden="false" customHeight="false" outlineLevel="0" collapsed="false">
      <c r="B112" s="110" t="str">
        <f aca="false">IF(INPUTS!$E$91="Yes",INPUTS!$B$91&amp;"   →   "&amp;INPUTS!$L$91,"Product row 4 (off)")</f>
        <v>High-street retail   →   Down Payment Plan</v>
      </c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</row>
    <row r="113" customFormat="false" ht="15" hidden="false" customHeight="false" outlineLevel="0" collapsed="false">
      <c r="B113" s="121" t="str">
        <f aca="false">IF(INPUTS!$E$91&lt;&gt;"Yes","",IFERROR(CHOOSE(MATCH(INPUTS!$L$91,LISTS!$R$5:$R$10,0),INPUTS!$B$219,INPUTS!$B$253,INPUTS!$B$287,INPUTS!$B$321,INPUTS!$B$355,INPUTS!$B$389),"")&amp;"")</f>
        <v>Booking amount</v>
      </c>
      <c r="C113" s="122" t="str">
        <f aca="false">IF(INPUTS!$E$91&lt;&gt;"Yes","",IFERROR(CHOOSE(MATCH(INPUTS!$L$91,LISTS!$R$5:$R$10,0),INPUTS!$C$219,INPUTS!$C$253,INPUTS!$C$287,INPUTS!$C$321,INPUTS!$C$355,INPUTS!$C$389),"")&amp;"")</f>
        <v>Booking + quarters</v>
      </c>
      <c r="D113" s="123" t="n">
        <f aca="false">IF(INPUTS!$E$91&lt;&gt;"Yes",0,N(IFERROR(CHOOSE(MATCH(INPUTS!$L$91,LISTS!$R$5:$R$10,0),INPUTS!$D$219,INPUTS!$D$253,INPUTS!$D$287,INPUTS!$D$321,INPUTS!$D$355,INPUTS!$D$389),"")))</f>
        <v>0</v>
      </c>
      <c r="E113" s="124" t="n">
        <f aca="false">IF(INPUTS!$E$91&lt;&gt;"Yes",0,N(IFERROR(CHOOSE(MATCH(INPUTS!$L$91,LISTS!$R$5:$R$10,0),INPUTS!$E$219,INPUTS!$E$253,INPUTS!$E$287,INPUTS!$E$321,INPUTS!$E$355,INPUTS!$E$389),"")))</f>
        <v>0.1</v>
      </c>
      <c r="F113" s="125" t="str">
        <f aca="false">IF(AND(C113="Construction % complete",E113&gt;0),MAX(COUNTIF(CURVES!$D$59:$AQ$59,"&lt;"&amp;(D113-0.000000001))+1,INPUTS!$R$91),"")</f>
        <v/>
      </c>
      <c r="G113" s="126" t="str">
        <f aca="false">IF(E113=0,"",IF(C113="Booking + quarters",IF(D113=0,"at booking",D113&amp;" qtr(s) after booking"),IF(F113&gt;INPUTS!$C$24,"NOT REACHED in model","construction "&amp;TEXT(D113,"0%")&amp;" reached in Q"&amp;F113)))</f>
        <v>at booking</v>
      </c>
      <c r="H113" s="126"/>
      <c r="I113" s="126"/>
      <c r="J113" s="126"/>
      <c r="K113" s="126"/>
      <c r="L113" s="126"/>
    </row>
    <row r="114" customFormat="false" ht="15" hidden="false" customHeight="false" outlineLevel="0" collapsed="false">
      <c r="B114" s="121" t="str">
        <f aca="false">IF(INPUTS!$E$91&lt;&gt;"Yes","",IFERROR(CHOOSE(MATCH(INPUTS!$L$91,LISTS!$R$5:$R$10,0),INPUTS!$B$220,INPUTS!$B$254,INPUTS!$B$288,INPUTS!$B$322,INPUTS!$B$356,INPUTS!$B$390),"")&amp;"")</f>
        <v>Down payment</v>
      </c>
      <c r="C114" s="122" t="str">
        <f aca="false">IF(INPUTS!$E$91&lt;&gt;"Yes","",IFERROR(CHOOSE(MATCH(INPUTS!$L$91,LISTS!$R$5:$R$10,0),INPUTS!$C$220,INPUTS!$C$254,INPUTS!$C$288,INPUTS!$C$322,INPUTS!$C$356,INPUTS!$C$390),"")&amp;"")</f>
        <v>Booking + quarters</v>
      </c>
      <c r="D114" s="123" t="n">
        <f aca="false">IF(INPUTS!$E$91&lt;&gt;"Yes",0,N(IFERROR(CHOOSE(MATCH(INPUTS!$L$91,LISTS!$R$5:$R$10,0),INPUTS!$D$220,INPUTS!$D$254,INPUTS!$D$288,INPUTS!$D$322,INPUTS!$D$356,INPUTS!$D$390),"")))</f>
        <v>1</v>
      </c>
      <c r="E114" s="124" t="n">
        <f aca="false">IF(INPUTS!$E$91&lt;&gt;"Yes",0,N(IFERROR(CHOOSE(MATCH(INPUTS!$L$91,LISTS!$R$5:$R$10,0),INPUTS!$E$220,INPUTS!$E$254,INPUTS!$E$288,INPUTS!$E$322,INPUTS!$E$356,INPUTS!$E$390),"")))</f>
        <v>0.8</v>
      </c>
      <c r="F114" s="125" t="str">
        <f aca="false">IF(AND(C114="Construction % complete",E114&gt;0),MAX(COUNTIF(CURVES!$D$59:$AQ$59,"&lt;"&amp;(D114-0.000000001))+1,INPUTS!$R$91),"")</f>
        <v/>
      </c>
      <c r="G114" s="126" t="str">
        <f aca="false">IF(E114=0,"",IF(C114="Booking + quarters",IF(D114=0,"at booking",D114&amp;" qtr(s) after booking"),IF(F114&gt;INPUTS!$C$24,"NOT REACHED in model","construction "&amp;TEXT(D114,"0%")&amp;" reached in Q"&amp;F114)))</f>
        <v>1 qtr(s) after booking</v>
      </c>
      <c r="H114" s="126"/>
      <c r="I114" s="126"/>
      <c r="J114" s="126"/>
      <c r="K114" s="126"/>
      <c r="L114" s="126"/>
    </row>
    <row r="115" customFormat="false" ht="15" hidden="false" customHeight="false" outlineLevel="0" collapsed="false">
      <c r="B115" s="121" t="str">
        <f aca="false">IF(INPUTS!$E$91&lt;&gt;"Yes","",IFERROR(CHOOSE(MATCH(INPUTS!$L$91,LISTS!$R$5:$R$10,0),INPUTS!$B$221,INPUTS!$B$255,INPUTS!$B$289,INPUTS!$B$323,INPUTS!$B$357,INPUTS!$B$391),"")&amp;"")</f>
        <v>Possession</v>
      </c>
      <c r="C115" s="122" t="str">
        <f aca="false">IF(INPUTS!$E$91&lt;&gt;"Yes","",IFERROR(CHOOSE(MATCH(INPUTS!$L$91,LISTS!$R$5:$R$10,0),INPUTS!$C$221,INPUTS!$C$255,INPUTS!$C$289,INPUTS!$C$323,INPUTS!$C$357,INPUTS!$C$391),"")&amp;"")</f>
        <v>Construction % complete</v>
      </c>
      <c r="D115" s="123" t="n">
        <f aca="false">IF(INPUTS!$E$91&lt;&gt;"Yes",0,N(IFERROR(CHOOSE(MATCH(INPUTS!$L$91,LISTS!$R$5:$R$10,0),INPUTS!$D$221,INPUTS!$D$255,INPUTS!$D$289,INPUTS!$D$323,INPUTS!$D$357,INPUTS!$D$391),"")))</f>
        <v>1</v>
      </c>
      <c r="E115" s="124" t="n">
        <f aca="false">IF(INPUTS!$E$91&lt;&gt;"Yes",0,N(IFERROR(CHOOSE(MATCH(INPUTS!$L$91,LISTS!$R$5:$R$10,0),INPUTS!$E$221,INPUTS!$E$255,INPUTS!$E$289,INPUTS!$E$323,INPUTS!$E$357,INPUTS!$E$391),"")))</f>
        <v>0.1</v>
      </c>
      <c r="F115" s="125" t="n">
        <f aca="false">IF(AND(C115="Construction % complete",E115&gt;0),MAX(COUNTIF(CURVES!$D$59:$AQ$59,"&lt;"&amp;(D115-0.000000001))+1,INPUTS!$R$91),"")</f>
        <v>17</v>
      </c>
      <c r="G115" s="126" t="str">
        <f aca="false">IF(E115=0,"",IF(C115="Booking + quarters",IF(D115=0,"at booking",D115&amp;" qtr(s) after booking"),IF(F115&gt;INPUTS!$C$24,"NOT REACHED in model","construction "&amp;TEXT(D115,"0%")&amp;" reached in Q"&amp;F115)))</f>
        <v>construction 100% reached in Q17</v>
      </c>
      <c r="H115" s="126"/>
      <c r="I115" s="126"/>
      <c r="J115" s="126"/>
      <c r="K115" s="126"/>
      <c r="L115" s="126"/>
    </row>
    <row r="116" customFormat="false" ht="15" hidden="false" customHeight="false" outlineLevel="0" collapsed="false">
      <c r="B116" s="121" t="str">
        <f aca="false">IF(INPUTS!$E$91&lt;&gt;"Yes","",IFERROR(CHOOSE(MATCH(INPUTS!$L$91,LISTS!$R$5:$R$10,0),INPUTS!$B$222,INPUTS!$B$256,INPUTS!$B$290,INPUTS!$B$324,INPUTS!$B$358,INPUTS!$B$392),"")&amp;"")</f>
        <v/>
      </c>
      <c r="C116" s="122" t="str">
        <f aca="false">IF(INPUTS!$E$91&lt;&gt;"Yes","",IFERROR(CHOOSE(MATCH(INPUTS!$L$91,LISTS!$R$5:$R$10,0),INPUTS!$C$222,INPUTS!$C$256,INPUTS!$C$290,INPUTS!$C$324,INPUTS!$C$358,INPUTS!$C$392),"")&amp;"")</f>
        <v/>
      </c>
      <c r="D116" s="123" t="n">
        <f aca="false">IF(INPUTS!$E$91&lt;&gt;"Yes",0,N(IFERROR(CHOOSE(MATCH(INPUTS!$L$91,LISTS!$R$5:$R$10,0),INPUTS!$D$222,INPUTS!$D$256,INPUTS!$D$290,INPUTS!$D$324,INPUTS!$D$358,INPUTS!$D$392),"")))</f>
        <v>0</v>
      </c>
      <c r="E116" s="124" t="n">
        <f aca="false">IF(INPUTS!$E$91&lt;&gt;"Yes",0,N(IFERROR(CHOOSE(MATCH(INPUTS!$L$91,LISTS!$R$5:$R$10,0),INPUTS!$E$222,INPUTS!$E$256,INPUTS!$E$290,INPUTS!$E$324,INPUTS!$E$358,INPUTS!$E$392),"")))</f>
        <v>0</v>
      </c>
      <c r="F116" s="125" t="str">
        <f aca="false">IF(AND(C116="Construction % complete",E116&gt;0),MAX(COUNTIF(CURVES!$D$59:$AQ$59,"&lt;"&amp;(D116-0.000000001))+1,INPUTS!$R$91),"")</f>
        <v/>
      </c>
      <c r="G116" s="126" t="str">
        <f aca="false">IF(E116=0,"",IF(C116="Booking + quarters",IF(D116=0,"at booking",D116&amp;" qtr(s) after booking"),IF(F116&gt;INPUTS!$C$24,"NOT REACHED in model","construction "&amp;TEXT(D116,"0%")&amp;" reached in Q"&amp;F116)))</f>
        <v/>
      </c>
      <c r="H116" s="126"/>
      <c r="I116" s="126"/>
      <c r="J116" s="126"/>
      <c r="K116" s="126"/>
      <c r="L116" s="126"/>
    </row>
    <row r="117" customFormat="false" ht="15" hidden="false" customHeight="false" outlineLevel="0" collapsed="false">
      <c r="B117" s="121" t="str">
        <f aca="false">IF(INPUTS!$E$91&lt;&gt;"Yes","",IFERROR(CHOOSE(MATCH(INPUTS!$L$91,LISTS!$R$5:$R$10,0),INPUTS!$B$223,INPUTS!$B$257,INPUTS!$B$291,INPUTS!$B$325,INPUTS!$B$359,INPUTS!$B$393),"")&amp;"")</f>
        <v/>
      </c>
      <c r="C117" s="122" t="str">
        <f aca="false">IF(INPUTS!$E$91&lt;&gt;"Yes","",IFERROR(CHOOSE(MATCH(INPUTS!$L$91,LISTS!$R$5:$R$10,0),INPUTS!$C$223,INPUTS!$C$257,INPUTS!$C$291,INPUTS!$C$325,INPUTS!$C$359,INPUTS!$C$393),"")&amp;"")</f>
        <v/>
      </c>
      <c r="D117" s="123" t="n">
        <f aca="false">IF(INPUTS!$E$91&lt;&gt;"Yes",0,N(IFERROR(CHOOSE(MATCH(INPUTS!$L$91,LISTS!$R$5:$R$10,0),INPUTS!$D$223,INPUTS!$D$257,INPUTS!$D$291,INPUTS!$D$325,INPUTS!$D$359,INPUTS!$D$393),"")))</f>
        <v>0</v>
      </c>
      <c r="E117" s="124" t="n">
        <f aca="false">IF(INPUTS!$E$91&lt;&gt;"Yes",0,N(IFERROR(CHOOSE(MATCH(INPUTS!$L$91,LISTS!$R$5:$R$10,0),INPUTS!$E$223,INPUTS!$E$257,INPUTS!$E$291,INPUTS!$E$325,INPUTS!$E$359,INPUTS!$E$393),"")))</f>
        <v>0</v>
      </c>
      <c r="F117" s="125" t="str">
        <f aca="false">IF(AND(C117="Construction % complete",E117&gt;0),MAX(COUNTIF(CURVES!$D$59:$AQ$59,"&lt;"&amp;(D117-0.000000001))+1,INPUTS!$R$91),"")</f>
        <v/>
      </c>
      <c r="G117" s="126" t="str">
        <f aca="false">IF(E117=0,"",IF(C117="Booking + quarters",IF(D117=0,"at booking",D117&amp;" qtr(s) after booking"),IF(F117&gt;INPUTS!$C$24,"NOT REACHED in model","construction "&amp;TEXT(D117,"0%")&amp;" reached in Q"&amp;F117)))</f>
        <v/>
      </c>
      <c r="H117" s="126"/>
      <c r="I117" s="126"/>
      <c r="J117" s="126"/>
      <c r="K117" s="126"/>
      <c r="L117" s="126"/>
    </row>
    <row r="118" customFormat="false" ht="15" hidden="false" customHeight="false" outlineLevel="0" collapsed="false">
      <c r="B118" s="121" t="str">
        <f aca="false">IF(INPUTS!$E$91&lt;&gt;"Yes","",IFERROR(CHOOSE(MATCH(INPUTS!$L$91,LISTS!$R$5:$R$10,0),INPUTS!$B$224,INPUTS!$B$258,INPUTS!$B$292,INPUTS!$B$326,INPUTS!$B$360,INPUTS!$B$394),"")&amp;"")</f>
        <v/>
      </c>
      <c r="C118" s="122" t="str">
        <f aca="false">IF(INPUTS!$E$91&lt;&gt;"Yes","",IFERROR(CHOOSE(MATCH(INPUTS!$L$91,LISTS!$R$5:$R$10,0),INPUTS!$C$224,INPUTS!$C$258,INPUTS!$C$292,INPUTS!$C$326,INPUTS!$C$360,INPUTS!$C$394),"")&amp;"")</f>
        <v/>
      </c>
      <c r="D118" s="123" t="n">
        <f aca="false">IF(INPUTS!$E$91&lt;&gt;"Yes",0,N(IFERROR(CHOOSE(MATCH(INPUTS!$L$91,LISTS!$R$5:$R$10,0),INPUTS!$D$224,INPUTS!$D$258,INPUTS!$D$292,INPUTS!$D$326,INPUTS!$D$360,INPUTS!$D$394),"")))</f>
        <v>0</v>
      </c>
      <c r="E118" s="124" t="n">
        <f aca="false">IF(INPUTS!$E$91&lt;&gt;"Yes",0,N(IFERROR(CHOOSE(MATCH(INPUTS!$L$91,LISTS!$R$5:$R$10,0),INPUTS!$E$224,INPUTS!$E$258,INPUTS!$E$292,INPUTS!$E$326,INPUTS!$E$360,INPUTS!$E$394),"")))</f>
        <v>0</v>
      </c>
      <c r="F118" s="125" t="str">
        <f aca="false">IF(AND(C118="Construction % complete",E118&gt;0),MAX(COUNTIF(CURVES!$D$59:$AQ$59,"&lt;"&amp;(D118-0.000000001))+1,INPUTS!$R$91),"")</f>
        <v/>
      </c>
      <c r="G118" s="126" t="str">
        <f aca="false">IF(E118=0,"",IF(C118="Booking + quarters",IF(D118=0,"at booking",D118&amp;" qtr(s) after booking"),IF(F118&gt;INPUTS!$C$24,"NOT REACHED in model","construction "&amp;TEXT(D118,"0%")&amp;" reached in Q"&amp;F118)))</f>
        <v/>
      </c>
      <c r="H118" s="126"/>
      <c r="I118" s="126"/>
      <c r="J118" s="126"/>
      <c r="K118" s="126"/>
      <c r="L118" s="126"/>
    </row>
    <row r="119" customFormat="false" ht="15" hidden="false" customHeight="false" outlineLevel="0" collapsed="false">
      <c r="B119" s="121" t="str">
        <f aca="false">IF(INPUTS!$E$91&lt;&gt;"Yes","",IFERROR(CHOOSE(MATCH(INPUTS!$L$91,LISTS!$R$5:$R$10,0),INPUTS!$B$225,INPUTS!$B$259,INPUTS!$B$293,INPUTS!$B$327,INPUTS!$B$361,INPUTS!$B$395),"")&amp;"")</f>
        <v/>
      </c>
      <c r="C119" s="122" t="str">
        <f aca="false">IF(INPUTS!$E$91&lt;&gt;"Yes","",IFERROR(CHOOSE(MATCH(INPUTS!$L$91,LISTS!$R$5:$R$10,0),INPUTS!$C$225,INPUTS!$C$259,INPUTS!$C$293,INPUTS!$C$327,INPUTS!$C$361,INPUTS!$C$395),"")&amp;"")</f>
        <v/>
      </c>
      <c r="D119" s="123" t="n">
        <f aca="false">IF(INPUTS!$E$91&lt;&gt;"Yes",0,N(IFERROR(CHOOSE(MATCH(INPUTS!$L$91,LISTS!$R$5:$R$10,0),INPUTS!$D$225,INPUTS!$D$259,INPUTS!$D$293,INPUTS!$D$327,INPUTS!$D$361,INPUTS!$D$395),"")))</f>
        <v>0</v>
      </c>
      <c r="E119" s="124" t="n">
        <f aca="false">IF(INPUTS!$E$91&lt;&gt;"Yes",0,N(IFERROR(CHOOSE(MATCH(INPUTS!$L$91,LISTS!$R$5:$R$10,0),INPUTS!$E$225,INPUTS!$E$259,INPUTS!$E$293,INPUTS!$E$327,INPUTS!$E$361,INPUTS!$E$395),"")))</f>
        <v>0</v>
      </c>
      <c r="F119" s="125" t="str">
        <f aca="false">IF(AND(C119="Construction % complete",E119&gt;0),MAX(COUNTIF(CURVES!$D$59:$AQ$59,"&lt;"&amp;(D119-0.000000001))+1,INPUTS!$R$91),"")</f>
        <v/>
      </c>
      <c r="G119" s="126" t="str">
        <f aca="false">IF(E119=0,"",IF(C119="Booking + quarters",IF(D119=0,"at booking",D119&amp;" qtr(s) after booking"),IF(F119&gt;INPUTS!$C$24,"NOT REACHED in model","construction "&amp;TEXT(D119,"0%")&amp;" reached in Q"&amp;F119)))</f>
        <v/>
      </c>
      <c r="H119" s="126"/>
      <c r="I119" s="126"/>
      <c r="J119" s="126"/>
      <c r="K119" s="126"/>
      <c r="L119" s="126"/>
    </row>
    <row r="120" customFormat="false" ht="15" hidden="false" customHeight="false" outlineLevel="0" collapsed="false">
      <c r="B120" s="121" t="str">
        <f aca="false">IF(INPUTS!$E$91&lt;&gt;"Yes","",IFERROR(CHOOSE(MATCH(INPUTS!$L$91,LISTS!$R$5:$R$10,0),INPUTS!$B$226,INPUTS!$B$260,INPUTS!$B$294,INPUTS!$B$328,INPUTS!$B$362,INPUTS!$B$396),"")&amp;"")</f>
        <v/>
      </c>
      <c r="C120" s="122" t="str">
        <f aca="false">IF(INPUTS!$E$91&lt;&gt;"Yes","",IFERROR(CHOOSE(MATCH(INPUTS!$L$91,LISTS!$R$5:$R$10,0),INPUTS!$C$226,INPUTS!$C$260,INPUTS!$C$294,INPUTS!$C$328,INPUTS!$C$362,INPUTS!$C$396),"")&amp;"")</f>
        <v/>
      </c>
      <c r="D120" s="123" t="n">
        <f aca="false">IF(INPUTS!$E$91&lt;&gt;"Yes",0,N(IFERROR(CHOOSE(MATCH(INPUTS!$L$91,LISTS!$R$5:$R$10,0),INPUTS!$D$226,INPUTS!$D$260,INPUTS!$D$294,INPUTS!$D$328,INPUTS!$D$362,INPUTS!$D$396),"")))</f>
        <v>0</v>
      </c>
      <c r="E120" s="124" t="n">
        <f aca="false">IF(INPUTS!$E$91&lt;&gt;"Yes",0,N(IFERROR(CHOOSE(MATCH(INPUTS!$L$91,LISTS!$R$5:$R$10,0),INPUTS!$E$226,INPUTS!$E$260,INPUTS!$E$294,INPUTS!$E$328,INPUTS!$E$362,INPUTS!$E$396),"")))</f>
        <v>0</v>
      </c>
      <c r="F120" s="125" t="str">
        <f aca="false">IF(AND(C120="Construction % complete",E120&gt;0),MAX(COUNTIF(CURVES!$D$59:$AQ$59,"&lt;"&amp;(D120-0.000000001))+1,INPUTS!$R$91),"")</f>
        <v/>
      </c>
      <c r="G120" s="126" t="str">
        <f aca="false">IF(E120=0,"",IF(C120="Booking + quarters",IF(D120=0,"at booking",D120&amp;" qtr(s) after booking"),IF(F120&gt;INPUTS!$C$24,"NOT REACHED in model","construction "&amp;TEXT(D120,"0%")&amp;" reached in Q"&amp;F120)))</f>
        <v/>
      </c>
      <c r="H120" s="126"/>
      <c r="I120" s="126"/>
      <c r="J120" s="126"/>
      <c r="K120" s="126"/>
      <c r="L120" s="126"/>
    </row>
    <row r="121" customFormat="false" ht="15" hidden="false" customHeight="false" outlineLevel="0" collapsed="false">
      <c r="B121" s="121" t="str">
        <f aca="false">IF(INPUTS!$E$91&lt;&gt;"Yes","",IFERROR(CHOOSE(MATCH(INPUTS!$L$91,LISTS!$R$5:$R$10,0),INPUTS!$B$227,INPUTS!$B$261,INPUTS!$B$295,INPUTS!$B$329,INPUTS!$B$363,INPUTS!$B$397),"")&amp;"")</f>
        <v/>
      </c>
      <c r="C121" s="122" t="str">
        <f aca="false">IF(INPUTS!$E$91&lt;&gt;"Yes","",IFERROR(CHOOSE(MATCH(INPUTS!$L$91,LISTS!$R$5:$R$10,0),INPUTS!$C$227,INPUTS!$C$261,INPUTS!$C$295,INPUTS!$C$329,INPUTS!$C$363,INPUTS!$C$397),"")&amp;"")</f>
        <v/>
      </c>
      <c r="D121" s="123" t="n">
        <f aca="false">IF(INPUTS!$E$91&lt;&gt;"Yes",0,N(IFERROR(CHOOSE(MATCH(INPUTS!$L$91,LISTS!$R$5:$R$10,0),INPUTS!$D$227,INPUTS!$D$261,INPUTS!$D$295,INPUTS!$D$329,INPUTS!$D$363,INPUTS!$D$397),"")))</f>
        <v>0</v>
      </c>
      <c r="E121" s="124" t="n">
        <f aca="false">IF(INPUTS!$E$91&lt;&gt;"Yes",0,N(IFERROR(CHOOSE(MATCH(INPUTS!$L$91,LISTS!$R$5:$R$10,0),INPUTS!$E$227,INPUTS!$E$261,INPUTS!$E$295,INPUTS!$E$329,INPUTS!$E$363,INPUTS!$E$397),"")))</f>
        <v>0</v>
      </c>
      <c r="F121" s="125" t="str">
        <f aca="false">IF(AND(C121="Construction % complete",E121&gt;0),MAX(COUNTIF(CURVES!$D$59:$AQ$59,"&lt;"&amp;(D121-0.000000001))+1,INPUTS!$R$91),"")</f>
        <v/>
      </c>
      <c r="G121" s="126" t="str">
        <f aca="false">IF(E121=0,"",IF(C121="Booking + quarters",IF(D121=0,"at booking",D121&amp;" qtr(s) after booking"),IF(F121&gt;INPUTS!$C$24,"NOT REACHED in model","construction "&amp;TEXT(D121,"0%")&amp;" reached in Q"&amp;F121)))</f>
        <v/>
      </c>
      <c r="H121" s="126"/>
      <c r="I121" s="126"/>
      <c r="J121" s="126"/>
      <c r="K121" s="126"/>
      <c r="L121" s="126"/>
    </row>
    <row r="122" customFormat="false" ht="15" hidden="false" customHeight="false" outlineLevel="0" collapsed="false">
      <c r="B122" s="121" t="str">
        <f aca="false">IF(INPUTS!$E$91&lt;&gt;"Yes","",IFERROR(CHOOSE(MATCH(INPUTS!$L$91,LISTS!$R$5:$R$10,0),INPUTS!$B$228,INPUTS!$B$262,INPUTS!$B$296,INPUTS!$B$330,INPUTS!$B$364,INPUTS!$B$398),"")&amp;"")</f>
        <v/>
      </c>
      <c r="C122" s="122" t="str">
        <f aca="false">IF(INPUTS!$E$91&lt;&gt;"Yes","",IFERROR(CHOOSE(MATCH(INPUTS!$L$91,LISTS!$R$5:$R$10,0),INPUTS!$C$228,INPUTS!$C$262,INPUTS!$C$296,INPUTS!$C$330,INPUTS!$C$364,INPUTS!$C$398),"")&amp;"")</f>
        <v/>
      </c>
      <c r="D122" s="123" t="n">
        <f aca="false">IF(INPUTS!$E$91&lt;&gt;"Yes",0,N(IFERROR(CHOOSE(MATCH(INPUTS!$L$91,LISTS!$R$5:$R$10,0),INPUTS!$D$228,INPUTS!$D$262,INPUTS!$D$296,INPUTS!$D$330,INPUTS!$D$364,INPUTS!$D$398),"")))</f>
        <v>0</v>
      </c>
      <c r="E122" s="124" t="n">
        <f aca="false">IF(INPUTS!$E$91&lt;&gt;"Yes",0,N(IFERROR(CHOOSE(MATCH(INPUTS!$L$91,LISTS!$R$5:$R$10,0),INPUTS!$E$228,INPUTS!$E$262,INPUTS!$E$296,INPUTS!$E$330,INPUTS!$E$364,INPUTS!$E$398),"")))</f>
        <v>0</v>
      </c>
      <c r="F122" s="125" t="str">
        <f aca="false">IF(AND(C122="Construction % complete",E122&gt;0),MAX(COUNTIF(CURVES!$D$59:$AQ$59,"&lt;"&amp;(D122-0.000000001))+1,INPUTS!$R$91),"")</f>
        <v/>
      </c>
      <c r="G122" s="126" t="str">
        <f aca="false">IF(E122=0,"",IF(C122="Booking + quarters",IF(D122=0,"at booking",D122&amp;" qtr(s) after booking"),IF(F122&gt;INPUTS!$C$24,"NOT REACHED in model","construction "&amp;TEXT(D122,"0%")&amp;" reached in Q"&amp;F122)))</f>
        <v/>
      </c>
      <c r="H122" s="126"/>
      <c r="I122" s="126"/>
      <c r="J122" s="126"/>
      <c r="K122" s="126"/>
      <c r="L122" s="126"/>
    </row>
    <row r="123" customFormat="false" ht="15" hidden="false" customHeight="false" outlineLevel="0" collapsed="false">
      <c r="B123" s="121" t="str">
        <f aca="false">IF(INPUTS!$E$91&lt;&gt;"Yes","",IFERROR(CHOOSE(MATCH(INPUTS!$L$91,LISTS!$R$5:$R$10,0),INPUTS!$B$229,INPUTS!$B$263,INPUTS!$B$297,INPUTS!$B$331,INPUTS!$B$365,INPUTS!$B$399),"")&amp;"")</f>
        <v/>
      </c>
      <c r="C123" s="122" t="str">
        <f aca="false">IF(INPUTS!$E$91&lt;&gt;"Yes","",IFERROR(CHOOSE(MATCH(INPUTS!$L$91,LISTS!$R$5:$R$10,0),INPUTS!$C$229,INPUTS!$C$263,INPUTS!$C$297,INPUTS!$C$331,INPUTS!$C$365,INPUTS!$C$399),"")&amp;"")</f>
        <v/>
      </c>
      <c r="D123" s="123" t="n">
        <f aca="false">IF(INPUTS!$E$91&lt;&gt;"Yes",0,N(IFERROR(CHOOSE(MATCH(INPUTS!$L$91,LISTS!$R$5:$R$10,0),INPUTS!$D$229,INPUTS!$D$263,INPUTS!$D$297,INPUTS!$D$331,INPUTS!$D$365,INPUTS!$D$399),"")))</f>
        <v>0</v>
      </c>
      <c r="E123" s="124" t="n">
        <f aca="false">IF(INPUTS!$E$91&lt;&gt;"Yes",0,N(IFERROR(CHOOSE(MATCH(INPUTS!$L$91,LISTS!$R$5:$R$10,0),INPUTS!$E$229,INPUTS!$E$263,INPUTS!$E$297,INPUTS!$E$331,INPUTS!$E$365,INPUTS!$E$399),"")))</f>
        <v>0</v>
      </c>
      <c r="F123" s="125" t="str">
        <f aca="false">IF(AND(C123="Construction % complete",E123&gt;0),MAX(COUNTIF(CURVES!$D$59:$AQ$59,"&lt;"&amp;(D123-0.000000001))+1,INPUTS!$R$91),"")</f>
        <v/>
      </c>
      <c r="G123" s="126" t="str">
        <f aca="false">IF(E123=0,"",IF(C123="Booking + quarters",IF(D123=0,"at booking",D123&amp;" qtr(s) after booking"),IF(F123&gt;INPUTS!$C$24,"NOT REACHED in model","construction "&amp;TEXT(D123,"0%")&amp;" reached in Q"&amp;F123)))</f>
        <v/>
      </c>
      <c r="H123" s="126"/>
      <c r="I123" s="126"/>
      <c r="J123" s="126"/>
      <c r="K123" s="126"/>
      <c r="L123" s="126"/>
    </row>
    <row r="124" customFormat="false" ht="15" hidden="false" customHeight="false" outlineLevel="0" collapsed="false">
      <c r="B124" s="121" t="str">
        <f aca="false">IF(INPUTS!$E$91&lt;&gt;"Yes","",IFERROR(CHOOSE(MATCH(INPUTS!$L$91,LISTS!$R$5:$R$10,0),INPUTS!$B$230,INPUTS!$B$264,INPUTS!$B$298,INPUTS!$B$332,INPUTS!$B$366,INPUTS!$B$400),"")&amp;"")</f>
        <v/>
      </c>
      <c r="C124" s="122" t="str">
        <f aca="false">IF(INPUTS!$E$91&lt;&gt;"Yes","",IFERROR(CHOOSE(MATCH(INPUTS!$L$91,LISTS!$R$5:$R$10,0),INPUTS!$C$230,INPUTS!$C$264,INPUTS!$C$298,INPUTS!$C$332,INPUTS!$C$366,INPUTS!$C$400),"")&amp;"")</f>
        <v/>
      </c>
      <c r="D124" s="123" t="n">
        <f aca="false">IF(INPUTS!$E$91&lt;&gt;"Yes",0,N(IFERROR(CHOOSE(MATCH(INPUTS!$L$91,LISTS!$R$5:$R$10,0),INPUTS!$D$230,INPUTS!$D$264,INPUTS!$D$298,INPUTS!$D$332,INPUTS!$D$366,INPUTS!$D$400),"")))</f>
        <v>0</v>
      </c>
      <c r="E124" s="124" t="n">
        <f aca="false">IF(INPUTS!$E$91&lt;&gt;"Yes",0,N(IFERROR(CHOOSE(MATCH(INPUTS!$L$91,LISTS!$R$5:$R$10,0),INPUTS!$E$230,INPUTS!$E$264,INPUTS!$E$298,INPUTS!$E$332,INPUTS!$E$366,INPUTS!$E$400),"")))</f>
        <v>0</v>
      </c>
      <c r="F124" s="125" t="str">
        <f aca="false">IF(AND(C124="Construction % complete",E124&gt;0),MAX(COUNTIF(CURVES!$D$59:$AQ$59,"&lt;"&amp;(D124-0.000000001))+1,INPUTS!$R$91),"")</f>
        <v/>
      </c>
      <c r="G124" s="126" t="str">
        <f aca="false">IF(E124=0,"",IF(C124="Booking + quarters",IF(D124=0,"at booking",D124&amp;" qtr(s) after booking"),IF(F124&gt;INPUTS!$C$24,"NOT REACHED in model","construction "&amp;TEXT(D124,"0%")&amp;" reached in Q"&amp;F124)))</f>
        <v/>
      </c>
      <c r="H124" s="126"/>
      <c r="I124" s="126"/>
      <c r="J124" s="126"/>
      <c r="K124" s="126"/>
      <c r="L124" s="126"/>
    </row>
    <row r="125" customFormat="false" ht="15" hidden="false" customHeight="false" outlineLevel="0" collapsed="false">
      <c r="B125" s="121" t="str">
        <f aca="false">IF(INPUTS!$E$91&lt;&gt;"Yes","",IFERROR(CHOOSE(MATCH(INPUTS!$L$91,LISTS!$R$5:$R$10,0),INPUTS!$B$231,INPUTS!$B$265,INPUTS!$B$299,INPUTS!$B$333,INPUTS!$B$367,INPUTS!$B$401),"")&amp;"")</f>
        <v/>
      </c>
      <c r="C125" s="122" t="str">
        <f aca="false">IF(INPUTS!$E$91&lt;&gt;"Yes","",IFERROR(CHOOSE(MATCH(INPUTS!$L$91,LISTS!$R$5:$R$10,0),INPUTS!$C$231,INPUTS!$C$265,INPUTS!$C$299,INPUTS!$C$333,INPUTS!$C$367,INPUTS!$C$401),"")&amp;"")</f>
        <v/>
      </c>
      <c r="D125" s="123" t="n">
        <f aca="false">IF(INPUTS!$E$91&lt;&gt;"Yes",0,N(IFERROR(CHOOSE(MATCH(INPUTS!$L$91,LISTS!$R$5:$R$10,0),INPUTS!$D$231,INPUTS!$D$265,INPUTS!$D$299,INPUTS!$D$333,INPUTS!$D$367,INPUTS!$D$401),"")))</f>
        <v>0</v>
      </c>
      <c r="E125" s="124" t="n">
        <f aca="false">IF(INPUTS!$E$91&lt;&gt;"Yes",0,N(IFERROR(CHOOSE(MATCH(INPUTS!$L$91,LISTS!$R$5:$R$10,0),INPUTS!$E$231,INPUTS!$E$265,INPUTS!$E$299,INPUTS!$E$333,INPUTS!$E$367,INPUTS!$E$401),"")))</f>
        <v>0</v>
      </c>
      <c r="F125" s="125" t="str">
        <f aca="false">IF(AND(C125="Construction % complete",E125&gt;0),MAX(COUNTIF(CURVES!$D$59:$AQ$59,"&lt;"&amp;(D125-0.000000001))+1,INPUTS!$R$91),"")</f>
        <v/>
      </c>
      <c r="G125" s="126" t="str">
        <f aca="false">IF(E125=0,"",IF(C125="Booking + quarters",IF(D125=0,"at booking",D125&amp;" qtr(s) after booking"),IF(F125&gt;INPUTS!$C$24,"NOT REACHED in model","construction "&amp;TEXT(D125,"0%")&amp;" reached in Q"&amp;F125)))</f>
        <v/>
      </c>
      <c r="H125" s="126"/>
      <c r="I125" s="126"/>
      <c r="J125" s="126"/>
      <c r="K125" s="126"/>
      <c r="L125" s="126"/>
    </row>
    <row r="126" customFormat="false" ht="15" hidden="false" customHeight="false" outlineLevel="0" collapsed="false">
      <c r="B126" s="121" t="str">
        <f aca="false">IF(INPUTS!$E$91&lt;&gt;"Yes","",IFERROR(CHOOSE(MATCH(INPUTS!$L$91,LISTS!$R$5:$R$10,0),INPUTS!$B$232,INPUTS!$B$266,INPUTS!$B$300,INPUTS!$B$334,INPUTS!$B$368,INPUTS!$B$402),"")&amp;"")</f>
        <v/>
      </c>
      <c r="C126" s="122" t="str">
        <f aca="false">IF(INPUTS!$E$91&lt;&gt;"Yes","",IFERROR(CHOOSE(MATCH(INPUTS!$L$91,LISTS!$R$5:$R$10,0),INPUTS!$C$232,INPUTS!$C$266,INPUTS!$C$300,INPUTS!$C$334,INPUTS!$C$368,INPUTS!$C$402),"")&amp;"")</f>
        <v/>
      </c>
      <c r="D126" s="123" t="n">
        <f aca="false">IF(INPUTS!$E$91&lt;&gt;"Yes",0,N(IFERROR(CHOOSE(MATCH(INPUTS!$L$91,LISTS!$R$5:$R$10,0),INPUTS!$D$232,INPUTS!$D$266,INPUTS!$D$300,INPUTS!$D$334,INPUTS!$D$368,INPUTS!$D$402),"")))</f>
        <v>0</v>
      </c>
      <c r="E126" s="124" t="n">
        <f aca="false">IF(INPUTS!$E$91&lt;&gt;"Yes",0,N(IFERROR(CHOOSE(MATCH(INPUTS!$L$91,LISTS!$R$5:$R$10,0),INPUTS!$E$232,INPUTS!$E$266,INPUTS!$E$300,INPUTS!$E$334,INPUTS!$E$368,INPUTS!$E$402),"")))</f>
        <v>0</v>
      </c>
      <c r="F126" s="125" t="str">
        <f aca="false">IF(AND(C126="Construction % complete",E126&gt;0),MAX(COUNTIF(CURVES!$D$59:$AQ$59,"&lt;"&amp;(D126-0.000000001))+1,INPUTS!$R$91),"")</f>
        <v/>
      </c>
      <c r="G126" s="126" t="str">
        <f aca="false">IF(E126=0,"",IF(C126="Booking + quarters",IF(D126=0,"at booking",D126&amp;" qtr(s) after booking"),IF(F126&gt;INPUTS!$C$24,"NOT REACHED in model","construction "&amp;TEXT(D126,"0%")&amp;" reached in Q"&amp;F126)))</f>
        <v/>
      </c>
      <c r="H126" s="126"/>
      <c r="I126" s="126"/>
      <c r="J126" s="126"/>
      <c r="K126" s="126"/>
      <c r="L126" s="126"/>
    </row>
    <row r="127" customFormat="false" ht="15" hidden="false" customHeight="false" outlineLevel="0" collapsed="false">
      <c r="B127" s="121" t="str">
        <f aca="false">IF(INPUTS!$E$91&lt;&gt;"Yes","",IFERROR(CHOOSE(MATCH(INPUTS!$L$91,LISTS!$R$5:$R$10,0),INPUTS!$B$233,INPUTS!$B$267,INPUTS!$B$301,INPUTS!$B$335,INPUTS!$B$369,INPUTS!$B$403),"")&amp;"")</f>
        <v/>
      </c>
      <c r="C127" s="122" t="str">
        <f aca="false">IF(INPUTS!$E$91&lt;&gt;"Yes","",IFERROR(CHOOSE(MATCH(INPUTS!$L$91,LISTS!$R$5:$R$10,0),INPUTS!$C$233,INPUTS!$C$267,INPUTS!$C$301,INPUTS!$C$335,INPUTS!$C$369,INPUTS!$C$403),"")&amp;"")</f>
        <v/>
      </c>
      <c r="D127" s="123" t="n">
        <f aca="false">IF(INPUTS!$E$91&lt;&gt;"Yes",0,N(IFERROR(CHOOSE(MATCH(INPUTS!$L$91,LISTS!$R$5:$R$10,0),INPUTS!$D$233,INPUTS!$D$267,INPUTS!$D$301,INPUTS!$D$335,INPUTS!$D$369,INPUTS!$D$403),"")))</f>
        <v>0</v>
      </c>
      <c r="E127" s="124" t="n">
        <f aca="false">IF(INPUTS!$E$91&lt;&gt;"Yes",0,N(IFERROR(CHOOSE(MATCH(INPUTS!$L$91,LISTS!$R$5:$R$10,0),INPUTS!$E$233,INPUTS!$E$267,INPUTS!$E$301,INPUTS!$E$335,INPUTS!$E$369,INPUTS!$E$403),"")))</f>
        <v>0</v>
      </c>
      <c r="F127" s="125" t="str">
        <f aca="false">IF(AND(C127="Construction % complete",E127&gt;0),MAX(COUNTIF(CURVES!$D$59:$AQ$59,"&lt;"&amp;(D127-0.000000001))+1,INPUTS!$R$91),"")</f>
        <v/>
      </c>
      <c r="G127" s="126" t="str">
        <f aca="false">IF(E127=0,"",IF(C127="Booking + quarters",IF(D127=0,"at booking",D127&amp;" qtr(s) after booking"),IF(F127&gt;INPUTS!$C$24,"NOT REACHED in model","construction "&amp;TEXT(D127,"0%")&amp;" reached in Q"&amp;F127)))</f>
        <v/>
      </c>
      <c r="H127" s="126"/>
      <c r="I127" s="126"/>
      <c r="J127" s="126"/>
      <c r="K127" s="126"/>
      <c r="L127" s="126"/>
    </row>
    <row r="128" customFormat="false" ht="15" hidden="false" customHeight="false" outlineLevel="0" collapsed="false">
      <c r="B128" s="121" t="str">
        <f aca="false">IF(INPUTS!$E$91&lt;&gt;"Yes","",IFERROR(CHOOSE(MATCH(INPUTS!$L$91,LISTS!$R$5:$R$10,0),INPUTS!$B$234,INPUTS!$B$268,INPUTS!$B$302,INPUTS!$B$336,INPUTS!$B$370,INPUTS!$B$404),"")&amp;"")</f>
        <v/>
      </c>
      <c r="C128" s="122" t="str">
        <f aca="false">IF(INPUTS!$E$91&lt;&gt;"Yes","",IFERROR(CHOOSE(MATCH(INPUTS!$L$91,LISTS!$R$5:$R$10,0),INPUTS!$C$234,INPUTS!$C$268,INPUTS!$C$302,INPUTS!$C$336,INPUTS!$C$370,INPUTS!$C$404),"")&amp;"")</f>
        <v/>
      </c>
      <c r="D128" s="123" t="n">
        <f aca="false">IF(INPUTS!$E$91&lt;&gt;"Yes",0,N(IFERROR(CHOOSE(MATCH(INPUTS!$L$91,LISTS!$R$5:$R$10,0),INPUTS!$D$234,INPUTS!$D$268,INPUTS!$D$302,INPUTS!$D$336,INPUTS!$D$370,INPUTS!$D$404),"")))</f>
        <v>0</v>
      </c>
      <c r="E128" s="124" t="n">
        <f aca="false">IF(INPUTS!$E$91&lt;&gt;"Yes",0,N(IFERROR(CHOOSE(MATCH(INPUTS!$L$91,LISTS!$R$5:$R$10,0),INPUTS!$E$234,INPUTS!$E$268,INPUTS!$E$302,INPUTS!$E$336,INPUTS!$E$370,INPUTS!$E$404),"")))</f>
        <v>0</v>
      </c>
      <c r="F128" s="125" t="str">
        <f aca="false">IF(AND(C128="Construction % complete",E128&gt;0),MAX(COUNTIF(CURVES!$D$59:$AQ$59,"&lt;"&amp;(D128-0.000000001))+1,INPUTS!$R$91),"")</f>
        <v/>
      </c>
      <c r="G128" s="126" t="str">
        <f aca="false">IF(E128=0,"",IF(C128="Booking + quarters",IF(D128=0,"at booking",D128&amp;" qtr(s) after booking"),IF(F128&gt;INPUTS!$C$24,"NOT REACHED in model","construction "&amp;TEXT(D128,"0%")&amp;" reached in Q"&amp;F128)))</f>
        <v/>
      </c>
      <c r="H128" s="126"/>
      <c r="I128" s="126"/>
      <c r="J128" s="126"/>
      <c r="K128" s="126"/>
      <c r="L128" s="126"/>
    </row>
    <row r="129" customFormat="false" ht="15" hidden="false" customHeight="false" outlineLevel="0" collapsed="false">
      <c r="B129" s="121" t="str">
        <f aca="false">IF(INPUTS!$E$91&lt;&gt;"Yes","",IFERROR(CHOOSE(MATCH(INPUTS!$L$91,LISTS!$R$5:$R$10,0),INPUTS!$B$235,INPUTS!$B$269,INPUTS!$B$303,INPUTS!$B$337,INPUTS!$B$371,INPUTS!$B$405),"")&amp;"")</f>
        <v/>
      </c>
      <c r="C129" s="122" t="str">
        <f aca="false">IF(INPUTS!$E$91&lt;&gt;"Yes","",IFERROR(CHOOSE(MATCH(INPUTS!$L$91,LISTS!$R$5:$R$10,0),INPUTS!$C$235,INPUTS!$C$269,INPUTS!$C$303,INPUTS!$C$337,INPUTS!$C$371,INPUTS!$C$405),"")&amp;"")</f>
        <v/>
      </c>
      <c r="D129" s="123" t="n">
        <f aca="false">IF(INPUTS!$E$91&lt;&gt;"Yes",0,N(IFERROR(CHOOSE(MATCH(INPUTS!$L$91,LISTS!$R$5:$R$10,0),INPUTS!$D$235,INPUTS!$D$269,INPUTS!$D$303,INPUTS!$D$337,INPUTS!$D$371,INPUTS!$D$405),"")))</f>
        <v>0</v>
      </c>
      <c r="E129" s="124" t="n">
        <f aca="false">IF(INPUTS!$E$91&lt;&gt;"Yes",0,N(IFERROR(CHOOSE(MATCH(INPUTS!$L$91,LISTS!$R$5:$R$10,0),INPUTS!$E$235,INPUTS!$E$269,INPUTS!$E$303,INPUTS!$E$337,INPUTS!$E$371,INPUTS!$E$405),"")))</f>
        <v>0</v>
      </c>
      <c r="F129" s="125" t="str">
        <f aca="false">IF(AND(C129="Construction % complete",E129&gt;0),MAX(COUNTIF(CURVES!$D$59:$AQ$59,"&lt;"&amp;(D129-0.000000001))+1,INPUTS!$R$91),"")</f>
        <v/>
      </c>
      <c r="G129" s="126" t="str">
        <f aca="false">IF(E129=0,"",IF(C129="Booking + quarters",IF(D129=0,"at booking",D129&amp;" qtr(s) after booking"),IF(F129&gt;INPUTS!$C$24,"NOT REACHED in model","construction "&amp;TEXT(D129,"0%")&amp;" reached in Q"&amp;F129)))</f>
        <v/>
      </c>
      <c r="H129" s="126"/>
      <c r="I129" s="126"/>
      <c r="J129" s="126"/>
      <c r="K129" s="126"/>
      <c r="L129" s="126"/>
    </row>
    <row r="130" customFormat="false" ht="15" hidden="false" customHeight="false" outlineLevel="0" collapsed="false">
      <c r="B130" s="121" t="str">
        <f aca="false">IF(INPUTS!$E$91&lt;&gt;"Yes","",IFERROR(CHOOSE(MATCH(INPUTS!$L$91,LISTS!$R$5:$R$10,0),INPUTS!$B$236,INPUTS!$B$270,INPUTS!$B$304,INPUTS!$B$338,INPUTS!$B$372,INPUTS!$B$406),"")&amp;"")</f>
        <v/>
      </c>
      <c r="C130" s="122" t="str">
        <f aca="false">IF(INPUTS!$E$91&lt;&gt;"Yes","",IFERROR(CHOOSE(MATCH(INPUTS!$L$91,LISTS!$R$5:$R$10,0),INPUTS!$C$236,INPUTS!$C$270,INPUTS!$C$304,INPUTS!$C$338,INPUTS!$C$372,INPUTS!$C$406),"")&amp;"")</f>
        <v/>
      </c>
      <c r="D130" s="123" t="n">
        <f aca="false">IF(INPUTS!$E$91&lt;&gt;"Yes",0,N(IFERROR(CHOOSE(MATCH(INPUTS!$L$91,LISTS!$R$5:$R$10,0),INPUTS!$D$236,INPUTS!$D$270,INPUTS!$D$304,INPUTS!$D$338,INPUTS!$D$372,INPUTS!$D$406),"")))</f>
        <v>0</v>
      </c>
      <c r="E130" s="124" t="n">
        <f aca="false">IF(INPUTS!$E$91&lt;&gt;"Yes",0,N(IFERROR(CHOOSE(MATCH(INPUTS!$L$91,LISTS!$R$5:$R$10,0),INPUTS!$E$236,INPUTS!$E$270,INPUTS!$E$304,INPUTS!$E$338,INPUTS!$E$372,INPUTS!$E$406),"")))</f>
        <v>0</v>
      </c>
      <c r="F130" s="125" t="str">
        <f aca="false">IF(AND(C130="Construction % complete",E130&gt;0),MAX(COUNTIF(CURVES!$D$59:$AQ$59,"&lt;"&amp;(D130-0.000000001))+1,INPUTS!$R$91),"")</f>
        <v/>
      </c>
      <c r="G130" s="126" t="str">
        <f aca="false">IF(E130=0,"",IF(C130="Booking + quarters",IF(D130=0,"at booking",D130&amp;" qtr(s) after booking"),IF(F130&gt;INPUTS!$C$24,"NOT REACHED in model","construction "&amp;TEXT(D130,"0%")&amp;" reached in Q"&amp;F130)))</f>
        <v/>
      </c>
      <c r="H130" s="126"/>
      <c r="I130" s="126"/>
      <c r="J130" s="126"/>
      <c r="K130" s="126"/>
      <c r="L130" s="126"/>
    </row>
    <row r="131" customFormat="false" ht="15" hidden="false" customHeight="false" outlineLevel="0" collapsed="false">
      <c r="B131" s="121" t="str">
        <f aca="false">IF(INPUTS!$E$91&lt;&gt;"Yes","",IFERROR(CHOOSE(MATCH(INPUTS!$L$91,LISTS!$R$5:$R$10,0),INPUTS!$B$237,INPUTS!$B$271,INPUTS!$B$305,INPUTS!$B$339,INPUTS!$B$373,INPUTS!$B$407),"")&amp;"")</f>
        <v/>
      </c>
      <c r="C131" s="122" t="str">
        <f aca="false">IF(INPUTS!$E$91&lt;&gt;"Yes","",IFERROR(CHOOSE(MATCH(INPUTS!$L$91,LISTS!$R$5:$R$10,0),INPUTS!$C$237,INPUTS!$C$271,INPUTS!$C$305,INPUTS!$C$339,INPUTS!$C$373,INPUTS!$C$407),"")&amp;"")</f>
        <v/>
      </c>
      <c r="D131" s="123" t="n">
        <f aca="false">IF(INPUTS!$E$91&lt;&gt;"Yes",0,N(IFERROR(CHOOSE(MATCH(INPUTS!$L$91,LISTS!$R$5:$R$10,0),INPUTS!$D$237,INPUTS!$D$271,INPUTS!$D$305,INPUTS!$D$339,INPUTS!$D$373,INPUTS!$D$407),"")))</f>
        <v>0</v>
      </c>
      <c r="E131" s="124" t="n">
        <f aca="false">IF(INPUTS!$E$91&lt;&gt;"Yes",0,N(IFERROR(CHOOSE(MATCH(INPUTS!$L$91,LISTS!$R$5:$R$10,0),INPUTS!$E$237,INPUTS!$E$271,INPUTS!$E$305,INPUTS!$E$339,INPUTS!$E$373,INPUTS!$E$407),"")))</f>
        <v>0</v>
      </c>
      <c r="F131" s="125" t="str">
        <f aca="false">IF(AND(C131="Construction % complete",E131&gt;0),MAX(COUNTIF(CURVES!$D$59:$AQ$59,"&lt;"&amp;(D131-0.000000001))+1,INPUTS!$R$91),"")</f>
        <v/>
      </c>
      <c r="G131" s="126" t="str">
        <f aca="false">IF(E131=0,"",IF(C131="Booking + quarters",IF(D131=0,"at booking",D131&amp;" qtr(s) after booking"),IF(F131&gt;INPUTS!$C$24,"NOT REACHED in model","construction "&amp;TEXT(D131,"0%")&amp;" reached in Q"&amp;F131)))</f>
        <v/>
      </c>
      <c r="H131" s="126"/>
      <c r="I131" s="126"/>
      <c r="J131" s="126"/>
      <c r="K131" s="126"/>
      <c r="L131" s="126"/>
    </row>
    <row r="132" customFormat="false" ht="15" hidden="false" customHeight="false" outlineLevel="0" collapsed="false">
      <c r="B132" s="121" t="str">
        <f aca="false">IF(INPUTS!$E$91&lt;&gt;"Yes","",IFERROR(CHOOSE(MATCH(INPUTS!$L$91,LISTS!$R$5:$R$10,0),INPUTS!$B$238,INPUTS!$B$272,INPUTS!$B$306,INPUTS!$B$340,INPUTS!$B$374,INPUTS!$B$408),"")&amp;"")</f>
        <v/>
      </c>
      <c r="C132" s="122" t="str">
        <f aca="false">IF(INPUTS!$E$91&lt;&gt;"Yes","",IFERROR(CHOOSE(MATCH(INPUTS!$L$91,LISTS!$R$5:$R$10,0),INPUTS!$C$238,INPUTS!$C$272,INPUTS!$C$306,INPUTS!$C$340,INPUTS!$C$374,INPUTS!$C$408),"")&amp;"")</f>
        <v/>
      </c>
      <c r="D132" s="123" t="n">
        <f aca="false">IF(INPUTS!$E$91&lt;&gt;"Yes",0,N(IFERROR(CHOOSE(MATCH(INPUTS!$L$91,LISTS!$R$5:$R$10,0),INPUTS!$D$238,INPUTS!$D$272,INPUTS!$D$306,INPUTS!$D$340,INPUTS!$D$374,INPUTS!$D$408),"")))</f>
        <v>0</v>
      </c>
      <c r="E132" s="124" t="n">
        <f aca="false">IF(INPUTS!$E$91&lt;&gt;"Yes",0,N(IFERROR(CHOOSE(MATCH(INPUTS!$L$91,LISTS!$R$5:$R$10,0),INPUTS!$E$238,INPUTS!$E$272,INPUTS!$E$306,INPUTS!$E$340,INPUTS!$E$374,INPUTS!$E$408),"")))</f>
        <v>0</v>
      </c>
      <c r="F132" s="125" t="str">
        <f aca="false">IF(AND(C132="Construction % complete",E132&gt;0),MAX(COUNTIF(CURVES!$D$59:$AQ$59,"&lt;"&amp;(D132-0.000000001))+1,INPUTS!$R$91),"")</f>
        <v/>
      </c>
      <c r="G132" s="126" t="str">
        <f aca="false">IF(E132=0,"",IF(C132="Booking + quarters",IF(D132=0,"at booking",D132&amp;" qtr(s) after booking"),IF(F132&gt;INPUTS!$C$24,"NOT REACHED in model","construction "&amp;TEXT(D132,"0%")&amp;" reached in Q"&amp;F132)))</f>
        <v/>
      </c>
      <c r="H132" s="126"/>
      <c r="I132" s="126"/>
      <c r="J132" s="126"/>
      <c r="K132" s="126"/>
      <c r="L132" s="126"/>
    </row>
    <row r="133" customFormat="false" ht="15" hidden="false" customHeight="false" outlineLevel="0" collapsed="false">
      <c r="B133" s="121" t="str">
        <f aca="false">IF(INPUTS!$E$91&lt;&gt;"Yes","",IFERROR(CHOOSE(MATCH(INPUTS!$L$91,LISTS!$R$5:$R$10,0),INPUTS!$B$239,INPUTS!$B$273,INPUTS!$B$307,INPUTS!$B$341,INPUTS!$B$375,INPUTS!$B$409),"")&amp;"")</f>
        <v/>
      </c>
      <c r="C133" s="122" t="str">
        <f aca="false">IF(INPUTS!$E$91&lt;&gt;"Yes","",IFERROR(CHOOSE(MATCH(INPUTS!$L$91,LISTS!$R$5:$R$10,0),INPUTS!$C$239,INPUTS!$C$273,INPUTS!$C$307,INPUTS!$C$341,INPUTS!$C$375,INPUTS!$C$409),"")&amp;"")</f>
        <v/>
      </c>
      <c r="D133" s="123" t="n">
        <f aca="false">IF(INPUTS!$E$91&lt;&gt;"Yes",0,N(IFERROR(CHOOSE(MATCH(INPUTS!$L$91,LISTS!$R$5:$R$10,0),INPUTS!$D$239,INPUTS!$D$273,INPUTS!$D$307,INPUTS!$D$341,INPUTS!$D$375,INPUTS!$D$409),"")))</f>
        <v>0</v>
      </c>
      <c r="E133" s="124" t="n">
        <f aca="false">IF(INPUTS!$E$91&lt;&gt;"Yes",0,N(IFERROR(CHOOSE(MATCH(INPUTS!$L$91,LISTS!$R$5:$R$10,0),INPUTS!$E$239,INPUTS!$E$273,INPUTS!$E$307,INPUTS!$E$341,INPUTS!$E$375,INPUTS!$E$409),"")))</f>
        <v>0</v>
      </c>
      <c r="F133" s="125" t="str">
        <f aca="false">IF(AND(C133="Construction % complete",E133&gt;0),MAX(COUNTIF(CURVES!$D$59:$AQ$59,"&lt;"&amp;(D133-0.000000001))+1,INPUTS!$R$91),"")</f>
        <v/>
      </c>
      <c r="G133" s="126" t="str">
        <f aca="false">IF(E133=0,"",IF(C133="Booking + quarters",IF(D133=0,"at booking",D133&amp;" qtr(s) after booking"),IF(F133&gt;INPUTS!$C$24,"NOT REACHED in model","construction "&amp;TEXT(D133,"0%")&amp;" reached in Q"&amp;F133)))</f>
        <v/>
      </c>
      <c r="H133" s="126"/>
      <c r="I133" s="126"/>
      <c r="J133" s="126"/>
      <c r="K133" s="126"/>
      <c r="L133" s="126"/>
    </row>
    <row r="134" customFormat="false" ht="15" hidden="false" customHeight="false" outlineLevel="0" collapsed="false">
      <c r="B134" s="121" t="str">
        <f aca="false">IF(INPUTS!$E$91&lt;&gt;"Yes","",IFERROR(CHOOSE(MATCH(INPUTS!$L$91,LISTS!$R$5:$R$10,0),INPUTS!$B$240,INPUTS!$B$274,INPUTS!$B$308,INPUTS!$B$342,INPUTS!$B$376,INPUTS!$B$410),"")&amp;"")</f>
        <v/>
      </c>
      <c r="C134" s="122" t="str">
        <f aca="false">IF(INPUTS!$E$91&lt;&gt;"Yes","",IFERROR(CHOOSE(MATCH(INPUTS!$L$91,LISTS!$R$5:$R$10,0),INPUTS!$C$240,INPUTS!$C$274,INPUTS!$C$308,INPUTS!$C$342,INPUTS!$C$376,INPUTS!$C$410),"")&amp;"")</f>
        <v/>
      </c>
      <c r="D134" s="123" t="n">
        <f aca="false">IF(INPUTS!$E$91&lt;&gt;"Yes",0,N(IFERROR(CHOOSE(MATCH(INPUTS!$L$91,LISTS!$R$5:$R$10,0),INPUTS!$D$240,INPUTS!$D$274,INPUTS!$D$308,INPUTS!$D$342,INPUTS!$D$376,INPUTS!$D$410),"")))</f>
        <v>0</v>
      </c>
      <c r="E134" s="124" t="n">
        <f aca="false">IF(INPUTS!$E$91&lt;&gt;"Yes",0,N(IFERROR(CHOOSE(MATCH(INPUTS!$L$91,LISTS!$R$5:$R$10,0),INPUTS!$E$240,INPUTS!$E$274,INPUTS!$E$308,INPUTS!$E$342,INPUTS!$E$376,INPUTS!$E$410),"")))</f>
        <v>0</v>
      </c>
      <c r="F134" s="125" t="str">
        <f aca="false">IF(AND(C134="Construction % complete",E134&gt;0),MAX(COUNTIF(CURVES!$D$59:$AQ$59,"&lt;"&amp;(D134-0.000000001))+1,INPUTS!$R$91),"")</f>
        <v/>
      </c>
      <c r="G134" s="126" t="str">
        <f aca="false">IF(E134=0,"",IF(C134="Booking + quarters",IF(D134=0,"at booking",D134&amp;" qtr(s) after booking"),IF(F134&gt;INPUTS!$C$24,"NOT REACHED in model","construction "&amp;TEXT(D134,"0%")&amp;" reached in Q"&amp;F134)))</f>
        <v/>
      </c>
      <c r="H134" s="126"/>
      <c r="I134" s="126"/>
      <c r="J134" s="126"/>
      <c r="K134" s="126"/>
      <c r="L134" s="126"/>
    </row>
    <row r="135" customFormat="false" ht="15" hidden="false" customHeight="false" outlineLevel="0" collapsed="false">
      <c r="B135" s="121" t="str">
        <f aca="false">IF(INPUTS!$E$91&lt;&gt;"Yes","",IFERROR(CHOOSE(MATCH(INPUTS!$L$91,LISTS!$R$5:$R$10,0),INPUTS!$B$241,INPUTS!$B$275,INPUTS!$B$309,INPUTS!$B$343,INPUTS!$B$377,INPUTS!$B$411),"")&amp;"")</f>
        <v/>
      </c>
      <c r="C135" s="122" t="str">
        <f aca="false">IF(INPUTS!$E$91&lt;&gt;"Yes","",IFERROR(CHOOSE(MATCH(INPUTS!$L$91,LISTS!$R$5:$R$10,0),INPUTS!$C$241,INPUTS!$C$275,INPUTS!$C$309,INPUTS!$C$343,INPUTS!$C$377,INPUTS!$C$411),"")&amp;"")</f>
        <v/>
      </c>
      <c r="D135" s="123" t="n">
        <f aca="false">IF(INPUTS!$E$91&lt;&gt;"Yes",0,N(IFERROR(CHOOSE(MATCH(INPUTS!$L$91,LISTS!$R$5:$R$10,0),INPUTS!$D$241,INPUTS!$D$275,INPUTS!$D$309,INPUTS!$D$343,INPUTS!$D$377,INPUTS!$D$411),"")))</f>
        <v>0</v>
      </c>
      <c r="E135" s="124" t="n">
        <f aca="false">IF(INPUTS!$E$91&lt;&gt;"Yes",0,N(IFERROR(CHOOSE(MATCH(INPUTS!$L$91,LISTS!$R$5:$R$10,0),INPUTS!$E$241,INPUTS!$E$275,INPUTS!$E$309,INPUTS!$E$343,INPUTS!$E$377,INPUTS!$E$411),"")))</f>
        <v>0</v>
      </c>
      <c r="F135" s="125" t="str">
        <f aca="false">IF(AND(C135="Construction % complete",E135&gt;0),MAX(COUNTIF(CURVES!$D$59:$AQ$59,"&lt;"&amp;(D135-0.000000001))+1,INPUTS!$R$91),"")</f>
        <v/>
      </c>
      <c r="G135" s="126" t="str">
        <f aca="false">IF(E135=0,"",IF(C135="Booking + quarters",IF(D135=0,"at booking",D135&amp;" qtr(s) after booking"),IF(F135&gt;INPUTS!$C$24,"NOT REACHED in model","construction "&amp;TEXT(D135,"0%")&amp;" reached in Q"&amp;F135)))</f>
        <v/>
      </c>
      <c r="H135" s="126"/>
      <c r="I135" s="126"/>
      <c r="J135" s="126"/>
      <c r="K135" s="126"/>
      <c r="L135" s="126"/>
    </row>
    <row r="136" customFormat="false" ht="15" hidden="false" customHeight="false" outlineLevel="0" collapsed="false">
      <c r="B136" s="121" t="str">
        <f aca="false">IF(INPUTS!$E$91&lt;&gt;"Yes","",IFERROR(CHOOSE(MATCH(INPUTS!$L$91,LISTS!$R$5:$R$10,0),INPUTS!$B$242,INPUTS!$B$276,INPUTS!$B$310,INPUTS!$B$344,INPUTS!$B$378,INPUTS!$B$412),"")&amp;"")</f>
        <v/>
      </c>
      <c r="C136" s="122" t="str">
        <f aca="false">IF(INPUTS!$E$91&lt;&gt;"Yes","",IFERROR(CHOOSE(MATCH(INPUTS!$L$91,LISTS!$R$5:$R$10,0),INPUTS!$C$242,INPUTS!$C$276,INPUTS!$C$310,INPUTS!$C$344,INPUTS!$C$378,INPUTS!$C$412),"")&amp;"")</f>
        <v/>
      </c>
      <c r="D136" s="123" t="n">
        <f aca="false">IF(INPUTS!$E$91&lt;&gt;"Yes",0,N(IFERROR(CHOOSE(MATCH(INPUTS!$L$91,LISTS!$R$5:$R$10,0),INPUTS!$D$242,INPUTS!$D$276,INPUTS!$D$310,INPUTS!$D$344,INPUTS!$D$378,INPUTS!$D$412),"")))</f>
        <v>0</v>
      </c>
      <c r="E136" s="124" t="n">
        <f aca="false">IF(INPUTS!$E$91&lt;&gt;"Yes",0,N(IFERROR(CHOOSE(MATCH(INPUTS!$L$91,LISTS!$R$5:$R$10,0),INPUTS!$E$242,INPUTS!$E$276,INPUTS!$E$310,INPUTS!$E$344,INPUTS!$E$378,INPUTS!$E$412),"")))</f>
        <v>0</v>
      </c>
      <c r="F136" s="125" t="str">
        <f aca="false">IF(AND(C136="Construction % complete",E136&gt;0),MAX(COUNTIF(CURVES!$D$59:$AQ$59,"&lt;"&amp;(D136-0.000000001))+1,INPUTS!$R$91),"")</f>
        <v/>
      </c>
      <c r="G136" s="126" t="str">
        <f aca="false">IF(E136=0,"",IF(C136="Booking + quarters",IF(D136=0,"at booking",D136&amp;" qtr(s) after booking"),IF(F136&gt;INPUTS!$C$24,"NOT REACHED in model","construction "&amp;TEXT(D136,"0%")&amp;" reached in Q"&amp;F136)))</f>
        <v/>
      </c>
      <c r="H136" s="126"/>
      <c r="I136" s="126"/>
      <c r="J136" s="126"/>
      <c r="K136" s="126"/>
      <c r="L136" s="126"/>
    </row>
    <row r="137" customFormat="false" ht="15" hidden="false" customHeight="false" outlineLevel="0" collapsed="false">
      <c r="B137" s="121" t="str">
        <f aca="false">IF(INPUTS!$E$91&lt;&gt;"Yes","",IFERROR(CHOOSE(MATCH(INPUTS!$L$91,LISTS!$R$5:$R$10,0),INPUTS!$B$243,INPUTS!$B$277,INPUTS!$B$311,INPUTS!$B$345,INPUTS!$B$379,INPUTS!$B$413),"")&amp;"")</f>
        <v/>
      </c>
      <c r="C137" s="122" t="str">
        <f aca="false">IF(INPUTS!$E$91&lt;&gt;"Yes","",IFERROR(CHOOSE(MATCH(INPUTS!$L$91,LISTS!$R$5:$R$10,0),INPUTS!$C$243,INPUTS!$C$277,INPUTS!$C$311,INPUTS!$C$345,INPUTS!$C$379,INPUTS!$C$413),"")&amp;"")</f>
        <v/>
      </c>
      <c r="D137" s="123" t="n">
        <f aca="false">IF(INPUTS!$E$91&lt;&gt;"Yes",0,N(IFERROR(CHOOSE(MATCH(INPUTS!$L$91,LISTS!$R$5:$R$10,0),INPUTS!$D$243,INPUTS!$D$277,INPUTS!$D$311,INPUTS!$D$345,INPUTS!$D$379,INPUTS!$D$413),"")))</f>
        <v>0</v>
      </c>
      <c r="E137" s="124" t="n">
        <f aca="false">IF(INPUTS!$E$91&lt;&gt;"Yes",0,N(IFERROR(CHOOSE(MATCH(INPUTS!$L$91,LISTS!$R$5:$R$10,0),INPUTS!$E$243,INPUTS!$E$277,INPUTS!$E$311,INPUTS!$E$345,INPUTS!$E$379,INPUTS!$E$413),"")))</f>
        <v>0</v>
      </c>
      <c r="F137" s="125" t="str">
        <f aca="false">IF(AND(C137="Construction % complete",E137&gt;0),MAX(COUNTIF(CURVES!$D$59:$AQ$59,"&lt;"&amp;(D137-0.000000001))+1,INPUTS!$R$91),"")</f>
        <v/>
      </c>
      <c r="G137" s="126" t="str">
        <f aca="false">IF(E137=0,"",IF(C137="Booking + quarters",IF(D137=0,"at booking",D137&amp;" qtr(s) after booking"),IF(F137&gt;INPUTS!$C$24,"NOT REACHED in model","construction "&amp;TEXT(D137,"0%")&amp;" reached in Q"&amp;F137)))</f>
        <v/>
      </c>
      <c r="H137" s="126"/>
      <c r="I137" s="126"/>
      <c r="J137" s="126"/>
      <c r="K137" s="126"/>
      <c r="L137" s="126"/>
    </row>
    <row r="138" customFormat="false" ht="15" hidden="false" customHeight="false" outlineLevel="0" collapsed="false">
      <c r="B138" s="121" t="str">
        <f aca="false">IF(INPUTS!$E$91&lt;&gt;"Yes","",IFERROR(CHOOSE(MATCH(INPUTS!$L$91,LISTS!$R$5:$R$10,0),INPUTS!$B$244,INPUTS!$B$278,INPUTS!$B$312,INPUTS!$B$346,INPUTS!$B$380,INPUTS!$B$414),"")&amp;"")</f>
        <v/>
      </c>
      <c r="C138" s="122" t="str">
        <f aca="false">IF(INPUTS!$E$91&lt;&gt;"Yes","",IFERROR(CHOOSE(MATCH(INPUTS!$L$91,LISTS!$R$5:$R$10,0),INPUTS!$C$244,INPUTS!$C$278,INPUTS!$C$312,INPUTS!$C$346,INPUTS!$C$380,INPUTS!$C$414),"")&amp;"")</f>
        <v/>
      </c>
      <c r="D138" s="123" t="n">
        <f aca="false">IF(INPUTS!$E$91&lt;&gt;"Yes",0,N(IFERROR(CHOOSE(MATCH(INPUTS!$L$91,LISTS!$R$5:$R$10,0),INPUTS!$D$244,INPUTS!$D$278,INPUTS!$D$312,INPUTS!$D$346,INPUTS!$D$380,INPUTS!$D$414),"")))</f>
        <v>0</v>
      </c>
      <c r="E138" s="124" t="n">
        <f aca="false">IF(INPUTS!$E$91&lt;&gt;"Yes",0,N(IFERROR(CHOOSE(MATCH(INPUTS!$L$91,LISTS!$R$5:$R$10,0),INPUTS!$E$244,INPUTS!$E$278,INPUTS!$E$312,INPUTS!$E$346,INPUTS!$E$380,INPUTS!$E$414),"")))</f>
        <v>0</v>
      </c>
      <c r="F138" s="125" t="str">
        <f aca="false">IF(AND(C138="Construction % complete",E138&gt;0),MAX(COUNTIF(CURVES!$D$59:$AQ$59,"&lt;"&amp;(D138-0.000000001))+1,INPUTS!$R$91),"")</f>
        <v/>
      </c>
      <c r="G138" s="126" t="str">
        <f aca="false">IF(E138=0,"",IF(C138="Booking + quarters",IF(D138=0,"at booking",D138&amp;" qtr(s) after booking"),IF(F138&gt;INPUTS!$C$24,"NOT REACHED in model","construction "&amp;TEXT(D138,"0%")&amp;" reached in Q"&amp;F138)))</f>
        <v/>
      </c>
      <c r="H138" s="126"/>
      <c r="I138" s="126"/>
      <c r="J138" s="126"/>
      <c r="K138" s="126"/>
      <c r="L138" s="126"/>
    </row>
    <row r="139" customFormat="false" ht="15" hidden="false" customHeight="false" outlineLevel="0" collapsed="false">
      <c r="B139" s="121" t="str">
        <f aca="false">IF(INPUTS!$E$91&lt;&gt;"Yes","",IFERROR(CHOOSE(MATCH(INPUTS!$L$91,LISTS!$R$5:$R$10,0),INPUTS!$B$245,INPUTS!$B$279,INPUTS!$B$313,INPUTS!$B$347,INPUTS!$B$381,INPUTS!$B$415),"")&amp;"")</f>
        <v/>
      </c>
      <c r="C139" s="122" t="str">
        <f aca="false">IF(INPUTS!$E$91&lt;&gt;"Yes","",IFERROR(CHOOSE(MATCH(INPUTS!$L$91,LISTS!$R$5:$R$10,0),INPUTS!$C$245,INPUTS!$C$279,INPUTS!$C$313,INPUTS!$C$347,INPUTS!$C$381,INPUTS!$C$415),"")&amp;"")</f>
        <v/>
      </c>
      <c r="D139" s="123" t="n">
        <f aca="false">IF(INPUTS!$E$91&lt;&gt;"Yes",0,N(IFERROR(CHOOSE(MATCH(INPUTS!$L$91,LISTS!$R$5:$R$10,0),INPUTS!$D$245,INPUTS!$D$279,INPUTS!$D$313,INPUTS!$D$347,INPUTS!$D$381,INPUTS!$D$415),"")))</f>
        <v>0</v>
      </c>
      <c r="E139" s="124" t="n">
        <f aca="false">IF(INPUTS!$E$91&lt;&gt;"Yes",0,N(IFERROR(CHOOSE(MATCH(INPUTS!$L$91,LISTS!$R$5:$R$10,0),INPUTS!$E$245,INPUTS!$E$279,INPUTS!$E$313,INPUTS!$E$347,INPUTS!$E$381,INPUTS!$E$415),"")))</f>
        <v>0</v>
      </c>
      <c r="F139" s="125" t="str">
        <f aca="false">IF(AND(C139="Construction % complete",E139&gt;0),MAX(COUNTIF(CURVES!$D$59:$AQ$59,"&lt;"&amp;(D139-0.000000001))+1,INPUTS!$R$91),"")</f>
        <v/>
      </c>
      <c r="G139" s="126" t="str">
        <f aca="false">IF(E139=0,"",IF(C139="Booking + quarters",IF(D139=0,"at booking",D139&amp;" qtr(s) after booking"),IF(F139&gt;INPUTS!$C$24,"NOT REACHED in model","construction "&amp;TEXT(D139,"0%")&amp;" reached in Q"&amp;F139)))</f>
        <v/>
      </c>
      <c r="H139" s="126"/>
      <c r="I139" s="126"/>
      <c r="J139" s="126"/>
      <c r="K139" s="126"/>
      <c r="L139" s="126"/>
    </row>
    <row r="140" customFormat="false" ht="15" hidden="false" customHeight="false" outlineLevel="0" collapsed="false">
      <c r="B140" s="121" t="str">
        <f aca="false">IF(INPUTS!$E$91&lt;&gt;"Yes","",IFERROR(CHOOSE(MATCH(INPUTS!$L$91,LISTS!$R$5:$R$10,0),INPUTS!$B$246,INPUTS!$B$280,INPUTS!$B$314,INPUTS!$B$348,INPUTS!$B$382,INPUTS!$B$416),"")&amp;"")</f>
        <v/>
      </c>
      <c r="C140" s="122" t="str">
        <f aca="false">IF(INPUTS!$E$91&lt;&gt;"Yes","",IFERROR(CHOOSE(MATCH(INPUTS!$L$91,LISTS!$R$5:$R$10,0),INPUTS!$C$246,INPUTS!$C$280,INPUTS!$C$314,INPUTS!$C$348,INPUTS!$C$382,INPUTS!$C$416),"")&amp;"")</f>
        <v/>
      </c>
      <c r="D140" s="123" t="n">
        <f aca="false">IF(INPUTS!$E$91&lt;&gt;"Yes",0,N(IFERROR(CHOOSE(MATCH(INPUTS!$L$91,LISTS!$R$5:$R$10,0),INPUTS!$D$246,INPUTS!$D$280,INPUTS!$D$314,INPUTS!$D$348,INPUTS!$D$382,INPUTS!$D$416),"")))</f>
        <v>0</v>
      </c>
      <c r="E140" s="124" t="n">
        <f aca="false">IF(INPUTS!$E$91&lt;&gt;"Yes",0,N(IFERROR(CHOOSE(MATCH(INPUTS!$L$91,LISTS!$R$5:$R$10,0),INPUTS!$E$246,INPUTS!$E$280,INPUTS!$E$314,INPUTS!$E$348,INPUTS!$E$382,INPUTS!$E$416),"")))</f>
        <v>0</v>
      </c>
      <c r="F140" s="125" t="str">
        <f aca="false">IF(AND(C140="Construction % complete",E140&gt;0),MAX(COUNTIF(CURVES!$D$59:$AQ$59,"&lt;"&amp;(D140-0.000000001))+1,INPUTS!$R$91),"")</f>
        <v/>
      </c>
      <c r="G140" s="126" t="str">
        <f aca="false">IF(E140=0,"",IF(C140="Booking + quarters",IF(D140=0,"at booking",D140&amp;" qtr(s) after booking"),IF(F140&gt;INPUTS!$C$24,"NOT REACHED in model","construction "&amp;TEXT(D140,"0%")&amp;" reached in Q"&amp;F140)))</f>
        <v/>
      </c>
      <c r="H140" s="126"/>
      <c r="I140" s="126"/>
      <c r="J140" s="126"/>
      <c r="K140" s="126"/>
      <c r="L140" s="126"/>
    </row>
    <row r="141" customFormat="false" ht="15" hidden="false" customHeight="false" outlineLevel="0" collapsed="false">
      <c r="B141" s="121" t="str">
        <f aca="false">IF(INPUTS!$E$91&lt;&gt;"Yes","",IFERROR(CHOOSE(MATCH(INPUTS!$L$91,LISTS!$R$5:$R$10,0),INPUTS!$B$247,INPUTS!$B$281,INPUTS!$B$315,INPUTS!$B$349,INPUTS!$B$383,INPUTS!$B$417),"")&amp;"")</f>
        <v/>
      </c>
      <c r="C141" s="122" t="str">
        <f aca="false">IF(INPUTS!$E$91&lt;&gt;"Yes","",IFERROR(CHOOSE(MATCH(INPUTS!$L$91,LISTS!$R$5:$R$10,0),INPUTS!$C$247,INPUTS!$C$281,INPUTS!$C$315,INPUTS!$C$349,INPUTS!$C$383,INPUTS!$C$417),"")&amp;"")</f>
        <v/>
      </c>
      <c r="D141" s="123" t="n">
        <f aca="false">IF(INPUTS!$E$91&lt;&gt;"Yes",0,N(IFERROR(CHOOSE(MATCH(INPUTS!$L$91,LISTS!$R$5:$R$10,0),INPUTS!$D$247,INPUTS!$D$281,INPUTS!$D$315,INPUTS!$D$349,INPUTS!$D$383,INPUTS!$D$417),"")))</f>
        <v>0</v>
      </c>
      <c r="E141" s="124" t="n">
        <f aca="false">IF(INPUTS!$E$91&lt;&gt;"Yes",0,N(IFERROR(CHOOSE(MATCH(INPUTS!$L$91,LISTS!$R$5:$R$10,0),INPUTS!$E$247,INPUTS!$E$281,INPUTS!$E$315,INPUTS!$E$349,INPUTS!$E$383,INPUTS!$E$417),"")))</f>
        <v>0</v>
      </c>
      <c r="F141" s="125" t="str">
        <f aca="false">IF(AND(C141="Construction % complete",E141&gt;0),MAX(COUNTIF(CURVES!$D$59:$AQ$59,"&lt;"&amp;(D141-0.000000001))+1,INPUTS!$R$91),"")</f>
        <v/>
      </c>
      <c r="G141" s="126" t="str">
        <f aca="false">IF(E141=0,"",IF(C141="Booking + quarters",IF(D141=0,"at booking",D141&amp;" qtr(s) after booking"),IF(F141&gt;INPUTS!$C$24,"NOT REACHED in model","construction "&amp;TEXT(D141,"0%")&amp;" reached in Q"&amp;F141)))</f>
        <v/>
      </c>
      <c r="H141" s="126"/>
      <c r="I141" s="126"/>
      <c r="J141" s="126"/>
      <c r="K141" s="126"/>
      <c r="L141" s="126"/>
    </row>
    <row r="142" customFormat="false" ht="15" hidden="false" customHeight="false" outlineLevel="0" collapsed="false">
      <c r="B142" s="121" t="str">
        <f aca="false">IF(INPUTS!$E$91&lt;&gt;"Yes","",IFERROR(CHOOSE(MATCH(INPUTS!$L$91,LISTS!$R$5:$R$10,0),INPUTS!$B$248,INPUTS!$B$282,INPUTS!$B$316,INPUTS!$B$350,INPUTS!$B$384,INPUTS!$B$418),"")&amp;"")</f>
        <v/>
      </c>
      <c r="C142" s="122" t="str">
        <f aca="false">IF(INPUTS!$E$91&lt;&gt;"Yes","",IFERROR(CHOOSE(MATCH(INPUTS!$L$91,LISTS!$R$5:$R$10,0),INPUTS!$C$248,INPUTS!$C$282,INPUTS!$C$316,INPUTS!$C$350,INPUTS!$C$384,INPUTS!$C$418),"")&amp;"")</f>
        <v/>
      </c>
      <c r="D142" s="123" t="n">
        <f aca="false">IF(INPUTS!$E$91&lt;&gt;"Yes",0,N(IFERROR(CHOOSE(MATCH(INPUTS!$L$91,LISTS!$R$5:$R$10,0),INPUTS!$D$248,INPUTS!$D$282,INPUTS!$D$316,INPUTS!$D$350,INPUTS!$D$384,INPUTS!$D$418),"")))</f>
        <v>0</v>
      </c>
      <c r="E142" s="124" t="n">
        <f aca="false">IF(INPUTS!$E$91&lt;&gt;"Yes",0,N(IFERROR(CHOOSE(MATCH(INPUTS!$L$91,LISTS!$R$5:$R$10,0),INPUTS!$E$248,INPUTS!$E$282,INPUTS!$E$316,INPUTS!$E$350,INPUTS!$E$384,INPUTS!$E$418),"")))</f>
        <v>0</v>
      </c>
      <c r="F142" s="125" t="str">
        <f aca="false">IF(AND(C142="Construction % complete",E142&gt;0),MAX(COUNTIF(CURVES!$D$59:$AQ$59,"&lt;"&amp;(D142-0.000000001))+1,INPUTS!$R$91),"")</f>
        <v/>
      </c>
      <c r="G142" s="126" t="str">
        <f aca="false">IF(E142=0,"",IF(C142="Booking + quarters",IF(D142=0,"at booking",D142&amp;" qtr(s) after booking"),IF(F142&gt;INPUTS!$C$24,"NOT REACHED in model","construction "&amp;TEXT(D142,"0%")&amp;" reached in Q"&amp;F142)))</f>
        <v/>
      </c>
      <c r="H142" s="126"/>
      <c r="I142" s="126"/>
      <c r="J142" s="126"/>
      <c r="K142" s="126"/>
      <c r="L142" s="126"/>
    </row>
    <row r="143" customFormat="false" ht="15" hidden="false" customHeight="false" outlineLevel="0" collapsed="false">
      <c r="B143" s="127" t="s">
        <v>708</v>
      </c>
      <c r="D143" s="128" t="n">
        <f aca="false">SUMIFS($E$113:$E$142,$C$113:$C$142,"Booking + quarters",$D$113:$D$142,0)</f>
        <v>0.1</v>
      </c>
      <c r="E143" s="128" t="n">
        <f aca="false">SUMIFS($E$113:$E$142,$C$113:$C$142,"Booking + quarters",$D$113:$D$142,1)</f>
        <v>0.8</v>
      </c>
      <c r="F143" s="128" t="n">
        <f aca="false">SUMIFS($E$113:$E$142,$C$113:$C$142,"Booking + quarters",$D$113:$D$142,2)</f>
        <v>0</v>
      </c>
      <c r="G143" s="128" t="n">
        <f aca="false">SUMIFS($E$113:$E$142,$C$113:$C$142,"Booking + quarters",$D$113:$D$142,3)</f>
        <v>0</v>
      </c>
      <c r="H143" s="128" t="n">
        <f aca="false">SUMIFS($E$113:$E$142,$C$113:$C$142,"Booking + quarters",$D$113:$D$142,4)</f>
        <v>0</v>
      </c>
      <c r="I143" s="128" t="n">
        <f aca="false">SUMIFS($E$113:$E$142,$C$113:$C$142,"Booking + quarters",$D$113:$D$142,5)</f>
        <v>0</v>
      </c>
      <c r="J143" s="128" t="n">
        <f aca="false">SUMIFS($E$113:$E$142,$C$113:$C$142,"Booking + quarters",$D$113:$D$142,6)</f>
        <v>0</v>
      </c>
      <c r="K143" s="128" t="n">
        <f aca="false">SUMIFS($E$113:$E$142,$C$113:$C$142,"Booking + quarters",$D$113:$D$142,7)</f>
        <v>0</v>
      </c>
      <c r="L143" s="128" t="n">
        <f aca="false">SUMIFS($E$113:$E$142,$C$113:$C$142,"Booking + quarters",$D$113:$D$142,8)</f>
        <v>0</v>
      </c>
      <c r="M143" s="128" t="n">
        <f aca="false">SUMIFS($E$113:$E$142,$C$113:$C$142,"Booking + quarters",$D$113:$D$142,9)</f>
        <v>0</v>
      </c>
      <c r="N143" s="128" t="n">
        <f aca="false">SUMIFS($E$113:$E$142,$C$113:$C$142,"Booking + quarters",$D$113:$D$142,10)</f>
        <v>0</v>
      </c>
      <c r="O143" s="128" t="n">
        <f aca="false">SUMIFS($E$113:$E$142,$C$113:$C$142,"Booking + quarters",$D$113:$D$142,11)</f>
        <v>0</v>
      </c>
      <c r="P143" s="128" t="n">
        <f aca="false">SUMIFS($E$113:$E$142,$C$113:$C$142,"Booking + quarters",$D$113:$D$142,12)</f>
        <v>0</v>
      </c>
    </row>
    <row r="144" customFormat="false" ht="15" hidden="false" customHeight="false" outlineLevel="0" collapsed="false">
      <c r="B144" s="127" t="s">
        <v>709</v>
      </c>
      <c r="C144" s="105" t="str">
        <f aca="false">IF(INPUTS!$E$91&lt;&gt;"Yes","Off",IF(ABS(SUM($E$113:$E$142)-1)&lt;0.000001,"OK","ERROR"))</f>
        <v>OK</v>
      </c>
    </row>
    <row r="145" customFormat="false" ht="15" hidden="false" customHeight="false" outlineLevel="0" collapsed="false">
      <c r="B145" s="110" t="str">
        <f aca="false">IF(INPUTS!$E$92="Yes",INPUTS!$B$92&amp;"   →   "&amp;INPUTS!$L$92,"Product row 5 (off)")</f>
        <v>Product row 5 (off)</v>
      </c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</row>
    <row r="146" customFormat="false" ht="15" hidden="false" customHeight="false" outlineLevel="0" collapsed="false">
      <c r="B146" s="121" t="str">
        <f aca="false">IF(INPUTS!$E$92&lt;&gt;"Yes","",IFERROR(CHOOSE(MATCH(INPUTS!$L$92,LISTS!$R$5:$R$10,0),INPUTS!$B$219,INPUTS!$B$253,INPUTS!$B$287,INPUTS!$B$321,INPUTS!$B$355,INPUTS!$B$389),"")&amp;"")</f>
        <v/>
      </c>
      <c r="C146" s="122" t="str">
        <f aca="false">IF(INPUTS!$E$92&lt;&gt;"Yes","",IFERROR(CHOOSE(MATCH(INPUTS!$L$92,LISTS!$R$5:$R$10,0),INPUTS!$C$219,INPUTS!$C$253,INPUTS!$C$287,INPUTS!$C$321,INPUTS!$C$355,INPUTS!$C$389),"")&amp;"")</f>
        <v/>
      </c>
      <c r="D146" s="123" t="n">
        <f aca="false">IF(INPUTS!$E$92&lt;&gt;"Yes",0,N(IFERROR(CHOOSE(MATCH(INPUTS!$L$92,LISTS!$R$5:$R$10,0),INPUTS!$D$219,INPUTS!$D$253,INPUTS!$D$287,INPUTS!$D$321,INPUTS!$D$355,INPUTS!$D$389),"")))</f>
        <v>0</v>
      </c>
      <c r="E146" s="124" t="n">
        <f aca="false">IF(INPUTS!$E$92&lt;&gt;"Yes",0,N(IFERROR(CHOOSE(MATCH(INPUTS!$L$92,LISTS!$R$5:$R$10,0),INPUTS!$E$219,INPUTS!$E$253,INPUTS!$E$287,INPUTS!$E$321,INPUTS!$E$355,INPUTS!$E$389),"")))</f>
        <v>0</v>
      </c>
      <c r="F146" s="125" t="str">
        <f aca="false">IF(AND(C146="Construction % complete",E146&gt;0),MAX(COUNTIF(CURVES!$D$65:$AQ$65,"&lt;"&amp;(D146-0.000000001))+1,INPUTS!$R$92),"")</f>
        <v/>
      </c>
      <c r="G146" s="126" t="str">
        <f aca="false">IF(E146=0,"",IF(C146="Booking + quarters",IF(D146=0,"at booking",D146&amp;" qtr(s) after booking"),IF(F146&gt;INPUTS!$C$24,"NOT REACHED in model","construction "&amp;TEXT(D146,"0%")&amp;" reached in Q"&amp;F146)))</f>
        <v/>
      </c>
      <c r="H146" s="126"/>
      <c r="I146" s="126"/>
      <c r="J146" s="126"/>
      <c r="K146" s="126"/>
      <c r="L146" s="126"/>
    </row>
    <row r="147" customFormat="false" ht="15" hidden="false" customHeight="false" outlineLevel="0" collapsed="false">
      <c r="B147" s="121" t="str">
        <f aca="false">IF(INPUTS!$E$92&lt;&gt;"Yes","",IFERROR(CHOOSE(MATCH(INPUTS!$L$92,LISTS!$R$5:$R$10,0),INPUTS!$B$220,INPUTS!$B$254,INPUTS!$B$288,INPUTS!$B$322,INPUTS!$B$356,INPUTS!$B$390),"")&amp;"")</f>
        <v/>
      </c>
      <c r="C147" s="122" t="str">
        <f aca="false">IF(INPUTS!$E$92&lt;&gt;"Yes","",IFERROR(CHOOSE(MATCH(INPUTS!$L$92,LISTS!$R$5:$R$10,0),INPUTS!$C$220,INPUTS!$C$254,INPUTS!$C$288,INPUTS!$C$322,INPUTS!$C$356,INPUTS!$C$390),"")&amp;"")</f>
        <v/>
      </c>
      <c r="D147" s="123" t="n">
        <f aca="false">IF(INPUTS!$E$92&lt;&gt;"Yes",0,N(IFERROR(CHOOSE(MATCH(INPUTS!$L$92,LISTS!$R$5:$R$10,0),INPUTS!$D$220,INPUTS!$D$254,INPUTS!$D$288,INPUTS!$D$322,INPUTS!$D$356,INPUTS!$D$390),"")))</f>
        <v>0</v>
      </c>
      <c r="E147" s="124" t="n">
        <f aca="false">IF(INPUTS!$E$92&lt;&gt;"Yes",0,N(IFERROR(CHOOSE(MATCH(INPUTS!$L$92,LISTS!$R$5:$R$10,0),INPUTS!$E$220,INPUTS!$E$254,INPUTS!$E$288,INPUTS!$E$322,INPUTS!$E$356,INPUTS!$E$390),"")))</f>
        <v>0</v>
      </c>
      <c r="F147" s="125" t="str">
        <f aca="false">IF(AND(C147="Construction % complete",E147&gt;0),MAX(COUNTIF(CURVES!$D$65:$AQ$65,"&lt;"&amp;(D147-0.000000001))+1,INPUTS!$R$92),"")</f>
        <v/>
      </c>
      <c r="G147" s="126" t="str">
        <f aca="false">IF(E147=0,"",IF(C147="Booking + quarters",IF(D147=0,"at booking",D147&amp;" qtr(s) after booking"),IF(F147&gt;INPUTS!$C$24,"NOT REACHED in model","construction "&amp;TEXT(D147,"0%")&amp;" reached in Q"&amp;F147)))</f>
        <v/>
      </c>
      <c r="H147" s="126"/>
      <c r="I147" s="126"/>
      <c r="J147" s="126"/>
      <c r="K147" s="126"/>
      <c r="L147" s="126"/>
    </row>
    <row r="148" customFormat="false" ht="15" hidden="false" customHeight="false" outlineLevel="0" collapsed="false">
      <c r="B148" s="121" t="str">
        <f aca="false">IF(INPUTS!$E$92&lt;&gt;"Yes","",IFERROR(CHOOSE(MATCH(INPUTS!$L$92,LISTS!$R$5:$R$10,0),INPUTS!$B$221,INPUTS!$B$255,INPUTS!$B$289,INPUTS!$B$323,INPUTS!$B$357,INPUTS!$B$391),"")&amp;"")</f>
        <v/>
      </c>
      <c r="C148" s="122" t="str">
        <f aca="false">IF(INPUTS!$E$92&lt;&gt;"Yes","",IFERROR(CHOOSE(MATCH(INPUTS!$L$92,LISTS!$R$5:$R$10,0),INPUTS!$C$221,INPUTS!$C$255,INPUTS!$C$289,INPUTS!$C$323,INPUTS!$C$357,INPUTS!$C$391),"")&amp;"")</f>
        <v/>
      </c>
      <c r="D148" s="123" t="n">
        <f aca="false">IF(INPUTS!$E$92&lt;&gt;"Yes",0,N(IFERROR(CHOOSE(MATCH(INPUTS!$L$92,LISTS!$R$5:$R$10,0),INPUTS!$D$221,INPUTS!$D$255,INPUTS!$D$289,INPUTS!$D$323,INPUTS!$D$357,INPUTS!$D$391),"")))</f>
        <v>0</v>
      </c>
      <c r="E148" s="124" t="n">
        <f aca="false">IF(INPUTS!$E$92&lt;&gt;"Yes",0,N(IFERROR(CHOOSE(MATCH(INPUTS!$L$92,LISTS!$R$5:$R$10,0),INPUTS!$E$221,INPUTS!$E$255,INPUTS!$E$289,INPUTS!$E$323,INPUTS!$E$357,INPUTS!$E$391),"")))</f>
        <v>0</v>
      </c>
      <c r="F148" s="125" t="str">
        <f aca="false">IF(AND(C148="Construction % complete",E148&gt;0),MAX(COUNTIF(CURVES!$D$65:$AQ$65,"&lt;"&amp;(D148-0.000000001))+1,INPUTS!$R$92),"")</f>
        <v/>
      </c>
      <c r="G148" s="126" t="str">
        <f aca="false">IF(E148=0,"",IF(C148="Booking + quarters",IF(D148=0,"at booking",D148&amp;" qtr(s) after booking"),IF(F148&gt;INPUTS!$C$24,"NOT REACHED in model","construction "&amp;TEXT(D148,"0%")&amp;" reached in Q"&amp;F148)))</f>
        <v/>
      </c>
      <c r="H148" s="126"/>
      <c r="I148" s="126"/>
      <c r="J148" s="126"/>
      <c r="K148" s="126"/>
      <c r="L148" s="126"/>
    </row>
    <row r="149" customFormat="false" ht="15" hidden="false" customHeight="false" outlineLevel="0" collapsed="false">
      <c r="B149" s="121" t="str">
        <f aca="false">IF(INPUTS!$E$92&lt;&gt;"Yes","",IFERROR(CHOOSE(MATCH(INPUTS!$L$92,LISTS!$R$5:$R$10,0),INPUTS!$B$222,INPUTS!$B$256,INPUTS!$B$290,INPUTS!$B$324,INPUTS!$B$358,INPUTS!$B$392),"")&amp;"")</f>
        <v/>
      </c>
      <c r="C149" s="122" t="str">
        <f aca="false">IF(INPUTS!$E$92&lt;&gt;"Yes","",IFERROR(CHOOSE(MATCH(INPUTS!$L$92,LISTS!$R$5:$R$10,0),INPUTS!$C$222,INPUTS!$C$256,INPUTS!$C$290,INPUTS!$C$324,INPUTS!$C$358,INPUTS!$C$392),"")&amp;"")</f>
        <v/>
      </c>
      <c r="D149" s="123" t="n">
        <f aca="false">IF(INPUTS!$E$92&lt;&gt;"Yes",0,N(IFERROR(CHOOSE(MATCH(INPUTS!$L$92,LISTS!$R$5:$R$10,0),INPUTS!$D$222,INPUTS!$D$256,INPUTS!$D$290,INPUTS!$D$324,INPUTS!$D$358,INPUTS!$D$392),"")))</f>
        <v>0</v>
      </c>
      <c r="E149" s="124" t="n">
        <f aca="false">IF(INPUTS!$E$92&lt;&gt;"Yes",0,N(IFERROR(CHOOSE(MATCH(INPUTS!$L$92,LISTS!$R$5:$R$10,0),INPUTS!$E$222,INPUTS!$E$256,INPUTS!$E$290,INPUTS!$E$324,INPUTS!$E$358,INPUTS!$E$392),"")))</f>
        <v>0</v>
      </c>
      <c r="F149" s="125" t="str">
        <f aca="false">IF(AND(C149="Construction % complete",E149&gt;0),MAX(COUNTIF(CURVES!$D$65:$AQ$65,"&lt;"&amp;(D149-0.000000001))+1,INPUTS!$R$92),"")</f>
        <v/>
      </c>
      <c r="G149" s="126" t="str">
        <f aca="false">IF(E149=0,"",IF(C149="Booking + quarters",IF(D149=0,"at booking",D149&amp;" qtr(s) after booking"),IF(F149&gt;INPUTS!$C$24,"NOT REACHED in model","construction "&amp;TEXT(D149,"0%")&amp;" reached in Q"&amp;F149)))</f>
        <v/>
      </c>
      <c r="H149" s="126"/>
      <c r="I149" s="126"/>
      <c r="J149" s="126"/>
      <c r="K149" s="126"/>
      <c r="L149" s="126"/>
    </row>
    <row r="150" customFormat="false" ht="15" hidden="false" customHeight="false" outlineLevel="0" collapsed="false">
      <c r="B150" s="121" t="str">
        <f aca="false">IF(INPUTS!$E$92&lt;&gt;"Yes","",IFERROR(CHOOSE(MATCH(INPUTS!$L$92,LISTS!$R$5:$R$10,0),INPUTS!$B$223,INPUTS!$B$257,INPUTS!$B$291,INPUTS!$B$325,INPUTS!$B$359,INPUTS!$B$393),"")&amp;"")</f>
        <v/>
      </c>
      <c r="C150" s="122" t="str">
        <f aca="false">IF(INPUTS!$E$92&lt;&gt;"Yes","",IFERROR(CHOOSE(MATCH(INPUTS!$L$92,LISTS!$R$5:$R$10,0),INPUTS!$C$223,INPUTS!$C$257,INPUTS!$C$291,INPUTS!$C$325,INPUTS!$C$359,INPUTS!$C$393),"")&amp;"")</f>
        <v/>
      </c>
      <c r="D150" s="123" t="n">
        <f aca="false">IF(INPUTS!$E$92&lt;&gt;"Yes",0,N(IFERROR(CHOOSE(MATCH(INPUTS!$L$92,LISTS!$R$5:$R$10,0),INPUTS!$D$223,INPUTS!$D$257,INPUTS!$D$291,INPUTS!$D$325,INPUTS!$D$359,INPUTS!$D$393),"")))</f>
        <v>0</v>
      </c>
      <c r="E150" s="124" t="n">
        <f aca="false">IF(INPUTS!$E$92&lt;&gt;"Yes",0,N(IFERROR(CHOOSE(MATCH(INPUTS!$L$92,LISTS!$R$5:$R$10,0),INPUTS!$E$223,INPUTS!$E$257,INPUTS!$E$291,INPUTS!$E$325,INPUTS!$E$359,INPUTS!$E$393),"")))</f>
        <v>0</v>
      </c>
      <c r="F150" s="125" t="str">
        <f aca="false">IF(AND(C150="Construction % complete",E150&gt;0),MAX(COUNTIF(CURVES!$D$65:$AQ$65,"&lt;"&amp;(D150-0.000000001))+1,INPUTS!$R$92),"")</f>
        <v/>
      </c>
      <c r="G150" s="126" t="str">
        <f aca="false">IF(E150=0,"",IF(C150="Booking + quarters",IF(D150=0,"at booking",D150&amp;" qtr(s) after booking"),IF(F150&gt;INPUTS!$C$24,"NOT REACHED in model","construction "&amp;TEXT(D150,"0%")&amp;" reached in Q"&amp;F150)))</f>
        <v/>
      </c>
      <c r="H150" s="126"/>
      <c r="I150" s="126"/>
      <c r="J150" s="126"/>
      <c r="K150" s="126"/>
      <c r="L150" s="126"/>
    </row>
    <row r="151" customFormat="false" ht="15" hidden="false" customHeight="false" outlineLevel="0" collapsed="false">
      <c r="B151" s="121" t="str">
        <f aca="false">IF(INPUTS!$E$92&lt;&gt;"Yes","",IFERROR(CHOOSE(MATCH(INPUTS!$L$92,LISTS!$R$5:$R$10,0),INPUTS!$B$224,INPUTS!$B$258,INPUTS!$B$292,INPUTS!$B$326,INPUTS!$B$360,INPUTS!$B$394),"")&amp;"")</f>
        <v/>
      </c>
      <c r="C151" s="122" t="str">
        <f aca="false">IF(INPUTS!$E$92&lt;&gt;"Yes","",IFERROR(CHOOSE(MATCH(INPUTS!$L$92,LISTS!$R$5:$R$10,0),INPUTS!$C$224,INPUTS!$C$258,INPUTS!$C$292,INPUTS!$C$326,INPUTS!$C$360,INPUTS!$C$394),"")&amp;"")</f>
        <v/>
      </c>
      <c r="D151" s="123" t="n">
        <f aca="false">IF(INPUTS!$E$92&lt;&gt;"Yes",0,N(IFERROR(CHOOSE(MATCH(INPUTS!$L$92,LISTS!$R$5:$R$10,0),INPUTS!$D$224,INPUTS!$D$258,INPUTS!$D$292,INPUTS!$D$326,INPUTS!$D$360,INPUTS!$D$394),"")))</f>
        <v>0</v>
      </c>
      <c r="E151" s="124" t="n">
        <f aca="false">IF(INPUTS!$E$92&lt;&gt;"Yes",0,N(IFERROR(CHOOSE(MATCH(INPUTS!$L$92,LISTS!$R$5:$R$10,0),INPUTS!$E$224,INPUTS!$E$258,INPUTS!$E$292,INPUTS!$E$326,INPUTS!$E$360,INPUTS!$E$394),"")))</f>
        <v>0</v>
      </c>
      <c r="F151" s="125" t="str">
        <f aca="false">IF(AND(C151="Construction % complete",E151&gt;0),MAX(COUNTIF(CURVES!$D$65:$AQ$65,"&lt;"&amp;(D151-0.000000001))+1,INPUTS!$R$92),"")</f>
        <v/>
      </c>
      <c r="G151" s="126" t="str">
        <f aca="false">IF(E151=0,"",IF(C151="Booking + quarters",IF(D151=0,"at booking",D151&amp;" qtr(s) after booking"),IF(F151&gt;INPUTS!$C$24,"NOT REACHED in model","construction "&amp;TEXT(D151,"0%")&amp;" reached in Q"&amp;F151)))</f>
        <v/>
      </c>
      <c r="H151" s="126"/>
      <c r="I151" s="126"/>
      <c r="J151" s="126"/>
      <c r="K151" s="126"/>
      <c r="L151" s="126"/>
    </row>
    <row r="152" customFormat="false" ht="15" hidden="false" customHeight="false" outlineLevel="0" collapsed="false">
      <c r="B152" s="121" t="str">
        <f aca="false">IF(INPUTS!$E$92&lt;&gt;"Yes","",IFERROR(CHOOSE(MATCH(INPUTS!$L$92,LISTS!$R$5:$R$10,0),INPUTS!$B$225,INPUTS!$B$259,INPUTS!$B$293,INPUTS!$B$327,INPUTS!$B$361,INPUTS!$B$395),"")&amp;"")</f>
        <v/>
      </c>
      <c r="C152" s="122" t="str">
        <f aca="false">IF(INPUTS!$E$92&lt;&gt;"Yes","",IFERROR(CHOOSE(MATCH(INPUTS!$L$92,LISTS!$R$5:$R$10,0),INPUTS!$C$225,INPUTS!$C$259,INPUTS!$C$293,INPUTS!$C$327,INPUTS!$C$361,INPUTS!$C$395),"")&amp;"")</f>
        <v/>
      </c>
      <c r="D152" s="123" t="n">
        <f aca="false">IF(INPUTS!$E$92&lt;&gt;"Yes",0,N(IFERROR(CHOOSE(MATCH(INPUTS!$L$92,LISTS!$R$5:$R$10,0),INPUTS!$D$225,INPUTS!$D$259,INPUTS!$D$293,INPUTS!$D$327,INPUTS!$D$361,INPUTS!$D$395),"")))</f>
        <v>0</v>
      </c>
      <c r="E152" s="124" t="n">
        <f aca="false">IF(INPUTS!$E$92&lt;&gt;"Yes",0,N(IFERROR(CHOOSE(MATCH(INPUTS!$L$92,LISTS!$R$5:$R$10,0),INPUTS!$E$225,INPUTS!$E$259,INPUTS!$E$293,INPUTS!$E$327,INPUTS!$E$361,INPUTS!$E$395),"")))</f>
        <v>0</v>
      </c>
      <c r="F152" s="125" t="str">
        <f aca="false">IF(AND(C152="Construction % complete",E152&gt;0),MAX(COUNTIF(CURVES!$D$65:$AQ$65,"&lt;"&amp;(D152-0.000000001))+1,INPUTS!$R$92),"")</f>
        <v/>
      </c>
      <c r="G152" s="126" t="str">
        <f aca="false">IF(E152=0,"",IF(C152="Booking + quarters",IF(D152=0,"at booking",D152&amp;" qtr(s) after booking"),IF(F152&gt;INPUTS!$C$24,"NOT REACHED in model","construction "&amp;TEXT(D152,"0%")&amp;" reached in Q"&amp;F152)))</f>
        <v/>
      </c>
      <c r="H152" s="126"/>
      <c r="I152" s="126"/>
      <c r="J152" s="126"/>
      <c r="K152" s="126"/>
      <c r="L152" s="126"/>
    </row>
    <row r="153" customFormat="false" ht="15" hidden="false" customHeight="false" outlineLevel="0" collapsed="false">
      <c r="B153" s="121" t="str">
        <f aca="false">IF(INPUTS!$E$92&lt;&gt;"Yes","",IFERROR(CHOOSE(MATCH(INPUTS!$L$92,LISTS!$R$5:$R$10,0),INPUTS!$B$226,INPUTS!$B$260,INPUTS!$B$294,INPUTS!$B$328,INPUTS!$B$362,INPUTS!$B$396),"")&amp;"")</f>
        <v/>
      </c>
      <c r="C153" s="122" t="str">
        <f aca="false">IF(INPUTS!$E$92&lt;&gt;"Yes","",IFERROR(CHOOSE(MATCH(INPUTS!$L$92,LISTS!$R$5:$R$10,0),INPUTS!$C$226,INPUTS!$C$260,INPUTS!$C$294,INPUTS!$C$328,INPUTS!$C$362,INPUTS!$C$396),"")&amp;"")</f>
        <v/>
      </c>
      <c r="D153" s="123" t="n">
        <f aca="false">IF(INPUTS!$E$92&lt;&gt;"Yes",0,N(IFERROR(CHOOSE(MATCH(INPUTS!$L$92,LISTS!$R$5:$R$10,0),INPUTS!$D$226,INPUTS!$D$260,INPUTS!$D$294,INPUTS!$D$328,INPUTS!$D$362,INPUTS!$D$396),"")))</f>
        <v>0</v>
      </c>
      <c r="E153" s="124" t="n">
        <f aca="false">IF(INPUTS!$E$92&lt;&gt;"Yes",0,N(IFERROR(CHOOSE(MATCH(INPUTS!$L$92,LISTS!$R$5:$R$10,0),INPUTS!$E$226,INPUTS!$E$260,INPUTS!$E$294,INPUTS!$E$328,INPUTS!$E$362,INPUTS!$E$396),"")))</f>
        <v>0</v>
      </c>
      <c r="F153" s="125" t="str">
        <f aca="false">IF(AND(C153="Construction % complete",E153&gt;0),MAX(COUNTIF(CURVES!$D$65:$AQ$65,"&lt;"&amp;(D153-0.000000001))+1,INPUTS!$R$92),"")</f>
        <v/>
      </c>
      <c r="G153" s="126" t="str">
        <f aca="false">IF(E153=0,"",IF(C153="Booking + quarters",IF(D153=0,"at booking",D153&amp;" qtr(s) after booking"),IF(F153&gt;INPUTS!$C$24,"NOT REACHED in model","construction "&amp;TEXT(D153,"0%")&amp;" reached in Q"&amp;F153)))</f>
        <v/>
      </c>
      <c r="H153" s="126"/>
      <c r="I153" s="126"/>
      <c r="J153" s="126"/>
      <c r="K153" s="126"/>
      <c r="L153" s="126"/>
    </row>
    <row r="154" customFormat="false" ht="15" hidden="false" customHeight="false" outlineLevel="0" collapsed="false">
      <c r="B154" s="121" t="str">
        <f aca="false">IF(INPUTS!$E$92&lt;&gt;"Yes","",IFERROR(CHOOSE(MATCH(INPUTS!$L$92,LISTS!$R$5:$R$10,0),INPUTS!$B$227,INPUTS!$B$261,INPUTS!$B$295,INPUTS!$B$329,INPUTS!$B$363,INPUTS!$B$397),"")&amp;"")</f>
        <v/>
      </c>
      <c r="C154" s="122" t="str">
        <f aca="false">IF(INPUTS!$E$92&lt;&gt;"Yes","",IFERROR(CHOOSE(MATCH(INPUTS!$L$92,LISTS!$R$5:$R$10,0),INPUTS!$C$227,INPUTS!$C$261,INPUTS!$C$295,INPUTS!$C$329,INPUTS!$C$363,INPUTS!$C$397),"")&amp;"")</f>
        <v/>
      </c>
      <c r="D154" s="123" t="n">
        <f aca="false">IF(INPUTS!$E$92&lt;&gt;"Yes",0,N(IFERROR(CHOOSE(MATCH(INPUTS!$L$92,LISTS!$R$5:$R$10,0),INPUTS!$D$227,INPUTS!$D$261,INPUTS!$D$295,INPUTS!$D$329,INPUTS!$D$363,INPUTS!$D$397),"")))</f>
        <v>0</v>
      </c>
      <c r="E154" s="124" t="n">
        <f aca="false">IF(INPUTS!$E$92&lt;&gt;"Yes",0,N(IFERROR(CHOOSE(MATCH(INPUTS!$L$92,LISTS!$R$5:$R$10,0),INPUTS!$E$227,INPUTS!$E$261,INPUTS!$E$295,INPUTS!$E$329,INPUTS!$E$363,INPUTS!$E$397),"")))</f>
        <v>0</v>
      </c>
      <c r="F154" s="125" t="str">
        <f aca="false">IF(AND(C154="Construction % complete",E154&gt;0),MAX(COUNTIF(CURVES!$D$65:$AQ$65,"&lt;"&amp;(D154-0.000000001))+1,INPUTS!$R$92),"")</f>
        <v/>
      </c>
      <c r="G154" s="126" t="str">
        <f aca="false">IF(E154=0,"",IF(C154="Booking + quarters",IF(D154=0,"at booking",D154&amp;" qtr(s) after booking"),IF(F154&gt;INPUTS!$C$24,"NOT REACHED in model","construction "&amp;TEXT(D154,"0%")&amp;" reached in Q"&amp;F154)))</f>
        <v/>
      </c>
      <c r="H154" s="126"/>
      <c r="I154" s="126"/>
      <c r="J154" s="126"/>
      <c r="K154" s="126"/>
      <c r="L154" s="126"/>
    </row>
    <row r="155" customFormat="false" ht="15" hidden="false" customHeight="false" outlineLevel="0" collapsed="false">
      <c r="B155" s="121" t="str">
        <f aca="false">IF(INPUTS!$E$92&lt;&gt;"Yes","",IFERROR(CHOOSE(MATCH(INPUTS!$L$92,LISTS!$R$5:$R$10,0),INPUTS!$B$228,INPUTS!$B$262,INPUTS!$B$296,INPUTS!$B$330,INPUTS!$B$364,INPUTS!$B$398),"")&amp;"")</f>
        <v/>
      </c>
      <c r="C155" s="122" t="str">
        <f aca="false">IF(INPUTS!$E$92&lt;&gt;"Yes","",IFERROR(CHOOSE(MATCH(INPUTS!$L$92,LISTS!$R$5:$R$10,0),INPUTS!$C$228,INPUTS!$C$262,INPUTS!$C$296,INPUTS!$C$330,INPUTS!$C$364,INPUTS!$C$398),"")&amp;"")</f>
        <v/>
      </c>
      <c r="D155" s="123" t="n">
        <f aca="false">IF(INPUTS!$E$92&lt;&gt;"Yes",0,N(IFERROR(CHOOSE(MATCH(INPUTS!$L$92,LISTS!$R$5:$R$10,0),INPUTS!$D$228,INPUTS!$D$262,INPUTS!$D$296,INPUTS!$D$330,INPUTS!$D$364,INPUTS!$D$398),"")))</f>
        <v>0</v>
      </c>
      <c r="E155" s="124" t="n">
        <f aca="false">IF(INPUTS!$E$92&lt;&gt;"Yes",0,N(IFERROR(CHOOSE(MATCH(INPUTS!$L$92,LISTS!$R$5:$R$10,0),INPUTS!$E$228,INPUTS!$E$262,INPUTS!$E$296,INPUTS!$E$330,INPUTS!$E$364,INPUTS!$E$398),"")))</f>
        <v>0</v>
      </c>
      <c r="F155" s="125" t="str">
        <f aca="false">IF(AND(C155="Construction % complete",E155&gt;0),MAX(COUNTIF(CURVES!$D$65:$AQ$65,"&lt;"&amp;(D155-0.000000001))+1,INPUTS!$R$92),"")</f>
        <v/>
      </c>
      <c r="G155" s="126" t="str">
        <f aca="false">IF(E155=0,"",IF(C155="Booking + quarters",IF(D155=0,"at booking",D155&amp;" qtr(s) after booking"),IF(F155&gt;INPUTS!$C$24,"NOT REACHED in model","construction "&amp;TEXT(D155,"0%")&amp;" reached in Q"&amp;F155)))</f>
        <v/>
      </c>
      <c r="H155" s="126"/>
      <c r="I155" s="126"/>
      <c r="J155" s="126"/>
      <c r="K155" s="126"/>
      <c r="L155" s="126"/>
    </row>
    <row r="156" customFormat="false" ht="15" hidden="false" customHeight="false" outlineLevel="0" collapsed="false">
      <c r="B156" s="121" t="str">
        <f aca="false">IF(INPUTS!$E$92&lt;&gt;"Yes","",IFERROR(CHOOSE(MATCH(INPUTS!$L$92,LISTS!$R$5:$R$10,0),INPUTS!$B$229,INPUTS!$B$263,INPUTS!$B$297,INPUTS!$B$331,INPUTS!$B$365,INPUTS!$B$399),"")&amp;"")</f>
        <v/>
      </c>
      <c r="C156" s="122" t="str">
        <f aca="false">IF(INPUTS!$E$92&lt;&gt;"Yes","",IFERROR(CHOOSE(MATCH(INPUTS!$L$92,LISTS!$R$5:$R$10,0),INPUTS!$C$229,INPUTS!$C$263,INPUTS!$C$297,INPUTS!$C$331,INPUTS!$C$365,INPUTS!$C$399),"")&amp;"")</f>
        <v/>
      </c>
      <c r="D156" s="123" t="n">
        <f aca="false">IF(INPUTS!$E$92&lt;&gt;"Yes",0,N(IFERROR(CHOOSE(MATCH(INPUTS!$L$92,LISTS!$R$5:$R$10,0),INPUTS!$D$229,INPUTS!$D$263,INPUTS!$D$297,INPUTS!$D$331,INPUTS!$D$365,INPUTS!$D$399),"")))</f>
        <v>0</v>
      </c>
      <c r="E156" s="124" t="n">
        <f aca="false">IF(INPUTS!$E$92&lt;&gt;"Yes",0,N(IFERROR(CHOOSE(MATCH(INPUTS!$L$92,LISTS!$R$5:$R$10,0),INPUTS!$E$229,INPUTS!$E$263,INPUTS!$E$297,INPUTS!$E$331,INPUTS!$E$365,INPUTS!$E$399),"")))</f>
        <v>0</v>
      </c>
      <c r="F156" s="125" t="str">
        <f aca="false">IF(AND(C156="Construction % complete",E156&gt;0),MAX(COUNTIF(CURVES!$D$65:$AQ$65,"&lt;"&amp;(D156-0.000000001))+1,INPUTS!$R$92),"")</f>
        <v/>
      </c>
      <c r="G156" s="126" t="str">
        <f aca="false">IF(E156=0,"",IF(C156="Booking + quarters",IF(D156=0,"at booking",D156&amp;" qtr(s) after booking"),IF(F156&gt;INPUTS!$C$24,"NOT REACHED in model","construction "&amp;TEXT(D156,"0%")&amp;" reached in Q"&amp;F156)))</f>
        <v/>
      </c>
      <c r="H156" s="126"/>
      <c r="I156" s="126"/>
      <c r="J156" s="126"/>
      <c r="K156" s="126"/>
      <c r="L156" s="126"/>
    </row>
    <row r="157" customFormat="false" ht="15" hidden="false" customHeight="false" outlineLevel="0" collapsed="false">
      <c r="B157" s="121" t="str">
        <f aca="false">IF(INPUTS!$E$92&lt;&gt;"Yes","",IFERROR(CHOOSE(MATCH(INPUTS!$L$92,LISTS!$R$5:$R$10,0),INPUTS!$B$230,INPUTS!$B$264,INPUTS!$B$298,INPUTS!$B$332,INPUTS!$B$366,INPUTS!$B$400),"")&amp;"")</f>
        <v/>
      </c>
      <c r="C157" s="122" t="str">
        <f aca="false">IF(INPUTS!$E$92&lt;&gt;"Yes","",IFERROR(CHOOSE(MATCH(INPUTS!$L$92,LISTS!$R$5:$R$10,0),INPUTS!$C$230,INPUTS!$C$264,INPUTS!$C$298,INPUTS!$C$332,INPUTS!$C$366,INPUTS!$C$400),"")&amp;"")</f>
        <v/>
      </c>
      <c r="D157" s="123" t="n">
        <f aca="false">IF(INPUTS!$E$92&lt;&gt;"Yes",0,N(IFERROR(CHOOSE(MATCH(INPUTS!$L$92,LISTS!$R$5:$R$10,0),INPUTS!$D$230,INPUTS!$D$264,INPUTS!$D$298,INPUTS!$D$332,INPUTS!$D$366,INPUTS!$D$400),"")))</f>
        <v>0</v>
      </c>
      <c r="E157" s="124" t="n">
        <f aca="false">IF(INPUTS!$E$92&lt;&gt;"Yes",0,N(IFERROR(CHOOSE(MATCH(INPUTS!$L$92,LISTS!$R$5:$R$10,0),INPUTS!$E$230,INPUTS!$E$264,INPUTS!$E$298,INPUTS!$E$332,INPUTS!$E$366,INPUTS!$E$400),"")))</f>
        <v>0</v>
      </c>
      <c r="F157" s="125" t="str">
        <f aca="false">IF(AND(C157="Construction % complete",E157&gt;0),MAX(COUNTIF(CURVES!$D$65:$AQ$65,"&lt;"&amp;(D157-0.000000001))+1,INPUTS!$R$92),"")</f>
        <v/>
      </c>
      <c r="G157" s="126" t="str">
        <f aca="false">IF(E157=0,"",IF(C157="Booking + quarters",IF(D157=0,"at booking",D157&amp;" qtr(s) after booking"),IF(F157&gt;INPUTS!$C$24,"NOT REACHED in model","construction "&amp;TEXT(D157,"0%")&amp;" reached in Q"&amp;F157)))</f>
        <v/>
      </c>
      <c r="H157" s="126"/>
      <c r="I157" s="126"/>
      <c r="J157" s="126"/>
      <c r="K157" s="126"/>
      <c r="L157" s="126"/>
    </row>
    <row r="158" customFormat="false" ht="15" hidden="false" customHeight="false" outlineLevel="0" collapsed="false">
      <c r="B158" s="121" t="str">
        <f aca="false">IF(INPUTS!$E$92&lt;&gt;"Yes","",IFERROR(CHOOSE(MATCH(INPUTS!$L$92,LISTS!$R$5:$R$10,0),INPUTS!$B$231,INPUTS!$B$265,INPUTS!$B$299,INPUTS!$B$333,INPUTS!$B$367,INPUTS!$B$401),"")&amp;"")</f>
        <v/>
      </c>
      <c r="C158" s="122" t="str">
        <f aca="false">IF(INPUTS!$E$92&lt;&gt;"Yes","",IFERROR(CHOOSE(MATCH(INPUTS!$L$92,LISTS!$R$5:$R$10,0),INPUTS!$C$231,INPUTS!$C$265,INPUTS!$C$299,INPUTS!$C$333,INPUTS!$C$367,INPUTS!$C$401),"")&amp;"")</f>
        <v/>
      </c>
      <c r="D158" s="123" t="n">
        <f aca="false">IF(INPUTS!$E$92&lt;&gt;"Yes",0,N(IFERROR(CHOOSE(MATCH(INPUTS!$L$92,LISTS!$R$5:$R$10,0),INPUTS!$D$231,INPUTS!$D$265,INPUTS!$D$299,INPUTS!$D$333,INPUTS!$D$367,INPUTS!$D$401),"")))</f>
        <v>0</v>
      </c>
      <c r="E158" s="124" t="n">
        <f aca="false">IF(INPUTS!$E$92&lt;&gt;"Yes",0,N(IFERROR(CHOOSE(MATCH(INPUTS!$L$92,LISTS!$R$5:$R$10,0),INPUTS!$E$231,INPUTS!$E$265,INPUTS!$E$299,INPUTS!$E$333,INPUTS!$E$367,INPUTS!$E$401),"")))</f>
        <v>0</v>
      </c>
      <c r="F158" s="125" t="str">
        <f aca="false">IF(AND(C158="Construction % complete",E158&gt;0),MAX(COUNTIF(CURVES!$D$65:$AQ$65,"&lt;"&amp;(D158-0.000000001))+1,INPUTS!$R$92),"")</f>
        <v/>
      </c>
      <c r="G158" s="126" t="str">
        <f aca="false">IF(E158=0,"",IF(C158="Booking + quarters",IF(D158=0,"at booking",D158&amp;" qtr(s) after booking"),IF(F158&gt;INPUTS!$C$24,"NOT REACHED in model","construction "&amp;TEXT(D158,"0%")&amp;" reached in Q"&amp;F158)))</f>
        <v/>
      </c>
      <c r="H158" s="126"/>
      <c r="I158" s="126"/>
      <c r="J158" s="126"/>
      <c r="K158" s="126"/>
      <c r="L158" s="126"/>
    </row>
    <row r="159" customFormat="false" ht="15" hidden="false" customHeight="false" outlineLevel="0" collapsed="false">
      <c r="B159" s="121" t="str">
        <f aca="false">IF(INPUTS!$E$92&lt;&gt;"Yes","",IFERROR(CHOOSE(MATCH(INPUTS!$L$92,LISTS!$R$5:$R$10,0),INPUTS!$B$232,INPUTS!$B$266,INPUTS!$B$300,INPUTS!$B$334,INPUTS!$B$368,INPUTS!$B$402),"")&amp;"")</f>
        <v/>
      </c>
      <c r="C159" s="122" t="str">
        <f aca="false">IF(INPUTS!$E$92&lt;&gt;"Yes","",IFERROR(CHOOSE(MATCH(INPUTS!$L$92,LISTS!$R$5:$R$10,0),INPUTS!$C$232,INPUTS!$C$266,INPUTS!$C$300,INPUTS!$C$334,INPUTS!$C$368,INPUTS!$C$402),"")&amp;"")</f>
        <v/>
      </c>
      <c r="D159" s="123" t="n">
        <f aca="false">IF(INPUTS!$E$92&lt;&gt;"Yes",0,N(IFERROR(CHOOSE(MATCH(INPUTS!$L$92,LISTS!$R$5:$R$10,0),INPUTS!$D$232,INPUTS!$D$266,INPUTS!$D$300,INPUTS!$D$334,INPUTS!$D$368,INPUTS!$D$402),"")))</f>
        <v>0</v>
      </c>
      <c r="E159" s="124" t="n">
        <f aca="false">IF(INPUTS!$E$92&lt;&gt;"Yes",0,N(IFERROR(CHOOSE(MATCH(INPUTS!$L$92,LISTS!$R$5:$R$10,0),INPUTS!$E$232,INPUTS!$E$266,INPUTS!$E$300,INPUTS!$E$334,INPUTS!$E$368,INPUTS!$E$402),"")))</f>
        <v>0</v>
      </c>
      <c r="F159" s="125" t="str">
        <f aca="false">IF(AND(C159="Construction % complete",E159&gt;0),MAX(COUNTIF(CURVES!$D$65:$AQ$65,"&lt;"&amp;(D159-0.000000001))+1,INPUTS!$R$92),"")</f>
        <v/>
      </c>
      <c r="G159" s="126" t="str">
        <f aca="false">IF(E159=0,"",IF(C159="Booking + quarters",IF(D159=0,"at booking",D159&amp;" qtr(s) after booking"),IF(F159&gt;INPUTS!$C$24,"NOT REACHED in model","construction "&amp;TEXT(D159,"0%")&amp;" reached in Q"&amp;F159)))</f>
        <v/>
      </c>
      <c r="H159" s="126"/>
      <c r="I159" s="126"/>
      <c r="J159" s="126"/>
      <c r="K159" s="126"/>
      <c r="L159" s="126"/>
    </row>
    <row r="160" customFormat="false" ht="15" hidden="false" customHeight="false" outlineLevel="0" collapsed="false">
      <c r="B160" s="121" t="str">
        <f aca="false">IF(INPUTS!$E$92&lt;&gt;"Yes","",IFERROR(CHOOSE(MATCH(INPUTS!$L$92,LISTS!$R$5:$R$10,0),INPUTS!$B$233,INPUTS!$B$267,INPUTS!$B$301,INPUTS!$B$335,INPUTS!$B$369,INPUTS!$B$403),"")&amp;"")</f>
        <v/>
      </c>
      <c r="C160" s="122" t="str">
        <f aca="false">IF(INPUTS!$E$92&lt;&gt;"Yes","",IFERROR(CHOOSE(MATCH(INPUTS!$L$92,LISTS!$R$5:$R$10,0),INPUTS!$C$233,INPUTS!$C$267,INPUTS!$C$301,INPUTS!$C$335,INPUTS!$C$369,INPUTS!$C$403),"")&amp;"")</f>
        <v/>
      </c>
      <c r="D160" s="123" t="n">
        <f aca="false">IF(INPUTS!$E$92&lt;&gt;"Yes",0,N(IFERROR(CHOOSE(MATCH(INPUTS!$L$92,LISTS!$R$5:$R$10,0),INPUTS!$D$233,INPUTS!$D$267,INPUTS!$D$301,INPUTS!$D$335,INPUTS!$D$369,INPUTS!$D$403),"")))</f>
        <v>0</v>
      </c>
      <c r="E160" s="124" t="n">
        <f aca="false">IF(INPUTS!$E$92&lt;&gt;"Yes",0,N(IFERROR(CHOOSE(MATCH(INPUTS!$L$92,LISTS!$R$5:$R$10,0),INPUTS!$E$233,INPUTS!$E$267,INPUTS!$E$301,INPUTS!$E$335,INPUTS!$E$369,INPUTS!$E$403),"")))</f>
        <v>0</v>
      </c>
      <c r="F160" s="125" t="str">
        <f aca="false">IF(AND(C160="Construction % complete",E160&gt;0),MAX(COUNTIF(CURVES!$D$65:$AQ$65,"&lt;"&amp;(D160-0.000000001))+1,INPUTS!$R$92),"")</f>
        <v/>
      </c>
      <c r="G160" s="126" t="str">
        <f aca="false">IF(E160=0,"",IF(C160="Booking + quarters",IF(D160=0,"at booking",D160&amp;" qtr(s) after booking"),IF(F160&gt;INPUTS!$C$24,"NOT REACHED in model","construction "&amp;TEXT(D160,"0%")&amp;" reached in Q"&amp;F160)))</f>
        <v/>
      </c>
      <c r="H160" s="126"/>
      <c r="I160" s="126"/>
      <c r="J160" s="126"/>
      <c r="K160" s="126"/>
      <c r="L160" s="126"/>
    </row>
    <row r="161" customFormat="false" ht="15" hidden="false" customHeight="false" outlineLevel="0" collapsed="false">
      <c r="B161" s="121" t="str">
        <f aca="false">IF(INPUTS!$E$92&lt;&gt;"Yes","",IFERROR(CHOOSE(MATCH(INPUTS!$L$92,LISTS!$R$5:$R$10,0),INPUTS!$B$234,INPUTS!$B$268,INPUTS!$B$302,INPUTS!$B$336,INPUTS!$B$370,INPUTS!$B$404),"")&amp;"")</f>
        <v/>
      </c>
      <c r="C161" s="122" t="str">
        <f aca="false">IF(INPUTS!$E$92&lt;&gt;"Yes","",IFERROR(CHOOSE(MATCH(INPUTS!$L$92,LISTS!$R$5:$R$10,0),INPUTS!$C$234,INPUTS!$C$268,INPUTS!$C$302,INPUTS!$C$336,INPUTS!$C$370,INPUTS!$C$404),"")&amp;"")</f>
        <v/>
      </c>
      <c r="D161" s="123" t="n">
        <f aca="false">IF(INPUTS!$E$92&lt;&gt;"Yes",0,N(IFERROR(CHOOSE(MATCH(INPUTS!$L$92,LISTS!$R$5:$R$10,0),INPUTS!$D$234,INPUTS!$D$268,INPUTS!$D$302,INPUTS!$D$336,INPUTS!$D$370,INPUTS!$D$404),"")))</f>
        <v>0</v>
      </c>
      <c r="E161" s="124" t="n">
        <f aca="false">IF(INPUTS!$E$92&lt;&gt;"Yes",0,N(IFERROR(CHOOSE(MATCH(INPUTS!$L$92,LISTS!$R$5:$R$10,0),INPUTS!$E$234,INPUTS!$E$268,INPUTS!$E$302,INPUTS!$E$336,INPUTS!$E$370,INPUTS!$E$404),"")))</f>
        <v>0</v>
      </c>
      <c r="F161" s="125" t="str">
        <f aca="false">IF(AND(C161="Construction % complete",E161&gt;0),MAX(COUNTIF(CURVES!$D$65:$AQ$65,"&lt;"&amp;(D161-0.000000001))+1,INPUTS!$R$92),"")</f>
        <v/>
      </c>
      <c r="G161" s="126" t="str">
        <f aca="false">IF(E161=0,"",IF(C161="Booking + quarters",IF(D161=0,"at booking",D161&amp;" qtr(s) after booking"),IF(F161&gt;INPUTS!$C$24,"NOT REACHED in model","construction "&amp;TEXT(D161,"0%")&amp;" reached in Q"&amp;F161)))</f>
        <v/>
      </c>
      <c r="H161" s="126"/>
      <c r="I161" s="126"/>
      <c r="J161" s="126"/>
      <c r="K161" s="126"/>
      <c r="L161" s="126"/>
    </row>
    <row r="162" customFormat="false" ht="15" hidden="false" customHeight="false" outlineLevel="0" collapsed="false">
      <c r="B162" s="121" t="str">
        <f aca="false">IF(INPUTS!$E$92&lt;&gt;"Yes","",IFERROR(CHOOSE(MATCH(INPUTS!$L$92,LISTS!$R$5:$R$10,0),INPUTS!$B$235,INPUTS!$B$269,INPUTS!$B$303,INPUTS!$B$337,INPUTS!$B$371,INPUTS!$B$405),"")&amp;"")</f>
        <v/>
      </c>
      <c r="C162" s="122" t="str">
        <f aca="false">IF(INPUTS!$E$92&lt;&gt;"Yes","",IFERROR(CHOOSE(MATCH(INPUTS!$L$92,LISTS!$R$5:$R$10,0),INPUTS!$C$235,INPUTS!$C$269,INPUTS!$C$303,INPUTS!$C$337,INPUTS!$C$371,INPUTS!$C$405),"")&amp;"")</f>
        <v/>
      </c>
      <c r="D162" s="123" t="n">
        <f aca="false">IF(INPUTS!$E$92&lt;&gt;"Yes",0,N(IFERROR(CHOOSE(MATCH(INPUTS!$L$92,LISTS!$R$5:$R$10,0),INPUTS!$D$235,INPUTS!$D$269,INPUTS!$D$303,INPUTS!$D$337,INPUTS!$D$371,INPUTS!$D$405),"")))</f>
        <v>0</v>
      </c>
      <c r="E162" s="124" t="n">
        <f aca="false">IF(INPUTS!$E$92&lt;&gt;"Yes",0,N(IFERROR(CHOOSE(MATCH(INPUTS!$L$92,LISTS!$R$5:$R$10,0),INPUTS!$E$235,INPUTS!$E$269,INPUTS!$E$303,INPUTS!$E$337,INPUTS!$E$371,INPUTS!$E$405),"")))</f>
        <v>0</v>
      </c>
      <c r="F162" s="125" t="str">
        <f aca="false">IF(AND(C162="Construction % complete",E162&gt;0),MAX(COUNTIF(CURVES!$D$65:$AQ$65,"&lt;"&amp;(D162-0.000000001))+1,INPUTS!$R$92),"")</f>
        <v/>
      </c>
      <c r="G162" s="126" t="str">
        <f aca="false">IF(E162=0,"",IF(C162="Booking + quarters",IF(D162=0,"at booking",D162&amp;" qtr(s) after booking"),IF(F162&gt;INPUTS!$C$24,"NOT REACHED in model","construction "&amp;TEXT(D162,"0%")&amp;" reached in Q"&amp;F162)))</f>
        <v/>
      </c>
      <c r="H162" s="126"/>
      <c r="I162" s="126"/>
      <c r="J162" s="126"/>
      <c r="K162" s="126"/>
      <c r="L162" s="126"/>
    </row>
    <row r="163" customFormat="false" ht="15" hidden="false" customHeight="false" outlineLevel="0" collapsed="false">
      <c r="B163" s="121" t="str">
        <f aca="false">IF(INPUTS!$E$92&lt;&gt;"Yes","",IFERROR(CHOOSE(MATCH(INPUTS!$L$92,LISTS!$R$5:$R$10,0),INPUTS!$B$236,INPUTS!$B$270,INPUTS!$B$304,INPUTS!$B$338,INPUTS!$B$372,INPUTS!$B$406),"")&amp;"")</f>
        <v/>
      </c>
      <c r="C163" s="122" t="str">
        <f aca="false">IF(INPUTS!$E$92&lt;&gt;"Yes","",IFERROR(CHOOSE(MATCH(INPUTS!$L$92,LISTS!$R$5:$R$10,0),INPUTS!$C$236,INPUTS!$C$270,INPUTS!$C$304,INPUTS!$C$338,INPUTS!$C$372,INPUTS!$C$406),"")&amp;"")</f>
        <v/>
      </c>
      <c r="D163" s="123" t="n">
        <f aca="false">IF(INPUTS!$E$92&lt;&gt;"Yes",0,N(IFERROR(CHOOSE(MATCH(INPUTS!$L$92,LISTS!$R$5:$R$10,0),INPUTS!$D$236,INPUTS!$D$270,INPUTS!$D$304,INPUTS!$D$338,INPUTS!$D$372,INPUTS!$D$406),"")))</f>
        <v>0</v>
      </c>
      <c r="E163" s="124" t="n">
        <f aca="false">IF(INPUTS!$E$92&lt;&gt;"Yes",0,N(IFERROR(CHOOSE(MATCH(INPUTS!$L$92,LISTS!$R$5:$R$10,0),INPUTS!$E$236,INPUTS!$E$270,INPUTS!$E$304,INPUTS!$E$338,INPUTS!$E$372,INPUTS!$E$406),"")))</f>
        <v>0</v>
      </c>
      <c r="F163" s="125" t="str">
        <f aca="false">IF(AND(C163="Construction % complete",E163&gt;0),MAX(COUNTIF(CURVES!$D$65:$AQ$65,"&lt;"&amp;(D163-0.000000001))+1,INPUTS!$R$92),"")</f>
        <v/>
      </c>
      <c r="G163" s="126" t="str">
        <f aca="false">IF(E163=0,"",IF(C163="Booking + quarters",IF(D163=0,"at booking",D163&amp;" qtr(s) after booking"),IF(F163&gt;INPUTS!$C$24,"NOT REACHED in model","construction "&amp;TEXT(D163,"0%")&amp;" reached in Q"&amp;F163)))</f>
        <v/>
      </c>
      <c r="H163" s="126"/>
      <c r="I163" s="126"/>
      <c r="J163" s="126"/>
      <c r="K163" s="126"/>
      <c r="L163" s="126"/>
    </row>
    <row r="164" customFormat="false" ht="15" hidden="false" customHeight="false" outlineLevel="0" collapsed="false">
      <c r="B164" s="121" t="str">
        <f aca="false">IF(INPUTS!$E$92&lt;&gt;"Yes","",IFERROR(CHOOSE(MATCH(INPUTS!$L$92,LISTS!$R$5:$R$10,0),INPUTS!$B$237,INPUTS!$B$271,INPUTS!$B$305,INPUTS!$B$339,INPUTS!$B$373,INPUTS!$B$407),"")&amp;"")</f>
        <v/>
      </c>
      <c r="C164" s="122" t="str">
        <f aca="false">IF(INPUTS!$E$92&lt;&gt;"Yes","",IFERROR(CHOOSE(MATCH(INPUTS!$L$92,LISTS!$R$5:$R$10,0),INPUTS!$C$237,INPUTS!$C$271,INPUTS!$C$305,INPUTS!$C$339,INPUTS!$C$373,INPUTS!$C$407),"")&amp;"")</f>
        <v/>
      </c>
      <c r="D164" s="123" t="n">
        <f aca="false">IF(INPUTS!$E$92&lt;&gt;"Yes",0,N(IFERROR(CHOOSE(MATCH(INPUTS!$L$92,LISTS!$R$5:$R$10,0),INPUTS!$D$237,INPUTS!$D$271,INPUTS!$D$305,INPUTS!$D$339,INPUTS!$D$373,INPUTS!$D$407),"")))</f>
        <v>0</v>
      </c>
      <c r="E164" s="124" t="n">
        <f aca="false">IF(INPUTS!$E$92&lt;&gt;"Yes",0,N(IFERROR(CHOOSE(MATCH(INPUTS!$L$92,LISTS!$R$5:$R$10,0),INPUTS!$E$237,INPUTS!$E$271,INPUTS!$E$305,INPUTS!$E$339,INPUTS!$E$373,INPUTS!$E$407),"")))</f>
        <v>0</v>
      </c>
      <c r="F164" s="125" t="str">
        <f aca="false">IF(AND(C164="Construction % complete",E164&gt;0),MAX(COUNTIF(CURVES!$D$65:$AQ$65,"&lt;"&amp;(D164-0.000000001))+1,INPUTS!$R$92),"")</f>
        <v/>
      </c>
      <c r="G164" s="126" t="str">
        <f aca="false">IF(E164=0,"",IF(C164="Booking + quarters",IF(D164=0,"at booking",D164&amp;" qtr(s) after booking"),IF(F164&gt;INPUTS!$C$24,"NOT REACHED in model","construction "&amp;TEXT(D164,"0%")&amp;" reached in Q"&amp;F164)))</f>
        <v/>
      </c>
      <c r="H164" s="126"/>
      <c r="I164" s="126"/>
      <c r="J164" s="126"/>
      <c r="K164" s="126"/>
      <c r="L164" s="126"/>
    </row>
    <row r="165" customFormat="false" ht="15" hidden="false" customHeight="false" outlineLevel="0" collapsed="false">
      <c r="B165" s="121" t="str">
        <f aca="false">IF(INPUTS!$E$92&lt;&gt;"Yes","",IFERROR(CHOOSE(MATCH(INPUTS!$L$92,LISTS!$R$5:$R$10,0),INPUTS!$B$238,INPUTS!$B$272,INPUTS!$B$306,INPUTS!$B$340,INPUTS!$B$374,INPUTS!$B$408),"")&amp;"")</f>
        <v/>
      </c>
      <c r="C165" s="122" t="str">
        <f aca="false">IF(INPUTS!$E$92&lt;&gt;"Yes","",IFERROR(CHOOSE(MATCH(INPUTS!$L$92,LISTS!$R$5:$R$10,0),INPUTS!$C$238,INPUTS!$C$272,INPUTS!$C$306,INPUTS!$C$340,INPUTS!$C$374,INPUTS!$C$408),"")&amp;"")</f>
        <v/>
      </c>
      <c r="D165" s="123" t="n">
        <f aca="false">IF(INPUTS!$E$92&lt;&gt;"Yes",0,N(IFERROR(CHOOSE(MATCH(INPUTS!$L$92,LISTS!$R$5:$R$10,0),INPUTS!$D$238,INPUTS!$D$272,INPUTS!$D$306,INPUTS!$D$340,INPUTS!$D$374,INPUTS!$D$408),"")))</f>
        <v>0</v>
      </c>
      <c r="E165" s="124" t="n">
        <f aca="false">IF(INPUTS!$E$92&lt;&gt;"Yes",0,N(IFERROR(CHOOSE(MATCH(INPUTS!$L$92,LISTS!$R$5:$R$10,0),INPUTS!$E$238,INPUTS!$E$272,INPUTS!$E$306,INPUTS!$E$340,INPUTS!$E$374,INPUTS!$E$408),"")))</f>
        <v>0</v>
      </c>
      <c r="F165" s="125" t="str">
        <f aca="false">IF(AND(C165="Construction % complete",E165&gt;0),MAX(COUNTIF(CURVES!$D$65:$AQ$65,"&lt;"&amp;(D165-0.000000001))+1,INPUTS!$R$92),"")</f>
        <v/>
      </c>
      <c r="G165" s="126" t="str">
        <f aca="false">IF(E165=0,"",IF(C165="Booking + quarters",IF(D165=0,"at booking",D165&amp;" qtr(s) after booking"),IF(F165&gt;INPUTS!$C$24,"NOT REACHED in model","construction "&amp;TEXT(D165,"0%")&amp;" reached in Q"&amp;F165)))</f>
        <v/>
      </c>
      <c r="H165" s="126"/>
      <c r="I165" s="126"/>
      <c r="J165" s="126"/>
      <c r="K165" s="126"/>
      <c r="L165" s="126"/>
    </row>
    <row r="166" customFormat="false" ht="15" hidden="false" customHeight="false" outlineLevel="0" collapsed="false">
      <c r="B166" s="121" t="str">
        <f aca="false">IF(INPUTS!$E$92&lt;&gt;"Yes","",IFERROR(CHOOSE(MATCH(INPUTS!$L$92,LISTS!$R$5:$R$10,0),INPUTS!$B$239,INPUTS!$B$273,INPUTS!$B$307,INPUTS!$B$341,INPUTS!$B$375,INPUTS!$B$409),"")&amp;"")</f>
        <v/>
      </c>
      <c r="C166" s="122" t="str">
        <f aca="false">IF(INPUTS!$E$92&lt;&gt;"Yes","",IFERROR(CHOOSE(MATCH(INPUTS!$L$92,LISTS!$R$5:$R$10,0),INPUTS!$C$239,INPUTS!$C$273,INPUTS!$C$307,INPUTS!$C$341,INPUTS!$C$375,INPUTS!$C$409),"")&amp;"")</f>
        <v/>
      </c>
      <c r="D166" s="123" t="n">
        <f aca="false">IF(INPUTS!$E$92&lt;&gt;"Yes",0,N(IFERROR(CHOOSE(MATCH(INPUTS!$L$92,LISTS!$R$5:$R$10,0),INPUTS!$D$239,INPUTS!$D$273,INPUTS!$D$307,INPUTS!$D$341,INPUTS!$D$375,INPUTS!$D$409),"")))</f>
        <v>0</v>
      </c>
      <c r="E166" s="124" t="n">
        <f aca="false">IF(INPUTS!$E$92&lt;&gt;"Yes",0,N(IFERROR(CHOOSE(MATCH(INPUTS!$L$92,LISTS!$R$5:$R$10,0),INPUTS!$E$239,INPUTS!$E$273,INPUTS!$E$307,INPUTS!$E$341,INPUTS!$E$375,INPUTS!$E$409),"")))</f>
        <v>0</v>
      </c>
      <c r="F166" s="125" t="str">
        <f aca="false">IF(AND(C166="Construction % complete",E166&gt;0),MAX(COUNTIF(CURVES!$D$65:$AQ$65,"&lt;"&amp;(D166-0.000000001))+1,INPUTS!$R$92),"")</f>
        <v/>
      </c>
      <c r="G166" s="126" t="str">
        <f aca="false">IF(E166=0,"",IF(C166="Booking + quarters",IF(D166=0,"at booking",D166&amp;" qtr(s) after booking"),IF(F166&gt;INPUTS!$C$24,"NOT REACHED in model","construction "&amp;TEXT(D166,"0%")&amp;" reached in Q"&amp;F166)))</f>
        <v/>
      </c>
      <c r="H166" s="126"/>
      <c r="I166" s="126"/>
      <c r="J166" s="126"/>
      <c r="K166" s="126"/>
      <c r="L166" s="126"/>
    </row>
    <row r="167" customFormat="false" ht="15" hidden="false" customHeight="false" outlineLevel="0" collapsed="false">
      <c r="B167" s="121" t="str">
        <f aca="false">IF(INPUTS!$E$92&lt;&gt;"Yes","",IFERROR(CHOOSE(MATCH(INPUTS!$L$92,LISTS!$R$5:$R$10,0),INPUTS!$B$240,INPUTS!$B$274,INPUTS!$B$308,INPUTS!$B$342,INPUTS!$B$376,INPUTS!$B$410),"")&amp;"")</f>
        <v/>
      </c>
      <c r="C167" s="122" t="str">
        <f aca="false">IF(INPUTS!$E$92&lt;&gt;"Yes","",IFERROR(CHOOSE(MATCH(INPUTS!$L$92,LISTS!$R$5:$R$10,0),INPUTS!$C$240,INPUTS!$C$274,INPUTS!$C$308,INPUTS!$C$342,INPUTS!$C$376,INPUTS!$C$410),"")&amp;"")</f>
        <v/>
      </c>
      <c r="D167" s="123" t="n">
        <f aca="false">IF(INPUTS!$E$92&lt;&gt;"Yes",0,N(IFERROR(CHOOSE(MATCH(INPUTS!$L$92,LISTS!$R$5:$R$10,0),INPUTS!$D$240,INPUTS!$D$274,INPUTS!$D$308,INPUTS!$D$342,INPUTS!$D$376,INPUTS!$D$410),"")))</f>
        <v>0</v>
      </c>
      <c r="E167" s="124" t="n">
        <f aca="false">IF(INPUTS!$E$92&lt;&gt;"Yes",0,N(IFERROR(CHOOSE(MATCH(INPUTS!$L$92,LISTS!$R$5:$R$10,0),INPUTS!$E$240,INPUTS!$E$274,INPUTS!$E$308,INPUTS!$E$342,INPUTS!$E$376,INPUTS!$E$410),"")))</f>
        <v>0</v>
      </c>
      <c r="F167" s="125" t="str">
        <f aca="false">IF(AND(C167="Construction % complete",E167&gt;0),MAX(COUNTIF(CURVES!$D$65:$AQ$65,"&lt;"&amp;(D167-0.000000001))+1,INPUTS!$R$92),"")</f>
        <v/>
      </c>
      <c r="G167" s="126" t="str">
        <f aca="false">IF(E167=0,"",IF(C167="Booking + quarters",IF(D167=0,"at booking",D167&amp;" qtr(s) after booking"),IF(F167&gt;INPUTS!$C$24,"NOT REACHED in model","construction "&amp;TEXT(D167,"0%")&amp;" reached in Q"&amp;F167)))</f>
        <v/>
      </c>
      <c r="H167" s="126"/>
      <c r="I167" s="126"/>
      <c r="J167" s="126"/>
      <c r="K167" s="126"/>
      <c r="L167" s="126"/>
    </row>
    <row r="168" customFormat="false" ht="15" hidden="false" customHeight="false" outlineLevel="0" collapsed="false">
      <c r="B168" s="121" t="str">
        <f aca="false">IF(INPUTS!$E$92&lt;&gt;"Yes","",IFERROR(CHOOSE(MATCH(INPUTS!$L$92,LISTS!$R$5:$R$10,0),INPUTS!$B$241,INPUTS!$B$275,INPUTS!$B$309,INPUTS!$B$343,INPUTS!$B$377,INPUTS!$B$411),"")&amp;"")</f>
        <v/>
      </c>
      <c r="C168" s="122" t="str">
        <f aca="false">IF(INPUTS!$E$92&lt;&gt;"Yes","",IFERROR(CHOOSE(MATCH(INPUTS!$L$92,LISTS!$R$5:$R$10,0),INPUTS!$C$241,INPUTS!$C$275,INPUTS!$C$309,INPUTS!$C$343,INPUTS!$C$377,INPUTS!$C$411),"")&amp;"")</f>
        <v/>
      </c>
      <c r="D168" s="123" t="n">
        <f aca="false">IF(INPUTS!$E$92&lt;&gt;"Yes",0,N(IFERROR(CHOOSE(MATCH(INPUTS!$L$92,LISTS!$R$5:$R$10,0),INPUTS!$D$241,INPUTS!$D$275,INPUTS!$D$309,INPUTS!$D$343,INPUTS!$D$377,INPUTS!$D$411),"")))</f>
        <v>0</v>
      </c>
      <c r="E168" s="124" t="n">
        <f aca="false">IF(INPUTS!$E$92&lt;&gt;"Yes",0,N(IFERROR(CHOOSE(MATCH(INPUTS!$L$92,LISTS!$R$5:$R$10,0),INPUTS!$E$241,INPUTS!$E$275,INPUTS!$E$309,INPUTS!$E$343,INPUTS!$E$377,INPUTS!$E$411),"")))</f>
        <v>0</v>
      </c>
      <c r="F168" s="125" t="str">
        <f aca="false">IF(AND(C168="Construction % complete",E168&gt;0),MAX(COUNTIF(CURVES!$D$65:$AQ$65,"&lt;"&amp;(D168-0.000000001))+1,INPUTS!$R$92),"")</f>
        <v/>
      </c>
      <c r="G168" s="126" t="str">
        <f aca="false">IF(E168=0,"",IF(C168="Booking + quarters",IF(D168=0,"at booking",D168&amp;" qtr(s) after booking"),IF(F168&gt;INPUTS!$C$24,"NOT REACHED in model","construction "&amp;TEXT(D168,"0%")&amp;" reached in Q"&amp;F168)))</f>
        <v/>
      </c>
      <c r="H168" s="126"/>
      <c r="I168" s="126"/>
      <c r="J168" s="126"/>
      <c r="K168" s="126"/>
      <c r="L168" s="126"/>
    </row>
    <row r="169" customFormat="false" ht="15" hidden="false" customHeight="false" outlineLevel="0" collapsed="false">
      <c r="B169" s="121" t="str">
        <f aca="false">IF(INPUTS!$E$92&lt;&gt;"Yes","",IFERROR(CHOOSE(MATCH(INPUTS!$L$92,LISTS!$R$5:$R$10,0),INPUTS!$B$242,INPUTS!$B$276,INPUTS!$B$310,INPUTS!$B$344,INPUTS!$B$378,INPUTS!$B$412),"")&amp;"")</f>
        <v/>
      </c>
      <c r="C169" s="122" t="str">
        <f aca="false">IF(INPUTS!$E$92&lt;&gt;"Yes","",IFERROR(CHOOSE(MATCH(INPUTS!$L$92,LISTS!$R$5:$R$10,0),INPUTS!$C$242,INPUTS!$C$276,INPUTS!$C$310,INPUTS!$C$344,INPUTS!$C$378,INPUTS!$C$412),"")&amp;"")</f>
        <v/>
      </c>
      <c r="D169" s="123" t="n">
        <f aca="false">IF(INPUTS!$E$92&lt;&gt;"Yes",0,N(IFERROR(CHOOSE(MATCH(INPUTS!$L$92,LISTS!$R$5:$R$10,0),INPUTS!$D$242,INPUTS!$D$276,INPUTS!$D$310,INPUTS!$D$344,INPUTS!$D$378,INPUTS!$D$412),"")))</f>
        <v>0</v>
      </c>
      <c r="E169" s="124" t="n">
        <f aca="false">IF(INPUTS!$E$92&lt;&gt;"Yes",0,N(IFERROR(CHOOSE(MATCH(INPUTS!$L$92,LISTS!$R$5:$R$10,0),INPUTS!$E$242,INPUTS!$E$276,INPUTS!$E$310,INPUTS!$E$344,INPUTS!$E$378,INPUTS!$E$412),"")))</f>
        <v>0</v>
      </c>
      <c r="F169" s="125" t="str">
        <f aca="false">IF(AND(C169="Construction % complete",E169&gt;0),MAX(COUNTIF(CURVES!$D$65:$AQ$65,"&lt;"&amp;(D169-0.000000001))+1,INPUTS!$R$92),"")</f>
        <v/>
      </c>
      <c r="G169" s="126" t="str">
        <f aca="false">IF(E169=0,"",IF(C169="Booking + quarters",IF(D169=0,"at booking",D169&amp;" qtr(s) after booking"),IF(F169&gt;INPUTS!$C$24,"NOT REACHED in model","construction "&amp;TEXT(D169,"0%")&amp;" reached in Q"&amp;F169)))</f>
        <v/>
      </c>
      <c r="H169" s="126"/>
      <c r="I169" s="126"/>
      <c r="J169" s="126"/>
      <c r="K169" s="126"/>
      <c r="L169" s="126"/>
    </row>
    <row r="170" customFormat="false" ht="15" hidden="false" customHeight="false" outlineLevel="0" collapsed="false">
      <c r="B170" s="121" t="str">
        <f aca="false">IF(INPUTS!$E$92&lt;&gt;"Yes","",IFERROR(CHOOSE(MATCH(INPUTS!$L$92,LISTS!$R$5:$R$10,0),INPUTS!$B$243,INPUTS!$B$277,INPUTS!$B$311,INPUTS!$B$345,INPUTS!$B$379,INPUTS!$B$413),"")&amp;"")</f>
        <v/>
      </c>
      <c r="C170" s="122" t="str">
        <f aca="false">IF(INPUTS!$E$92&lt;&gt;"Yes","",IFERROR(CHOOSE(MATCH(INPUTS!$L$92,LISTS!$R$5:$R$10,0),INPUTS!$C$243,INPUTS!$C$277,INPUTS!$C$311,INPUTS!$C$345,INPUTS!$C$379,INPUTS!$C$413),"")&amp;"")</f>
        <v/>
      </c>
      <c r="D170" s="123" t="n">
        <f aca="false">IF(INPUTS!$E$92&lt;&gt;"Yes",0,N(IFERROR(CHOOSE(MATCH(INPUTS!$L$92,LISTS!$R$5:$R$10,0),INPUTS!$D$243,INPUTS!$D$277,INPUTS!$D$311,INPUTS!$D$345,INPUTS!$D$379,INPUTS!$D$413),"")))</f>
        <v>0</v>
      </c>
      <c r="E170" s="124" t="n">
        <f aca="false">IF(INPUTS!$E$92&lt;&gt;"Yes",0,N(IFERROR(CHOOSE(MATCH(INPUTS!$L$92,LISTS!$R$5:$R$10,0),INPUTS!$E$243,INPUTS!$E$277,INPUTS!$E$311,INPUTS!$E$345,INPUTS!$E$379,INPUTS!$E$413),"")))</f>
        <v>0</v>
      </c>
      <c r="F170" s="125" t="str">
        <f aca="false">IF(AND(C170="Construction % complete",E170&gt;0),MAX(COUNTIF(CURVES!$D$65:$AQ$65,"&lt;"&amp;(D170-0.000000001))+1,INPUTS!$R$92),"")</f>
        <v/>
      </c>
      <c r="G170" s="126" t="str">
        <f aca="false">IF(E170=0,"",IF(C170="Booking + quarters",IF(D170=0,"at booking",D170&amp;" qtr(s) after booking"),IF(F170&gt;INPUTS!$C$24,"NOT REACHED in model","construction "&amp;TEXT(D170,"0%")&amp;" reached in Q"&amp;F170)))</f>
        <v/>
      </c>
      <c r="H170" s="126"/>
      <c r="I170" s="126"/>
      <c r="J170" s="126"/>
      <c r="K170" s="126"/>
      <c r="L170" s="126"/>
    </row>
    <row r="171" customFormat="false" ht="15" hidden="false" customHeight="false" outlineLevel="0" collapsed="false">
      <c r="B171" s="121" t="str">
        <f aca="false">IF(INPUTS!$E$92&lt;&gt;"Yes","",IFERROR(CHOOSE(MATCH(INPUTS!$L$92,LISTS!$R$5:$R$10,0),INPUTS!$B$244,INPUTS!$B$278,INPUTS!$B$312,INPUTS!$B$346,INPUTS!$B$380,INPUTS!$B$414),"")&amp;"")</f>
        <v/>
      </c>
      <c r="C171" s="122" t="str">
        <f aca="false">IF(INPUTS!$E$92&lt;&gt;"Yes","",IFERROR(CHOOSE(MATCH(INPUTS!$L$92,LISTS!$R$5:$R$10,0),INPUTS!$C$244,INPUTS!$C$278,INPUTS!$C$312,INPUTS!$C$346,INPUTS!$C$380,INPUTS!$C$414),"")&amp;"")</f>
        <v/>
      </c>
      <c r="D171" s="123" t="n">
        <f aca="false">IF(INPUTS!$E$92&lt;&gt;"Yes",0,N(IFERROR(CHOOSE(MATCH(INPUTS!$L$92,LISTS!$R$5:$R$10,0),INPUTS!$D$244,INPUTS!$D$278,INPUTS!$D$312,INPUTS!$D$346,INPUTS!$D$380,INPUTS!$D$414),"")))</f>
        <v>0</v>
      </c>
      <c r="E171" s="124" t="n">
        <f aca="false">IF(INPUTS!$E$92&lt;&gt;"Yes",0,N(IFERROR(CHOOSE(MATCH(INPUTS!$L$92,LISTS!$R$5:$R$10,0),INPUTS!$E$244,INPUTS!$E$278,INPUTS!$E$312,INPUTS!$E$346,INPUTS!$E$380,INPUTS!$E$414),"")))</f>
        <v>0</v>
      </c>
      <c r="F171" s="125" t="str">
        <f aca="false">IF(AND(C171="Construction % complete",E171&gt;0),MAX(COUNTIF(CURVES!$D$65:$AQ$65,"&lt;"&amp;(D171-0.000000001))+1,INPUTS!$R$92),"")</f>
        <v/>
      </c>
      <c r="G171" s="126" t="str">
        <f aca="false">IF(E171=0,"",IF(C171="Booking + quarters",IF(D171=0,"at booking",D171&amp;" qtr(s) after booking"),IF(F171&gt;INPUTS!$C$24,"NOT REACHED in model","construction "&amp;TEXT(D171,"0%")&amp;" reached in Q"&amp;F171)))</f>
        <v/>
      </c>
      <c r="H171" s="126"/>
      <c r="I171" s="126"/>
      <c r="J171" s="126"/>
      <c r="K171" s="126"/>
      <c r="L171" s="126"/>
    </row>
    <row r="172" customFormat="false" ht="15" hidden="false" customHeight="false" outlineLevel="0" collapsed="false">
      <c r="B172" s="121" t="str">
        <f aca="false">IF(INPUTS!$E$92&lt;&gt;"Yes","",IFERROR(CHOOSE(MATCH(INPUTS!$L$92,LISTS!$R$5:$R$10,0),INPUTS!$B$245,INPUTS!$B$279,INPUTS!$B$313,INPUTS!$B$347,INPUTS!$B$381,INPUTS!$B$415),"")&amp;"")</f>
        <v/>
      </c>
      <c r="C172" s="122" t="str">
        <f aca="false">IF(INPUTS!$E$92&lt;&gt;"Yes","",IFERROR(CHOOSE(MATCH(INPUTS!$L$92,LISTS!$R$5:$R$10,0),INPUTS!$C$245,INPUTS!$C$279,INPUTS!$C$313,INPUTS!$C$347,INPUTS!$C$381,INPUTS!$C$415),"")&amp;"")</f>
        <v/>
      </c>
      <c r="D172" s="123" t="n">
        <f aca="false">IF(INPUTS!$E$92&lt;&gt;"Yes",0,N(IFERROR(CHOOSE(MATCH(INPUTS!$L$92,LISTS!$R$5:$R$10,0),INPUTS!$D$245,INPUTS!$D$279,INPUTS!$D$313,INPUTS!$D$347,INPUTS!$D$381,INPUTS!$D$415),"")))</f>
        <v>0</v>
      </c>
      <c r="E172" s="124" t="n">
        <f aca="false">IF(INPUTS!$E$92&lt;&gt;"Yes",0,N(IFERROR(CHOOSE(MATCH(INPUTS!$L$92,LISTS!$R$5:$R$10,0),INPUTS!$E$245,INPUTS!$E$279,INPUTS!$E$313,INPUTS!$E$347,INPUTS!$E$381,INPUTS!$E$415),"")))</f>
        <v>0</v>
      </c>
      <c r="F172" s="125" t="str">
        <f aca="false">IF(AND(C172="Construction % complete",E172&gt;0),MAX(COUNTIF(CURVES!$D$65:$AQ$65,"&lt;"&amp;(D172-0.000000001))+1,INPUTS!$R$92),"")</f>
        <v/>
      </c>
      <c r="G172" s="126" t="str">
        <f aca="false">IF(E172=0,"",IF(C172="Booking + quarters",IF(D172=0,"at booking",D172&amp;" qtr(s) after booking"),IF(F172&gt;INPUTS!$C$24,"NOT REACHED in model","construction "&amp;TEXT(D172,"0%")&amp;" reached in Q"&amp;F172)))</f>
        <v/>
      </c>
      <c r="H172" s="126"/>
      <c r="I172" s="126"/>
      <c r="J172" s="126"/>
      <c r="K172" s="126"/>
      <c r="L172" s="126"/>
    </row>
    <row r="173" customFormat="false" ht="15" hidden="false" customHeight="false" outlineLevel="0" collapsed="false">
      <c r="B173" s="121" t="str">
        <f aca="false">IF(INPUTS!$E$92&lt;&gt;"Yes","",IFERROR(CHOOSE(MATCH(INPUTS!$L$92,LISTS!$R$5:$R$10,0),INPUTS!$B$246,INPUTS!$B$280,INPUTS!$B$314,INPUTS!$B$348,INPUTS!$B$382,INPUTS!$B$416),"")&amp;"")</f>
        <v/>
      </c>
      <c r="C173" s="122" t="str">
        <f aca="false">IF(INPUTS!$E$92&lt;&gt;"Yes","",IFERROR(CHOOSE(MATCH(INPUTS!$L$92,LISTS!$R$5:$R$10,0),INPUTS!$C$246,INPUTS!$C$280,INPUTS!$C$314,INPUTS!$C$348,INPUTS!$C$382,INPUTS!$C$416),"")&amp;"")</f>
        <v/>
      </c>
      <c r="D173" s="123" t="n">
        <f aca="false">IF(INPUTS!$E$92&lt;&gt;"Yes",0,N(IFERROR(CHOOSE(MATCH(INPUTS!$L$92,LISTS!$R$5:$R$10,0),INPUTS!$D$246,INPUTS!$D$280,INPUTS!$D$314,INPUTS!$D$348,INPUTS!$D$382,INPUTS!$D$416),"")))</f>
        <v>0</v>
      </c>
      <c r="E173" s="124" t="n">
        <f aca="false">IF(INPUTS!$E$92&lt;&gt;"Yes",0,N(IFERROR(CHOOSE(MATCH(INPUTS!$L$92,LISTS!$R$5:$R$10,0),INPUTS!$E$246,INPUTS!$E$280,INPUTS!$E$314,INPUTS!$E$348,INPUTS!$E$382,INPUTS!$E$416),"")))</f>
        <v>0</v>
      </c>
      <c r="F173" s="125" t="str">
        <f aca="false">IF(AND(C173="Construction % complete",E173&gt;0),MAX(COUNTIF(CURVES!$D$65:$AQ$65,"&lt;"&amp;(D173-0.000000001))+1,INPUTS!$R$92),"")</f>
        <v/>
      </c>
      <c r="G173" s="126" t="str">
        <f aca="false">IF(E173=0,"",IF(C173="Booking + quarters",IF(D173=0,"at booking",D173&amp;" qtr(s) after booking"),IF(F173&gt;INPUTS!$C$24,"NOT REACHED in model","construction "&amp;TEXT(D173,"0%")&amp;" reached in Q"&amp;F173)))</f>
        <v/>
      </c>
      <c r="H173" s="126"/>
      <c r="I173" s="126"/>
      <c r="J173" s="126"/>
      <c r="K173" s="126"/>
      <c r="L173" s="126"/>
    </row>
    <row r="174" customFormat="false" ht="15" hidden="false" customHeight="false" outlineLevel="0" collapsed="false">
      <c r="B174" s="121" t="str">
        <f aca="false">IF(INPUTS!$E$92&lt;&gt;"Yes","",IFERROR(CHOOSE(MATCH(INPUTS!$L$92,LISTS!$R$5:$R$10,0),INPUTS!$B$247,INPUTS!$B$281,INPUTS!$B$315,INPUTS!$B$349,INPUTS!$B$383,INPUTS!$B$417),"")&amp;"")</f>
        <v/>
      </c>
      <c r="C174" s="122" t="str">
        <f aca="false">IF(INPUTS!$E$92&lt;&gt;"Yes","",IFERROR(CHOOSE(MATCH(INPUTS!$L$92,LISTS!$R$5:$R$10,0),INPUTS!$C$247,INPUTS!$C$281,INPUTS!$C$315,INPUTS!$C$349,INPUTS!$C$383,INPUTS!$C$417),"")&amp;"")</f>
        <v/>
      </c>
      <c r="D174" s="123" t="n">
        <f aca="false">IF(INPUTS!$E$92&lt;&gt;"Yes",0,N(IFERROR(CHOOSE(MATCH(INPUTS!$L$92,LISTS!$R$5:$R$10,0),INPUTS!$D$247,INPUTS!$D$281,INPUTS!$D$315,INPUTS!$D$349,INPUTS!$D$383,INPUTS!$D$417),"")))</f>
        <v>0</v>
      </c>
      <c r="E174" s="124" t="n">
        <f aca="false">IF(INPUTS!$E$92&lt;&gt;"Yes",0,N(IFERROR(CHOOSE(MATCH(INPUTS!$L$92,LISTS!$R$5:$R$10,0),INPUTS!$E$247,INPUTS!$E$281,INPUTS!$E$315,INPUTS!$E$349,INPUTS!$E$383,INPUTS!$E$417),"")))</f>
        <v>0</v>
      </c>
      <c r="F174" s="125" t="str">
        <f aca="false">IF(AND(C174="Construction % complete",E174&gt;0),MAX(COUNTIF(CURVES!$D$65:$AQ$65,"&lt;"&amp;(D174-0.000000001))+1,INPUTS!$R$92),"")</f>
        <v/>
      </c>
      <c r="G174" s="126" t="str">
        <f aca="false">IF(E174=0,"",IF(C174="Booking + quarters",IF(D174=0,"at booking",D174&amp;" qtr(s) after booking"),IF(F174&gt;INPUTS!$C$24,"NOT REACHED in model","construction "&amp;TEXT(D174,"0%")&amp;" reached in Q"&amp;F174)))</f>
        <v/>
      </c>
      <c r="H174" s="126"/>
      <c r="I174" s="126"/>
      <c r="J174" s="126"/>
      <c r="K174" s="126"/>
      <c r="L174" s="126"/>
    </row>
    <row r="175" customFormat="false" ht="15" hidden="false" customHeight="false" outlineLevel="0" collapsed="false">
      <c r="B175" s="121" t="str">
        <f aca="false">IF(INPUTS!$E$92&lt;&gt;"Yes","",IFERROR(CHOOSE(MATCH(INPUTS!$L$92,LISTS!$R$5:$R$10,0),INPUTS!$B$248,INPUTS!$B$282,INPUTS!$B$316,INPUTS!$B$350,INPUTS!$B$384,INPUTS!$B$418),"")&amp;"")</f>
        <v/>
      </c>
      <c r="C175" s="122" t="str">
        <f aca="false">IF(INPUTS!$E$92&lt;&gt;"Yes","",IFERROR(CHOOSE(MATCH(INPUTS!$L$92,LISTS!$R$5:$R$10,0),INPUTS!$C$248,INPUTS!$C$282,INPUTS!$C$316,INPUTS!$C$350,INPUTS!$C$384,INPUTS!$C$418),"")&amp;"")</f>
        <v/>
      </c>
      <c r="D175" s="123" t="n">
        <f aca="false">IF(INPUTS!$E$92&lt;&gt;"Yes",0,N(IFERROR(CHOOSE(MATCH(INPUTS!$L$92,LISTS!$R$5:$R$10,0),INPUTS!$D$248,INPUTS!$D$282,INPUTS!$D$316,INPUTS!$D$350,INPUTS!$D$384,INPUTS!$D$418),"")))</f>
        <v>0</v>
      </c>
      <c r="E175" s="124" t="n">
        <f aca="false">IF(INPUTS!$E$92&lt;&gt;"Yes",0,N(IFERROR(CHOOSE(MATCH(INPUTS!$L$92,LISTS!$R$5:$R$10,0),INPUTS!$E$248,INPUTS!$E$282,INPUTS!$E$316,INPUTS!$E$350,INPUTS!$E$384,INPUTS!$E$418),"")))</f>
        <v>0</v>
      </c>
      <c r="F175" s="125" t="str">
        <f aca="false">IF(AND(C175="Construction % complete",E175&gt;0),MAX(COUNTIF(CURVES!$D$65:$AQ$65,"&lt;"&amp;(D175-0.000000001))+1,INPUTS!$R$92),"")</f>
        <v/>
      </c>
      <c r="G175" s="126" t="str">
        <f aca="false">IF(E175=0,"",IF(C175="Booking + quarters",IF(D175=0,"at booking",D175&amp;" qtr(s) after booking"),IF(F175&gt;INPUTS!$C$24,"NOT REACHED in model","construction "&amp;TEXT(D175,"0%")&amp;" reached in Q"&amp;F175)))</f>
        <v/>
      </c>
      <c r="H175" s="126"/>
      <c r="I175" s="126"/>
      <c r="J175" s="126"/>
      <c r="K175" s="126"/>
      <c r="L175" s="126"/>
    </row>
    <row r="176" customFormat="false" ht="15" hidden="false" customHeight="false" outlineLevel="0" collapsed="false">
      <c r="B176" s="127" t="s">
        <v>708</v>
      </c>
      <c r="D176" s="128" t="n">
        <f aca="false">SUMIFS($E$146:$E$175,$C$146:$C$175,"Booking + quarters",$D$146:$D$175,0)</f>
        <v>0</v>
      </c>
      <c r="E176" s="128" t="n">
        <f aca="false">SUMIFS($E$146:$E$175,$C$146:$C$175,"Booking + quarters",$D$146:$D$175,1)</f>
        <v>0</v>
      </c>
      <c r="F176" s="128" t="n">
        <f aca="false">SUMIFS($E$146:$E$175,$C$146:$C$175,"Booking + quarters",$D$146:$D$175,2)</f>
        <v>0</v>
      </c>
      <c r="G176" s="128" t="n">
        <f aca="false">SUMIFS($E$146:$E$175,$C$146:$C$175,"Booking + quarters",$D$146:$D$175,3)</f>
        <v>0</v>
      </c>
      <c r="H176" s="128" t="n">
        <f aca="false">SUMIFS($E$146:$E$175,$C$146:$C$175,"Booking + quarters",$D$146:$D$175,4)</f>
        <v>0</v>
      </c>
      <c r="I176" s="128" t="n">
        <f aca="false">SUMIFS($E$146:$E$175,$C$146:$C$175,"Booking + quarters",$D$146:$D$175,5)</f>
        <v>0</v>
      </c>
      <c r="J176" s="128" t="n">
        <f aca="false">SUMIFS($E$146:$E$175,$C$146:$C$175,"Booking + quarters",$D$146:$D$175,6)</f>
        <v>0</v>
      </c>
      <c r="K176" s="128" t="n">
        <f aca="false">SUMIFS($E$146:$E$175,$C$146:$C$175,"Booking + quarters",$D$146:$D$175,7)</f>
        <v>0</v>
      </c>
      <c r="L176" s="128" t="n">
        <f aca="false">SUMIFS($E$146:$E$175,$C$146:$C$175,"Booking + quarters",$D$146:$D$175,8)</f>
        <v>0</v>
      </c>
      <c r="M176" s="128" t="n">
        <f aca="false">SUMIFS($E$146:$E$175,$C$146:$C$175,"Booking + quarters",$D$146:$D$175,9)</f>
        <v>0</v>
      </c>
      <c r="N176" s="128" t="n">
        <f aca="false">SUMIFS($E$146:$E$175,$C$146:$C$175,"Booking + quarters",$D$146:$D$175,10)</f>
        <v>0</v>
      </c>
      <c r="O176" s="128" t="n">
        <f aca="false">SUMIFS($E$146:$E$175,$C$146:$C$175,"Booking + quarters",$D$146:$D$175,11)</f>
        <v>0</v>
      </c>
      <c r="P176" s="128" t="n">
        <f aca="false">SUMIFS($E$146:$E$175,$C$146:$C$175,"Booking + quarters",$D$146:$D$175,12)</f>
        <v>0</v>
      </c>
    </row>
    <row r="177" customFormat="false" ht="15" hidden="false" customHeight="false" outlineLevel="0" collapsed="false">
      <c r="B177" s="127" t="s">
        <v>709</v>
      </c>
      <c r="C177" s="105" t="str">
        <f aca="false">IF(INPUTS!$E$92&lt;&gt;"Yes","Off",IF(ABS(SUM($E$146:$E$175)-1)&lt;0.000001,"OK","ERROR"))</f>
        <v>Off</v>
      </c>
    </row>
    <row r="178" customFormat="false" ht="15" hidden="false" customHeight="false" outlineLevel="0" collapsed="false">
      <c r="B178" s="110" t="str">
        <f aca="false">IF(INPUTS!$E$93="Yes",INPUTS!$B$93&amp;"   →   "&amp;INPUTS!$L$93,"Product row 6 (off)")</f>
        <v>Product row 6 (off)</v>
      </c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</row>
    <row r="179" customFormat="false" ht="15" hidden="false" customHeight="false" outlineLevel="0" collapsed="false">
      <c r="B179" s="121" t="str">
        <f aca="false">IF(INPUTS!$E$93&lt;&gt;"Yes","",IFERROR(CHOOSE(MATCH(INPUTS!$L$93,LISTS!$R$5:$R$10,0),INPUTS!$B$219,INPUTS!$B$253,INPUTS!$B$287,INPUTS!$B$321,INPUTS!$B$355,INPUTS!$B$389),"")&amp;"")</f>
        <v/>
      </c>
      <c r="C179" s="122" t="str">
        <f aca="false">IF(INPUTS!$E$93&lt;&gt;"Yes","",IFERROR(CHOOSE(MATCH(INPUTS!$L$93,LISTS!$R$5:$R$10,0),INPUTS!$C$219,INPUTS!$C$253,INPUTS!$C$287,INPUTS!$C$321,INPUTS!$C$355,INPUTS!$C$389),"")&amp;"")</f>
        <v/>
      </c>
      <c r="D179" s="123" t="n">
        <f aca="false">IF(INPUTS!$E$93&lt;&gt;"Yes",0,N(IFERROR(CHOOSE(MATCH(INPUTS!$L$93,LISTS!$R$5:$R$10,0),INPUTS!$D$219,INPUTS!$D$253,INPUTS!$D$287,INPUTS!$D$321,INPUTS!$D$355,INPUTS!$D$389),"")))</f>
        <v>0</v>
      </c>
      <c r="E179" s="124" t="n">
        <f aca="false">IF(INPUTS!$E$93&lt;&gt;"Yes",0,N(IFERROR(CHOOSE(MATCH(INPUTS!$L$93,LISTS!$R$5:$R$10,0),INPUTS!$E$219,INPUTS!$E$253,INPUTS!$E$287,INPUTS!$E$321,INPUTS!$E$355,INPUTS!$E$389),"")))</f>
        <v>0</v>
      </c>
      <c r="F179" s="125" t="str">
        <f aca="false">IF(AND(C179="Construction % complete",E179&gt;0),MAX(COUNTIF(CURVES!$D$71:$AQ$71,"&lt;"&amp;(D179-0.000000001))+1,INPUTS!$R$93),"")</f>
        <v/>
      </c>
      <c r="G179" s="126" t="str">
        <f aca="false">IF(E179=0,"",IF(C179="Booking + quarters",IF(D179=0,"at booking",D179&amp;" qtr(s) after booking"),IF(F179&gt;INPUTS!$C$24,"NOT REACHED in model","construction "&amp;TEXT(D179,"0%")&amp;" reached in Q"&amp;F179)))</f>
        <v/>
      </c>
      <c r="H179" s="126"/>
      <c r="I179" s="126"/>
      <c r="J179" s="126"/>
      <c r="K179" s="126"/>
      <c r="L179" s="126"/>
    </row>
    <row r="180" customFormat="false" ht="15" hidden="false" customHeight="false" outlineLevel="0" collapsed="false">
      <c r="B180" s="121" t="str">
        <f aca="false">IF(INPUTS!$E$93&lt;&gt;"Yes","",IFERROR(CHOOSE(MATCH(INPUTS!$L$93,LISTS!$R$5:$R$10,0),INPUTS!$B$220,INPUTS!$B$254,INPUTS!$B$288,INPUTS!$B$322,INPUTS!$B$356,INPUTS!$B$390),"")&amp;"")</f>
        <v/>
      </c>
      <c r="C180" s="122" t="str">
        <f aca="false">IF(INPUTS!$E$93&lt;&gt;"Yes","",IFERROR(CHOOSE(MATCH(INPUTS!$L$93,LISTS!$R$5:$R$10,0),INPUTS!$C$220,INPUTS!$C$254,INPUTS!$C$288,INPUTS!$C$322,INPUTS!$C$356,INPUTS!$C$390),"")&amp;"")</f>
        <v/>
      </c>
      <c r="D180" s="123" t="n">
        <f aca="false">IF(INPUTS!$E$93&lt;&gt;"Yes",0,N(IFERROR(CHOOSE(MATCH(INPUTS!$L$93,LISTS!$R$5:$R$10,0),INPUTS!$D$220,INPUTS!$D$254,INPUTS!$D$288,INPUTS!$D$322,INPUTS!$D$356,INPUTS!$D$390),"")))</f>
        <v>0</v>
      </c>
      <c r="E180" s="124" t="n">
        <f aca="false">IF(INPUTS!$E$93&lt;&gt;"Yes",0,N(IFERROR(CHOOSE(MATCH(INPUTS!$L$93,LISTS!$R$5:$R$10,0),INPUTS!$E$220,INPUTS!$E$254,INPUTS!$E$288,INPUTS!$E$322,INPUTS!$E$356,INPUTS!$E$390),"")))</f>
        <v>0</v>
      </c>
      <c r="F180" s="125" t="str">
        <f aca="false">IF(AND(C180="Construction % complete",E180&gt;0),MAX(COUNTIF(CURVES!$D$71:$AQ$71,"&lt;"&amp;(D180-0.000000001))+1,INPUTS!$R$93),"")</f>
        <v/>
      </c>
      <c r="G180" s="126" t="str">
        <f aca="false">IF(E180=0,"",IF(C180="Booking + quarters",IF(D180=0,"at booking",D180&amp;" qtr(s) after booking"),IF(F180&gt;INPUTS!$C$24,"NOT REACHED in model","construction "&amp;TEXT(D180,"0%")&amp;" reached in Q"&amp;F180)))</f>
        <v/>
      </c>
      <c r="H180" s="126"/>
      <c r="I180" s="126"/>
      <c r="J180" s="126"/>
      <c r="K180" s="126"/>
      <c r="L180" s="126"/>
    </row>
    <row r="181" customFormat="false" ht="15" hidden="false" customHeight="false" outlineLevel="0" collapsed="false">
      <c r="B181" s="121" t="str">
        <f aca="false">IF(INPUTS!$E$93&lt;&gt;"Yes","",IFERROR(CHOOSE(MATCH(INPUTS!$L$93,LISTS!$R$5:$R$10,0),INPUTS!$B$221,INPUTS!$B$255,INPUTS!$B$289,INPUTS!$B$323,INPUTS!$B$357,INPUTS!$B$391),"")&amp;"")</f>
        <v/>
      </c>
      <c r="C181" s="122" t="str">
        <f aca="false">IF(INPUTS!$E$93&lt;&gt;"Yes","",IFERROR(CHOOSE(MATCH(INPUTS!$L$93,LISTS!$R$5:$R$10,0),INPUTS!$C$221,INPUTS!$C$255,INPUTS!$C$289,INPUTS!$C$323,INPUTS!$C$357,INPUTS!$C$391),"")&amp;"")</f>
        <v/>
      </c>
      <c r="D181" s="123" t="n">
        <f aca="false">IF(INPUTS!$E$93&lt;&gt;"Yes",0,N(IFERROR(CHOOSE(MATCH(INPUTS!$L$93,LISTS!$R$5:$R$10,0),INPUTS!$D$221,INPUTS!$D$255,INPUTS!$D$289,INPUTS!$D$323,INPUTS!$D$357,INPUTS!$D$391),"")))</f>
        <v>0</v>
      </c>
      <c r="E181" s="124" t="n">
        <f aca="false">IF(INPUTS!$E$93&lt;&gt;"Yes",0,N(IFERROR(CHOOSE(MATCH(INPUTS!$L$93,LISTS!$R$5:$R$10,0),INPUTS!$E$221,INPUTS!$E$255,INPUTS!$E$289,INPUTS!$E$323,INPUTS!$E$357,INPUTS!$E$391),"")))</f>
        <v>0</v>
      </c>
      <c r="F181" s="125" t="str">
        <f aca="false">IF(AND(C181="Construction % complete",E181&gt;0),MAX(COUNTIF(CURVES!$D$71:$AQ$71,"&lt;"&amp;(D181-0.000000001))+1,INPUTS!$R$93),"")</f>
        <v/>
      </c>
      <c r="G181" s="126" t="str">
        <f aca="false">IF(E181=0,"",IF(C181="Booking + quarters",IF(D181=0,"at booking",D181&amp;" qtr(s) after booking"),IF(F181&gt;INPUTS!$C$24,"NOT REACHED in model","construction "&amp;TEXT(D181,"0%")&amp;" reached in Q"&amp;F181)))</f>
        <v/>
      </c>
      <c r="H181" s="126"/>
      <c r="I181" s="126"/>
      <c r="J181" s="126"/>
      <c r="K181" s="126"/>
      <c r="L181" s="126"/>
    </row>
    <row r="182" customFormat="false" ht="15" hidden="false" customHeight="false" outlineLevel="0" collapsed="false">
      <c r="B182" s="121" t="str">
        <f aca="false">IF(INPUTS!$E$93&lt;&gt;"Yes","",IFERROR(CHOOSE(MATCH(INPUTS!$L$93,LISTS!$R$5:$R$10,0),INPUTS!$B$222,INPUTS!$B$256,INPUTS!$B$290,INPUTS!$B$324,INPUTS!$B$358,INPUTS!$B$392),"")&amp;"")</f>
        <v/>
      </c>
      <c r="C182" s="122" t="str">
        <f aca="false">IF(INPUTS!$E$93&lt;&gt;"Yes","",IFERROR(CHOOSE(MATCH(INPUTS!$L$93,LISTS!$R$5:$R$10,0),INPUTS!$C$222,INPUTS!$C$256,INPUTS!$C$290,INPUTS!$C$324,INPUTS!$C$358,INPUTS!$C$392),"")&amp;"")</f>
        <v/>
      </c>
      <c r="D182" s="123" t="n">
        <f aca="false">IF(INPUTS!$E$93&lt;&gt;"Yes",0,N(IFERROR(CHOOSE(MATCH(INPUTS!$L$93,LISTS!$R$5:$R$10,0),INPUTS!$D$222,INPUTS!$D$256,INPUTS!$D$290,INPUTS!$D$324,INPUTS!$D$358,INPUTS!$D$392),"")))</f>
        <v>0</v>
      </c>
      <c r="E182" s="124" t="n">
        <f aca="false">IF(INPUTS!$E$93&lt;&gt;"Yes",0,N(IFERROR(CHOOSE(MATCH(INPUTS!$L$93,LISTS!$R$5:$R$10,0),INPUTS!$E$222,INPUTS!$E$256,INPUTS!$E$290,INPUTS!$E$324,INPUTS!$E$358,INPUTS!$E$392),"")))</f>
        <v>0</v>
      </c>
      <c r="F182" s="125" t="str">
        <f aca="false">IF(AND(C182="Construction % complete",E182&gt;0),MAX(COUNTIF(CURVES!$D$71:$AQ$71,"&lt;"&amp;(D182-0.000000001))+1,INPUTS!$R$93),"")</f>
        <v/>
      </c>
      <c r="G182" s="126" t="str">
        <f aca="false">IF(E182=0,"",IF(C182="Booking + quarters",IF(D182=0,"at booking",D182&amp;" qtr(s) after booking"),IF(F182&gt;INPUTS!$C$24,"NOT REACHED in model","construction "&amp;TEXT(D182,"0%")&amp;" reached in Q"&amp;F182)))</f>
        <v/>
      </c>
      <c r="H182" s="126"/>
      <c r="I182" s="126"/>
      <c r="J182" s="126"/>
      <c r="K182" s="126"/>
      <c r="L182" s="126"/>
    </row>
    <row r="183" customFormat="false" ht="15" hidden="false" customHeight="false" outlineLevel="0" collapsed="false">
      <c r="B183" s="121" t="str">
        <f aca="false">IF(INPUTS!$E$93&lt;&gt;"Yes","",IFERROR(CHOOSE(MATCH(INPUTS!$L$93,LISTS!$R$5:$R$10,0),INPUTS!$B$223,INPUTS!$B$257,INPUTS!$B$291,INPUTS!$B$325,INPUTS!$B$359,INPUTS!$B$393),"")&amp;"")</f>
        <v/>
      </c>
      <c r="C183" s="122" t="str">
        <f aca="false">IF(INPUTS!$E$93&lt;&gt;"Yes","",IFERROR(CHOOSE(MATCH(INPUTS!$L$93,LISTS!$R$5:$R$10,0),INPUTS!$C$223,INPUTS!$C$257,INPUTS!$C$291,INPUTS!$C$325,INPUTS!$C$359,INPUTS!$C$393),"")&amp;"")</f>
        <v/>
      </c>
      <c r="D183" s="123" t="n">
        <f aca="false">IF(INPUTS!$E$93&lt;&gt;"Yes",0,N(IFERROR(CHOOSE(MATCH(INPUTS!$L$93,LISTS!$R$5:$R$10,0),INPUTS!$D$223,INPUTS!$D$257,INPUTS!$D$291,INPUTS!$D$325,INPUTS!$D$359,INPUTS!$D$393),"")))</f>
        <v>0</v>
      </c>
      <c r="E183" s="124" t="n">
        <f aca="false">IF(INPUTS!$E$93&lt;&gt;"Yes",0,N(IFERROR(CHOOSE(MATCH(INPUTS!$L$93,LISTS!$R$5:$R$10,0),INPUTS!$E$223,INPUTS!$E$257,INPUTS!$E$291,INPUTS!$E$325,INPUTS!$E$359,INPUTS!$E$393),"")))</f>
        <v>0</v>
      </c>
      <c r="F183" s="125" t="str">
        <f aca="false">IF(AND(C183="Construction % complete",E183&gt;0),MAX(COUNTIF(CURVES!$D$71:$AQ$71,"&lt;"&amp;(D183-0.000000001))+1,INPUTS!$R$93),"")</f>
        <v/>
      </c>
      <c r="G183" s="126" t="str">
        <f aca="false">IF(E183=0,"",IF(C183="Booking + quarters",IF(D183=0,"at booking",D183&amp;" qtr(s) after booking"),IF(F183&gt;INPUTS!$C$24,"NOT REACHED in model","construction "&amp;TEXT(D183,"0%")&amp;" reached in Q"&amp;F183)))</f>
        <v/>
      </c>
      <c r="H183" s="126"/>
      <c r="I183" s="126"/>
      <c r="J183" s="126"/>
      <c r="K183" s="126"/>
      <c r="L183" s="126"/>
    </row>
    <row r="184" customFormat="false" ht="15" hidden="false" customHeight="false" outlineLevel="0" collapsed="false">
      <c r="B184" s="121" t="str">
        <f aca="false">IF(INPUTS!$E$93&lt;&gt;"Yes","",IFERROR(CHOOSE(MATCH(INPUTS!$L$93,LISTS!$R$5:$R$10,0),INPUTS!$B$224,INPUTS!$B$258,INPUTS!$B$292,INPUTS!$B$326,INPUTS!$B$360,INPUTS!$B$394),"")&amp;"")</f>
        <v/>
      </c>
      <c r="C184" s="122" t="str">
        <f aca="false">IF(INPUTS!$E$93&lt;&gt;"Yes","",IFERROR(CHOOSE(MATCH(INPUTS!$L$93,LISTS!$R$5:$R$10,0),INPUTS!$C$224,INPUTS!$C$258,INPUTS!$C$292,INPUTS!$C$326,INPUTS!$C$360,INPUTS!$C$394),"")&amp;"")</f>
        <v/>
      </c>
      <c r="D184" s="123" t="n">
        <f aca="false">IF(INPUTS!$E$93&lt;&gt;"Yes",0,N(IFERROR(CHOOSE(MATCH(INPUTS!$L$93,LISTS!$R$5:$R$10,0),INPUTS!$D$224,INPUTS!$D$258,INPUTS!$D$292,INPUTS!$D$326,INPUTS!$D$360,INPUTS!$D$394),"")))</f>
        <v>0</v>
      </c>
      <c r="E184" s="124" t="n">
        <f aca="false">IF(INPUTS!$E$93&lt;&gt;"Yes",0,N(IFERROR(CHOOSE(MATCH(INPUTS!$L$93,LISTS!$R$5:$R$10,0),INPUTS!$E$224,INPUTS!$E$258,INPUTS!$E$292,INPUTS!$E$326,INPUTS!$E$360,INPUTS!$E$394),"")))</f>
        <v>0</v>
      </c>
      <c r="F184" s="125" t="str">
        <f aca="false">IF(AND(C184="Construction % complete",E184&gt;0),MAX(COUNTIF(CURVES!$D$71:$AQ$71,"&lt;"&amp;(D184-0.000000001))+1,INPUTS!$R$93),"")</f>
        <v/>
      </c>
      <c r="G184" s="126" t="str">
        <f aca="false">IF(E184=0,"",IF(C184="Booking + quarters",IF(D184=0,"at booking",D184&amp;" qtr(s) after booking"),IF(F184&gt;INPUTS!$C$24,"NOT REACHED in model","construction "&amp;TEXT(D184,"0%")&amp;" reached in Q"&amp;F184)))</f>
        <v/>
      </c>
      <c r="H184" s="126"/>
      <c r="I184" s="126"/>
      <c r="J184" s="126"/>
      <c r="K184" s="126"/>
      <c r="L184" s="126"/>
    </row>
    <row r="185" customFormat="false" ht="15" hidden="false" customHeight="false" outlineLevel="0" collapsed="false">
      <c r="B185" s="121" t="str">
        <f aca="false">IF(INPUTS!$E$93&lt;&gt;"Yes","",IFERROR(CHOOSE(MATCH(INPUTS!$L$93,LISTS!$R$5:$R$10,0),INPUTS!$B$225,INPUTS!$B$259,INPUTS!$B$293,INPUTS!$B$327,INPUTS!$B$361,INPUTS!$B$395),"")&amp;"")</f>
        <v/>
      </c>
      <c r="C185" s="122" t="str">
        <f aca="false">IF(INPUTS!$E$93&lt;&gt;"Yes","",IFERROR(CHOOSE(MATCH(INPUTS!$L$93,LISTS!$R$5:$R$10,0),INPUTS!$C$225,INPUTS!$C$259,INPUTS!$C$293,INPUTS!$C$327,INPUTS!$C$361,INPUTS!$C$395),"")&amp;"")</f>
        <v/>
      </c>
      <c r="D185" s="123" t="n">
        <f aca="false">IF(INPUTS!$E$93&lt;&gt;"Yes",0,N(IFERROR(CHOOSE(MATCH(INPUTS!$L$93,LISTS!$R$5:$R$10,0),INPUTS!$D$225,INPUTS!$D$259,INPUTS!$D$293,INPUTS!$D$327,INPUTS!$D$361,INPUTS!$D$395),"")))</f>
        <v>0</v>
      </c>
      <c r="E185" s="124" t="n">
        <f aca="false">IF(INPUTS!$E$93&lt;&gt;"Yes",0,N(IFERROR(CHOOSE(MATCH(INPUTS!$L$93,LISTS!$R$5:$R$10,0),INPUTS!$E$225,INPUTS!$E$259,INPUTS!$E$293,INPUTS!$E$327,INPUTS!$E$361,INPUTS!$E$395),"")))</f>
        <v>0</v>
      </c>
      <c r="F185" s="125" t="str">
        <f aca="false">IF(AND(C185="Construction % complete",E185&gt;0),MAX(COUNTIF(CURVES!$D$71:$AQ$71,"&lt;"&amp;(D185-0.000000001))+1,INPUTS!$R$93),"")</f>
        <v/>
      </c>
      <c r="G185" s="126" t="str">
        <f aca="false">IF(E185=0,"",IF(C185="Booking + quarters",IF(D185=0,"at booking",D185&amp;" qtr(s) after booking"),IF(F185&gt;INPUTS!$C$24,"NOT REACHED in model","construction "&amp;TEXT(D185,"0%")&amp;" reached in Q"&amp;F185)))</f>
        <v/>
      </c>
      <c r="H185" s="126"/>
      <c r="I185" s="126"/>
      <c r="J185" s="126"/>
      <c r="K185" s="126"/>
      <c r="L185" s="126"/>
    </row>
    <row r="186" customFormat="false" ht="15" hidden="false" customHeight="false" outlineLevel="0" collapsed="false">
      <c r="B186" s="121" t="str">
        <f aca="false">IF(INPUTS!$E$93&lt;&gt;"Yes","",IFERROR(CHOOSE(MATCH(INPUTS!$L$93,LISTS!$R$5:$R$10,0),INPUTS!$B$226,INPUTS!$B$260,INPUTS!$B$294,INPUTS!$B$328,INPUTS!$B$362,INPUTS!$B$396),"")&amp;"")</f>
        <v/>
      </c>
      <c r="C186" s="122" t="str">
        <f aca="false">IF(INPUTS!$E$93&lt;&gt;"Yes","",IFERROR(CHOOSE(MATCH(INPUTS!$L$93,LISTS!$R$5:$R$10,0),INPUTS!$C$226,INPUTS!$C$260,INPUTS!$C$294,INPUTS!$C$328,INPUTS!$C$362,INPUTS!$C$396),"")&amp;"")</f>
        <v/>
      </c>
      <c r="D186" s="123" t="n">
        <f aca="false">IF(INPUTS!$E$93&lt;&gt;"Yes",0,N(IFERROR(CHOOSE(MATCH(INPUTS!$L$93,LISTS!$R$5:$R$10,0),INPUTS!$D$226,INPUTS!$D$260,INPUTS!$D$294,INPUTS!$D$328,INPUTS!$D$362,INPUTS!$D$396),"")))</f>
        <v>0</v>
      </c>
      <c r="E186" s="124" t="n">
        <f aca="false">IF(INPUTS!$E$93&lt;&gt;"Yes",0,N(IFERROR(CHOOSE(MATCH(INPUTS!$L$93,LISTS!$R$5:$R$10,0),INPUTS!$E$226,INPUTS!$E$260,INPUTS!$E$294,INPUTS!$E$328,INPUTS!$E$362,INPUTS!$E$396),"")))</f>
        <v>0</v>
      </c>
      <c r="F186" s="125" t="str">
        <f aca="false">IF(AND(C186="Construction % complete",E186&gt;0),MAX(COUNTIF(CURVES!$D$71:$AQ$71,"&lt;"&amp;(D186-0.000000001))+1,INPUTS!$R$93),"")</f>
        <v/>
      </c>
      <c r="G186" s="126" t="str">
        <f aca="false">IF(E186=0,"",IF(C186="Booking + quarters",IF(D186=0,"at booking",D186&amp;" qtr(s) after booking"),IF(F186&gt;INPUTS!$C$24,"NOT REACHED in model","construction "&amp;TEXT(D186,"0%")&amp;" reached in Q"&amp;F186)))</f>
        <v/>
      </c>
      <c r="H186" s="126"/>
      <c r="I186" s="126"/>
      <c r="J186" s="126"/>
      <c r="K186" s="126"/>
      <c r="L186" s="126"/>
    </row>
    <row r="187" customFormat="false" ht="15" hidden="false" customHeight="false" outlineLevel="0" collapsed="false">
      <c r="B187" s="121" t="str">
        <f aca="false">IF(INPUTS!$E$93&lt;&gt;"Yes","",IFERROR(CHOOSE(MATCH(INPUTS!$L$93,LISTS!$R$5:$R$10,0),INPUTS!$B$227,INPUTS!$B$261,INPUTS!$B$295,INPUTS!$B$329,INPUTS!$B$363,INPUTS!$B$397),"")&amp;"")</f>
        <v/>
      </c>
      <c r="C187" s="122" t="str">
        <f aca="false">IF(INPUTS!$E$93&lt;&gt;"Yes","",IFERROR(CHOOSE(MATCH(INPUTS!$L$93,LISTS!$R$5:$R$10,0),INPUTS!$C$227,INPUTS!$C$261,INPUTS!$C$295,INPUTS!$C$329,INPUTS!$C$363,INPUTS!$C$397),"")&amp;"")</f>
        <v/>
      </c>
      <c r="D187" s="123" t="n">
        <f aca="false">IF(INPUTS!$E$93&lt;&gt;"Yes",0,N(IFERROR(CHOOSE(MATCH(INPUTS!$L$93,LISTS!$R$5:$R$10,0),INPUTS!$D$227,INPUTS!$D$261,INPUTS!$D$295,INPUTS!$D$329,INPUTS!$D$363,INPUTS!$D$397),"")))</f>
        <v>0</v>
      </c>
      <c r="E187" s="124" t="n">
        <f aca="false">IF(INPUTS!$E$93&lt;&gt;"Yes",0,N(IFERROR(CHOOSE(MATCH(INPUTS!$L$93,LISTS!$R$5:$R$10,0),INPUTS!$E$227,INPUTS!$E$261,INPUTS!$E$295,INPUTS!$E$329,INPUTS!$E$363,INPUTS!$E$397),"")))</f>
        <v>0</v>
      </c>
      <c r="F187" s="125" t="str">
        <f aca="false">IF(AND(C187="Construction % complete",E187&gt;0),MAX(COUNTIF(CURVES!$D$71:$AQ$71,"&lt;"&amp;(D187-0.000000001))+1,INPUTS!$R$93),"")</f>
        <v/>
      </c>
      <c r="G187" s="126" t="str">
        <f aca="false">IF(E187=0,"",IF(C187="Booking + quarters",IF(D187=0,"at booking",D187&amp;" qtr(s) after booking"),IF(F187&gt;INPUTS!$C$24,"NOT REACHED in model","construction "&amp;TEXT(D187,"0%")&amp;" reached in Q"&amp;F187)))</f>
        <v/>
      </c>
      <c r="H187" s="126"/>
      <c r="I187" s="126"/>
      <c r="J187" s="126"/>
      <c r="K187" s="126"/>
      <c r="L187" s="126"/>
    </row>
    <row r="188" customFormat="false" ht="15" hidden="false" customHeight="false" outlineLevel="0" collapsed="false">
      <c r="B188" s="121" t="str">
        <f aca="false">IF(INPUTS!$E$93&lt;&gt;"Yes","",IFERROR(CHOOSE(MATCH(INPUTS!$L$93,LISTS!$R$5:$R$10,0),INPUTS!$B$228,INPUTS!$B$262,INPUTS!$B$296,INPUTS!$B$330,INPUTS!$B$364,INPUTS!$B$398),"")&amp;"")</f>
        <v/>
      </c>
      <c r="C188" s="122" t="str">
        <f aca="false">IF(INPUTS!$E$93&lt;&gt;"Yes","",IFERROR(CHOOSE(MATCH(INPUTS!$L$93,LISTS!$R$5:$R$10,0),INPUTS!$C$228,INPUTS!$C$262,INPUTS!$C$296,INPUTS!$C$330,INPUTS!$C$364,INPUTS!$C$398),"")&amp;"")</f>
        <v/>
      </c>
      <c r="D188" s="123" t="n">
        <f aca="false">IF(INPUTS!$E$93&lt;&gt;"Yes",0,N(IFERROR(CHOOSE(MATCH(INPUTS!$L$93,LISTS!$R$5:$R$10,0),INPUTS!$D$228,INPUTS!$D$262,INPUTS!$D$296,INPUTS!$D$330,INPUTS!$D$364,INPUTS!$D$398),"")))</f>
        <v>0</v>
      </c>
      <c r="E188" s="124" t="n">
        <f aca="false">IF(INPUTS!$E$93&lt;&gt;"Yes",0,N(IFERROR(CHOOSE(MATCH(INPUTS!$L$93,LISTS!$R$5:$R$10,0),INPUTS!$E$228,INPUTS!$E$262,INPUTS!$E$296,INPUTS!$E$330,INPUTS!$E$364,INPUTS!$E$398),"")))</f>
        <v>0</v>
      </c>
      <c r="F188" s="125" t="str">
        <f aca="false">IF(AND(C188="Construction % complete",E188&gt;0),MAX(COUNTIF(CURVES!$D$71:$AQ$71,"&lt;"&amp;(D188-0.000000001))+1,INPUTS!$R$93),"")</f>
        <v/>
      </c>
      <c r="G188" s="126" t="str">
        <f aca="false">IF(E188=0,"",IF(C188="Booking + quarters",IF(D188=0,"at booking",D188&amp;" qtr(s) after booking"),IF(F188&gt;INPUTS!$C$24,"NOT REACHED in model","construction "&amp;TEXT(D188,"0%")&amp;" reached in Q"&amp;F188)))</f>
        <v/>
      </c>
      <c r="H188" s="126"/>
      <c r="I188" s="126"/>
      <c r="J188" s="126"/>
      <c r="K188" s="126"/>
      <c r="L188" s="126"/>
    </row>
    <row r="189" customFormat="false" ht="15" hidden="false" customHeight="false" outlineLevel="0" collapsed="false">
      <c r="B189" s="121" t="str">
        <f aca="false">IF(INPUTS!$E$93&lt;&gt;"Yes","",IFERROR(CHOOSE(MATCH(INPUTS!$L$93,LISTS!$R$5:$R$10,0),INPUTS!$B$229,INPUTS!$B$263,INPUTS!$B$297,INPUTS!$B$331,INPUTS!$B$365,INPUTS!$B$399),"")&amp;"")</f>
        <v/>
      </c>
      <c r="C189" s="122" t="str">
        <f aca="false">IF(INPUTS!$E$93&lt;&gt;"Yes","",IFERROR(CHOOSE(MATCH(INPUTS!$L$93,LISTS!$R$5:$R$10,0),INPUTS!$C$229,INPUTS!$C$263,INPUTS!$C$297,INPUTS!$C$331,INPUTS!$C$365,INPUTS!$C$399),"")&amp;"")</f>
        <v/>
      </c>
      <c r="D189" s="123" t="n">
        <f aca="false">IF(INPUTS!$E$93&lt;&gt;"Yes",0,N(IFERROR(CHOOSE(MATCH(INPUTS!$L$93,LISTS!$R$5:$R$10,0),INPUTS!$D$229,INPUTS!$D$263,INPUTS!$D$297,INPUTS!$D$331,INPUTS!$D$365,INPUTS!$D$399),"")))</f>
        <v>0</v>
      </c>
      <c r="E189" s="124" t="n">
        <f aca="false">IF(INPUTS!$E$93&lt;&gt;"Yes",0,N(IFERROR(CHOOSE(MATCH(INPUTS!$L$93,LISTS!$R$5:$R$10,0),INPUTS!$E$229,INPUTS!$E$263,INPUTS!$E$297,INPUTS!$E$331,INPUTS!$E$365,INPUTS!$E$399),"")))</f>
        <v>0</v>
      </c>
      <c r="F189" s="125" t="str">
        <f aca="false">IF(AND(C189="Construction % complete",E189&gt;0),MAX(COUNTIF(CURVES!$D$71:$AQ$71,"&lt;"&amp;(D189-0.000000001))+1,INPUTS!$R$93),"")</f>
        <v/>
      </c>
      <c r="G189" s="126" t="str">
        <f aca="false">IF(E189=0,"",IF(C189="Booking + quarters",IF(D189=0,"at booking",D189&amp;" qtr(s) after booking"),IF(F189&gt;INPUTS!$C$24,"NOT REACHED in model","construction "&amp;TEXT(D189,"0%")&amp;" reached in Q"&amp;F189)))</f>
        <v/>
      </c>
      <c r="H189" s="126"/>
      <c r="I189" s="126"/>
      <c r="J189" s="126"/>
      <c r="K189" s="126"/>
      <c r="L189" s="126"/>
    </row>
    <row r="190" customFormat="false" ht="15" hidden="false" customHeight="false" outlineLevel="0" collapsed="false">
      <c r="B190" s="121" t="str">
        <f aca="false">IF(INPUTS!$E$93&lt;&gt;"Yes","",IFERROR(CHOOSE(MATCH(INPUTS!$L$93,LISTS!$R$5:$R$10,0),INPUTS!$B$230,INPUTS!$B$264,INPUTS!$B$298,INPUTS!$B$332,INPUTS!$B$366,INPUTS!$B$400),"")&amp;"")</f>
        <v/>
      </c>
      <c r="C190" s="122" t="str">
        <f aca="false">IF(INPUTS!$E$93&lt;&gt;"Yes","",IFERROR(CHOOSE(MATCH(INPUTS!$L$93,LISTS!$R$5:$R$10,0),INPUTS!$C$230,INPUTS!$C$264,INPUTS!$C$298,INPUTS!$C$332,INPUTS!$C$366,INPUTS!$C$400),"")&amp;"")</f>
        <v/>
      </c>
      <c r="D190" s="123" t="n">
        <f aca="false">IF(INPUTS!$E$93&lt;&gt;"Yes",0,N(IFERROR(CHOOSE(MATCH(INPUTS!$L$93,LISTS!$R$5:$R$10,0),INPUTS!$D$230,INPUTS!$D$264,INPUTS!$D$298,INPUTS!$D$332,INPUTS!$D$366,INPUTS!$D$400),"")))</f>
        <v>0</v>
      </c>
      <c r="E190" s="124" t="n">
        <f aca="false">IF(INPUTS!$E$93&lt;&gt;"Yes",0,N(IFERROR(CHOOSE(MATCH(INPUTS!$L$93,LISTS!$R$5:$R$10,0),INPUTS!$E$230,INPUTS!$E$264,INPUTS!$E$298,INPUTS!$E$332,INPUTS!$E$366,INPUTS!$E$400),"")))</f>
        <v>0</v>
      </c>
      <c r="F190" s="125" t="str">
        <f aca="false">IF(AND(C190="Construction % complete",E190&gt;0),MAX(COUNTIF(CURVES!$D$71:$AQ$71,"&lt;"&amp;(D190-0.000000001))+1,INPUTS!$R$93),"")</f>
        <v/>
      </c>
      <c r="G190" s="126" t="str">
        <f aca="false">IF(E190=0,"",IF(C190="Booking + quarters",IF(D190=0,"at booking",D190&amp;" qtr(s) after booking"),IF(F190&gt;INPUTS!$C$24,"NOT REACHED in model","construction "&amp;TEXT(D190,"0%")&amp;" reached in Q"&amp;F190)))</f>
        <v/>
      </c>
      <c r="H190" s="126"/>
      <c r="I190" s="126"/>
      <c r="J190" s="126"/>
      <c r="K190" s="126"/>
      <c r="L190" s="126"/>
    </row>
    <row r="191" customFormat="false" ht="15" hidden="false" customHeight="false" outlineLevel="0" collapsed="false">
      <c r="B191" s="121" t="str">
        <f aca="false">IF(INPUTS!$E$93&lt;&gt;"Yes","",IFERROR(CHOOSE(MATCH(INPUTS!$L$93,LISTS!$R$5:$R$10,0),INPUTS!$B$231,INPUTS!$B$265,INPUTS!$B$299,INPUTS!$B$333,INPUTS!$B$367,INPUTS!$B$401),"")&amp;"")</f>
        <v/>
      </c>
      <c r="C191" s="122" t="str">
        <f aca="false">IF(INPUTS!$E$93&lt;&gt;"Yes","",IFERROR(CHOOSE(MATCH(INPUTS!$L$93,LISTS!$R$5:$R$10,0),INPUTS!$C$231,INPUTS!$C$265,INPUTS!$C$299,INPUTS!$C$333,INPUTS!$C$367,INPUTS!$C$401),"")&amp;"")</f>
        <v/>
      </c>
      <c r="D191" s="123" t="n">
        <f aca="false">IF(INPUTS!$E$93&lt;&gt;"Yes",0,N(IFERROR(CHOOSE(MATCH(INPUTS!$L$93,LISTS!$R$5:$R$10,0),INPUTS!$D$231,INPUTS!$D$265,INPUTS!$D$299,INPUTS!$D$333,INPUTS!$D$367,INPUTS!$D$401),"")))</f>
        <v>0</v>
      </c>
      <c r="E191" s="124" t="n">
        <f aca="false">IF(INPUTS!$E$93&lt;&gt;"Yes",0,N(IFERROR(CHOOSE(MATCH(INPUTS!$L$93,LISTS!$R$5:$R$10,0),INPUTS!$E$231,INPUTS!$E$265,INPUTS!$E$299,INPUTS!$E$333,INPUTS!$E$367,INPUTS!$E$401),"")))</f>
        <v>0</v>
      </c>
      <c r="F191" s="125" t="str">
        <f aca="false">IF(AND(C191="Construction % complete",E191&gt;0),MAX(COUNTIF(CURVES!$D$71:$AQ$71,"&lt;"&amp;(D191-0.000000001))+1,INPUTS!$R$93),"")</f>
        <v/>
      </c>
      <c r="G191" s="126" t="str">
        <f aca="false">IF(E191=0,"",IF(C191="Booking + quarters",IF(D191=0,"at booking",D191&amp;" qtr(s) after booking"),IF(F191&gt;INPUTS!$C$24,"NOT REACHED in model","construction "&amp;TEXT(D191,"0%")&amp;" reached in Q"&amp;F191)))</f>
        <v/>
      </c>
      <c r="H191" s="126"/>
      <c r="I191" s="126"/>
      <c r="J191" s="126"/>
      <c r="K191" s="126"/>
      <c r="L191" s="126"/>
    </row>
    <row r="192" customFormat="false" ht="15" hidden="false" customHeight="false" outlineLevel="0" collapsed="false">
      <c r="B192" s="121" t="str">
        <f aca="false">IF(INPUTS!$E$93&lt;&gt;"Yes","",IFERROR(CHOOSE(MATCH(INPUTS!$L$93,LISTS!$R$5:$R$10,0),INPUTS!$B$232,INPUTS!$B$266,INPUTS!$B$300,INPUTS!$B$334,INPUTS!$B$368,INPUTS!$B$402),"")&amp;"")</f>
        <v/>
      </c>
      <c r="C192" s="122" t="str">
        <f aca="false">IF(INPUTS!$E$93&lt;&gt;"Yes","",IFERROR(CHOOSE(MATCH(INPUTS!$L$93,LISTS!$R$5:$R$10,0),INPUTS!$C$232,INPUTS!$C$266,INPUTS!$C$300,INPUTS!$C$334,INPUTS!$C$368,INPUTS!$C$402),"")&amp;"")</f>
        <v/>
      </c>
      <c r="D192" s="123" t="n">
        <f aca="false">IF(INPUTS!$E$93&lt;&gt;"Yes",0,N(IFERROR(CHOOSE(MATCH(INPUTS!$L$93,LISTS!$R$5:$R$10,0),INPUTS!$D$232,INPUTS!$D$266,INPUTS!$D$300,INPUTS!$D$334,INPUTS!$D$368,INPUTS!$D$402),"")))</f>
        <v>0</v>
      </c>
      <c r="E192" s="124" t="n">
        <f aca="false">IF(INPUTS!$E$93&lt;&gt;"Yes",0,N(IFERROR(CHOOSE(MATCH(INPUTS!$L$93,LISTS!$R$5:$R$10,0),INPUTS!$E$232,INPUTS!$E$266,INPUTS!$E$300,INPUTS!$E$334,INPUTS!$E$368,INPUTS!$E$402),"")))</f>
        <v>0</v>
      </c>
      <c r="F192" s="125" t="str">
        <f aca="false">IF(AND(C192="Construction % complete",E192&gt;0),MAX(COUNTIF(CURVES!$D$71:$AQ$71,"&lt;"&amp;(D192-0.000000001))+1,INPUTS!$R$93),"")</f>
        <v/>
      </c>
      <c r="G192" s="126" t="str">
        <f aca="false">IF(E192=0,"",IF(C192="Booking + quarters",IF(D192=0,"at booking",D192&amp;" qtr(s) after booking"),IF(F192&gt;INPUTS!$C$24,"NOT REACHED in model","construction "&amp;TEXT(D192,"0%")&amp;" reached in Q"&amp;F192)))</f>
        <v/>
      </c>
      <c r="H192" s="126"/>
      <c r="I192" s="126"/>
      <c r="J192" s="126"/>
      <c r="K192" s="126"/>
      <c r="L192" s="126"/>
    </row>
    <row r="193" customFormat="false" ht="15" hidden="false" customHeight="false" outlineLevel="0" collapsed="false">
      <c r="B193" s="121" t="str">
        <f aca="false">IF(INPUTS!$E$93&lt;&gt;"Yes","",IFERROR(CHOOSE(MATCH(INPUTS!$L$93,LISTS!$R$5:$R$10,0),INPUTS!$B$233,INPUTS!$B$267,INPUTS!$B$301,INPUTS!$B$335,INPUTS!$B$369,INPUTS!$B$403),"")&amp;"")</f>
        <v/>
      </c>
      <c r="C193" s="122" t="str">
        <f aca="false">IF(INPUTS!$E$93&lt;&gt;"Yes","",IFERROR(CHOOSE(MATCH(INPUTS!$L$93,LISTS!$R$5:$R$10,0),INPUTS!$C$233,INPUTS!$C$267,INPUTS!$C$301,INPUTS!$C$335,INPUTS!$C$369,INPUTS!$C$403),"")&amp;"")</f>
        <v/>
      </c>
      <c r="D193" s="123" t="n">
        <f aca="false">IF(INPUTS!$E$93&lt;&gt;"Yes",0,N(IFERROR(CHOOSE(MATCH(INPUTS!$L$93,LISTS!$R$5:$R$10,0),INPUTS!$D$233,INPUTS!$D$267,INPUTS!$D$301,INPUTS!$D$335,INPUTS!$D$369,INPUTS!$D$403),"")))</f>
        <v>0</v>
      </c>
      <c r="E193" s="124" t="n">
        <f aca="false">IF(INPUTS!$E$93&lt;&gt;"Yes",0,N(IFERROR(CHOOSE(MATCH(INPUTS!$L$93,LISTS!$R$5:$R$10,0),INPUTS!$E$233,INPUTS!$E$267,INPUTS!$E$301,INPUTS!$E$335,INPUTS!$E$369,INPUTS!$E$403),"")))</f>
        <v>0</v>
      </c>
      <c r="F193" s="125" t="str">
        <f aca="false">IF(AND(C193="Construction % complete",E193&gt;0),MAX(COUNTIF(CURVES!$D$71:$AQ$71,"&lt;"&amp;(D193-0.000000001))+1,INPUTS!$R$93),"")</f>
        <v/>
      </c>
      <c r="G193" s="126" t="str">
        <f aca="false">IF(E193=0,"",IF(C193="Booking + quarters",IF(D193=0,"at booking",D193&amp;" qtr(s) after booking"),IF(F193&gt;INPUTS!$C$24,"NOT REACHED in model","construction "&amp;TEXT(D193,"0%")&amp;" reached in Q"&amp;F193)))</f>
        <v/>
      </c>
      <c r="H193" s="126"/>
      <c r="I193" s="126"/>
      <c r="J193" s="126"/>
      <c r="K193" s="126"/>
      <c r="L193" s="126"/>
    </row>
    <row r="194" customFormat="false" ht="15" hidden="false" customHeight="false" outlineLevel="0" collapsed="false">
      <c r="B194" s="121" t="str">
        <f aca="false">IF(INPUTS!$E$93&lt;&gt;"Yes","",IFERROR(CHOOSE(MATCH(INPUTS!$L$93,LISTS!$R$5:$R$10,0),INPUTS!$B$234,INPUTS!$B$268,INPUTS!$B$302,INPUTS!$B$336,INPUTS!$B$370,INPUTS!$B$404),"")&amp;"")</f>
        <v/>
      </c>
      <c r="C194" s="122" t="str">
        <f aca="false">IF(INPUTS!$E$93&lt;&gt;"Yes","",IFERROR(CHOOSE(MATCH(INPUTS!$L$93,LISTS!$R$5:$R$10,0),INPUTS!$C$234,INPUTS!$C$268,INPUTS!$C$302,INPUTS!$C$336,INPUTS!$C$370,INPUTS!$C$404),"")&amp;"")</f>
        <v/>
      </c>
      <c r="D194" s="123" t="n">
        <f aca="false">IF(INPUTS!$E$93&lt;&gt;"Yes",0,N(IFERROR(CHOOSE(MATCH(INPUTS!$L$93,LISTS!$R$5:$R$10,0),INPUTS!$D$234,INPUTS!$D$268,INPUTS!$D$302,INPUTS!$D$336,INPUTS!$D$370,INPUTS!$D$404),"")))</f>
        <v>0</v>
      </c>
      <c r="E194" s="124" t="n">
        <f aca="false">IF(INPUTS!$E$93&lt;&gt;"Yes",0,N(IFERROR(CHOOSE(MATCH(INPUTS!$L$93,LISTS!$R$5:$R$10,0),INPUTS!$E$234,INPUTS!$E$268,INPUTS!$E$302,INPUTS!$E$336,INPUTS!$E$370,INPUTS!$E$404),"")))</f>
        <v>0</v>
      </c>
      <c r="F194" s="125" t="str">
        <f aca="false">IF(AND(C194="Construction % complete",E194&gt;0),MAX(COUNTIF(CURVES!$D$71:$AQ$71,"&lt;"&amp;(D194-0.000000001))+1,INPUTS!$R$93),"")</f>
        <v/>
      </c>
      <c r="G194" s="126" t="str">
        <f aca="false">IF(E194=0,"",IF(C194="Booking + quarters",IF(D194=0,"at booking",D194&amp;" qtr(s) after booking"),IF(F194&gt;INPUTS!$C$24,"NOT REACHED in model","construction "&amp;TEXT(D194,"0%")&amp;" reached in Q"&amp;F194)))</f>
        <v/>
      </c>
      <c r="H194" s="126"/>
      <c r="I194" s="126"/>
      <c r="J194" s="126"/>
      <c r="K194" s="126"/>
      <c r="L194" s="126"/>
    </row>
    <row r="195" customFormat="false" ht="15" hidden="false" customHeight="false" outlineLevel="0" collapsed="false">
      <c r="B195" s="121" t="str">
        <f aca="false">IF(INPUTS!$E$93&lt;&gt;"Yes","",IFERROR(CHOOSE(MATCH(INPUTS!$L$93,LISTS!$R$5:$R$10,0),INPUTS!$B$235,INPUTS!$B$269,INPUTS!$B$303,INPUTS!$B$337,INPUTS!$B$371,INPUTS!$B$405),"")&amp;"")</f>
        <v/>
      </c>
      <c r="C195" s="122" t="str">
        <f aca="false">IF(INPUTS!$E$93&lt;&gt;"Yes","",IFERROR(CHOOSE(MATCH(INPUTS!$L$93,LISTS!$R$5:$R$10,0),INPUTS!$C$235,INPUTS!$C$269,INPUTS!$C$303,INPUTS!$C$337,INPUTS!$C$371,INPUTS!$C$405),"")&amp;"")</f>
        <v/>
      </c>
      <c r="D195" s="123" t="n">
        <f aca="false">IF(INPUTS!$E$93&lt;&gt;"Yes",0,N(IFERROR(CHOOSE(MATCH(INPUTS!$L$93,LISTS!$R$5:$R$10,0),INPUTS!$D$235,INPUTS!$D$269,INPUTS!$D$303,INPUTS!$D$337,INPUTS!$D$371,INPUTS!$D$405),"")))</f>
        <v>0</v>
      </c>
      <c r="E195" s="124" t="n">
        <f aca="false">IF(INPUTS!$E$93&lt;&gt;"Yes",0,N(IFERROR(CHOOSE(MATCH(INPUTS!$L$93,LISTS!$R$5:$R$10,0),INPUTS!$E$235,INPUTS!$E$269,INPUTS!$E$303,INPUTS!$E$337,INPUTS!$E$371,INPUTS!$E$405),"")))</f>
        <v>0</v>
      </c>
      <c r="F195" s="125" t="str">
        <f aca="false">IF(AND(C195="Construction % complete",E195&gt;0),MAX(COUNTIF(CURVES!$D$71:$AQ$71,"&lt;"&amp;(D195-0.000000001))+1,INPUTS!$R$93),"")</f>
        <v/>
      </c>
      <c r="G195" s="126" t="str">
        <f aca="false">IF(E195=0,"",IF(C195="Booking + quarters",IF(D195=0,"at booking",D195&amp;" qtr(s) after booking"),IF(F195&gt;INPUTS!$C$24,"NOT REACHED in model","construction "&amp;TEXT(D195,"0%")&amp;" reached in Q"&amp;F195)))</f>
        <v/>
      </c>
      <c r="H195" s="126"/>
      <c r="I195" s="126"/>
      <c r="J195" s="126"/>
      <c r="K195" s="126"/>
      <c r="L195" s="126"/>
    </row>
    <row r="196" customFormat="false" ht="15" hidden="false" customHeight="false" outlineLevel="0" collapsed="false">
      <c r="B196" s="121" t="str">
        <f aca="false">IF(INPUTS!$E$93&lt;&gt;"Yes","",IFERROR(CHOOSE(MATCH(INPUTS!$L$93,LISTS!$R$5:$R$10,0),INPUTS!$B$236,INPUTS!$B$270,INPUTS!$B$304,INPUTS!$B$338,INPUTS!$B$372,INPUTS!$B$406),"")&amp;"")</f>
        <v/>
      </c>
      <c r="C196" s="122" t="str">
        <f aca="false">IF(INPUTS!$E$93&lt;&gt;"Yes","",IFERROR(CHOOSE(MATCH(INPUTS!$L$93,LISTS!$R$5:$R$10,0),INPUTS!$C$236,INPUTS!$C$270,INPUTS!$C$304,INPUTS!$C$338,INPUTS!$C$372,INPUTS!$C$406),"")&amp;"")</f>
        <v/>
      </c>
      <c r="D196" s="123" t="n">
        <f aca="false">IF(INPUTS!$E$93&lt;&gt;"Yes",0,N(IFERROR(CHOOSE(MATCH(INPUTS!$L$93,LISTS!$R$5:$R$10,0),INPUTS!$D$236,INPUTS!$D$270,INPUTS!$D$304,INPUTS!$D$338,INPUTS!$D$372,INPUTS!$D$406),"")))</f>
        <v>0</v>
      </c>
      <c r="E196" s="124" t="n">
        <f aca="false">IF(INPUTS!$E$93&lt;&gt;"Yes",0,N(IFERROR(CHOOSE(MATCH(INPUTS!$L$93,LISTS!$R$5:$R$10,0),INPUTS!$E$236,INPUTS!$E$270,INPUTS!$E$304,INPUTS!$E$338,INPUTS!$E$372,INPUTS!$E$406),"")))</f>
        <v>0</v>
      </c>
      <c r="F196" s="125" t="str">
        <f aca="false">IF(AND(C196="Construction % complete",E196&gt;0),MAX(COUNTIF(CURVES!$D$71:$AQ$71,"&lt;"&amp;(D196-0.000000001))+1,INPUTS!$R$93),"")</f>
        <v/>
      </c>
      <c r="G196" s="126" t="str">
        <f aca="false">IF(E196=0,"",IF(C196="Booking + quarters",IF(D196=0,"at booking",D196&amp;" qtr(s) after booking"),IF(F196&gt;INPUTS!$C$24,"NOT REACHED in model","construction "&amp;TEXT(D196,"0%")&amp;" reached in Q"&amp;F196)))</f>
        <v/>
      </c>
      <c r="H196" s="126"/>
      <c r="I196" s="126"/>
      <c r="J196" s="126"/>
      <c r="K196" s="126"/>
      <c r="L196" s="126"/>
    </row>
    <row r="197" customFormat="false" ht="15" hidden="false" customHeight="false" outlineLevel="0" collapsed="false">
      <c r="B197" s="121" t="str">
        <f aca="false">IF(INPUTS!$E$93&lt;&gt;"Yes","",IFERROR(CHOOSE(MATCH(INPUTS!$L$93,LISTS!$R$5:$R$10,0),INPUTS!$B$237,INPUTS!$B$271,INPUTS!$B$305,INPUTS!$B$339,INPUTS!$B$373,INPUTS!$B$407),"")&amp;"")</f>
        <v/>
      </c>
      <c r="C197" s="122" t="str">
        <f aca="false">IF(INPUTS!$E$93&lt;&gt;"Yes","",IFERROR(CHOOSE(MATCH(INPUTS!$L$93,LISTS!$R$5:$R$10,0),INPUTS!$C$237,INPUTS!$C$271,INPUTS!$C$305,INPUTS!$C$339,INPUTS!$C$373,INPUTS!$C$407),"")&amp;"")</f>
        <v/>
      </c>
      <c r="D197" s="123" t="n">
        <f aca="false">IF(INPUTS!$E$93&lt;&gt;"Yes",0,N(IFERROR(CHOOSE(MATCH(INPUTS!$L$93,LISTS!$R$5:$R$10,0),INPUTS!$D$237,INPUTS!$D$271,INPUTS!$D$305,INPUTS!$D$339,INPUTS!$D$373,INPUTS!$D$407),"")))</f>
        <v>0</v>
      </c>
      <c r="E197" s="124" t="n">
        <f aca="false">IF(INPUTS!$E$93&lt;&gt;"Yes",0,N(IFERROR(CHOOSE(MATCH(INPUTS!$L$93,LISTS!$R$5:$R$10,0),INPUTS!$E$237,INPUTS!$E$271,INPUTS!$E$305,INPUTS!$E$339,INPUTS!$E$373,INPUTS!$E$407),"")))</f>
        <v>0</v>
      </c>
      <c r="F197" s="125" t="str">
        <f aca="false">IF(AND(C197="Construction % complete",E197&gt;0),MAX(COUNTIF(CURVES!$D$71:$AQ$71,"&lt;"&amp;(D197-0.000000001))+1,INPUTS!$R$93),"")</f>
        <v/>
      </c>
      <c r="G197" s="126" t="str">
        <f aca="false">IF(E197=0,"",IF(C197="Booking + quarters",IF(D197=0,"at booking",D197&amp;" qtr(s) after booking"),IF(F197&gt;INPUTS!$C$24,"NOT REACHED in model","construction "&amp;TEXT(D197,"0%")&amp;" reached in Q"&amp;F197)))</f>
        <v/>
      </c>
      <c r="H197" s="126"/>
      <c r="I197" s="126"/>
      <c r="J197" s="126"/>
      <c r="K197" s="126"/>
      <c r="L197" s="126"/>
    </row>
    <row r="198" customFormat="false" ht="15" hidden="false" customHeight="false" outlineLevel="0" collapsed="false">
      <c r="B198" s="121" t="str">
        <f aca="false">IF(INPUTS!$E$93&lt;&gt;"Yes","",IFERROR(CHOOSE(MATCH(INPUTS!$L$93,LISTS!$R$5:$R$10,0),INPUTS!$B$238,INPUTS!$B$272,INPUTS!$B$306,INPUTS!$B$340,INPUTS!$B$374,INPUTS!$B$408),"")&amp;"")</f>
        <v/>
      </c>
      <c r="C198" s="122" t="str">
        <f aca="false">IF(INPUTS!$E$93&lt;&gt;"Yes","",IFERROR(CHOOSE(MATCH(INPUTS!$L$93,LISTS!$R$5:$R$10,0),INPUTS!$C$238,INPUTS!$C$272,INPUTS!$C$306,INPUTS!$C$340,INPUTS!$C$374,INPUTS!$C$408),"")&amp;"")</f>
        <v/>
      </c>
      <c r="D198" s="123" t="n">
        <f aca="false">IF(INPUTS!$E$93&lt;&gt;"Yes",0,N(IFERROR(CHOOSE(MATCH(INPUTS!$L$93,LISTS!$R$5:$R$10,0),INPUTS!$D$238,INPUTS!$D$272,INPUTS!$D$306,INPUTS!$D$340,INPUTS!$D$374,INPUTS!$D$408),"")))</f>
        <v>0</v>
      </c>
      <c r="E198" s="124" t="n">
        <f aca="false">IF(INPUTS!$E$93&lt;&gt;"Yes",0,N(IFERROR(CHOOSE(MATCH(INPUTS!$L$93,LISTS!$R$5:$R$10,0),INPUTS!$E$238,INPUTS!$E$272,INPUTS!$E$306,INPUTS!$E$340,INPUTS!$E$374,INPUTS!$E$408),"")))</f>
        <v>0</v>
      </c>
      <c r="F198" s="125" t="str">
        <f aca="false">IF(AND(C198="Construction % complete",E198&gt;0),MAX(COUNTIF(CURVES!$D$71:$AQ$71,"&lt;"&amp;(D198-0.000000001))+1,INPUTS!$R$93),"")</f>
        <v/>
      </c>
      <c r="G198" s="126" t="str">
        <f aca="false">IF(E198=0,"",IF(C198="Booking + quarters",IF(D198=0,"at booking",D198&amp;" qtr(s) after booking"),IF(F198&gt;INPUTS!$C$24,"NOT REACHED in model","construction "&amp;TEXT(D198,"0%")&amp;" reached in Q"&amp;F198)))</f>
        <v/>
      </c>
      <c r="H198" s="126"/>
      <c r="I198" s="126"/>
      <c r="J198" s="126"/>
      <c r="K198" s="126"/>
      <c r="L198" s="126"/>
    </row>
    <row r="199" customFormat="false" ht="15" hidden="false" customHeight="false" outlineLevel="0" collapsed="false">
      <c r="B199" s="121" t="str">
        <f aca="false">IF(INPUTS!$E$93&lt;&gt;"Yes","",IFERROR(CHOOSE(MATCH(INPUTS!$L$93,LISTS!$R$5:$R$10,0),INPUTS!$B$239,INPUTS!$B$273,INPUTS!$B$307,INPUTS!$B$341,INPUTS!$B$375,INPUTS!$B$409),"")&amp;"")</f>
        <v/>
      </c>
      <c r="C199" s="122" t="str">
        <f aca="false">IF(INPUTS!$E$93&lt;&gt;"Yes","",IFERROR(CHOOSE(MATCH(INPUTS!$L$93,LISTS!$R$5:$R$10,0),INPUTS!$C$239,INPUTS!$C$273,INPUTS!$C$307,INPUTS!$C$341,INPUTS!$C$375,INPUTS!$C$409),"")&amp;"")</f>
        <v/>
      </c>
      <c r="D199" s="123" t="n">
        <f aca="false">IF(INPUTS!$E$93&lt;&gt;"Yes",0,N(IFERROR(CHOOSE(MATCH(INPUTS!$L$93,LISTS!$R$5:$R$10,0),INPUTS!$D$239,INPUTS!$D$273,INPUTS!$D$307,INPUTS!$D$341,INPUTS!$D$375,INPUTS!$D$409),"")))</f>
        <v>0</v>
      </c>
      <c r="E199" s="124" t="n">
        <f aca="false">IF(INPUTS!$E$93&lt;&gt;"Yes",0,N(IFERROR(CHOOSE(MATCH(INPUTS!$L$93,LISTS!$R$5:$R$10,0),INPUTS!$E$239,INPUTS!$E$273,INPUTS!$E$307,INPUTS!$E$341,INPUTS!$E$375,INPUTS!$E$409),"")))</f>
        <v>0</v>
      </c>
      <c r="F199" s="125" t="str">
        <f aca="false">IF(AND(C199="Construction % complete",E199&gt;0),MAX(COUNTIF(CURVES!$D$71:$AQ$71,"&lt;"&amp;(D199-0.000000001))+1,INPUTS!$R$93),"")</f>
        <v/>
      </c>
      <c r="G199" s="126" t="str">
        <f aca="false">IF(E199=0,"",IF(C199="Booking + quarters",IF(D199=0,"at booking",D199&amp;" qtr(s) after booking"),IF(F199&gt;INPUTS!$C$24,"NOT REACHED in model","construction "&amp;TEXT(D199,"0%")&amp;" reached in Q"&amp;F199)))</f>
        <v/>
      </c>
      <c r="H199" s="126"/>
      <c r="I199" s="126"/>
      <c r="J199" s="126"/>
      <c r="K199" s="126"/>
      <c r="L199" s="126"/>
    </row>
    <row r="200" customFormat="false" ht="15" hidden="false" customHeight="false" outlineLevel="0" collapsed="false">
      <c r="B200" s="121" t="str">
        <f aca="false">IF(INPUTS!$E$93&lt;&gt;"Yes","",IFERROR(CHOOSE(MATCH(INPUTS!$L$93,LISTS!$R$5:$R$10,0),INPUTS!$B$240,INPUTS!$B$274,INPUTS!$B$308,INPUTS!$B$342,INPUTS!$B$376,INPUTS!$B$410),"")&amp;"")</f>
        <v/>
      </c>
      <c r="C200" s="122" t="str">
        <f aca="false">IF(INPUTS!$E$93&lt;&gt;"Yes","",IFERROR(CHOOSE(MATCH(INPUTS!$L$93,LISTS!$R$5:$R$10,0),INPUTS!$C$240,INPUTS!$C$274,INPUTS!$C$308,INPUTS!$C$342,INPUTS!$C$376,INPUTS!$C$410),"")&amp;"")</f>
        <v/>
      </c>
      <c r="D200" s="123" t="n">
        <f aca="false">IF(INPUTS!$E$93&lt;&gt;"Yes",0,N(IFERROR(CHOOSE(MATCH(INPUTS!$L$93,LISTS!$R$5:$R$10,0),INPUTS!$D$240,INPUTS!$D$274,INPUTS!$D$308,INPUTS!$D$342,INPUTS!$D$376,INPUTS!$D$410),"")))</f>
        <v>0</v>
      </c>
      <c r="E200" s="124" t="n">
        <f aca="false">IF(INPUTS!$E$93&lt;&gt;"Yes",0,N(IFERROR(CHOOSE(MATCH(INPUTS!$L$93,LISTS!$R$5:$R$10,0),INPUTS!$E$240,INPUTS!$E$274,INPUTS!$E$308,INPUTS!$E$342,INPUTS!$E$376,INPUTS!$E$410),"")))</f>
        <v>0</v>
      </c>
      <c r="F200" s="125" t="str">
        <f aca="false">IF(AND(C200="Construction % complete",E200&gt;0),MAX(COUNTIF(CURVES!$D$71:$AQ$71,"&lt;"&amp;(D200-0.000000001))+1,INPUTS!$R$93),"")</f>
        <v/>
      </c>
      <c r="G200" s="126" t="str">
        <f aca="false">IF(E200=0,"",IF(C200="Booking + quarters",IF(D200=0,"at booking",D200&amp;" qtr(s) after booking"),IF(F200&gt;INPUTS!$C$24,"NOT REACHED in model","construction "&amp;TEXT(D200,"0%")&amp;" reached in Q"&amp;F200)))</f>
        <v/>
      </c>
      <c r="H200" s="126"/>
      <c r="I200" s="126"/>
      <c r="J200" s="126"/>
      <c r="K200" s="126"/>
      <c r="L200" s="126"/>
    </row>
    <row r="201" customFormat="false" ht="15" hidden="false" customHeight="false" outlineLevel="0" collapsed="false">
      <c r="B201" s="121" t="str">
        <f aca="false">IF(INPUTS!$E$93&lt;&gt;"Yes","",IFERROR(CHOOSE(MATCH(INPUTS!$L$93,LISTS!$R$5:$R$10,0),INPUTS!$B$241,INPUTS!$B$275,INPUTS!$B$309,INPUTS!$B$343,INPUTS!$B$377,INPUTS!$B$411),"")&amp;"")</f>
        <v/>
      </c>
      <c r="C201" s="122" t="str">
        <f aca="false">IF(INPUTS!$E$93&lt;&gt;"Yes","",IFERROR(CHOOSE(MATCH(INPUTS!$L$93,LISTS!$R$5:$R$10,0),INPUTS!$C$241,INPUTS!$C$275,INPUTS!$C$309,INPUTS!$C$343,INPUTS!$C$377,INPUTS!$C$411),"")&amp;"")</f>
        <v/>
      </c>
      <c r="D201" s="123" t="n">
        <f aca="false">IF(INPUTS!$E$93&lt;&gt;"Yes",0,N(IFERROR(CHOOSE(MATCH(INPUTS!$L$93,LISTS!$R$5:$R$10,0),INPUTS!$D$241,INPUTS!$D$275,INPUTS!$D$309,INPUTS!$D$343,INPUTS!$D$377,INPUTS!$D$411),"")))</f>
        <v>0</v>
      </c>
      <c r="E201" s="124" t="n">
        <f aca="false">IF(INPUTS!$E$93&lt;&gt;"Yes",0,N(IFERROR(CHOOSE(MATCH(INPUTS!$L$93,LISTS!$R$5:$R$10,0),INPUTS!$E$241,INPUTS!$E$275,INPUTS!$E$309,INPUTS!$E$343,INPUTS!$E$377,INPUTS!$E$411),"")))</f>
        <v>0</v>
      </c>
      <c r="F201" s="125" t="str">
        <f aca="false">IF(AND(C201="Construction % complete",E201&gt;0),MAX(COUNTIF(CURVES!$D$71:$AQ$71,"&lt;"&amp;(D201-0.000000001))+1,INPUTS!$R$93),"")</f>
        <v/>
      </c>
      <c r="G201" s="126" t="str">
        <f aca="false">IF(E201=0,"",IF(C201="Booking + quarters",IF(D201=0,"at booking",D201&amp;" qtr(s) after booking"),IF(F201&gt;INPUTS!$C$24,"NOT REACHED in model","construction "&amp;TEXT(D201,"0%")&amp;" reached in Q"&amp;F201)))</f>
        <v/>
      </c>
      <c r="H201" s="126"/>
      <c r="I201" s="126"/>
      <c r="J201" s="126"/>
      <c r="K201" s="126"/>
      <c r="L201" s="126"/>
    </row>
    <row r="202" customFormat="false" ht="15" hidden="false" customHeight="false" outlineLevel="0" collapsed="false">
      <c r="B202" s="121" t="str">
        <f aca="false">IF(INPUTS!$E$93&lt;&gt;"Yes","",IFERROR(CHOOSE(MATCH(INPUTS!$L$93,LISTS!$R$5:$R$10,0),INPUTS!$B$242,INPUTS!$B$276,INPUTS!$B$310,INPUTS!$B$344,INPUTS!$B$378,INPUTS!$B$412),"")&amp;"")</f>
        <v/>
      </c>
      <c r="C202" s="122" t="str">
        <f aca="false">IF(INPUTS!$E$93&lt;&gt;"Yes","",IFERROR(CHOOSE(MATCH(INPUTS!$L$93,LISTS!$R$5:$R$10,0),INPUTS!$C$242,INPUTS!$C$276,INPUTS!$C$310,INPUTS!$C$344,INPUTS!$C$378,INPUTS!$C$412),"")&amp;"")</f>
        <v/>
      </c>
      <c r="D202" s="123" t="n">
        <f aca="false">IF(INPUTS!$E$93&lt;&gt;"Yes",0,N(IFERROR(CHOOSE(MATCH(INPUTS!$L$93,LISTS!$R$5:$R$10,0),INPUTS!$D$242,INPUTS!$D$276,INPUTS!$D$310,INPUTS!$D$344,INPUTS!$D$378,INPUTS!$D$412),"")))</f>
        <v>0</v>
      </c>
      <c r="E202" s="124" t="n">
        <f aca="false">IF(INPUTS!$E$93&lt;&gt;"Yes",0,N(IFERROR(CHOOSE(MATCH(INPUTS!$L$93,LISTS!$R$5:$R$10,0),INPUTS!$E$242,INPUTS!$E$276,INPUTS!$E$310,INPUTS!$E$344,INPUTS!$E$378,INPUTS!$E$412),"")))</f>
        <v>0</v>
      </c>
      <c r="F202" s="125" t="str">
        <f aca="false">IF(AND(C202="Construction % complete",E202&gt;0),MAX(COUNTIF(CURVES!$D$71:$AQ$71,"&lt;"&amp;(D202-0.000000001))+1,INPUTS!$R$93),"")</f>
        <v/>
      </c>
      <c r="G202" s="126" t="str">
        <f aca="false">IF(E202=0,"",IF(C202="Booking + quarters",IF(D202=0,"at booking",D202&amp;" qtr(s) after booking"),IF(F202&gt;INPUTS!$C$24,"NOT REACHED in model","construction "&amp;TEXT(D202,"0%")&amp;" reached in Q"&amp;F202)))</f>
        <v/>
      </c>
      <c r="H202" s="126"/>
      <c r="I202" s="126"/>
      <c r="J202" s="126"/>
      <c r="K202" s="126"/>
      <c r="L202" s="126"/>
    </row>
    <row r="203" customFormat="false" ht="15" hidden="false" customHeight="false" outlineLevel="0" collapsed="false">
      <c r="B203" s="121" t="str">
        <f aca="false">IF(INPUTS!$E$93&lt;&gt;"Yes","",IFERROR(CHOOSE(MATCH(INPUTS!$L$93,LISTS!$R$5:$R$10,0),INPUTS!$B$243,INPUTS!$B$277,INPUTS!$B$311,INPUTS!$B$345,INPUTS!$B$379,INPUTS!$B$413),"")&amp;"")</f>
        <v/>
      </c>
      <c r="C203" s="122" t="str">
        <f aca="false">IF(INPUTS!$E$93&lt;&gt;"Yes","",IFERROR(CHOOSE(MATCH(INPUTS!$L$93,LISTS!$R$5:$R$10,0),INPUTS!$C$243,INPUTS!$C$277,INPUTS!$C$311,INPUTS!$C$345,INPUTS!$C$379,INPUTS!$C$413),"")&amp;"")</f>
        <v/>
      </c>
      <c r="D203" s="123" t="n">
        <f aca="false">IF(INPUTS!$E$93&lt;&gt;"Yes",0,N(IFERROR(CHOOSE(MATCH(INPUTS!$L$93,LISTS!$R$5:$R$10,0),INPUTS!$D$243,INPUTS!$D$277,INPUTS!$D$311,INPUTS!$D$345,INPUTS!$D$379,INPUTS!$D$413),"")))</f>
        <v>0</v>
      </c>
      <c r="E203" s="124" t="n">
        <f aca="false">IF(INPUTS!$E$93&lt;&gt;"Yes",0,N(IFERROR(CHOOSE(MATCH(INPUTS!$L$93,LISTS!$R$5:$R$10,0),INPUTS!$E$243,INPUTS!$E$277,INPUTS!$E$311,INPUTS!$E$345,INPUTS!$E$379,INPUTS!$E$413),"")))</f>
        <v>0</v>
      </c>
      <c r="F203" s="125" t="str">
        <f aca="false">IF(AND(C203="Construction % complete",E203&gt;0),MAX(COUNTIF(CURVES!$D$71:$AQ$71,"&lt;"&amp;(D203-0.000000001))+1,INPUTS!$R$93),"")</f>
        <v/>
      </c>
      <c r="G203" s="126" t="str">
        <f aca="false">IF(E203=0,"",IF(C203="Booking + quarters",IF(D203=0,"at booking",D203&amp;" qtr(s) after booking"),IF(F203&gt;INPUTS!$C$24,"NOT REACHED in model","construction "&amp;TEXT(D203,"0%")&amp;" reached in Q"&amp;F203)))</f>
        <v/>
      </c>
      <c r="H203" s="126"/>
      <c r="I203" s="126"/>
      <c r="J203" s="126"/>
      <c r="K203" s="126"/>
      <c r="L203" s="126"/>
    </row>
    <row r="204" customFormat="false" ht="15" hidden="false" customHeight="false" outlineLevel="0" collapsed="false">
      <c r="B204" s="121" t="str">
        <f aca="false">IF(INPUTS!$E$93&lt;&gt;"Yes","",IFERROR(CHOOSE(MATCH(INPUTS!$L$93,LISTS!$R$5:$R$10,0),INPUTS!$B$244,INPUTS!$B$278,INPUTS!$B$312,INPUTS!$B$346,INPUTS!$B$380,INPUTS!$B$414),"")&amp;"")</f>
        <v/>
      </c>
      <c r="C204" s="122" t="str">
        <f aca="false">IF(INPUTS!$E$93&lt;&gt;"Yes","",IFERROR(CHOOSE(MATCH(INPUTS!$L$93,LISTS!$R$5:$R$10,0),INPUTS!$C$244,INPUTS!$C$278,INPUTS!$C$312,INPUTS!$C$346,INPUTS!$C$380,INPUTS!$C$414),"")&amp;"")</f>
        <v/>
      </c>
      <c r="D204" s="123" t="n">
        <f aca="false">IF(INPUTS!$E$93&lt;&gt;"Yes",0,N(IFERROR(CHOOSE(MATCH(INPUTS!$L$93,LISTS!$R$5:$R$10,0),INPUTS!$D$244,INPUTS!$D$278,INPUTS!$D$312,INPUTS!$D$346,INPUTS!$D$380,INPUTS!$D$414),"")))</f>
        <v>0</v>
      </c>
      <c r="E204" s="124" t="n">
        <f aca="false">IF(INPUTS!$E$93&lt;&gt;"Yes",0,N(IFERROR(CHOOSE(MATCH(INPUTS!$L$93,LISTS!$R$5:$R$10,0),INPUTS!$E$244,INPUTS!$E$278,INPUTS!$E$312,INPUTS!$E$346,INPUTS!$E$380,INPUTS!$E$414),"")))</f>
        <v>0</v>
      </c>
      <c r="F204" s="125" t="str">
        <f aca="false">IF(AND(C204="Construction % complete",E204&gt;0),MAX(COUNTIF(CURVES!$D$71:$AQ$71,"&lt;"&amp;(D204-0.000000001))+1,INPUTS!$R$93),"")</f>
        <v/>
      </c>
      <c r="G204" s="126" t="str">
        <f aca="false">IF(E204=0,"",IF(C204="Booking + quarters",IF(D204=0,"at booking",D204&amp;" qtr(s) after booking"),IF(F204&gt;INPUTS!$C$24,"NOT REACHED in model","construction "&amp;TEXT(D204,"0%")&amp;" reached in Q"&amp;F204)))</f>
        <v/>
      </c>
      <c r="H204" s="126"/>
      <c r="I204" s="126"/>
      <c r="J204" s="126"/>
      <c r="K204" s="126"/>
      <c r="L204" s="126"/>
    </row>
    <row r="205" customFormat="false" ht="15" hidden="false" customHeight="false" outlineLevel="0" collapsed="false">
      <c r="B205" s="121" t="str">
        <f aca="false">IF(INPUTS!$E$93&lt;&gt;"Yes","",IFERROR(CHOOSE(MATCH(INPUTS!$L$93,LISTS!$R$5:$R$10,0),INPUTS!$B$245,INPUTS!$B$279,INPUTS!$B$313,INPUTS!$B$347,INPUTS!$B$381,INPUTS!$B$415),"")&amp;"")</f>
        <v/>
      </c>
      <c r="C205" s="122" t="str">
        <f aca="false">IF(INPUTS!$E$93&lt;&gt;"Yes","",IFERROR(CHOOSE(MATCH(INPUTS!$L$93,LISTS!$R$5:$R$10,0),INPUTS!$C$245,INPUTS!$C$279,INPUTS!$C$313,INPUTS!$C$347,INPUTS!$C$381,INPUTS!$C$415),"")&amp;"")</f>
        <v/>
      </c>
      <c r="D205" s="123" t="n">
        <f aca="false">IF(INPUTS!$E$93&lt;&gt;"Yes",0,N(IFERROR(CHOOSE(MATCH(INPUTS!$L$93,LISTS!$R$5:$R$10,0),INPUTS!$D$245,INPUTS!$D$279,INPUTS!$D$313,INPUTS!$D$347,INPUTS!$D$381,INPUTS!$D$415),"")))</f>
        <v>0</v>
      </c>
      <c r="E205" s="124" t="n">
        <f aca="false">IF(INPUTS!$E$93&lt;&gt;"Yes",0,N(IFERROR(CHOOSE(MATCH(INPUTS!$L$93,LISTS!$R$5:$R$10,0),INPUTS!$E$245,INPUTS!$E$279,INPUTS!$E$313,INPUTS!$E$347,INPUTS!$E$381,INPUTS!$E$415),"")))</f>
        <v>0</v>
      </c>
      <c r="F205" s="125" t="str">
        <f aca="false">IF(AND(C205="Construction % complete",E205&gt;0),MAX(COUNTIF(CURVES!$D$71:$AQ$71,"&lt;"&amp;(D205-0.000000001))+1,INPUTS!$R$93),"")</f>
        <v/>
      </c>
      <c r="G205" s="126" t="str">
        <f aca="false">IF(E205=0,"",IF(C205="Booking + quarters",IF(D205=0,"at booking",D205&amp;" qtr(s) after booking"),IF(F205&gt;INPUTS!$C$24,"NOT REACHED in model","construction "&amp;TEXT(D205,"0%")&amp;" reached in Q"&amp;F205)))</f>
        <v/>
      </c>
      <c r="H205" s="126"/>
      <c r="I205" s="126"/>
      <c r="J205" s="126"/>
      <c r="K205" s="126"/>
      <c r="L205" s="126"/>
    </row>
    <row r="206" customFormat="false" ht="15" hidden="false" customHeight="false" outlineLevel="0" collapsed="false">
      <c r="B206" s="121" t="str">
        <f aca="false">IF(INPUTS!$E$93&lt;&gt;"Yes","",IFERROR(CHOOSE(MATCH(INPUTS!$L$93,LISTS!$R$5:$R$10,0),INPUTS!$B$246,INPUTS!$B$280,INPUTS!$B$314,INPUTS!$B$348,INPUTS!$B$382,INPUTS!$B$416),"")&amp;"")</f>
        <v/>
      </c>
      <c r="C206" s="122" t="str">
        <f aca="false">IF(INPUTS!$E$93&lt;&gt;"Yes","",IFERROR(CHOOSE(MATCH(INPUTS!$L$93,LISTS!$R$5:$R$10,0),INPUTS!$C$246,INPUTS!$C$280,INPUTS!$C$314,INPUTS!$C$348,INPUTS!$C$382,INPUTS!$C$416),"")&amp;"")</f>
        <v/>
      </c>
      <c r="D206" s="123" t="n">
        <f aca="false">IF(INPUTS!$E$93&lt;&gt;"Yes",0,N(IFERROR(CHOOSE(MATCH(INPUTS!$L$93,LISTS!$R$5:$R$10,0),INPUTS!$D$246,INPUTS!$D$280,INPUTS!$D$314,INPUTS!$D$348,INPUTS!$D$382,INPUTS!$D$416),"")))</f>
        <v>0</v>
      </c>
      <c r="E206" s="124" t="n">
        <f aca="false">IF(INPUTS!$E$93&lt;&gt;"Yes",0,N(IFERROR(CHOOSE(MATCH(INPUTS!$L$93,LISTS!$R$5:$R$10,0),INPUTS!$E$246,INPUTS!$E$280,INPUTS!$E$314,INPUTS!$E$348,INPUTS!$E$382,INPUTS!$E$416),"")))</f>
        <v>0</v>
      </c>
      <c r="F206" s="125" t="str">
        <f aca="false">IF(AND(C206="Construction % complete",E206&gt;0),MAX(COUNTIF(CURVES!$D$71:$AQ$71,"&lt;"&amp;(D206-0.000000001))+1,INPUTS!$R$93),"")</f>
        <v/>
      </c>
      <c r="G206" s="126" t="str">
        <f aca="false">IF(E206=0,"",IF(C206="Booking + quarters",IF(D206=0,"at booking",D206&amp;" qtr(s) after booking"),IF(F206&gt;INPUTS!$C$24,"NOT REACHED in model","construction "&amp;TEXT(D206,"0%")&amp;" reached in Q"&amp;F206)))</f>
        <v/>
      </c>
      <c r="H206" s="126"/>
      <c r="I206" s="126"/>
      <c r="J206" s="126"/>
      <c r="K206" s="126"/>
      <c r="L206" s="126"/>
    </row>
    <row r="207" customFormat="false" ht="15" hidden="false" customHeight="false" outlineLevel="0" collapsed="false">
      <c r="B207" s="121" t="str">
        <f aca="false">IF(INPUTS!$E$93&lt;&gt;"Yes","",IFERROR(CHOOSE(MATCH(INPUTS!$L$93,LISTS!$R$5:$R$10,0),INPUTS!$B$247,INPUTS!$B$281,INPUTS!$B$315,INPUTS!$B$349,INPUTS!$B$383,INPUTS!$B$417),"")&amp;"")</f>
        <v/>
      </c>
      <c r="C207" s="122" t="str">
        <f aca="false">IF(INPUTS!$E$93&lt;&gt;"Yes","",IFERROR(CHOOSE(MATCH(INPUTS!$L$93,LISTS!$R$5:$R$10,0),INPUTS!$C$247,INPUTS!$C$281,INPUTS!$C$315,INPUTS!$C$349,INPUTS!$C$383,INPUTS!$C$417),"")&amp;"")</f>
        <v/>
      </c>
      <c r="D207" s="123" t="n">
        <f aca="false">IF(INPUTS!$E$93&lt;&gt;"Yes",0,N(IFERROR(CHOOSE(MATCH(INPUTS!$L$93,LISTS!$R$5:$R$10,0),INPUTS!$D$247,INPUTS!$D$281,INPUTS!$D$315,INPUTS!$D$349,INPUTS!$D$383,INPUTS!$D$417),"")))</f>
        <v>0</v>
      </c>
      <c r="E207" s="124" t="n">
        <f aca="false">IF(INPUTS!$E$93&lt;&gt;"Yes",0,N(IFERROR(CHOOSE(MATCH(INPUTS!$L$93,LISTS!$R$5:$R$10,0),INPUTS!$E$247,INPUTS!$E$281,INPUTS!$E$315,INPUTS!$E$349,INPUTS!$E$383,INPUTS!$E$417),"")))</f>
        <v>0</v>
      </c>
      <c r="F207" s="125" t="str">
        <f aca="false">IF(AND(C207="Construction % complete",E207&gt;0),MAX(COUNTIF(CURVES!$D$71:$AQ$71,"&lt;"&amp;(D207-0.000000001))+1,INPUTS!$R$93),"")</f>
        <v/>
      </c>
      <c r="G207" s="126" t="str">
        <f aca="false">IF(E207=0,"",IF(C207="Booking + quarters",IF(D207=0,"at booking",D207&amp;" qtr(s) after booking"),IF(F207&gt;INPUTS!$C$24,"NOT REACHED in model","construction "&amp;TEXT(D207,"0%")&amp;" reached in Q"&amp;F207)))</f>
        <v/>
      </c>
      <c r="H207" s="126"/>
      <c r="I207" s="126"/>
      <c r="J207" s="126"/>
      <c r="K207" s="126"/>
      <c r="L207" s="126"/>
    </row>
    <row r="208" customFormat="false" ht="15" hidden="false" customHeight="false" outlineLevel="0" collapsed="false">
      <c r="B208" s="121" t="str">
        <f aca="false">IF(INPUTS!$E$93&lt;&gt;"Yes","",IFERROR(CHOOSE(MATCH(INPUTS!$L$93,LISTS!$R$5:$R$10,0),INPUTS!$B$248,INPUTS!$B$282,INPUTS!$B$316,INPUTS!$B$350,INPUTS!$B$384,INPUTS!$B$418),"")&amp;"")</f>
        <v/>
      </c>
      <c r="C208" s="122" t="str">
        <f aca="false">IF(INPUTS!$E$93&lt;&gt;"Yes","",IFERROR(CHOOSE(MATCH(INPUTS!$L$93,LISTS!$R$5:$R$10,0),INPUTS!$C$248,INPUTS!$C$282,INPUTS!$C$316,INPUTS!$C$350,INPUTS!$C$384,INPUTS!$C$418),"")&amp;"")</f>
        <v/>
      </c>
      <c r="D208" s="123" t="n">
        <f aca="false">IF(INPUTS!$E$93&lt;&gt;"Yes",0,N(IFERROR(CHOOSE(MATCH(INPUTS!$L$93,LISTS!$R$5:$R$10,0),INPUTS!$D$248,INPUTS!$D$282,INPUTS!$D$316,INPUTS!$D$350,INPUTS!$D$384,INPUTS!$D$418),"")))</f>
        <v>0</v>
      </c>
      <c r="E208" s="124" t="n">
        <f aca="false">IF(INPUTS!$E$93&lt;&gt;"Yes",0,N(IFERROR(CHOOSE(MATCH(INPUTS!$L$93,LISTS!$R$5:$R$10,0),INPUTS!$E$248,INPUTS!$E$282,INPUTS!$E$316,INPUTS!$E$350,INPUTS!$E$384,INPUTS!$E$418),"")))</f>
        <v>0</v>
      </c>
      <c r="F208" s="125" t="str">
        <f aca="false">IF(AND(C208="Construction % complete",E208&gt;0),MAX(COUNTIF(CURVES!$D$71:$AQ$71,"&lt;"&amp;(D208-0.000000001))+1,INPUTS!$R$93),"")</f>
        <v/>
      </c>
      <c r="G208" s="126" t="str">
        <f aca="false">IF(E208=0,"",IF(C208="Booking + quarters",IF(D208=0,"at booking",D208&amp;" qtr(s) after booking"),IF(F208&gt;INPUTS!$C$24,"NOT REACHED in model","construction "&amp;TEXT(D208,"0%")&amp;" reached in Q"&amp;F208)))</f>
        <v/>
      </c>
      <c r="H208" s="126"/>
      <c r="I208" s="126"/>
      <c r="J208" s="126"/>
      <c r="K208" s="126"/>
      <c r="L208" s="126"/>
    </row>
    <row r="209" customFormat="false" ht="15" hidden="false" customHeight="false" outlineLevel="0" collapsed="false">
      <c r="B209" s="127" t="s">
        <v>708</v>
      </c>
      <c r="D209" s="128" t="n">
        <f aca="false">SUMIFS($E$179:$E$208,$C$179:$C$208,"Booking + quarters",$D$179:$D$208,0)</f>
        <v>0</v>
      </c>
      <c r="E209" s="128" t="n">
        <f aca="false">SUMIFS($E$179:$E$208,$C$179:$C$208,"Booking + quarters",$D$179:$D$208,1)</f>
        <v>0</v>
      </c>
      <c r="F209" s="128" t="n">
        <f aca="false">SUMIFS($E$179:$E$208,$C$179:$C$208,"Booking + quarters",$D$179:$D$208,2)</f>
        <v>0</v>
      </c>
      <c r="G209" s="128" t="n">
        <f aca="false">SUMIFS($E$179:$E$208,$C$179:$C$208,"Booking + quarters",$D$179:$D$208,3)</f>
        <v>0</v>
      </c>
      <c r="H209" s="128" t="n">
        <f aca="false">SUMIFS($E$179:$E$208,$C$179:$C$208,"Booking + quarters",$D$179:$D$208,4)</f>
        <v>0</v>
      </c>
      <c r="I209" s="128" t="n">
        <f aca="false">SUMIFS($E$179:$E$208,$C$179:$C$208,"Booking + quarters",$D$179:$D$208,5)</f>
        <v>0</v>
      </c>
      <c r="J209" s="128" t="n">
        <f aca="false">SUMIFS($E$179:$E$208,$C$179:$C$208,"Booking + quarters",$D$179:$D$208,6)</f>
        <v>0</v>
      </c>
      <c r="K209" s="128" t="n">
        <f aca="false">SUMIFS($E$179:$E$208,$C$179:$C$208,"Booking + quarters",$D$179:$D$208,7)</f>
        <v>0</v>
      </c>
      <c r="L209" s="128" t="n">
        <f aca="false">SUMIFS($E$179:$E$208,$C$179:$C$208,"Booking + quarters",$D$179:$D$208,8)</f>
        <v>0</v>
      </c>
      <c r="M209" s="128" t="n">
        <f aca="false">SUMIFS($E$179:$E$208,$C$179:$C$208,"Booking + quarters",$D$179:$D$208,9)</f>
        <v>0</v>
      </c>
      <c r="N209" s="128" t="n">
        <f aca="false">SUMIFS($E$179:$E$208,$C$179:$C$208,"Booking + quarters",$D$179:$D$208,10)</f>
        <v>0</v>
      </c>
      <c r="O209" s="128" t="n">
        <f aca="false">SUMIFS($E$179:$E$208,$C$179:$C$208,"Booking + quarters",$D$179:$D$208,11)</f>
        <v>0</v>
      </c>
      <c r="P209" s="128" t="n">
        <f aca="false">SUMIFS($E$179:$E$208,$C$179:$C$208,"Booking + quarters",$D$179:$D$208,12)</f>
        <v>0</v>
      </c>
    </row>
    <row r="210" customFormat="false" ht="15" hidden="false" customHeight="false" outlineLevel="0" collapsed="false">
      <c r="B210" s="127" t="s">
        <v>709</v>
      </c>
      <c r="C210" s="105" t="str">
        <f aca="false">IF(INPUTS!$E$93&lt;&gt;"Yes","Off",IF(ABS(SUM($E$179:$E$208)-1)&lt;0.000001,"OK","ERROR"))</f>
        <v>Off</v>
      </c>
    </row>
    <row r="211" customFormat="false" ht="15" hidden="false" customHeight="false" outlineLevel="0" collapsed="false">
      <c r="B211" s="110" t="str">
        <f aca="false">IF(INPUTS!$E$94="Yes",INPUTS!$B$94&amp;"   →   "&amp;INPUTS!$L$94,"Product row 7 (off)")</f>
        <v>Product row 7 (off)</v>
      </c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</row>
    <row r="212" customFormat="false" ht="15" hidden="false" customHeight="false" outlineLevel="0" collapsed="false">
      <c r="B212" s="121" t="str">
        <f aca="false">IF(INPUTS!$E$94&lt;&gt;"Yes","",IFERROR(CHOOSE(MATCH(INPUTS!$L$94,LISTS!$R$5:$R$10,0),INPUTS!$B$219,INPUTS!$B$253,INPUTS!$B$287,INPUTS!$B$321,INPUTS!$B$355,INPUTS!$B$389),"")&amp;"")</f>
        <v/>
      </c>
      <c r="C212" s="122" t="str">
        <f aca="false">IF(INPUTS!$E$94&lt;&gt;"Yes","",IFERROR(CHOOSE(MATCH(INPUTS!$L$94,LISTS!$R$5:$R$10,0),INPUTS!$C$219,INPUTS!$C$253,INPUTS!$C$287,INPUTS!$C$321,INPUTS!$C$355,INPUTS!$C$389),"")&amp;"")</f>
        <v/>
      </c>
      <c r="D212" s="123" t="n">
        <f aca="false">IF(INPUTS!$E$94&lt;&gt;"Yes",0,N(IFERROR(CHOOSE(MATCH(INPUTS!$L$94,LISTS!$R$5:$R$10,0),INPUTS!$D$219,INPUTS!$D$253,INPUTS!$D$287,INPUTS!$D$321,INPUTS!$D$355,INPUTS!$D$389),"")))</f>
        <v>0</v>
      </c>
      <c r="E212" s="124" t="n">
        <f aca="false">IF(INPUTS!$E$94&lt;&gt;"Yes",0,N(IFERROR(CHOOSE(MATCH(INPUTS!$L$94,LISTS!$R$5:$R$10,0),INPUTS!$E$219,INPUTS!$E$253,INPUTS!$E$287,INPUTS!$E$321,INPUTS!$E$355,INPUTS!$E$389),"")))</f>
        <v>0</v>
      </c>
      <c r="F212" s="125" t="str">
        <f aca="false">IF(AND(C212="Construction % complete",E212&gt;0),MAX(COUNTIF(CURVES!$D$77:$AQ$77,"&lt;"&amp;(D212-0.000000001))+1,INPUTS!$R$94),"")</f>
        <v/>
      </c>
      <c r="G212" s="126" t="str">
        <f aca="false">IF(E212=0,"",IF(C212="Booking + quarters",IF(D212=0,"at booking",D212&amp;" qtr(s) after booking"),IF(F212&gt;INPUTS!$C$24,"NOT REACHED in model","construction "&amp;TEXT(D212,"0%")&amp;" reached in Q"&amp;F212)))</f>
        <v/>
      </c>
      <c r="H212" s="126"/>
      <c r="I212" s="126"/>
      <c r="J212" s="126"/>
      <c r="K212" s="126"/>
      <c r="L212" s="126"/>
    </row>
    <row r="213" customFormat="false" ht="15" hidden="false" customHeight="false" outlineLevel="0" collapsed="false">
      <c r="B213" s="121" t="str">
        <f aca="false">IF(INPUTS!$E$94&lt;&gt;"Yes","",IFERROR(CHOOSE(MATCH(INPUTS!$L$94,LISTS!$R$5:$R$10,0),INPUTS!$B$220,INPUTS!$B$254,INPUTS!$B$288,INPUTS!$B$322,INPUTS!$B$356,INPUTS!$B$390),"")&amp;"")</f>
        <v/>
      </c>
      <c r="C213" s="122" t="str">
        <f aca="false">IF(INPUTS!$E$94&lt;&gt;"Yes","",IFERROR(CHOOSE(MATCH(INPUTS!$L$94,LISTS!$R$5:$R$10,0),INPUTS!$C$220,INPUTS!$C$254,INPUTS!$C$288,INPUTS!$C$322,INPUTS!$C$356,INPUTS!$C$390),"")&amp;"")</f>
        <v/>
      </c>
      <c r="D213" s="123" t="n">
        <f aca="false">IF(INPUTS!$E$94&lt;&gt;"Yes",0,N(IFERROR(CHOOSE(MATCH(INPUTS!$L$94,LISTS!$R$5:$R$10,0),INPUTS!$D$220,INPUTS!$D$254,INPUTS!$D$288,INPUTS!$D$322,INPUTS!$D$356,INPUTS!$D$390),"")))</f>
        <v>0</v>
      </c>
      <c r="E213" s="124" t="n">
        <f aca="false">IF(INPUTS!$E$94&lt;&gt;"Yes",0,N(IFERROR(CHOOSE(MATCH(INPUTS!$L$94,LISTS!$R$5:$R$10,0),INPUTS!$E$220,INPUTS!$E$254,INPUTS!$E$288,INPUTS!$E$322,INPUTS!$E$356,INPUTS!$E$390),"")))</f>
        <v>0</v>
      </c>
      <c r="F213" s="125" t="str">
        <f aca="false">IF(AND(C213="Construction % complete",E213&gt;0),MAX(COUNTIF(CURVES!$D$77:$AQ$77,"&lt;"&amp;(D213-0.000000001))+1,INPUTS!$R$94),"")</f>
        <v/>
      </c>
      <c r="G213" s="126" t="str">
        <f aca="false">IF(E213=0,"",IF(C213="Booking + quarters",IF(D213=0,"at booking",D213&amp;" qtr(s) after booking"),IF(F213&gt;INPUTS!$C$24,"NOT REACHED in model","construction "&amp;TEXT(D213,"0%")&amp;" reached in Q"&amp;F213)))</f>
        <v/>
      </c>
      <c r="H213" s="126"/>
      <c r="I213" s="126"/>
      <c r="J213" s="126"/>
      <c r="K213" s="126"/>
      <c r="L213" s="126"/>
    </row>
    <row r="214" customFormat="false" ht="15" hidden="false" customHeight="false" outlineLevel="0" collapsed="false">
      <c r="B214" s="121" t="str">
        <f aca="false">IF(INPUTS!$E$94&lt;&gt;"Yes","",IFERROR(CHOOSE(MATCH(INPUTS!$L$94,LISTS!$R$5:$R$10,0),INPUTS!$B$221,INPUTS!$B$255,INPUTS!$B$289,INPUTS!$B$323,INPUTS!$B$357,INPUTS!$B$391),"")&amp;"")</f>
        <v/>
      </c>
      <c r="C214" s="122" t="str">
        <f aca="false">IF(INPUTS!$E$94&lt;&gt;"Yes","",IFERROR(CHOOSE(MATCH(INPUTS!$L$94,LISTS!$R$5:$R$10,0),INPUTS!$C$221,INPUTS!$C$255,INPUTS!$C$289,INPUTS!$C$323,INPUTS!$C$357,INPUTS!$C$391),"")&amp;"")</f>
        <v/>
      </c>
      <c r="D214" s="123" t="n">
        <f aca="false">IF(INPUTS!$E$94&lt;&gt;"Yes",0,N(IFERROR(CHOOSE(MATCH(INPUTS!$L$94,LISTS!$R$5:$R$10,0),INPUTS!$D$221,INPUTS!$D$255,INPUTS!$D$289,INPUTS!$D$323,INPUTS!$D$357,INPUTS!$D$391),"")))</f>
        <v>0</v>
      </c>
      <c r="E214" s="124" t="n">
        <f aca="false">IF(INPUTS!$E$94&lt;&gt;"Yes",0,N(IFERROR(CHOOSE(MATCH(INPUTS!$L$94,LISTS!$R$5:$R$10,0),INPUTS!$E$221,INPUTS!$E$255,INPUTS!$E$289,INPUTS!$E$323,INPUTS!$E$357,INPUTS!$E$391),"")))</f>
        <v>0</v>
      </c>
      <c r="F214" s="125" t="str">
        <f aca="false">IF(AND(C214="Construction % complete",E214&gt;0),MAX(COUNTIF(CURVES!$D$77:$AQ$77,"&lt;"&amp;(D214-0.000000001))+1,INPUTS!$R$94),"")</f>
        <v/>
      </c>
      <c r="G214" s="126" t="str">
        <f aca="false">IF(E214=0,"",IF(C214="Booking + quarters",IF(D214=0,"at booking",D214&amp;" qtr(s) after booking"),IF(F214&gt;INPUTS!$C$24,"NOT REACHED in model","construction "&amp;TEXT(D214,"0%")&amp;" reached in Q"&amp;F214)))</f>
        <v/>
      </c>
      <c r="H214" s="126"/>
      <c r="I214" s="126"/>
      <c r="J214" s="126"/>
      <c r="K214" s="126"/>
      <c r="L214" s="126"/>
    </row>
    <row r="215" customFormat="false" ht="15" hidden="false" customHeight="false" outlineLevel="0" collapsed="false">
      <c r="B215" s="121" t="str">
        <f aca="false">IF(INPUTS!$E$94&lt;&gt;"Yes","",IFERROR(CHOOSE(MATCH(INPUTS!$L$94,LISTS!$R$5:$R$10,0),INPUTS!$B$222,INPUTS!$B$256,INPUTS!$B$290,INPUTS!$B$324,INPUTS!$B$358,INPUTS!$B$392),"")&amp;"")</f>
        <v/>
      </c>
      <c r="C215" s="122" t="str">
        <f aca="false">IF(INPUTS!$E$94&lt;&gt;"Yes","",IFERROR(CHOOSE(MATCH(INPUTS!$L$94,LISTS!$R$5:$R$10,0),INPUTS!$C$222,INPUTS!$C$256,INPUTS!$C$290,INPUTS!$C$324,INPUTS!$C$358,INPUTS!$C$392),"")&amp;"")</f>
        <v/>
      </c>
      <c r="D215" s="123" t="n">
        <f aca="false">IF(INPUTS!$E$94&lt;&gt;"Yes",0,N(IFERROR(CHOOSE(MATCH(INPUTS!$L$94,LISTS!$R$5:$R$10,0),INPUTS!$D$222,INPUTS!$D$256,INPUTS!$D$290,INPUTS!$D$324,INPUTS!$D$358,INPUTS!$D$392),"")))</f>
        <v>0</v>
      </c>
      <c r="E215" s="124" t="n">
        <f aca="false">IF(INPUTS!$E$94&lt;&gt;"Yes",0,N(IFERROR(CHOOSE(MATCH(INPUTS!$L$94,LISTS!$R$5:$R$10,0),INPUTS!$E$222,INPUTS!$E$256,INPUTS!$E$290,INPUTS!$E$324,INPUTS!$E$358,INPUTS!$E$392),"")))</f>
        <v>0</v>
      </c>
      <c r="F215" s="125" t="str">
        <f aca="false">IF(AND(C215="Construction % complete",E215&gt;0),MAX(COUNTIF(CURVES!$D$77:$AQ$77,"&lt;"&amp;(D215-0.000000001))+1,INPUTS!$R$94),"")</f>
        <v/>
      </c>
      <c r="G215" s="126" t="str">
        <f aca="false">IF(E215=0,"",IF(C215="Booking + quarters",IF(D215=0,"at booking",D215&amp;" qtr(s) after booking"),IF(F215&gt;INPUTS!$C$24,"NOT REACHED in model","construction "&amp;TEXT(D215,"0%")&amp;" reached in Q"&amp;F215)))</f>
        <v/>
      </c>
      <c r="H215" s="126"/>
      <c r="I215" s="126"/>
      <c r="J215" s="126"/>
      <c r="K215" s="126"/>
      <c r="L215" s="126"/>
    </row>
    <row r="216" customFormat="false" ht="15" hidden="false" customHeight="false" outlineLevel="0" collapsed="false">
      <c r="B216" s="121" t="str">
        <f aca="false">IF(INPUTS!$E$94&lt;&gt;"Yes","",IFERROR(CHOOSE(MATCH(INPUTS!$L$94,LISTS!$R$5:$R$10,0),INPUTS!$B$223,INPUTS!$B$257,INPUTS!$B$291,INPUTS!$B$325,INPUTS!$B$359,INPUTS!$B$393),"")&amp;"")</f>
        <v/>
      </c>
      <c r="C216" s="122" t="str">
        <f aca="false">IF(INPUTS!$E$94&lt;&gt;"Yes","",IFERROR(CHOOSE(MATCH(INPUTS!$L$94,LISTS!$R$5:$R$10,0),INPUTS!$C$223,INPUTS!$C$257,INPUTS!$C$291,INPUTS!$C$325,INPUTS!$C$359,INPUTS!$C$393),"")&amp;"")</f>
        <v/>
      </c>
      <c r="D216" s="123" t="n">
        <f aca="false">IF(INPUTS!$E$94&lt;&gt;"Yes",0,N(IFERROR(CHOOSE(MATCH(INPUTS!$L$94,LISTS!$R$5:$R$10,0),INPUTS!$D$223,INPUTS!$D$257,INPUTS!$D$291,INPUTS!$D$325,INPUTS!$D$359,INPUTS!$D$393),"")))</f>
        <v>0</v>
      </c>
      <c r="E216" s="124" t="n">
        <f aca="false">IF(INPUTS!$E$94&lt;&gt;"Yes",0,N(IFERROR(CHOOSE(MATCH(INPUTS!$L$94,LISTS!$R$5:$R$10,0),INPUTS!$E$223,INPUTS!$E$257,INPUTS!$E$291,INPUTS!$E$325,INPUTS!$E$359,INPUTS!$E$393),"")))</f>
        <v>0</v>
      </c>
      <c r="F216" s="125" t="str">
        <f aca="false">IF(AND(C216="Construction % complete",E216&gt;0),MAX(COUNTIF(CURVES!$D$77:$AQ$77,"&lt;"&amp;(D216-0.000000001))+1,INPUTS!$R$94),"")</f>
        <v/>
      </c>
      <c r="G216" s="126" t="str">
        <f aca="false">IF(E216=0,"",IF(C216="Booking + quarters",IF(D216=0,"at booking",D216&amp;" qtr(s) after booking"),IF(F216&gt;INPUTS!$C$24,"NOT REACHED in model","construction "&amp;TEXT(D216,"0%")&amp;" reached in Q"&amp;F216)))</f>
        <v/>
      </c>
      <c r="H216" s="126"/>
      <c r="I216" s="126"/>
      <c r="J216" s="126"/>
      <c r="K216" s="126"/>
      <c r="L216" s="126"/>
    </row>
    <row r="217" customFormat="false" ht="15" hidden="false" customHeight="false" outlineLevel="0" collapsed="false">
      <c r="B217" s="121" t="str">
        <f aca="false">IF(INPUTS!$E$94&lt;&gt;"Yes","",IFERROR(CHOOSE(MATCH(INPUTS!$L$94,LISTS!$R$5:$R$10,0),INPUTS!$B$224,INPUTS!$B$258,INPUTS!$B$292,INPUTS!$B$326,INPUTS!$B$360,INPUTS!$B$394),"")&amp;"")</f>
        <v/>
      </c>
      <c r="C217" s="122" t="str">
        <f aca="false">IF(INPUTS!$E$94&lt;&gt;"Yes","",IFERROR(CHOOSE(MATCH(INPUTS!$L$94,LISTS!$R$5:$R$10,0),INPUTS!$C$224,INPUTS!$C$258,INPUTS!$C$292,INPUTS!$C$326,INPUTS!$C$360,INPUTS!$C$394),"")&amp;"")</f>
        <v/>
      </c>
      <c r="D217" s="123" t="n">
        <f aca="false">IF(INPUTS!$E$94&lt;&gt;"Yes",0,N(IFERROR(CHOOSE(MATCH(INPUTS!$L$94,LISTS!$R$5:$R$10,0),INPUTS!$D$224,INPUTS!$D$258,INPUTS!$D$292,INPUTS!$D$326,INPUTS!$D$360,INPUTS!$D$394),"")))</f>
        <v>0</v>
      </c>
      <c r="E217" s="124" t="n">
        <f aca="false">IF(INPUTS!$E$94&lt;&gt;"Yes",0,N(IFERROR(CHOOSE(MATCH(INPUTS!$L$94,LISTS!$R$5:$R$10,0),INPUTS!$E$224,INPUTS!$E$258,INPUTS!$E$292,INPUTS!$E$326,INPUTS!$E$360,INPUTS!$E$394),"")))</f>
        <v>0</v>
      </c>
      <c r="F217" s="125" t="str">
        <f aca="false">IF(AND(C217="Construction % complete",E217&gt;0),MAX(COUNTIF(CURVES!$D$77:$AQ$77,"&lt;"&amp;(D217-0.000000001))+1,INPUTS!$R$94),"")</f>
        <v/>
      </c>
      <c r="G217" s="126" t="str">
        <f aca="false">IF(E217=0,"",IF(C217="Booking + quarters",IF(D217=0,"at booking",D217&amp;" qtr(s) after booking"),IF(F217&gt;INPUTS!$C$24,"NOT REACHED in model","construction "&amp;TEXT(D217,"0%")&amp;" reached in Q"&amp;F217)))</f>
        <v/>
      </c>
      <c r="H217" s="126"/>
      <c r="I217" s="126"/>
      <c r="J217" s="126"/>
      <c r="K217" s="126"/>
      <c r="L217" s="126"/>
    </row>
    <row r="218" customFormat="false" ht="15" hidden="false" customHeight="false" outlineLevel="0" collapsed="false">
      <c r="B218" s="121" t="str">
        <f aca="false">IF(INPUTS!$E$94&lt;&gt;"Yes","",IFERROR(CHOOSE(MATCH(INPUTS!$L$94,LISTS!$R$5:$R$10,0),INPUTS!$B$225,INPUTS!$B$259,INPUTS!$B$293,INPUTS!$B$327,INPUTS!$B$361,INPUTS!$B$395),"")&amp;"")</f>
        <v/>
      </c>
      <c r="C218" s="122" t="str">
        <f aca="false">IF(INPUTS!$E$94&lt;&gt;"Yes","",IFERROR(CHOOSE(MATCH(INPUTS!$L$94,LISTS!$R$5:$R$10,0),INPUTS!$C$225,INPUTS!$C$259,INPUTS!$C$293,INPUTS!$C$327,INPUTS!$C$361,INPUTS!$C$395),"")&amp;"")</f>
        <v/>
      </c>
      <c r="D218" s="123" t="n">
        <f aca="false">IF(INPUTS!$E$94&lt;&gt;"Yes",0,N(IFERROR(CHOOSE(MATCH(INPUTS!$L$94,LISTS!$R$5:$R$10,0),INPUTS!$D$225,INPUTS!$D$259,INPUTS!$D$293,INPUTS!$D$327,INPUTS!$D$361,INPUTS!$D$395),"")))</f>
        <v>0</v>
      </c>
      <c r="E218" s="124" t="n">
        <f aca="false">IF(INPUTS!$E$94&lt;&gt;"Yes",0,N(IFERROR(CHOOSE(MATCH(INPUTS!$L$94,LISTS!$R$5:$R$10,0),INPUTS!$E$225,INPUTS!$E$259,INPUTS!$E$293,INPUTS!$E$327,INPUTS!$E$361,INPUTS!$E$395),"")))</f>
        <v>0</v>
      </c>
      <c r="F218" s="125" t="str">
        <f aca="false">IF(AND(C218="Construction % complete",E218&gt;0),MAX(COUNTIF(CURVES!$D$77:$AQ$77,"&lt;"&amp;(D218-0.000000001))+1,INPUTS!$R$94),"")</f>
        <v/>
      </c>
      <c r="G218" s="126" t="str">
        <f aca="false">IF(E218=0,"",IF(C218="Booking + quarters",IF(D218=0,"at booking",D218&amp;" qtr(s) after booking"),IF(F218&gt;INPUTS!$C$24,"NOT REACHED in model","construction "&amp;TEXT(D218,"0%")&amp;" reached in Q"&amp;F218)))</f>
        <v/>
      </c>
      <c r="H218" s="126"/>
      <c r="I218" s="126"/>
      <c r="J218" s="126"/>
      <c r="K218" s="126"/>
      <c r="L218" s="126"/>
    </row>
    <row r="219" customFormat="false" ht="15" hidden="false" customHeight="false" outlineLevel="0" collapsed="false">
      <c r="B219" s="121" t="str">
        <f aca="false">IF(INPUTS!$E$94&lt;&gt;"Yes","",IFERROR(CHOOSE(MATCH(INPUTS!$L$94,LISTS!$R$5:$R$10,0),INPUTS!$B$226,INPUTS!$B$260,INPUTS!$B$294,INPUTS!$B$328,INPUTS!$B$362,INPUTS!$B$396),"")&amp;"")</f>
        <v/>
      </c>
      <c r="C219" s="122" t="str">
        <f aca="false">IF(INPUTS!$E$94&lt;&gt;"Yes","",IFERROR(CHOOSE(MATCH(INPUTS!$L$94,LISTS!$R$5:$R$10,0),INPUTS!$C$226,INPUTS!$C$260,INPUTS!$C$294,INPUTS!$C$328,INPUTS!$C$362,INPUTS!$C$396),"")&amp;"")</f>
        <v/>
      </c>
      <c r="D219" s="123" t="n">
        <f aca="false">IF(INPUTS!$E$94&lt;&gt;"Yes",0,N(IFERROR(CHOOSE(MATCH(INPUTS!$L$94,LISTS!$R$5:$R$10,0),INPUTS!$D$226,INPUTS!$D$260,INPUTS!$D$294,INPUTS!$D$328,INPUTS!$D$362,INPUTS!$D$396),"")))</f>
        <v>0</v>
      </c>
      <c r="E219" s="124" t="n">
        <f aca="false">IF(INPUTS!$E$94&lt;&gt;"Yes",0,N(IFERROR(CHOOSE(MATCH(INPUTS!$L$94,LISTS!$R$5:$R$10,0),INPUTS!$E$226,INPUTS!$E$260,INPUTS!$E$294,INPUTS!$E$328,INPUTS!$E$362,INPUTS!$E$396),"")))</f>
        <v>0</v>
      </c>
      <c r="F219" s="125" t="str">
        <f aca="false">IF(AND(C219="Construction % complete",E219&gt;0),MAX(COUNTIF(CURVES!$D$77:$AQ$77,"&lt;"&amp;(D219-0.000000001))+1,INPUTS!$R$94),"")</f>
        <v/>
      </c>
      <c r="G219" s="126" t="str">
        <f aca="false">IF(E219=0,"",IF(C219="Booking + quarters",IF(D219=0,"at booking",D219&amp;" qtr(s) after booking"),IF(F219&gt;INPUTS!$C$24,"NOT REACHED in model","construction "&amp;TEXT(D219,"0%")&amp;" reached in Q"&amp;F219)))</f>
        <v/>
      </c>
      <c r="H219" s="126"/>
      <c r="I219" s="126"/>
      <c r="J219" s="126"/>
      <c r="K219" s="126"/>
      <c r="L219" s="126"/>
    </row>
    <row r="220" customFormat="false" ht="15" hidden="false" customHeight="false" outlineLevel="0" collapsed="false">
      <c r="B220" s="121" t="str">
        <f aca="false">IF(INPUTS!$E$94&lt;&gt;"Yes","",IFERROR(CHOOSE(MATCH(INPUTS!$L$94,LISTS!$R$5:$R$10,0),INPUTS!$B$227,INPUTS!$B$261,INPUTS!$B$295,INPUTS!$B$329,INPUTS!$B$363,INPUTS!$B$397),"")&amp;"")</f>
        <v/>
      </c>
      <c r="C220" s="122" t="str">
        <f aca="false">IF(INPUTS!$E$94&lt;&gt;"Yes","",IFERROR(CHOOSE(MATCH(INPUTS!$L$94,LISTS!$R$5:$R$10,0),INPUTS!$C$227,INPUTS!$C$261,INPUTS!$C$295,INPUTS!$C$329,INPUTS!$C$363,INPUTS!$C$397),"")&amp;"")</f>
        <v/>
      </c>
      <c r="D220" s="123" t="n">
        <f aca="false">IF(INPUTS!$E$94&lt;&gt;"Yes",0,N(IFERROR(CHOOSE(MATCH(INPUTS!$L$94,LISTS!$R$5:$R$10,0),INPUTS!$D$227,INPUTS!$D$261,INPUTS!$D$295,INPUTS!$D$329,INPUTS!$D$363,INPUTS!$D$397),"")))</f>
        <v>0</v>
      </c>
      <c r="E220" s="124" t="n">
        <f aca="false">IF(INPUTS!$E$94&lt;&gt;"Yes",0,N(IFERROR(CHOOSE(MATCH(INPUTS!$L$94,LISTS!$R$5:$R$10,0),INPUTS!$E$227,INPUTS!$E$261,INPUTS!$E$295,INPUTS!$E$329,INPUTS!$E$363,INPUTS!$E$397),"")))</f>
        <v>0</v>
      </c>
      <c r="F220" s="125" t="str">
        <f aca="false">IF(AND(C220="Construction % complete",E220&gt;0),MAX(COUNTIF(CURVES!$D$77:$AQ$77,"&lt;"&amp;(D220-0.000000001))+1,INPUTS!$R$94),"")</f>
        <v/>
      </c>
      <c r="G220" s="126" t="str">
        <f aca="false">IF(E220=0,"",IF(C220="Booking + quarters",IF(D220=0,"at booking",D220&amp;" qtr(s) after booking"),IF(F220&gt;INPUTS!$C$24,"NOT REACHED in model","construction "&amp;TEXT(D220,"0%")&amp;" reached in Q"&amp;F220)))</f>
        <v/>
      </c>
      <c r="H220" s="126"/>
      <c r="I220" s="126"/>
      <c r="J220" s="126"/>
      <c r="K220" s="126"/>
      <c r="L220" s="126"/>
    </row>
    <row r="221" customFormat="false" ht="15" hidden="false" customHeight="false" outlineLevel="0" collapsed="false">
      <c r="B221" s="121" t="str">
        <f aca="false">IF(INPUTS!$E$94&lt;&gt;"Yes","",IFERROR(CHOOSE(MATCH(INPUTS!$L$94,LISTS!$R$5:$R$10,0),INPUTS!$B$228,INPUTS!$B$262,INPUTS!$B$296,INPUTS!$B$330,INPUTS!$B$364,INPUTS!$B$398),"")&amp;"")</f>
        <v/>
      </c>
      <c r="C221" s="122" t="str">
        <f aca="false">IF(INPUTS!$E$94&lt;&gt;"Yes","",IFERROR(CHOOSE(MATCH(INPUTS!$L$94,LISTS!$R$5:$R$10,0),INPUTS!$C$228,INPUTS!$C$262,INPUTS!$C$296,INPUTS!$C$330,INPUTS!$C$364,INPUTS!$C$398),"")&amp;"")</f>
        <v/>
      </c>
      <c r="D221" s="123" t="n">
        <f aca="false">IF(INPUTS!$E$94&lt;&gt;"Yes",0,N(IFERROR(CHOOSE(MATCH(INPUTS!$L$94,LISTS!$R$5:$R$10,0),INPUTS!$D$228,INPUTS!$D$262,INPUTS!$D$296,INPUTS!$D$330,INPUTS!$D$364,INPUTS!$D$398),"")))</f>
        <v>0</v>
      </c>
      <c r="E221" s="124" t="n">
        <f aca="false">IF(INPUTS!$E$94&lt;&gt;"Yes",0,N(IFERROR(CHOOSE(MATCH(INPUTS!$L$94,LISTS!$R$5:$R$10,0),INPUTS!$E$228,INPUTS!$E$262,INPUTS!$E$296,INPUTS!$E$330,INPUTS!$E$364,INPUTS!$E$398),"")))</f>
        <v>0</v>
      </c>
      <c r="F221" s="125" t="str">
        <f aca="false">IF(AND(C221="Construction % complete",E221&gt;0),MAX(COUNTIF(CURVES!$D$77:$AQ$77,"&lt;"&amp;(D221-0.000000001))+1,INPUTS!$R$94),"")</f>
        <v/>
      </c>
      <c r="G221" s="126" t="str">
        <f aca="false">IF(E221=0,"",IF(C221="Booking + quarters",IF(D221=0,"at booking",D221&amp;" qtr(s) after booking"),IF(F221&gt;INPUTS!$C$24,"NOT REACHED in model","construction "&amp;TEXT(D221,"0%")&amp;" reached in Q"&amp;F221)))</f>
        <v/>
      </c>
      <c r="H221" s="126"/>
      <c r="I221" s="126"/>
      <c r="J221" s="126"/>
      <c r="K221" s="126"/>
      <c r="L221" s="126"/>
    </row>
    <row r="222" customFormat="false" ht="15" hidden="false" customHeight="false" outlineLevel="0" collapsed="false">
      <c r="B222" s="121" t="str">
        <f aca="false">IF(INPUTS!$E$94&lt;&gt;"Yes","",IFERROR(CHOOSE(MATCH(INPUTS!$L$94,LISTS!$R$5:$R$10,0),INPUTS!$B$229,INPUTS!$B$263,INPUTS!$B$297,INPUTS!$B$331,INPUTS!$B$365,INPUTS!$B$399),"")&amp;"")</f>
        <v/>
      </c>
      <c r="C222" s="122" t="str">
        <f aca="false">IF(INPUTS!$E$94&lt;&gt;"Yes","",IFERROR(CHOOSE(MATCH(INPUTS!$L$94,LISTS!$R$5:$R$10,0),INPUTS!$C$229,INPUTS!$C$263,INPUTS!$C$297,INPUTS!$C$331,INPUTS!$C$365,INPUTS!$C$399),"")&amp;"")</f>
        <v/>
      </c>
      <c r="D222" s="123" t="n">
        <f aca="false">IF(INPUTS!$E$94&lt;&gt;"Yes",0,N(IFERROR(CHOOSE(MATCH(INPUTS!$L$94,LISTS!$R$5:$R$10,0),INPUTS!$D$229,INPUTS!$D$263,INPUTS!$D$297,INPUTS!$D$331,INPUTS!$D$365,INPUTS!$D$399),"")))</f>
        <v>0</v>
      </c>
      <c r="E222" s="124" t="n">
        <f aca="false">IF(INPUTS!$E$94&lt;&gt;"Yes",0,N(IFERROR(CHOOSE(MATCH(INPUTS!$L$94,LISTS!$R$5:$R$10,0),INPUTS!$E$229,INPUTS!$E$263,INPUTS!$E$297,INPUTS!$E$331,INPUTS!$E$365,INPUTS!$E$399),"")))</f>
        <v>0</v>
      </c>
      <c r="F222" s="125" t="str">
        <f aca="false">IF(AND(C222="Construction % complete",E222&gt;0),MAX(COUNTIF(CURVES!$D$77:$AQ$77,"&lt;"&amp;(D222-0.000000001))+1,INPUTS!$R$94),"")</f>
        <v/>
      </c>
      <c r="G222" s="126" t="str">
        <f aca="false">IF(E222=0,"",IF(C222="Booking + quarters",IF(D222=0,"at booking",D222&amp;" qtr(s) after booking"),IF(F222&gt;INPUTS!$C$24,"NOT REACHED in model","construction "&amp;TEXT(D222,"0%")&amp;" reached in Q"&amp;F222)))</f>
        <v/>
      </c>
      <c r="H222" s="126"/>
      <c r="I222" s="126"/>
      <c r="J222" s="126"/>
      <c r="K222" s="126"/>
      <c r="L222" s="126"/>
    </row>
    <row r="223" customFormat="false" ht="15" hidden="false" customHeight="false" outlineLevel="0" collapsed="false">
      <c r="B223" s="121" t="str">
        <f aca="false">IF(INPUTS!$E$94&lt;&gt;"Yes","",IFERROR(CHOOSE(MATCH(INPUTS!$L$94,LISTS!$R$5:$R$10,0),INPUTS!$B$230,INPUTS!$B$264,INPUTS!$B$298,INPUTS!$B$332,INPUTS!$B$366,INPUTS!$B$400),"")&amp;"")</f>
        <v/>
      </c>
      <c r="C223" s="122" t="str">
        <f aca="false">IF(INPUTS!$E$94&lt;&gt;"Yes","",IFERROR(CHOOSE(MATCH(INPUTS!$L$94,LISTS!$R$5:$R$10,0),INPUTS!$C$230,INPUTS!$C$264,INPUTS!$C$298,INPUTS!$C$332,INPUTS!$C$366,INPUTS!$C$400),"")&amp;"")</f>
        <v/>
      </c>
      <c r="D223" s="123" t="n">
        <f aca="false">IF(INPUTS!$E$94&lt;&gt;"Yes",0,N(IFERROR(CHOOSE(MATCH(INPUTS!$L$94,LISTS!$R$5:$R$10,0),INPUTS!$D$230,INPUTS!$D$264,INPUTS!$D$298,INPUTS!$D$332,INPUTS!$D$366,INPUTS!$D$400),"")))</f>
        <v>0</v>
      </c>
      <c r="E223" s="124" t="n">
        <f aca="false">IF(INPUTS!$E$94&lt;&gt;"Yes",0,N(IFERROR(CHOOSE(MATCH(INPUTS!$L$94,LISTS!$R$5:$R$10,0),INPUTS!$E$230,INPUTS!$E$264,INPUTS!$E$298,INPUTS!$E$332,INPUTS!$E$366,INPUTS!$E$400),"")))</f>
        <v>0</v>
      </c>
      <c r="F223" s="125" t="str">
        <f aca="false">IF(AND(C223="Construction % complete",E223&gt;0),MAX(COUNTIF(CURVES!$D$77:$AQ$77,"&lt;"&amp;(D223-0.000000001))+1,INPUTS!$R$94),"")</f>
        <v/>
      </c>
      <c r="G223" s="126" t="str">
        <f aca="false">IF(E223=0,"",IF(C223="Booking + quarters",IF(D223=0,"at booking",D223&amp;" qtr(s) after booking"),IF(F223&gt;INPUTS!$C$24,"NOT REACHED in model","construction "&amp;TEXT(D223,"0%")&amp;" reached in Q"&amp;F223)))</f>
        <v/>
      </c>
      <c r="H223" s="126"/>
      <c r="I223" s="126"/>
      <c r="J223" s="126"/>
      <c r="K223" s="126"/>
      <c r="L223" s="126"/>
    </row>
    <row r="224" customFormat="false" ht="15" hidden="false" customHeight="false" outlineLevel="0" collapsed="false">
      <c r="B224" s="121" t="str">
        <f aca="false">IF(INPUTS!$E$94&lt;&gt;"Yes","",IFERROR(CHOOSE(MATCH(INPUTS!$L$94,LISTS!$R$5:$R$10,0),INPUTS!$B$231,INPUTS!$B$265,INPUTS!$B$299,INPUTS!$B$333,INPUTS!$B$367,INPUTS!$B$401),"")&amp;"")</f>
        <v/>
      </c>
      <c r="C224" s="122" t="str">
        <f aca="false">IF(INPUTS!$E$94&lt;&gt;"Yes","",IFERROR(CHOOSE(MATCH(INPUTS!$L$94,LISTS!$R$5:$R$10,0),INPUTS!$C$231,INPUTS!$C$265,INPUTS!$C$299,INPUTS!$C$333,INPUTS!$C$367,INPUTS!$C$401),"")&amp;"")</f>
        <v/>
      </c>
      <c r="D224" s="123" t="n">
        <f aca="false">IF(INPUTS!$E$94&lt;&gt;"Yes",0,N(IFERROR(CHOOSE(MATCH(INPUTS!$L$94,LISTS!$R$5:$R$10,0),INPUTS!$D$231,INPUTS!$D$265,INPUTS!$D$299,INPUTS!$D$333,INPUTS!$D$367,INPUTS!$D$401),"")))</f>
        <v>0</v>
      </c>
      <c r="E224" s="124" t="n">
        <f aca="false">IF(INPUTS!$E$94&lt;&gt;"Yes",0,N(IFERROR(CHOOSE(MATCH(INPUTS!$L$94,LISTS!$R$5:$R$10,0),INPUTS!$E$231,INPUTS!$E$265,INPUTS!$E$299,INPUTS!$E$333,INPUTS!$E$367,INPUTS!$E$401),"")))</f>
        <v>0</v>
      </c>
      <c r="F224" s="125" t="str">
        <f aca="false">IF(AND(C224="Construction % complete",E224&gt;0),MAX(COUNTIF(CURVES!$D$77:$AQ$77,"&lt;"&amp;(D224-0.000000001))+1,INPUTS!$R$94),"")</f>
        <v/>
      </c>
      <c r="G224" s="126" t="str">
        <f aca="false">IF(E224=0,"",IF(C224="Booking + quarters",IF(D224=0,"at booking",D224&amp;" qtr(s) after booking"),IF(F224&gt;INPUTS!$C$24,"NOT REACHED in model","construction "&amp;TEXT(D224,"0%")&amp;" reached in Q"&amp;F224)))</f>
        <v/>
      </c>
      <c r="H224" s="126"/>
      <c r="I224" s="126"/>
      <c r="J224" s="126"/>
      <c r="K224" s="126"/>
      <c r="L224" s="126"/>
    </row>
    <row r="225" customFormat="false" ht="15" hidden="false" customHeight="false" outlineLevel="0" collapsed="false">
      <c r="B225" s="121" t="str">
        <f aca="false">IF(INPUTS!$E$94&lt;&gt;"Yes","",IFERROR(CHOOSE(MATCH(INPUTS!$L$94,LISTS!$R$5:$R$10,0),INPUTS!$B$232,INPUTS!$B$266,INPUTS!$B$300,INPUTS!$B$334,INPUTS!$B$368,INPUTS!$B$402),"")&amp;"")</f>
        <v/>
      </c>
      <c r="C225" s="122" t="str">
        <f aca="false">IF(INPUTS!$E$94&lt;&gt;"Yes","",IFERROR(CHOOSE(MATCH(INPUTS!$L$94,LISTS!$R$5:$R$10,0),INPUTS!$C$232,INPUTS!$C$266,INPUTS!$C$300,INPUTS!$C$334,INPUTS!$C$368,INPUTS!$C$402),"")&amp;"")</f>
        <v/>
      </c>
      <c r="D225" s="123" t="n">
        <f aca="false">IF(INPUTS!$E$94&lt;&gt;"Yes",0,N(IFERROR(CHOOSE(MATCH(INPUTS!$L$94,LISTS!$R$5:$R$10,0),INPUTS!$D$232,INPUTS!$D$266,INPUTS!$D$300,INPUTS!$D$334,INPUTS!$D$368,INPUTS!$D$402),"")))</f>
        <v>0</v>
      </c>
      <c r="E225" s="124" t="n">
        <f aca="false">IF(INPUTS!$E$94&lt;&gt;"Yes",0,N(IFERROR(CHOOSE(MATCH(INPUTS!$L$94,LISTS!$R$5:$R$10,0),INPUTS!$E$232,INPUTS!$E$266,INPUTS!$E$300,INPUTS!$E$334,INPUTS!$E$368,INPUTS!$E$402),"")))</f>
        <v>0</v>
      </c>
      <c r="F225" s="125" t="str">
        <f aca="false">IF(AND(C225="Construction % complete",E225&gt;0),MAX(COUNTIF(CURVES!$D$77:$AQ$77,"&lt;"&amp;(D225-0.000000001))+1,INPUTS!$R$94),"")</f>
        <v/>
      </c>
      <c r="G225" s="126" t="str">
        <f aca="false">IF(E225=0,"",IF(C225="Booking + quarters",IF(D225=0,"at booking",D225&amp;" qtr(s) after booking"),IF(F225&gt;INPUTS!$C$24,"NOT REACHED in model","construction "&amp;TEXT(D225,"0%")&amp;" reached in Q"&amp;F225)))</f>
        <v/>
      </c>
      <c r="H225" s="126"/>
      <c r="I225" s="126"/>
      <c r="J225" s="126"/>
      <c r="K225" s="126"/>
      <c r="L225" s="126"/>
    </row>
    <row r="226" customFormat="false" ht="15" hidden="false" customHeight="false" outlineLevel="0" collapsed="false">
      <c r="B226" s="121" t="str">
        <f aca="false">IF(INPUTS!$E$94&lt;&gt;"Yes","",IFERROR(CHOOSE(MATCH(INPUTS!$L$94,LISTS!$R$5:$R$10,0),INPUTS!$B$233,INPUTS!$B$267,INPUTS!$B$301,INPUTS!$B$335,INPUTS!$B$369,INPUTS!$B$403),"")&amp;"")</f>
        <v/>
      </c>
      <c r="C226" s="122" t="str">
        <f aca="false">IF(INPUTS!$E$94&lt;&gt;"Yes","",IFERROR(CHOOSE(MATCH(INPUTS!$L$94,LISTS!$R$5:$R$10,0),INPUTS!$C$233,INPUTS!$C$267,INPUTS!$C$301,INPUTS!$C$335,INPUTS!$C$369,INPUTS!$C$403),"")&amp;"")</f>
        <v/>
      </c>
      <c r="D226" s="123" t="n">
        <f aca="false">IF(INPUTS!$E$94&lt;&gt;"Yes",0,N(IFERROR(CHOOSE(MATCH(INPUTS!$L$94,LISTS!$R$5:$R$10,0),INPUTS!$D$233,INPUTS!$D$267,INPUTS!$D$301,INPUTS!$D$335,INPUTS!$D$369,INPUTS!$D$403),"")))</f>
        <v>0</v>
      </c>
      <c r="E226" s="124" t="n">
        <f aca="false">IF(INPUTS!$E$94&lt;&gt;"Yes",0,N(IFERROR(CHOOSE(MATCH(INPUTS!$L$94,LISTS!$R$5:$R$10,0),INPUTS!$E$233,INPUTS!$E$267,INPUTS!$E$301,INPUTS!$E$335,INPUTS!$E$369,INPUTS!$E$403),"")))</f>
        <v>0</v>
      </c>
      <c r="F226" s="125" t="str">
        <f aca="false">IF(AND(C226="Construction % complete",E226&gt;0),MAX(COUNTIF(CURVES!$D$77:$AQ$77,"&lt;"&amp;(D226-0.000000001))+1,INPUTS!$R$94),"")</f>
        <v/>
      </c>
      <c r="G226" s="126" t="str">
        <f aca="false">IF(E226=0,"",IF(C226="Booking + quarters",IF(D226=0,"at booking",D226&amp;" qtr(s) after booking"),IF(F226&gt;INPUTS!$C$24,"NOT REACHED in model","construction "&amp;TEXT(D226,"0%")&amp;" reached in Q"&amp;F226)))</f>
        <v/>
      </c>
      <c r="H226" s="126"/>
      <c r="I226" s="126"/>
      <c r="J226" s="126"/>
      <c r="K226" s="126"/>
      <c r="L226" s="126"/>
    </row>
    <row r="227" customFormat="false" ht="15" hidden="false" customHeight="false" outlineLevel="0" collapsed="false">
      <c r="B227" s="121" t="str">
        <f aca="false">IF(INPUTS!$E$94&lt;&gt;"Yes","",IFERROR(CHOOSE(MATCH(INPUTS!$L$94,LISTS!$R$5:$R$10,0),INPUTS!$B$234,INPUTS!$B$268,INPUTS!$B$302,INPUTS!$B$336,INPUTS!$B$370,INPUTS!$B$404),"")&amp;"")</f>
        <v/>
      </c>
      <c r="C227" s="122" t="str">
        <f aca="false">IF(INPUTS!$E$94&lt;&gt;"Yes","",IFERROR(CHOOSE(MATCH(INPUTS!$L$94,LISTS!$R$5:$R$10,0),INPUTS!$C$234,INPUTS!$C$268,INPUTS!$C$302,INPUTS!$C$336,INPUTS!$C$370,INPUTS!$C$404),"")&amp;"")</f>
        <v/>
      </c>
      <c r="D227" s="123" t="n">
        <f aca="false">IF(INPUTS!$E$94&lt;&gt;"Yes",0,N(IFERROR(CHOOSE(MATCH(INPUTS!$L$94,LISTS!$R$5:$R$10,0),INPUTS!$D$234,INPUTS!$D$268,INPUTS!$D$302,INPUTS!$D$336,INPUTS!$D$370,INPUTS!$D$404),"")))</f>
        <v>0</v>
      </c>
      <c r="E227" s="124" t="n">
        <f aca="false">IF(INPUTS!$E$94&lt;&gt;"Yes",0,N(IFERROR(CHOOSE(MATCH(INPUTS!$L$94,LISTS!$R$5:$R$10,0),INPUTS!$E$234,INPUTS!$E$268,INPUTS!$E$302,INPUTS!$E$336,INPUTS!$E$370,INPUTS!$E$404),"")))</f>
        <v>0</v>
      </c>
      <c r="F227" s="125" t="str">
        <f aca="false">IF(AND(C227="Construction % complete",E227&gt;0),MAX(COUNTIF(CURVES!$D$77:$AQ$77,"&lt;"&amp;(D227-0.000000001))+1,INPUTS!$R$94),"")</f>
        <v/>
      </c>
      <c r="G227" s="126" t="str">
        <f aca="false">IF(E227=0,"",IF(C227="Booking + quarters",IF(D227=0,"at booking",D227&amp;" qtr(s) after booking"),IF(F227&gt;INPUTS!$C$24,"NOT REACHED in model","construction "&amp;TEXT(D227,"0%")&amp;" reached in Q"&amp;F227)))</f>
        <v/>
      </c>
      <c r="H227" s="126"/>
      <c r="I227" s="126"/>
      <c r="J227" s="126"/>
      <c r="K227" s="126"/>
      <c r="L227" s="126"/>
    </row>
    <row r="228" customFormat="false" ht="15" hidden="false" customHeight="false" outlineLevel="0" collapsed="false">
      <c r="B228" s="121" t="str">
        <f aca="false">IF(INPUTS!$E$94&lt;&gt;"Yes","",IFERROR(CHOOSE(MATCH(INPUTS!$L$94,LISTS!$R$5:$R$10,0),INPUTS!$B$235,INPUTS!$B$269,INPUTS!$B$303,INPUTS!$B$337,INPUTS!$B$371,INPUTS!$B$405),"")&amp;"")</f>
        <v/>
      </c>
      <c r="C228" s="122" t="str">
        <f aca="false">IF(INPUTS!$E$94&lt;&gt;"Yes","",IFERROR(CHOOSE(MATCH(INPUTS!$L$94,LISTS!$R$5:$R$10,0),INPUTS!$C$235,INPUTS!$C$269,INPUTS!$C$303,INPUTS!$C$337,INPUTS!$C$371,INPUTS!$C$405),"")&amp;"")</f>
        <v/>
      </c>
      <c r="D228" s="123" t="n">
        <f aca="false">IF(INPUTS!$E$94&lt;&gt;"Yes",0,N(IFERROR(CHOOSE(MATCH(INPUTS!$L$94,LISTS!$R$5:$R$10,0),INPUTS!$D$235,INPUTS!$D$269,INPUTS!$D$303,INPUTS!$D$337,INPUTS!$D$371,INPUTS!$D$405),"")))</f>
        <v>0</v>
      </c>
      <c r="E228" s="124" t="n">
        <f aca="false">IF(INPUTS!$E$94&lt;&gt;"Yes",0,N(IFERROR(CHOOSE(MATCH(INPUTS!$L$94,LISTS!$R$5:$R$10,0),INPUTS!$E$235,INPUTS!$E$269,INPUTS!$E$303,INPUTS!$E$337,INPUTS!$E$371,INPUTS!$E$405),"")))</f>
        <v>0</v>
      </c>
      <c r="F228" s="125" t="str">
        <f aca="false">IF(AND(C228="Construction % complete",E228&gt;0),MAX(COUNTIF(CURVES!$D$77:$AQ$77,"&lt;"&amp;(D228-0.000000001))+1,INPUTS!$R$94),"")</f>
        <v/>
      </c>
      <c r="G228" s="126" t="str">
        <f aca="false">IF(E228=0,"",IF(C228="Booking + quarters",IF(D228=0,"at booking",D228&amp;" qtr(s) after booking"),IF(F228&gt;INPUTS!$C$24,"NOT REACHED in model","construction "&amp;TEXT(D228,"0%")&amp;" reached in Q"&amp;F228)))</f>
        <v/>
      </c>
      <c r="H228" s="126"/>
      <c r="I228" s="126"/>
      <c r="J228" s="126"/>
      <c r="K228" s="126"/>
      <c r="L228" s="126"/>
    </row>
    <row r="229" customFormat="false" ht="15" hidden="false" customHeight="false" outlineLevel="0" collapsed="false">
      <c r="B229" s="121" t="str">
        <f aca="false">IF(INPUTS!$E$94&lt;&gt;"Yes","",IFERROR(CHOOSE(MATCH(INPUTS!$L$94,LISTS!$R$5:$R$10,0),INPUTS!$B$236,INPUTS!$B$270,INPUTS!$B$304,INPUTS!$B$338,INPUTS!$B$372,INPUTS!$B$406),"")&amp;"")</f>
        <v/>
      </c>
      <c r="C229" s="122" t="str">
        <f aca="false">IF(INPUTS!$E$94&lt;&gt;"Yes","",IFERROR(CHOOSE(MATCH(INPUTS!$L$94,LISTS!$R$5:$R$10,0),INPUTS!$C$236,INPUTS!$C$270,INPUTS!$C$304,INPUTS!$C$338,INPUTS!$C$372,INPUTS!$C$406),"")&amp;"")</f>
        <v/>
      </c>
      <c r="D229" s="123" t="n">
        <f aca="false">IF(INPUTS!$E$94&lt;&gt;"Yes",0,N(IFERROR(CHOOSE(MATCH(INPUTS!$L$94,LISTS!$R$5:$R$10,0),INPUTS!$D$236,INPUTS!$D$270,INPUTS!$D$304,INPUTS!$D$338,INPUTS!$D$372,INPUTS!$D$406),"")))</f>
        <v>0</v>
      </c>
      <c r="E229" s="124" t="n">
        <f aca="false">IF(INPUTS!$E$94&lt;&gt;"Yes",0,N(IFERROR(CHOOSE(MATCH(INPUTS!$L$94,LISTS!$R$5:$R$10,0),INPUTS!$E$236,INPUTS!$E$270,INPUTS!$E$304,INPUTS!$E$338,INPUTS!$E$372,INPUTS!$E$406),"")))</f>
        <v>0</v>
      </c>
      <c r="F229" s="125" t="str">
        <f aca="false">IF(AND(C229="Construction % complete",E229&gt;0),MAX(COUNTIF(CURVES!$D$77:$AQ$77,"&lt;"&amp;(D229-0.000000001))+1,INPUTS!$R$94),"")</f>
        <v/>
      </c>
      <c r="G229" s="126" t="str">
        <f aca="false">IF(E229=0,"",IF(C229="Booking + quarters",IF(D229=0,"at booking",D229&amp;" qtr(s) after booking"),IF(F229&gt;INPUTS!$C$24,"NOT REACHED in model","construction "&amp;TEXT(D229,"0%")&amp;" reached in Q"&amp;F229)))</f>
        <v/>
      </c>
      <c r="H229" s="126"/>
      <c r="I229" s="126"/>
      <c r="J229" s="126"/>
      <c r="K229" s="126"/>
      <c r="L229" s="126"/>
    </row>
    <row r="230" customFormat="false" ht="15" hidden="false" customHeight="false" outlineLevel="0" collapsed="false">
      <c r="B230" s="121" t="str">
        <f aca="false">IF(INPUTS!$E$94&lt;&gt;"Yes","",IFERROR(CHOOSE(MATCH(INPUTS!$L$94,LISTS!$R$5:$R$10,0),INPUTS!$B$237,INPUTS!$B$271,INPUTS!$B$305,INPUTS!$B$339,INPUTS!$B$373,INPUTS!$B$407),"")&amp;"")</f>
        <v/>
      </c>
      <c r="C230" s="122" t="str">
        <f aca="false">IF(INPUTS!$E$94&lt;&gt;"Yes","",IFERROR(CHOOSE(MATCH(INPUTS!$L$94,LISTS!$R$5:$R$10,0),INPUTS!$C$237,INPUTS!$C$271,INPUTS!$C$305,INPUTS!$C$339,INPUTS!$C$373,INPUTS!$C$407),"")&amp;"")</f>
        <v/>
      </c>
      <c r="D230" s="123" t="n">
        <f aca="false">IF(INPUTS!$E$94&lt;&gt;"Yes",0,N(IFERROR(CHOOSE(MATCH(INPUTS!$L$94,LISTS!$R$5:$R$10,0),INPUTS!$D$237,INPUTS!$D$271,INPUTS!$D$305,INPUTS!$D$339,INPUTS!$D$373,INPUTS!$D$407),"")))</f>
        <v>0</v>
      </c>
      <c r="E230" s="124" t="n">
        <f aca="false">IF(INPUTS!$E$94&lt;&gt;"Yes",0,N(IFERROR(CHOOSE(MATCH(INPUTS!$L$94,LISTS!$R$5:$R$10,0),INPUTS!$E$237,INPUTS!$E$271,INPUTS!$E$305,INPUTS!$E$339,INPUTS!$E$373,INPUTS!$E$407),"")))</f>
        <v>0</v>
      </c>
      <c r="F230" s="125" t="str">
        <f aca="false">IF(AND(C230="Construction % complete",E230&gt;0),MAX(COUNTIF(CURVES!$D$77:$AQ$77,"&lt;"&amp;(D230-0.000000001))+1,INPUTS!$R$94),"")</f>
        <v/>
      </c>
      <c r="G230" s="126" t="str">
        <f aca="false">IF(E230=0,"",IF(C230="Booking + quarters",IF(D230=0,"at booking",D230&amp;" qtr(s) after booking"),IF(F230&gt;INPUTS!$C$24,"NOT REACHED in model","construction "&amp;TEXT(D230,"0%")&amp;" reached in Q"&amp;F230)))</f>
        <v/>
      </c>
      <c r="H230" s="126"/>
      <c r="I230" s="126"/>
      <c r="J230" s="126"/>
      <c r="K230" s="126"/>
      <c r="L230" s="126"/>
    </row>
    <row r="231" customFormat="false" ht="15" hidden="false" customHeight="false" outlineLevel="0" collapsed="false">
      <c r="B231" s="121" t="str">
        <f aca="false">IF(INPUTS!$E$94&lt;&gt;"Yes","",IFERROR(CHOOSE(MATCH(INPUTS!$L$94,LISTS!$R$5:$R$10,0),INPUTS!$B$238,INPUTS!$B$272,INPUTS!$B$306,INPUTS!$B$340,INPUTS!$B$374,INPUTS!$B$408),"")&amp;"")</f>
        <v/>
      </c>
      <c r="C231" s="122" t="str">
        <f aca="false">IF(INPUTS!$E$94&lt;&gt;"Yes","",IFERROR(CHOOSE(MATCH(INPUTS!$L$94,LISTS!$R$5:$R$10,0),INPUTS!$C$238,INPUTS!$C$272,INPUTS!$C$306,INPUTS!$C$340,INPUTS!$C$374,INPUTS!$C$408),"")&amp;"")</f>
        <v/>
      </c>
      <c r="D231" s="123" t="n">
        <f aca="false">IF(INPUTS!$E$94&lt;&gt;"Yes",0,N(IFERROR(CHOOSE(MATCH(INPUTS!$L$94,LISTS!$R$5:$R$10,0),INPUTS!$D$238,INPUTS!$D$272,INPUTS!$D$306,INPUTS!$D$340,INPUTS!$D$374,INPUTS!$D$408),"")))</f>
        <v>0</v>
      </c>
      <c r="E231" s="124" t="n">
        <f aca="false">IF(INPUTS!$E$94&lt;&gt;"Yes",0,N(IFERROR(CHOOSE(MATCH(INPUTS!$L$94,LISTS!$R$5:$R$10,0),INPUTS!$E$238,INPUTS!$E$272,INPUTS!$E$306,INPUTS!$E$340,INPUTS!$E$374,INPUTS!$E$408),"")))</f>
        <v>0</v>
      </c>
      <c r="F231" s="125" t="str">
        <f aca="false">IF(AND(C231="Construction % complete",E231&gt;0),MAX(COUNTIF(CURVES!$D$77:$AQ$77,"&lt;"&amp;(D231-0.000000001))+1,INPUTS!$R$94),"")</f>
        <v/>
      </c>
      <c r="G231" s="126" t="str">
        <f aca="false">IF(E231=0,"",IF(C231="Booking + quarters",IF(D231=0,"at booking",D231&amp;" qtr(s) after booking"),IF(F231&gt;INPUTS!$C$24,"NOT REACHED in model","construction "&amp;TEXT(D231,"0%")&amp;" reached in Q"&amp;F231)))</f>
        <v/>
      </c>
      <c r="H231" s="126"/>
      <c r="I231" s="126"/>
      <c r="J231" s="126"/>
      <c r="K231" s="126"/>
      <c r="L231" s="126"/>
    </row>
    <row r="232" customFormat="false" ht="15" hidden="false" customHeight="false" outlineLevel="0" collapsed="false">
      <c r="B232" s="121" t="str">
        <f aca="false">IF(INPUTS!$E$94&lt;&gt;"Yes","",IFERROR(CHOOSE(MATCH(INPUTS!$L$94,LISTS!$R$5:$R$10,0),INPUTS!$B$239,INPUTS!$B$273,INPUTS!$B$307,INPUTS!$B$341,INPUTS!$B$375,INPUTS!$B$409),"")&amp;"")</f>
        <v/>
      </c>
      <c r="C232" s="122" t="str">
        <f aca="false">IF(INPUTS!$E$94&lt;&gt;"Yes","",IFERROR(CHOOSE(MATCH(INPUTS!$L$94,LISTS!$R$5:$R$10,0),INPUTS!$C$239,INPUTS!$C$273,INPUTS!$C$307,INPUTS!$C$341,INPUTS!$C$375,INPUTS!$C$409),"")&amp;"")</f>
        <v/>
      </c>
      <c r="D232" s="123" t="n">
        <f aca="false">IF(INPUTS!$E$94&lt;&gt;"Yes",0,N(IFERROR(CHOOSE(MATCH(INPUTS!$L$94,LISTS!$R$5:$R$10,0),INPUTS!$D$239,INPUTS!$D$273,INPUTS!$D$307,INPUTS!$D$341,INPUTS!$D$375,INPUTS!$D$409),"")))</f>
        <v>0</v>
      </c>
      <c r="E232" s="124" t="n">
        <f aca="false">IF(INPUTS!$E$94&lt;&gt;"Yes",0,N(IFERROR(CHOOSE(MATCH(INPUTS!$L$94,LISTS!$R$5:$R$10,0),INPUTS!$E$239,INPUTS!$E$273,INPUTS!$E$307,INPUTS!$E$341,INPUTS!$E$375,INPUTS!$E$409),"")))</f>
        <v>0</v>
      </c>
      <c r="F232" s="125" t="str">
        <f aca="false">IF(AND(C232="Construction % complete",E232&gt;0),MAX(COUNTIF(CURVES!$D$77:$AQ$77,"&lt;"&amp;(D232-0.000000001))+1,INPUTS!$R$94),"")</f>
        <v/>
      </c>
      <c r="G232" s="126" t="str">
        <f aca="false">IF(E232=0,"",IF(C232="Booking + quarters",IF(D232=0,"at booking",D232&amp;" qtr(s) after booking"),IF(F232&gt;INPUTS!$C$24,"NOT REACHED in model","construction "&amp;TEXT(D232,"0%")&amp;" reached in Q"&amp;F232)))</f>
        <v/>
      </c>
      <c r="H232" s="126"/>
      <c r="I232" s="126"/>
      <c r="J232" s="126"/>
      <c r="K232" s="126"/>
      <c r="L232" s="126"/>
    </row>
    <row r="233" customFormat="false" ht="15" hidden="false" customHeight="false" outlineLevel="0" collapsed="false">
      <c r="B233" s="121" t="str">
        <f aca="false">IF(INPUTS!$E$94&lt;&gt;"Yes","",IFERROR(CHOOSE(MATCH(INPUTS!$L$94,LISTS!$R$5:$R$10,0),INPUTS!$B$240,INPUTS!$B$274,INPUTS!$B$308,INPUTS!$B$342,INPUTS!$B$376,INPUTS!$B$410),"")&amp;"")</f>
        <v/>
      </c>
      <c r="C233" s="122" t="str">
        <f aca="false">IF(INPUTS!$E$94&lt;&gt;"Yes","",IFERROR(CHOOSE(MATCH(INPUTS!$L$94,LISTS!$R$5:$R$10,0),INPUTS!$C$240,INPUTS!$C$274,INPUTS!$C$308,INPUTS!$C$342,INPUTS!$C$376,INPUTS!$C$410),"")&amp;"")</f>
        <v/>
      </c>
      <c r="D233" s="123" t="n">
        <f aca="false">IF(INPUTS!$E$94&lt;&gt;"Yes",0,N(IFERROR(CHOOSE(MATCH(INPUTS!$L$94,LISTS!$R$5:$R$10,0),INPUTS!$D$240,INPUTS!$D$274,INPUTS!$D$308,INPUTS!$D$342,INPUTS!$D$376,INPUTS!$D$410),"")))</f>
        <v>0</v>
      </c>
      <c r="E233" s="124" t="n">
        <f aca="false">IF(INPUTS!$E$94&lt;&gt;"Yes",0,N(IFERROR(CHOOSE(MATCH(INPUTS!$L$94,LISTS!$R$5:$R$10,0),INPUTS!$E$240,INPUTS!$E$274,INPUTS!$E$308,INPUTS!$E$342,INPUTS!$E$376,INPUTS!$E$410),"")))</f>
        <v>0</v>
      </c>
      <c r="F233" s="125" t="str">
        <f aca="false">IF(AND(C233="Construction % complete",E233&gt;0),MAX(COUNTIF(CURVES!$D$77:$AQ$77,"&lt;"&amp;(D233-0.000000001))+1,INPUTS!$R$94),"")</f>
        <v/>
      </c>
      <c r="G233" s="126" t="str">
        <f aca="false">IF(E233=0,"",IF(C233="Booking + quarters",IF(D233=0,"at booking",D233&amp;" qtr(s) after booking"),IF(F233&gt;INPUTS!$C$24,"NOT REACHED in model","construction "&amp;TEXT(D233,"0%")&amp;" reached in Q"&amp;F233)))</f>
        <v/>
      </c>
      <c r="H233" s="126"/>
      <c r="I233" s="126"/>
      <c r="J233" s="126"/>
      <c r="K233" s="126"/>
      <c r="L233" s="126"/>
    </row>
    <row r="234" customFormat="false" ht="15" hidden="false" customHeight="false" outlineLevel="0" collapsed="false">
      <c r="B234" s="121" t="str">
        <f aca="false">IF(INPUTS!$E$94&lt;&gt;"Yes","",IFERROR(CHOOSE(MATCH(INPUTS!$L$94,LISTS!$R$5:$R$10,0),INPUTS!$B$241,INPUTS!$B$275,INPUTS!$B$309,INPUTS!$B$343,INPUTS!$B$377,INPUTS!$B$411),"")&amp;"")</f>
        <v/>
      </c>
      <c r="C234" s="122" t="str">
        <f aca="false">IF(INPUTS!$E$94&lt;&gt;"Yes","",IFERROR(CHOOSE(MATCH(INPUTS!$L$94,LISTS!$R$5:$R$10,0),INPUTS!$C$241,INPUTS!$C$275,INPUTS!$C$309,INPUTS!$C$343,INPUTS!$C$377,INPUTS!$C$411),"")&amp;"")</f>
        <v/>
      </c>
      <c r="D234" s="123" t="n">
        <f aca="false">IF(INPUTS!$E$94&lt;&gt;"Yes",0,N(IFERROR(CHOOSE(MATCH(INPUTS!$L$94,LISTS!$R$5:$R$10,0),INPUTS!$D$241,INPUTS!$D$275,INPUTS!$D$309,INPUTS!$D$343,INPUTS!$D$377,INPUTS!$D$411),"")))</f>
        <v>0</v>
      </c>
      <c r="E234" s="124" t="n">
        <f aca="false">IF(INPUTS!$E$94&lt;&gt;"Yes",0,N(IFERROR(CHOOSE(MATCH(INPUTS!$L$94,LISTS!$R$5:$R$10,0),INPUTS!$E$241,INPUTS!$E$275,INPUTS!$E$309,INPUTS!$E$343,INPUTS!$E$377,INPUTS!$E$411),"")))</f>
        <v>0</v>
      </c>
      <c r="F234" s="125" t="str">
        <f aca="false">IF(AND(C234="Construction % complete",E234&gt;0),MAX(COUNTIF(CURVES!$D$77:$AQ$77,"&lt;"&amp;(D234-0.000000001))+1,INPUTS!$R$94),"")</f>
        <v/>
      </c>
      <c r="G234" s="126" t="str">
        <f aca="false">IF(E234=0,"",IF(C234="Booking + quarters",IF(D234=0,"at booking",D234&amp;" qtr(s) after booking"),IF(F234&gt;INPUTS!$C$24,"NOT REACHED in model","construction "&amp;TEXT(D234,"0%")&amp;" reached in Q"&amp;F234)))</f>
        <v/>
      </c>
      <c r="H234" s="126"/>
      <c r="I234" s="126"/>
      <c r="J234" s="126"/>
      <c r="K234" s="126"/>
      <c r="L234" s="126"/>
    </row>
    <row r="235" customFormat="false" ht="15" hidden="false" customHeight="false" outlineLevel="0" collapsed="false">
      <c r="B235" s="121" t="str">
        <f aca="false">IF(INPUTS!$E$94&lt;&gt;"Yes","",IFERROR(CHOOSE(MATCH(INPUTS!$L$94,LISTS!$R$5:$R$10,0),INPUTS!$B$242,INPUTS!$B$276,INPUTS!$B$310,INPUTS!$B$344,INPUTS!$B$378,INPUTS!$B$412),"")&amp;"")</f>
        <v/>
      </c>
      <c r="C235" s="122" t="str">
        <f aca="false">IF(INPUTS!$E$94&lt;&gt;"Yes","",IFERROR(CHOOSE(MATCH(INPUTS!$L$94,LISTS!$R$5:$R$10,0),INPUTS!$C$242,INPUTS!$C$276,INPUTS!$C$310,INPUTS!$C$344,INPUTS!$C$378,INPUTS!$C$412),"")&amp;"")</f>
        <v/>
      </c>
      <c r="D235" s="123" t="n">
        <f aca="false">IF(INPUTS!$E$94&lt;&gt;"Yes",0,N(IFERROR(CHOOSE(MATCH(INPUTS!$L$94,LISTS!$R$5:$R$10,0),INPUTS!$D$242,INPUTS!$D$276,INPUTS!$D$310,INPUTS!$D$344,INPUTS!$D$378,INPUTS!$D$412),"")))</f>
        <v>0</v>
      </c>
      <c r="E235" s="124" t="n">
        <f aca="false">IF(INPUTS!$E$94&lt;&gt;"Yes",0,N(IFERROR(CHOOSE(MATCH(INPUTS!$L$94,LISTS!$R$5:$R$10,0),INPUTS!$E$242,INPUTS!$E$276,INPUTS!$E$310,INPUTS!$E$344,INPUTS!$E$378,INPUTS!$E$412),"")))</f>
        <v>0</v>
      </c>
      <c r="F235" s="125" t="str">
        <f aca="false">IF(AND(C235="Construction % complete",E235&gt;0),MAX(COUNTIF(CURVES!$D$77:$AQ$77,"&lt;"&amp;(D235-0.000000001))+1,INPUTS!$R$94),"")</f>
        <v/>
      </c>
      <c r="G235" s="126" t="str">
        <f aca="false">IF(E235=0,"",IF(C235="Booking + quarters",IF(D235=0,"at booking",D235&amp;" qtr(s) after booking"),IF(F235&gt;INPUTS!$C$24,"NOT REACHED in model","construction "&amp;TEXT(D235,"0%")&amp;" reached in Q"&amp;F235)))</f>
        <v/>
      </c>
      <c r="H235" s="126"/>
      <c r="I235" s="126"/>
      <c r="J235" s="126"/>
      <c r="K235" s="126"/>
      <c r="L235" s="126"/>
    </row>
    <row r="236" customFormat="false" ht="15" hidden="false" customHeight="false" outlineLevel="0" collapsed="false">
      <c r="B236" s="121" t="str">
        <f aca="false">IF(INPUTS!$E$94&lt;&gt;"Yes","",IFERROR(CHOOSE(MATCH(INPUTS!$L$94,LISTS!$R$5:$R$10,0),INPUTS!$B$243,INPUTS!$B$277,INPUTS!$B$311,INPUTS!$B$345,INPUTS!$B$379,INPUTS!$B$413),"")&amp;"")</f>
        <v/>
      </c>
      <c r="C236" s="122" t="str">
        <f aca="false">IF(INPUTS!$E$94&lt;&gt;"Yes","",IFERROR(CHOOSE(MATCH(INPUTS!$L$94,LISTS!$R$5:$R$10,0),INPUTS!$C$243,INPUTS!$C$277,INPUTS!$C$311,INPUTS!$C$345,INPUTS!$C$379,INPUTS!$C$413),"")&amp;"")</f>
        <v/>
      </c>
      <c r="D236" s="123" t="n">
        <f aca="false">IF(INPUTS!$E$94&lt;&gt;"Yes",0,N(IFERROR(CHOOSE(MATCH(INPUTS!$L$94,LISTS!$R$5:$R$10,0),INPUTS!$D$243,INPUTS!$D$277,INPUTS!$D$311,INPUTS!$D$345,INPUTS!$D$379,INPUTS!$D$413),"")))</f>
        <v>0</v>
      </c>
      <c r="E236" s="124" t="n">
        <f aca="false">IF(INPUTS!$E$94&lt;&gt;"Yes",0,N(IFERROR(CHOOSE(MATCH(INPUTS!$L$94,LISTS!$R$5:$R$10,0),INPUTS!$E$243,INPUTS!$E$277,INPUTS!$E$311,INPUTS!$E$345,INPUTS!$E$379,INPUTS!$E$413),"")))</f>
        <v>0</v>
      </c>
      <c r="F236" s="125" t="str">
        <f aca="false">IF(AND(C236="Construction % complete",E236&gt;0),MAX(COUNTIF(CURVES!$D$77:$AQ$77,"&lt;"&amp;(D236-0.000000001))+1,INPUTS!$R$94),"")</f>
        <v/>
      </c>
      <c r="G236" s="126" t="str">
        <f aca="false">IF(E236=0,"",IF(C236="Booking + quarters",IF(D236=0,"at booking",D236&amp;" qtr(s) after booking"),IF(F236&gt;INPUTS!$C$24,"NOT REACHED in model","construction "&amp;TEXT(D236,"0%")&amp;" reached in Q"&amp;F236)))</f>
        <v/>
      </c>
      <c r="H236" s="126"/>
      <c r="I236" s="126"/>
      <c r="J236" s="126"/>
      <c r="K236" s="126"/>
      <c r="L236" s="126"/>
    </row>
    <row r="237" customFormat="false" ht="15" hidden="false" customHeight="false" outlineLevel="0" collapsed="false">
      <c r="B237" s="121" t="str">
        <f aca="false">IF(INPUTS!$E$94&lt;&gt;"Yes","",IFERROR(CHOOSE(MATCH(INPUTS!$L$94,LISTS!$R$5:$R$10,0),INPUTS!$B$244,INPUTS!$B$278,INPUTS!$B$312,INPUTS!$B$346,INPUTS!$B$380,INPUTS!$B$414),"")&amp;"")</f>
        <v/>
      </c>
      <c r="C237" s="122" t="str">
        <f aca="false">IF(INPUTS!$E$94&lt;&gt;"Yes","",IFERROR(CHOOSE(MATCH(INPUTS!$L$94,LISTS!$R$5:$R$10,0),INPUTS!$C$244,INPUTS!$C$278,INPUTS!$C$312,INPUTS!$C$346,INPUTS!$C$380,INPUTS!$C$414),"")&amp;"")</f>
        <v/>
      </c>
      <c r="D237" s="123" t="n">
        <f aca="false">IF(INPUTS!$E$94&lt;&gt;"Yes",0,N(IFERROR(CHOOSE(MATCH(INPUTS!$L$94,LISTS!$R$5:$R$10,0),INPUTS!$D$244,INPUTS!$D$278,INPUTS!$D$312,INPUTS!$D$346,INPUTS!$D$380,INPUTS!$D$414),"")))</f>
        <v>0</v>
      </c>
      <c r="E237" s="124" t="n">
        <f aca="false">IF(INPUTS!$E$94&lt;&gt;"Yes",0,N(IFERROR(CHOOSE(MATCH(INPUTS!$L$94,LISTS!$R$5:$R$10,0),INPUTS!$E$244,INPUTS!$E$278,INPUTS!$E$312,INPUTS!$E$346,INPUTS!$E$380,INPUTS!$E$414),"")))</f>
        <v>0</v>
      </c>
      <c r="F237" s="125" t="str">
        <f aca="false">IF(AND(C237="Construction % complete",E237&gt;0),MAX(COUNTIF(CURVES!$D$77:$AQ$77,"&lt;"&amp;(D237-0.000000001))+1,INPUTS!$R$94),"")</f>
        <v/>
      </c>
      <c r="G237" s="126" t="str">
        <f aca="false">IF(E237=0,"",IF(C237="Booking + quarters",IF(D237=0,"at booking",D237&amp;" qtr(s) after booking"),IF(F237&gt;INPUTS!$C$24,"NOT REACHED in model","construction "&amp;TEXT(D237,"0%")&amp;" reached in Q"&amp;F237)))</f>
        <v/>
      </c>
      <c r="H237" s="126"/>
      <c r="I237" s="126"/>
      <c r="J237" s="126"/>
      <c r="K237" s="126"/>
      <c r="L237" s="126"/>
    </row>
    <row r="238" customFormat="false" ht="15" hidden="false" customHeight="false" outlineLevel="0" collapsed="false">
      <c r="B238" s="121" t="str">
        <f aca="false">IF(INPUTS!$E$94&lt;&gt;"Yes","",IFERROR(CHOOSE(MATCH(INPUTS!$L$94,LISTS!$R$5:$R$10,0),INPUTS!$B$245,INPUTS!$B$279,INPUTS!$B$313,INPUTS!$B$347,INPUTS!$B$381,INPUTS!$B$415),"")&amp;"")</f>
        <v/>
      </c>
      <c r="C238" s="122" t="str">
        <f aca="false">IF(INPUTS!$E$94&lt;&gt;"Yes","",IFERROR(CHOOSE(MATCH(INPUTS!$L$94,LISTS!$R$5:$R$10,0),INPUTS!$C$245,INPUTS!$C$279,INPUTS!$C$313,INPUTS!$C$347,INPUTS!$C$381,INPUTS!$C$415),"")&amp;"")</f>
        <v/>
      </c>
      <c r="D238" s="123" t="n">
        <f aca="false">IF(INPUTS!$E$94&lt;&gt;"Yes",0,N(IFERROR(CHOOSE(MATCH(INPUTS!$L$94,LISTS!$R$5:$R$10,0),INPUTS!$D$245,INPUTS!$D$279,INPUTS!$D$313,INPUTS!$D$347,INPUTS!$D$381,INPUTS!$D$415),"")))</f>
        <v>0</v>
      </c>
      <c r="E238" s="124" t="n">
        <f aca="false">IF(INPUTS!$E$94&lt;&gt;"Yes",0,N(IFERROR(CHOOSE(MATCH(INPUTS!$L$94,LISTS!$R$5:$R$10,0),INPUTS!$E$245,INPUTS!$E$279,INPUTS!$E$313,INPUTS!$E$347,INPUTS!$E$381,INPUTS!$E$415),"")))</f>
        <v>0</v>
      </c>
      <c r="F238" s="125" t="str">
        <f aca="false">IF(AND(C238="Construction % complete",E238&gt;0),MAX(COUNTIF(CURVES!$D$77:$AQ$77,"&lt;"&amp;(D238-0.000000001))+1,INPUTS!$R$94),"")</f>
        <v/>
      </c>
      <c r="G238" s="126" t="str">
        <f aca="false">IF(E238=0,"",IF(C238="Booking + quarters",IF(D238=0,"at booking",D238&amp;" qtr(s) after booking"),IF(F238&gt;INPUTS!$C$24,"NOT REACHED in model","construction "&amp;TEXT(D238,"0%")&amp;" reached in Q"&amp;F238)))</f>
        <v/>
      </c>
      <c r="H238" s="126"/>
      <c r="I238" s="126"/>
      <c r="J238" s="126"/>
      <c r="K238" s="126"/>
      <c r="L238" s="126"/>
    </row>
    <row r="239" customFormat="false" ht="15" hidden="false" customHeight="false" outlineLevel="0" collapsed="false">
      <c r="B239" s="121" t="str">
        <f aca="false">IF(INPUTS!$E$94&lt;&gt;"Yes","",IFERROR(CHOOSE(MATCH(INPUTS!$L$94,LISTS!$R$5:$R$10,0),INPUTS!$B$246,INPUTS!$B$280,INPUTS!$B$314,INPUTS!$B$348,INPUTS!$B$382,INPUTS!$B$416),"")&amp;"")</f>
        <v/>
      </c>
      <c r="C239" s="122" t="str">
        <f aca="false">IF(INPUTS!$E$94&lt;&gt;"Yes","",IFERROR(CHOOSE(MATCH(INPUTS!$L$94,LISTS!$R$5:$R$10,0),INPUTS!$C$246,INPUTS!$C$280,INPUTS!$C$314,INPUTS!$C$348,INPUTS!$C$382,INPUTS!$C$416),"")&amp;"")</f>
        <v/>
      </c>
      <c r="D239" s="123" t="n">
        <f aca="false">IF(INPUTS!$E$94&lt;&gt;"Yes",0,N(IFERROR(CHOOSE(MATCH(INPUTS!$L$94,LISTS!$R$5:$R$10,0),INPUTS!$D$246,INPUTS!$D$280,INPUTS!$D$314,INPUTS!$D$348,INPUTS!$D$382,INPUTS!$D$416),"")))</f>
        <v>0</v>
      </c>
      <c r="E239" s="124" t="n">
        <f aca="false">IF(INPUTS!$E$94&lt;&gt;"Yes",0,N(IFERROR(CHOOSE(MATCH(INPUTS!$L$94,LISTS!$R$5:$R$10,0),INPUTS!$E$246,INPUTS!$E$280,INPUTS!$E$314,INPUTS!$E$348,INPUTS!$E$382,INPUTS!$E$416),"")))</f>
        <v>0</v>
      </c>
      <c r="F239" s="125" t="str">
        <f aca="false">IF(AND(C239="Construction % complete",E239&gt;0),MAX(COUNTIF(CURVES!$D$77:$AQ$77,"&lt;"&amp;(D239-0.000000001))+1,INPUTS!$R$94),"")</f>
        <v/>
      </c>
      <c r="G239" s="126" t="str">
        <f aca="false">IF(E239=0,"",IF(C239="Booking + quarters",IF(D239=0,"at booking",D239&amp;" qtr(s) after booking"),IF(F239&gt;INPUTS!$C$24,"NOT REACHED in model","construction "&amp;TEXT(D239,"0%")&amp;" reached in Q"&amp;F239)))</f>
        <v/>
      </c>
      <c r="H239" s="126"/>
      <c r="I239" s="126"/>
      <c r="J239" s="126"/>
      <c r="K239" s="126"/>
      <c r="L239" s="126"/>
    </row>
    <row r="240" customFormat="false" ht="15" hidden="false" customHeight="false" outlineLevel="0" collapsed="false">
      <c r="B240" s="121" t="str">
        <f aca="false">IF(INPUTS!$E$94&lt;&gt;"Yes","",IFERROR(CHOOSE(MATCH(INPUTS!$L$94,LISTS!$R$5:$R$10,0),INPUTS!$B$247,INPUTS!$B$281,INPUTS!$B$315,INPUTS!$B$349,INPUTS!$B$383,INPUTS!$B$417),"")&amp;"")</f>
        <v/>
      </c>
      <c r="C240" s="122" t="str">
        <f aca="false">IF(INPUTS!$E$94&lt;&gt;"Yes","",IFERROR(CHOOSE(MATCH(INPUTS!$L$94,LISTS!$R$5:$R$10,0),INPUTS!$C$247,INPUTS!$C$281,INPUTS!$C$315,INPUTS!$C$349,INPUTS!$C$383,INPUTS!$C$417),"")&amp;"")</f>
        <v/>
      </c>
      <c r="D240" s="123" t="n">
        <f aca="false">IF(INPUTS!$E$94&lt;&gt;"Yes",0,N(IFERROR(CHOOSE(MATCH(INPUTS!$L$94,LISTS!$R$5:$R$10,0),INPUTS!$D$247,INPUTS!$D$281,INPUTS!$D$315,INPUTS!$D$349,INPUTS!$D$383,INPUTS!$D$417),"")))</f>
        <v>0</v>
      </c>
      <c r="E240" s="124" t="n">
        <f aca="false">IF(INPUTS!$E$94&lt;&gt;"Yes",0,N(IFERROR(CHOOSE(MATCH(INPUTS!$L$94,LISTS!$R$5:$R$10,0),INPUTS!$E$247,INPUTS!$E$281,INPUTS!$E$315,INPUTS!$E$349,INPUTS!$E$383,INPUTS!$E$417),"")))</f>
        <v>0</v>
      </c>
      <c r="F240" s="125" t="str">
        <f aca="false">IF(AND(C240="Construction % complete",E240&gt;0),MAX(COUNTIF(CURVES!$D$77:$AQ$77,"&lt;"&amp;(D240-0.000000001))+1,INPUTS!$R$94),"")</f>
        <v/>
      </c>
      <c r="G240" s="126" t="str">
        <f aca="false">IF(E240=0,"",IF(C240="Booking + quarters",IF(D240=0,"at booking",D240&amp;" qtr(s) after booking"),IF(F240&gt;INPUTS!$C$24,"NOT REACHED in model","construction "&amp;TEXT(D240,"0%")&amp;" reached in Q"&amp;F240)))</f>
        <v/>
      </c>
      <c r="H240" s="126"/>
      <c r="I240" s="126"/>
      <c r="J240" s="126"/>
      <c r="K240" s="126"/>
      <c r="L240" s="126"/>
    </row>
    <row r="241" customFormat="false" ht="15" hidden="false" customHeight="false" outlineLevel="0" collapsed="false">
      <c r="B241" s="121" t="str">
        <f aca="false">IF(INPUTS!$E$94&lt;&gt;"Yes","",IFERROR(CHOOSE(MATCH(INPUTS!$L$94,LISTS!$R$5:$R$10,0),INPUTS!$B$248,INPUTS!$B$282,INPUTS!$B$316,INPUTS!$B$350,INPUTS!$B$384,INPUTS!$B$418),"")&amp;"")</f>
        <v/>
      </c>
      <c r="C241" s="122" t="str">
        <f aca="false">IF(INPUTS!$E$94&lt;&gt;"Yes","",IFERROR(CHOOSE(MATCH(INPUTS!$L$94,LISTS!$R$5:$R$10,0),INPUTS!$C$248,INPUTS!$C$282,INPUTS!$C$316,INPUTS!$C$350,INPUTS!$C$384,INPUTS!$C$418),"")&amp;"")</f>
        <v/>
      </c>
      <c r="D241" s="123" t="n">
        <f aca="false">IF(INPUTS!$E$94&lt;&gt;"Yes",0,N(IFERROR(CHOOSE(MATCH(INPUTS!$L$94,LISTS!$R$5:$R$10,0),INPUTS!$D$248,INPUTS!$D$282,INPUTS!$D$316,INPUTS!$D$350,INPUTS!$D$384,INPUTS!$D$418),"")))</f>
        <v>0</v>
      </c>
      <c r="E241" s="124" t="n">
        <f aca="false">IF(INPUTS!$E$94&lt;&gt;"Yes",0,N(IFERROR(CHOOSE(MATCH(INPUTS!$L$94,LISTS!$R$5:$R$10,0),INPUTS!$E$248,INPUTS!$E$282,INPUTS!$E$316,INPUTS!$E$350,INPUTS!$E$384,INPUTS!$E$418),"")))</f>
        <v>0</v>
      </c>
      <c r="F241" s="125" t="str">
        <f aca="false">IF(AND(C241="Construction % complete",E241&gt;0),MAX(COUNTIF(CURVES!$D$77:$AQ$77,"&lt;"&amp;(D241-0.000000001))+1,INPUTS!$R$94),"")</f>
        <v/>
      </c>
      <c r="G241" s="126" t="str">
        <f aca="false">IF(E241=0,"",IF(C241="Booking + quarters",IF(D241=0,"at booking",D241&amp;" qtr(s) after booking"),IF(F241&gt;INPUTS!$C$24,"NOT REACHED in model","construction "&amp;TEXT(D241,"0%")&amp;" reached in Q"&amp;F241)))</f>
        <v/>
      </c>
      <c r="H241" s="126"/>
      <c r="I241" s="126"/>
      <c r="J241" s="126"/>
      <c r="K241" s="126"/>
      <c r="L241" s="126"/>
    </row>
    <row r="242" customFormat="false" ht="15" hidden="false" customHeight="false" outlineLevel="0" collapsed="false">
      <c r="B242" s="127" t="s">
        <v>708</v>
      </c>
      <c r="D242" s="128" t="n">
        <f aca="false">SUMIFS($E$212:$E$241,$C$212:$C$241,"Booking + quarters",$D$212:$D$241,0)</f>
        <v>0</v>
      </c>
      <c r="E242" s="128" t="n">
        <f aca="false">SUMIFS($E$212:$E$241,$C$212:$C$241,"Booking + quarters",$D$212:$D$241,1)</f>
        <v>0</v>
      </c>
      <c r="F242" s="128" t="n">
        <f aca="false">SUMIFS($E$212:$E$241,$C$212:$C$241,"Booking + quarters",$D$212:$D$241,2)</f>
        <v>0</v>
      </c>
      <c r="G242" s="128" t="n">
        <f aca="false">SUMIFS($E$212:$E$241,$C$212:$C$241,"Booking + quarters",$D$212:$D$241,3)</f>
        <v>0</v>
      </c>
      <c r="H242" s="128" t="n">
        <f aca="false">SUMIFS($E$212:$E$241,$C$212:$C$241,"Booking + quarters",$D$212:$D$241,4)</f>
        <v>0</v>
      </c>
      <c r="I242" s="128" t="n">
        <f aca="false">SUMIFS($E$212:$E$241,$C$212:$C$241,"Booking + quarters",$D$212:$D$241,5)</f>
        <v>0</v>
      </c>
      <c r="J242" s="128" t="n">
        <f aca="false">SUMIFS($E$212:$E$241,$C$212:$C$241,"Booking + quarters",$D$212:$D$241,6)</f>
        <v>0</v>
      </c>
      <c r="K242" s="128" t="n">
        <f aca="false">SUMIFS($E$212:$E$241,$C$212:$C$241,"Booking + quarters",$D$212:$D$241,7)</f>
        <v>0</v>
      </c>
      <c r="L242" s="128" t="n">
        <f aca="false">SUMIFS($E$212:$E$241,$C$212:$C$241,"Booking + quarters",$D$212:$D$241,8)</f>
        <v>0</v>
      </c>
      <c r="M242" s="128" t="n">
        <f aca="false">SUMIFS($E$212:$E$241,$C$212:$C$241,"Booking + quarters",$D$212:$D$241,9)</f>
        <v>0</v>
      </c>
      <c r="N242" s="128" t="n">
        <f aca="false">SUMIFS($E$212:$E$241,$C$212:$C$241,"Booking + quarters",$D$212:$D$241,10)</f>
        <v>0</v>
      </c>
      <c r="O242" s="128" t="n">
        <f aca="false">SUMIFS($E$212:$E$241,$C$212:$C$241,"Booking + quarters",$D$212:$D$241,11)</f>
        <v>0</v>
      </c>
      <c r="P242" s="128" t="n">
        <f aca="false">SUMIFS($E$212:$E$241,$C$212:$C$241,"Booking + quarters",$D$212:$D$241,12)</f>
        <v>0</v>
      </c>
    </row>
    <row r="243" customFormat="false" ht="15" hidden="false" customHeight="false" outlineLevel="0" collapsed="false">
      <c r="B243" s="127" t="s">
        <v>709</v>
      </c>
      <c r="C243" s="105" t="str">
        <f aca="false">IF(INPUTS!$E$94&lt;&gt;"Yes","Off",IF(ABS(SUM($E$212:$E$241)-1)&lt;0.000001,"OK","ERROR"))</f>
        <v>Off</v>
      </c>
    </row>
    <row r="244" customFormat="false" ht="15" hidden="false" customHeight="false" outlineLevel="0" collapsed="false">
      <c r="B244" s="110" t="str">
        <f aca="false">IF(INPUTS!$E$95="Yes",INPUTS!$B$95&amp;"   →   "&amp;INPUTS!$L$95,"Product row 8 (off)")</f>
        <v>Product row 8 (off)</v>
      </c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</row>
    <row r="245" customFormat="false" ht="15" hidden="false" customHeight="false" outlineLevel="0" collapsed="false">
      <c r="B245" s="121" t="str">
        <f aca="false">IF(INPUTS!$E$95&lt;&gt;"Yes","",IFERROR(CHOOSE(MATCH(INPUTS!$L$95,LISTS!$R$5:$R$10,0),INPUTS!$B$219,INPUTS!$B$253,INPUTS!$B$287,INPUTS!$B$321,INPUTS!$B$355,INPUTS!$B$389),"")&amp;"")</f>
        <v/>
      </c>
      <c r="C245" s="122" t="str">
        <f aca="false">IF(INPUTS!$E$95&lt;&gt;"Yes","",IFERROR(CHOOSE(MATCH(INPUTS!$L$95,LISTS!$R$5:$R$10,0),INPUTS!$C$219,INPUTS!$C$253,INPUTS!$C$287,INPUTS!$C$321,INPUTS!$C$355,INPUTS!$C$389),"")&amp;"")</f>
        <v/>
      </c>
      <c r="D245" s="123" t="n">
        <f aca="false">IF(INPUTS!$E$95&lt;&gt;"Yes",0,N(IFERROR(CHOOSE(MATCH(INPUTS!$L$95,LISTS!$R$5:$R$10,0),INPUTS!$D$219,INPUTS!$D$253,INPUTS!$D$287,INPUTS!$D$321,INPUTS!$D$355,INPUTS!$D$389),"")))</f>
        <v>0</v>
      </c>
      <c r="E245" s="124" t="n">
        <f aca="false">IF(INPUTS!$E$95&lt;&gt;"Yes",0,N(IFERROR(CHOOSE(MATCH(INPUTS!$L$95,LISTS!$R$5:$R$10,0),INPUTS!$E$219,INPUTS!$E$253,INPUTS!$E$287,INPUTS!$E$321,INPUTS!$E$355,INPUTS!$E$389),"")))</f>
        <v>0</v>
      </c>
      <c r="F245" s="125" t="str">
        <f aca="false">IF(AND(C245="Construction % complete",E245&gt;0),MAX(COUNTIF(CURVES!$D$83:$AQ$83,"&lt;"&amp;(D245-0.000000001))+1,INPUTS!$R$95),"")</f>
        <v/>
      </c>
      <c r="G245" s="126" t="str">
        <f aca="false">IF(E245=0,"",IF(C245="Booking + quarters",IF(D245=0,"at booking",D245&amp;" qtr(s) after booking"),IF(F245&gt;INPUTS!$C$24,"NOT REACHED in model","construction "&amp;TEXT(D245,"0%")&amp;" reached in Q"&amp;F245)))</f>
        <v/>
      </c>
      <c r="H245" s="126"/>
      <c r="I245" s="126"/>
      <c r="J245" s="126"/>
      <c r="K245" s="126"/>
      <c r="L245" s="126"/>
    </row>
    <row r="246" customFormat="false" ht="15" hidden="false" customHeight="false" outlineLevel="0" collapsed="false">
      <c r="B246" s="121" t="str">
        <f aca="false">IF(INPUTS!$E$95&lt;&gt;"Yes","",IFERROR(CHOOSE(MATCH(INPUTS!$L$95,LISTS!$R$5:$R$10,0),INPUTS!$B$220,INPUTS!$B$254,INPUTS!$B$288,INPUTS!$B$322,INPUTS!$B$356,INPUTS!$B$390),"")&amp;"")</f>
        <v/>
      </c>
      <c r="C246" s="122" t="str">
        <f aca="false">IF(INPUTS!$E$95&lt;&gt;"Yes","",IFERROR(CHOOSE(MATCH(INPUTS!$L$95,LISTS!$R$5:$R$10,0),INPUTS!$C$220,INPUTS!$C$254,INPUTS!$C$288,INPUTS!$C$322,INPUTS!$C$356,INPUTS!$C$390),"")&amp;"")</f>
        <v/>
      </c>
      <c r="D246" s="123" t="n">
        <f aca="false">IF(INPUTS!$E$95&lt;&gt;"Yes",0,N(IFERROR(CHOOSE(MATCH(INPUTS!$L$95,LISTS!$R$5:$R$10,0),INPUTS!$D$220,INPUTS!$D$254,INPUTS!$D$288,INPUTS!$D$322,INPUTS!$D$356,INPUTS!$D$390),"")))</f>
        <v>0</v>
      </c>
      <c r="E246" s="124" t="n">
        <f aca="false">IF(INPUTS!$E$95&lt;&gt;"Yes",0,N(IFERROR(CHOOSE(MATCH(INPUTS!$L$95,LISTS!$R$5:$R$10,0),INPUTS!$E$220,INPUTS!$E$254,INPUTS!$E$288,INPUTS!$E$322,INPUTS!$E$356,INPUTS!$E$390),"")))</f>
        <v>0</v>
      </c>
      <c r="F246" s="125" t="str">
        <f aca="false">IF(AND(C246="Construction % complete",E246&gt;0),MAX(COUNTIF(CURVES!$D$83:$AQ$83,"&lt;"&amp;(D246-0.000000001))+1,INPUTS!$R$95),"")</f>
        <v/>
      </c>
      <c r="G246" s="126" t="str">
        <f aca="false">IF(E246=0,"",IF(C246="Booking + quarters",IF(D246=0,"at booking",D246&amp;" qtr(s) after booking"),IF(F246&gt;INPUTS!$C$24,"NOT REACHED in model","construction "&amp;TEXT(D246,"0%")&amp;" reached in Q"&amp;F246)))</f>
        <v/>
      </c>
      <c r="H246" s="126"/>
      <c r="I246" s="126"/>
      <c r="J246" s="126"/>
      <c r="K246" s="126"/>
      <c r="L246" s="126"/>
    </row>
    <row r="247" customFormat="false" ht="15" hidden="false" customHeight="false" outlineLevel="0" collapsed="false">
      <c r="B247" s="121" t="str">
        <f aca="false">IF(INPUTS!$E$95&lt;&gt;"Yes","",IFERROR(CHOOSE(MATCH(INPUTS!$L$95,LISTS!$R$5:$R$10,0),INPUTS!$B$221,INPUTS!$B$255,INPUTS!$B$289,INPUTS!$B$323,INPUTS!$B$357,INPUTS!$B$391),"")&amp;"")</f>
        <v/>
      </c>
      <c r="C247" s="122" t="str">
        <f aca="false">IF(INPUTS!$E$95&lt;&gt;"Yes","",IFERROR(CHOOSE(MATCH(INPUTS!$L$95,LISTS!$R$5:$R$10,0),INPUTS!$C$221,INPUTS!$C$255,INPUTS!$C$289,INPUTS!$C$323,INPUTS!$C$357,INPUTS!$C$391),"")&amp;"")</f>
        <v/>
      </c>
      <c r="D247" s="123" t="n">
        <f aca="false">IF(INPUTS!$E$95&lt;&gt;"Yes",0,N(IFERROR(CHOOSE(MATCH(INPUTS!$L$95,LISTS!$R$5:$R$10,0),INPUTS!$D$221,INPUTS!$D$255,INPUTS!$D$289,INPUTS!$D$323,INPUTS!$D$357,INPUTS!$D$391),"")))</f>
        <v>0</v>
      </c>
      <c r="E247" s="124" t="n">
        <f aca="false">IF(INPUTS!$E$95&lt;&gt;"Yes",0,N(IFERROR(CHOOSE(MATCH(INPUTS!$L$95,LISTS!$R$5:$R$10,0),INPUTS!$E$221,INPUTS!$E$255,INPUTS!$E$289,INPUTS!$E$323,INPUTS!$E$357,INPUTS!$E$391),"")))</f>
        <v>0</v>
      </c>
      <c r="F247" s="125" t="str">
        <f aca="false">IF(AND(C247="Construction % complete",E247&gt;0),MAX(COUNTIF(CURVES!$D$83:$AQ$83,"&lt;"&amp;(D247-0.000000001))+1,INPUTS!$R$95),"")</f>
        <v/>
      </c>
      <c r="G247" s="126" t="str">
        <f aca="false">IF(E247=0,"",IF(C247="Booking + quarters",IF(D247=0,"at booking",D247&amp;" qtr(s) after booking"),IF(F247&gt;INPUTS!$C$24,"NOT REACHED in model","construction "&amp;TEXT(D247,"0%")&amp;" reached in Q"&amp;F247)))</f>
        <v/>
      </c>
      <c r="H247" s="126"/>
      <c r="I247" s="126"/>
      <c r="J247" s="126"/>
      <c r="K247" s="126"/>
      <c r="L247" s="126"/>
    </row>
    <row r="248" customFormat="false" ht="15" hidden="false" customHeight="false" outlineLevel="0" collapsed="false">
      <c r="B248" s="121" t="str">
        <f aca="false">IF(INPUTS!$E$95&lt;&gt;"Yes","",IFERROR(CHOOSE(MATCH(INPUTS!$L$95,LISTS!$R$5:$R$10,0),INPUTS!$B$222,INPUTS!$B$256,INPUTS!$B$290,INPUTS!$B$324,INPUTS!$B$358,INPUTS!$B$392),"")&amp;"")</f>
        <v/>
      </c>
      <c r="C248" s="122" t="str">
        <f aca="false">IF(INPUTS!$E$95&lt;&gt;"Yes","",IFERROR(CHOOSE(MATCH(INPUTS!$L$95,LISTS!$R$5:$R$10,0),INPUTS!$C$222,INPUTS!$C$256,INPUTS!$C$290,INPUTS!$C$324,INPUTS!$C$358,INPUTS!$C$392),"")&amp;"")</f>
        <v/>
      </c>
      <c r="D248" s="123" t="n">
        <f aca="false">IF(INPUTS!$E$95&lt;&gt;"Yes",0,N(IFERROR(CHOOSE(MATCH(INPUTS!$L$95,LISTS!$R$5:$R$10,0),INPUTS!$D$222,INPUTS!$D$256,INPUTS!$D$290,INPUTS!$D$324,INPUTS!$D$358,INPUTS!$D$392),"")))</f>
        <v>0</v>
      </c>
      <c r="E248" s="124" t="n">
        <f aca="false">IF(INPUTS!$E$95&lt;&gt;"Yes",0,N(IFERROR(CHOOSE(MATCH(INPUTS!$L$95,LISTS!$R$5:$R$10,0),INPUTS!$E$222,INPUTS!$E$256,INPUTS!$E$290,INPUTS!$E$324,INPUTS!$E$358,INPUTS!$E$392),"")))</f>
        <v>0</v>
      </c>
      <c r="F248" s="125" t="str">
        <f aca="false">IF(AND(C248="Construction % complete",E248&gt;0),MAX(COUNTIF(CURVES!$D$83:$AQ$83,"&lt;"&amp;(D248-0.000000001))+1,INPUTS!$R$95),"")</f>
        <v/>
      </c>
      <c r="G248" s="126" t="str">
        <f aca="false">IF(E248=0,"",IF(C248="Booking + quarters",IF(D248=0,"at booking",D248&amp;" qtr(s) after booking"),IF(F248&gt;INPUTS!$C$24,"NOT REACHED in model","construction "&amp;TEXT(D248,"0%")&amp;" reached in Q"&amp;F248)))</f>
        <v/>
      </c>
      <c r="H248" s="126"/>
      <c r="I248" s="126"/>
      <c r="J248" s="126"/>
      <c r="K248" s="126"/>
      <c r="L248" s="126"/>
    </row>
    <row r="249" customFormat="false" ht="15" hidden="false" customHeight="false" outlineLevel="0" collapsed="false">
      <c r="B249" s="121" t="str">
        <f aca="false">IF(INPUTS!$E$95&lt;&gt;"Yes","",IFERROR(CHOOSE(MATCH(INPUTS!$L$95,LISTS!$R$5:$R$10,0),INPUTS!$B$223,INPUTS!$B$257,INPUTS!$B$291,INPUTS!$B$325,INPUTS!$B$359,INPUTS!$B$393),"")&amp;"")</f>
        <v/>
      </c>
      <c r="C249" s="122" t="str">
        <f aca="false">IF(INPUTS!$E$95&lt;&gt;"Yes","",IFERROR(CHOOSE(MATCH(INPUTS!$L$95,LISTS!$R$5:$R$10,0),INPUTS!$C$223,INPUTS!$C$257,INPUTS!$C$291,INPUTS!$C$325,INPUTS!$C$359,INPUTS!$C$393),"")&amp;"")</f>
        <v/>
      </c>
      <c r="D249" s="123" t="n">
        <f aca="false">IF(INPUTS!$E$95&lt;&gt;"Yes",0,N(IFERROR(CHOOSE(MATCH(INPUTS!$L$95,LISTS!$R$5:$R$10,0),INPUTS!$D$223,INPUTS!$D$257,INPUTS!$D$291,INPUTS!$D$325,INPUTS!$D$359,INPUTS!$D$393),"")))</f>
        <v>0</v>
      </c>
      <c r="E249" s="124" t="n">
        <f aca="false">IF(INPUTS!$E$95&lt;&gt;"Yes",0,N(IFERROR(CHOOSE(MATCH(INPUTS!$L$95,LISTS!$R$5:$R$10,0),INPUTS!$E$223,INPUTS!$E$257,INPUTS!$E$291,INPUTS!$E$325,INPUTS!$E$359,INPUTS!$E$393),"")))</f>
        <v>0</v>
      </c>
      <c r="F249" s="125" t="str">
        <f aca="false">IF(AND(C249="Construction % complete",E249&gt;0),MAX(COUNTIF(CURVES!$D$83:$AQ$83,"&lt;"&amp;(D249-0.000000001))+1,INPUTS!$R$95),"")</f>
        <v/>
      </c>
      <c r="G249" s="126" t="str">
        <f aca="false">IF(E249=0,"",IF(C249="Booking + quarters",IF(D249=0,"at booking",D249&amp;" qtr(s) after booking"),IF(F249&gt;INPUTS!$C$24,"NOT REACHED in model","construction "&amp;TEXT(D249,"0%")&amp;" reached in Q"&amp;F249)))</f>
        <v/>
      </c>
      <c r="H249" s="126"/>
      <c r="I249" s="126"/>
      <c r="J249" s="126"/>
      <c r="K249" s="126"/>
      <c r="L249" s="126"/>
    </row>
    <row r="250" customFormat="false" ht="15" hidden="false" customHeight="false" outlineLevel="0" collapsed="false">
      <c r="B250" s="121" t="str">
        <f aca="false">IF(INPUTS!$E$95&lt;&gt;"Yes","",IFERROR(CHOOSE(MATCH(INPUTS!$L$95,LISTS!$R$5:$R$10,0),INPUTS!$B$224,INPUTS!$B$258,INPUTS!$B$292,INPUTS!$B$326,INPUTS!$B$360,INPUTS!$B$394),"")&amp;"")</f>
        <v/>
      </c>
      <c r="C250" s="122" t="str">
        <f aca="false">IF(INPUTS!$E$95&lt;&gt;"Yes","",IFERROR(CHOOSE(MATCH(INPUTS!$L$95,LISTS!$R$5:$R$10,0),INPUTS!$C$224,INPUTS!$C$258,INPUTS!$C$292,INPUTS!$C$326,INPUTS!$C$360,INPUTS!$C$394),"")&amp;"")</f>
        <v/>
      </c>
      <c r="D250" s="123" t="n">
        <f aca="false">IF(INPUTS!$E$95&lt;&gt;"Yes",0,N(IFERROR(CHOOSE(MATCH(INPUTS!$L$95,LISTS!$R$5:$R$10,0),INPUTS!$D$224,INPUTS!$D$258,INPUTS!$D$292,INPUTS!$D$326,INPUTS!$D$360,INPUTS!$D$394),"")))</f>
        <v>0</v>
      </c>
      <c r="E250" s="124" t="n">
        <f aca="false">IF(INPUTS!$E$95&lt;&gt;"Yes",0,N(IFERROR(CHOOSE(MATCH(INPUTS!$L$95,LISTS!$R$5:$R$10,0),INPUTS!$E$224,INPUTS!$E$258,INPUTS!$E$292,INPUTS!$E$326,INPUTS!$E$360,INPUTS!$E$394),"")))</f>
        <v>0</v>
      </c>
      <c r="F250" s="125" t="str">
        <f aca="false">IF(AND(C250="Construction % complete",E250&gt;0),MAX(COUNTIF(CURVES!$D$83:$AQ$83,"&lt;"&amp;(D250-0.000000001))+1,INPUTS!$R$95),"")</f>
        <v/>
      </c>
      <c r="G250" s="126" t="str">
        <f aca="false">IF(E250=0,"",IF(C250="Booking + quarters",IF(D250=0,"at booking",D250&amp;" qtr(s) after booking"),IF(F250&gt;INPUTS!$C$24,"NOT REACHED in model","construction "&amp;TEXT(D250,"0%")&amp;" reached in Q"&amp;F250)))</f>
        <v/>
      </c>
      <c r="H250" s="126"/>
      <c r="I250" s="126"/>
      <c r="J250" s="126"/>
      <c r="K250" s="126"/>
      <c r="L250" s="126"/>
    </row>
    <row r="251" customFormat="false" ht="15" hidden="false" customHeight="false" outlineLevel="0" collapsed="false">
      <c r="B251" s="121" t="str">
        <f aca="false">IF(INPUTS!$E$95&lt;&gt;"Yes","",IFERROR(CHOOSE(MATCH(INPUTS!$L$95,LISTS!$R$5:$R$10,0),INPUTS!$B$225,INPUTS!$B$259,INPUTS!$B$293,INPUTS!$B$327,INPUTS!$B$361,INPUTS!$B$395),"")&amp;"")</f>
        <v/>
      </c>
      <c r="C251" s="122" t="str">
        <f aca="false">IF(INPUTS!$E$95&lt;&gt;"Yes","",IFERROR(CHOOSE(MATCH(INPUTS!$L$95,LISTS!$R$5:$R$10,0),INPUTS!$C$225,INPUTS!$C$259,INPUTS!$C$293,INPUTS!$C$327,INPUTS!$C$361,INPUTS!$C$395),"")&amp;"")</f>
        <v/>
      </c>
      <c r="D251" s="123" t="n">
        <f aca="false">IF(INPUTS!$E$95&lt;&gt;"Yes",0,N(IFERROR(CHOOSE(MATCH(INPUTS!$L$95,LISTS!$R$5:$R$10,0),INPUTS!$D$225,INPUTS!$D$259,INPUTS!$D$293,INPUTS!$D$327,INPUTS!$D$361,INPUTS!$D$395),"")))</f>
        <v>0</v>
      </c>
      <c r="E251" s="124" t="n">
        <f aca="false">IF(INPUTS!$E$95&lt;&gt;"Yes",0,N(IFERROR(CHOOSE(MATCH(INPUTS!$L$95,LISTS!$R$5:$R$10,0),INPUTS!$E$225,INPUTS!$E$259,INPUTS!$E$293,INPUTS!$E$327,INPUTS!$E$361,INPUTS!$E$395),"")))</f>
        <v>0</v>
      </c>
      <c r="F251" s="125" t="str">
        <f aca="false">IF(AND(C251="Construction % complete",E251&gt;0),MAX(COUNTIF(CURVES!$D$83:$AQ$83,"&lt;"&amp;(D251-0.000000001))+1,INPUTS!$R$95),"")</f>
        <v/>
      </c>
      <c r="G251" s="126" t="str">
        <f aca="false">IF(E251=0,"",IF(C251="Booking + quarters",IF(D251=0,"at booking",D251&amp;" qtr(s) after booking"),IF(F251&gt;INPUTS!$C$24,"NOT REACHED in model","construction "&amp;TEXT(D251,"0%")&amp;" reached in Q"&amp;F251)))</f>
        <v/>
      </c>
      <c r="H251" s="126"/>
      <c r="I251" s="126"/>
      <c r="J251" s="126"/>
      <c r="K251" s="126"/>
      <c r="L251" s="126"/>
    </row>
    <row r="252" customFormat="false" ht="15" hidden="false" customHeight="false" outlineLevel="0" collapsed="false">
      <c r="B252" s="121" t="str">
        <f aca="false">IF(INPUTS!$E$95&lt;&gt;"Yes","",IFERROR(CHOOSE(MATCH(INPUTS!$L$95,LISTS!$R$5:$R$10,0),INPUTS!$B$226,INPUTS!$B$260,INPUTS!$B$294,INPUTS!$B$328,INPUTS!$B$362,INPUTS!$B$396),"")&amp;"")</f>
        <v/>
      </c>
      <c r="C252" s="122" t="str">
        <f aca="false">IF(INPUTS!$E$95&lt;&gt;"Yes","",IFERROR(CHOOSE(MATCH(INPUTS!$L$95,LISTS!$R$5:$R$10,0),INPUTS!$C$226,INPUTS!$C$260,INPUTS!$C$294,INPUTS!$C$328,INPUTS!$C$362,INPUTS!$C$396),"")&amp;"")</f>
        <v/>
      </c>
      <c r="D252" s="123" t="n">
        <f aca="false">IF(INPUTS!$E$95&lt;&gt;"Yes",0,N(IFERROR(CHOOSE(MATCH(INPUTS!$L$95,LISTS!$R$5:$R$10,0),INPUTS!$D$226,INPUTS!$D$260,INPUTS!$D$294,INPUTS!$D$328,INPUTS!$D$362,INPUTS!$D$396),"")))</f>
        <v>0</v>
      </c>
      <c r="E252" s="124" t="n">
        <f aca="false">IF(INPUTS!$E$95&lt;&gt;"Yes",0,N(IFERROR(CHOOSE(MATCH(INPUTS!$L$95,LISTS!$R$5:$R$10,0),INPUTS!$E$226,INPUTS!$E$260,INPUTS!$E$294,INPUTS!$E$328,INPUTS!$E$362,INPUTS!$E$396),"")))</f>
        <v>0</v>
      </c>
      <c r="F252" s="125" t="str">
        <f aca="false">IF(AND(C252="Construction % complete",E252&gt;0),MAX(COUNTIF(CURVES!$D$83:$AQ$83,"&lt;"&amp;(D252-0.000000001))+1,INPUTS!$R$95),"")</f>
        <v/>
      </c>
      <c r="G252" s="126" t="str">
        <f aca="false">IF(E252=0,"",IF(C252="Booking + quarters",IF(D252=0,"at booking",D252&amp;" qtr(s) after booking"),IF(F252&gt;INPUTS!$C$24,"NOT REACHED in model","construction "&amp;TEXT(D252,"0%")&amp;" reached in Q"&amp;F252)))</f>
        <v/>
      </c>
      <c r="H252" s="126"/>
      <c r="I252" s="126"/>
      <c r="J252" s="126"/>
      <c r="K252" s="126"/>
      <c r="L252" s="126"/>
    </row>
    <row r="253" customFormat="false" ht="15" hidden="false" customHeight="false" outlineLevel="0" collapsed="false">
      <c r="B253" s="121" t="str">
        <f aca="false">IF(INPUTS!$E$95&lt;&gt;"Yes","",IFERROR(CHOOSE(MATCH(INPUTS!$L$95,LISTS!$R$5:$R$10,0),INPUTS!$B$227,INPUTS!$B$261,INPUTS!$B$295,INPUTS!$B$329,INPUTS!$B$363,INPUTS!$B$397),"")&amp;"")</f>
        <v/>
      </c>
      <c r="C253" s="122" t="str">
        <f aca="false">IF(INPUTS!$E$95&lt;&gt;"Yes","",IFERROR(CHOOSE(MATCH(INPUTS!$L$95,LISTS!$R$5:$R$10,0),INPUTS!$C$227,INPUTS!$C$261,INPUTS!$C$295,INPUTS!$C$329,INPUTS!$C$363,INPUTS!$C$397),"")&amp;"")</f>
        <v/>
      </c>
      <c r="D253" s="123" t="n">
        <f aca="false">IF(INPUTS!$E$95&lt;&gt;"Yes",0,N(IFERROR(CHOOSE(MATCH(INPUTS!$L$95,LISTS!$R$5:$R$10,0),INPUTS!$D$227,INPUTS!$D$261,INPUTS!$D$295,INPUTS!$D$329,INPUTS!$D$363,INPUTS!$D$397),"")))</f>
        <v>0</v>
      </c>
      <c r="E253" s="124" t="n">
        <f aca="false">IF(INPUTS!$E$95&lt;&gt;"Yes",0,N(IFERROR(CHOOSE(MATCH(INPUTS!$L$95,LISTS!$R$5:$R$10,0),INPUTS!$E$227,INPUTS!$E$261,INPUTS!$E$295,INPUTS!$E$329,INPUTS!$E$363,INPUTS!$E$397),"")))</f>
        <v>0</v>
      </c>
      <c r="F253" s="125" t="str">
        <f aca="false">IF(AND(C253="Construction % complete",E253&gt;0),MAX(COUNTIF(CURVES!$D$83:$AQ$83,"&lt;"&amp;(D253-0.000000001))+1,INPUTS!$R$95),"")</f>
        <v/>
      </c>
      <c r="G253" s="126" t="str">
        <f aca="false">IF(E253=0,"",IF(C253="Booking + quarters",IF(D253=0,"at booking",D253&amp;" qtr(s) after booking"),IF(F253&gt;INPUTS!$C$24,"NOT REACHED in model","construction "&amp;TEXT(D253,"0%")&amp;" reached in Q"&amp;F253)))</f>
        <v/>
      </c>
      <c r="H253" s="126"/>
      <c r="I253" s="126"/>
      <c r="J253" s="126"/>
      <c r="K253" s="126"/>
      <c r="L253" s="126"/>
    </row>
    <row r="254" customFormat="false" ht="15" hidden="false" customHeight="false" outlineLevel="0" collapsed="false">
      <c r="B254" s="121" t="str">
        <f aca="false">IF(INPUTS!$E$95&lt;&gt;"Yes","",IFERROR(CHOOSE(MATCH(INPUTS!$L$95,LISTS!$R$5:$R$10,0),INPUTS!$B$228,INPUTS!$B$262,INPUTS!$B$296,INPUTS!$B$330,INPUTS!$B$364,INPUTS!$B$398),"")&amp;"")</f>
        <v/>
      </c>
      <c r="C254" s="122" t="str">
        <f aca="false">IF(INPUTS!$E$95&lt;&gt;"Yes","",IFERROR(CHOOSE(MATCH(INPUTS!$L$95,LISTS!$R$5:$R$10,0),INPUTS!$C$228,INPUTS!$C$262,INPUTS!$C$296,INPUTS!$C$330,INPUTS!$C$364,INPUTS!$C$398),"")&amp;"")</f>
        <v/>
      </c>
      <c r="D254" s="123" t="n">
        <f aca="false">IF(INPUTS!$E$95&lt;&gt;"Yes",0,N(IFERROR(CHOOSE(MATCH(INPUTS!$L$95,LISTS!$R$5:$R$10,0),INPUTS!$D$228,INPUTS!$D$262,INPUTS!$D$296,INPUTS!$D$330,INPUTS!$D$364,INPUTS!$D$398),"")))</f>
        <v>0</v>
      </c>
      <c r="E254" s="124" t="n">
        <f aca="false">IF(INPUTS!$E$95&lt;&gt;"Yes",0,N(IFERROR(CHOOSE(MATCH(INPUTS!$L$95,LISTS!$R$5:$R$10,0),INPUTS!$E$228,INPUTS!$E$262,INPUTS!$E$296,INPUTS!$E$330,INPUTS!$E$364,INPUTS!$E$398),"")))</f>
        <v>0</v>
      </c>
      <c r="F254" s="125" t="str">
        <f aca="false">IF(AND(C254="Construction % complete",E254&gt;0),MAX(COUNTIF(CURVES!$D$83:$AQ$83,"&lt;"&amp;(D254-0.000000001))+1,INPUTS!$R$95),"")</f>
        <v/>
      </c>
      <c r="G254" s="126" t="str">
        <f aca="false">IF(E254=0,"",IF(C254="Booking + quarters",IF(D254=0,"at booking",D254&amp;" qtr(s) after booking"),IF(F254&gt;INPUTS!$C$24,"NOT REACHED in model","construction "&amp;TEXT(D254,"0%")&amp;" reached in Q"&amp;F254)))</f>
        <v/>
      </c>
      <c r="H254" s="126"/>
      <c r="I254" s="126"/>
      <c r="J254" s="126"/>
      <c r="K254" s="126"/>
      <c r="L254" s="126"/>
    </row>
    <row r="255" customFormat="false" ht="15" hidden="false" customHeight="false" outlineLevel="0" collapsed="false">
      <c r="B255" s="121" t="str">
        <f aca="false">IF(INPUTS!$E$95&lt;&gt;"Yes","",IFERROR(CHOOSE(MATCH(INPUTS!$L$95,LISTS!$R$5:$R$10,0),INPUTS!$B$229,INPUTS!$B$263,INPUTS!$B$297,INPUTS!$B$331,INPUTS!$B$365,INPUTS!$B$399),"")&amp;"")</f>
        <v/>
      </c>
      <c r="C255" s="122" t="str">
        <f aca="false">IF(INPUTS!$E$95&lt;&gt;"Yes","",IFERROR(CHOOSE(MATCH(INPUTS!$L$95,LISTS!$R$5:$R$10,0),INPUTS!$C$229,INPUTS!$C$263,INPUTS!$C$297,INPUTS!$C$331,INPUTS!$C$365,INPUTS!$C$399),"")&amp;"")</f>
        <v/>
      </c>
      <c r="D255" s="123" t="n">
        <f aca="false">IF(INPUTS!$E$95&lt;&gt;"Yes",0,N(IFERROR(CHOOSE(MATCH(INPUTS!$L$95,LISTS!$R$5:$R$10,0),INPUTS!$D$229,INPUTS!$D$263,INPUTS!$D$297,INPUTS!$D$331,INPUTS!$D$365,INPUTS!$D$399),"")))</f>
        <v>0</v>
      </c>
      <c r="E255" s="124" t="n">
        <f aca="false">IF(INPUTS!$E$95&lt;&gt;"Yes",0,N(IFERROR(CHOOSE(MATCH(INPUTS!$L$95,LISTS!$R$5:$R$10,0),INPUTS!$E$229,INPUTS!$E$263,INPUTS!$E$297,INPUTS!$E$331,INPUTS!$E$365,INPUTS!$E$399),"")))</f>
        <v>0</v>
      </c>
      <c r="F255" s="125" t="str">
        <f aca="false">IF(AND(C255="Construction % complete",E255&gt;0),MAX(COUNTIF(CURVES!$D$83:$AQ$83,"&lt;"&amp;(D255-0.000000001))+1,INPUTS!$R$95),"")</f>
        <v/>
      </c>
      <c r="G255" s="126" t="str">
        <f aca="false">IF(E255=0,"",IF(C255="Booking + quarters",IF(D255=0,"at booking",D255&amp;" qtr(s) after booking"),IF(F255&gt;INPUTS!$C$24,"NOT REACHED in model","construction "&amp;TEXT(D255,"0%")&amp;" reached in Q"&amp;F255)))</f>
        <v/>
      </c>
      <c r="H255" s="126"/>
      <c r="I255" s="126"/>
      <c r="J255" s="126"/>
      <c r="K255" s="126"/>
      <c r="L255" s="126"/>
    </row>
    <row r="256" customFormat="false" ht="15" hidden="false" customHeight="false" outlineLevel="0" collapsed="false">
      <c r="B256" s="121" t="str">
        <f aca="false">IF(INPUTS!$E$95&lt;&gt;"Yes","",IFERROR(CHOOSE(MATCH(INPUTS!$L$95,LISTS!$R$5:$R$10,0),INPUTS!$B$230,INPUTS!$B$264,INPUTS!$B$298,INPUTS!$B$332,INPUTS!$B$366,INPUTS!$B$400),"")&amp;"")</f>
        <v/>
      </c>
      <c r="C256" s="122" t="str">
        <f aca="false">IF(INPUTS!$E$95&lt;&gt;"Yes","",IFERROR(CHOOSE(MATCH(INPUTS!$L$95,LISTS!$R$5:$R$10,0),INPUTS!$C$230,INPUTS!$C$264,INPUTS!$C$298,INPUTS!$C$332,INPUTS!$C$366,INPUTS!$C$400),"")&amp;"")</f>
        <v/>
      </c>
      <c r="D256" s="123" t="n">
        <f aca="false">IF(INPUTS!$E$95&lt;&gt;"Yes",0,N(IFERROR(CHOOSE(MATCH(INPUTS!$L$95,LISTS!$R$5:$R$10,0),INPUTS!$D$230,INPUTS!$D$264,INPUTS!$D$298,INPUTS!$D$332,INPUTS!$D$366,INPUTS!$D$400),"")))</f>
        <v>0</v>
      </c>
      <c r="E256" s="124" t="n">
        <f aca="false">IF(INPUTS!$E$95&lt;&gt;"Yes",0,N(IFERROR(CHOOSE(MATCH(INPUTS!$L$95,LISTS!$R$5:$R$10,0),INPUTS!$E$230,INPUTS!$E$264,INPUTS!$E$298,INPUTS!$E$332,INPUTS!$E$366,INPUTS!$E$400),"")))</f>
        <v>0</v>
      </c>
      <c r="F256" s="125" t="str">
        <f aca="false">IF(AND(C256="Construction % complete",E256&gt;0),MAX(COUNTIF(CURVES!$D$83:$AQ$83,"&lt;"&amp;(D256-0.000000001))+1,INPUTS!$R$95),"")</f>
        <v/>
      </c>
      <c r="G256" s="126" t="str">
        <f aca="false">IF(E256=0,"",IF(C256="Booking + quarters",IF(D256=0,"at booking",D256&amp;" qtr(s) after booking"),IF(F256&gt;INPUTS!$C$24,"NOT REACHED in model","construction "&amp;TEXT(D256,"0%")&amp;" reached in Q"&amp;F256)))</f>
        <v/>
      </c>
      <c r="H256" s="126"/>
      <c r="I256" s="126"/>
      <c r="J256" s="126"/>
      <c r="K256" s="126"/>
      <c r="L256" s="126"/>
    </row>
    <row r="257" customFormat="false" ht="15" hidden="false" customHeight="false" outlineLevel="0" collapsed="false">
      <c r="B257" s="121" t="str">
        <f aca="false">IF(INPUTS!$E$95&lt;&gt;"Yes","",IFERROR(CHOOSE(MATCH(INPUTS!$L$95,LISTS!$R$5:$R$10,0),INPUTS!$B$231,INPUTS!$B$265,INPUTS!$B$299,INPUTS!$B$333,INPUTS!$B$367,INPUTS!$B$401),"")&amp;"")</f>
        <v/>
      </c>
      <c r="C257" s="122" t="str">
        <f aca="false">IF(INPUTS!$E$95&lt;&gt;"Yes","",IFERROR(CHOOSE(MATCH(INPUTS!$L$95,LISTS!$R$5:$R$10,0),INPUTS!$C$231,INPUTS!$C$265,INPUTS!$C$299,INPUTS!$C$333,INPUTS!$C$367,INPUTS!$C$401),"")&amp;"")</f>
        <v/>
      </c>
      <c r="D257" s="123" t="n">
        <f aca="false">IF(INPUTS!$E$95&lt;&gt;"Yes",0,N(IFERROR(CHOOSE(MATCH(INPUTS!$L$95,LISTS!$R$5:$R$10,0),INPUTS!$D$231,INPUTS!$D$265,INPUTS!$D$299,INPUTS!$D$333,INPUTS!$D$367,INPUTS!$D$401),"")))</f>
        <v>0</v>
      </c>
      <c r="E257" s="124" t="n">
        <f aca="false">IF(INPUTS!$E$95&lt;&gt;"Yes",0,N(IFERROR(CHOOSE(MATCH(INPUTS!$L$95,LISTS!$R$5:$R$10,0),INPUTS!$E$231,INPUTS!$E$265,INPUTS!$E$299,INPUTS!$E$333,INPUTS!$E$367,INPUTS!$E$401),"")))</f>
        <v>0</v>
      </c>
      <c r="F257" s="125" t="str">
        <f aca="false">IF(AND(C257="Construction % complete",E257&gt;0),MAX(COUNTIF(CURVES!$D$83:$AQ$83,"&lt;"&amp;(D257-0.000000001))+1,INPUTS!$R$95),"")</f>
        <v/>
      </c>
      <c r="G257" s="126" t="str">
        <f aca="false">IF(E257=0,"",IF(C257="Booking + quarters",IF(D257=0,"at booking",D257&amp;" qtr(s) after booking"),IF(F257&gt;INPUTS!$C$24,"NOT REACHED in model","construction "&amp;TEXT(D257,"0%")&amp;" reached in Q"&amp;F257)))</f>
        <v/>
      </c>
      <c r="H257" s="126"/>
      <c r="I257" s="126"/>
      <c r="J257" s="126"/>
      <c r="K257" s="126"/>
      <c r="L257" s="126"/>
    </row>
    <row r="258" customFormat="false" ht="15" hidden="false" customHeight="false" outlineLevel="0" collapsed="false">
      <c r="B258" s="121" t="str">
        <f aca="false">IF(INPUTS!$E$95&lt;&gt;"Yes","",IFERROR(CHOOSE(MATCH(INPUTS!$L$95,LISTS!$R$5:$R$10,0),INPUTS!$B$232,INPUTS!$B$266,INPUTS!$B$300,INPUTS!$B$334,INPUTS!$B$368,INPUTS!$B$402),"")&amp;"")</f>
        <v/>
      </c>
      <c r="C258" s="122" t="str">
        <f aca="false">IF(INPUTS!$E$95&lt;&gt;"Yes","",IFERROR(CHOOSE(MATCH(INPUTS!$L$95,LISTS!$R$5:$R$10,0),INPUTS!$C$232,INPUTS!$C$266,INPUTS!$C$300,INPUTS!$C$334,INPUTS!$C$368,INPUTS!$C$402),"")&amp;"")</f>
        <v/>
      </c>
      <c r="D258" s="123" t="n">
        <f aca="false">IF(INPUTS!$E$95&lt;&gt;"Yes",0,N(IFERROR(CHOOSE(MATCH(INPUTS!$L$95,LISTS!$R$5:$R$10,0),INPUTS!$D$232,INPUTS!$D$266,INPUTS!$D$300,INPUTS!$D$334,INPUTS!$D$368,INPUTS!$D$402),"")))</f>
        <v>0</v>
      </c>
      <c r="E258" s="124" t="n">
        <f aca="false">IF(INPUTS!$E$95&lt;&gt;"Yes",0,N(IFERROR(CHOOSE(MATCH(INPUTS!$L$95,LISTS!$R$5:$R$10,0),INPUTS!$E$232,INPUTS!$E$266,INPUTS!$E$300,INPUTS!$E$334,INPUTS!$E$368,INPUTS!$E$402),"")))</f>
        <v>0</v>
      </c>
      <c r="F258" s="125" t="str">
        <f aca="false">IF(AND(C258="Construction % complete",E258&gt;0),MAX(COUNTIF(CURVES!$D$83:$AQ$83,"&lt;"&amp;(D258-0.000000001))+1,INPUTS!$R$95),"")</f>
        <v/>
      </c>
      <c r="G258" s="126" t="str">
        <f aca="false">IF(E258=0,"",IF(C258="Booking + quarters",IF(D258=0,"at booking",D258&amp;" qtr(s) after booking"),IF(F258&gt;INPUTS!$C$24,"NOT REACHED in model","construction "&amp;TEXT(D258,"0%")&amp;" reached in Q"&amp;F258)))</f>
        <v/>
      </c>
      <c r="H258" s="126"/>
      <c r="I258" s="126"/>
      <c r="J258" s="126"/>
      <c r="K258" s="126"/>
      <c r="L258" s="126"/>
    </row>
    <row r="259" customFormat="false" ht="15" hidden="false" customHeight="false" outlineLevel="0" collapsed="false">
      <c r="B259" s="121" t="str">
        <f aca="false">IF(INPUTS!$E$95&lt;&gt;"Yes","",IFERROR(CHOOSE(MATCH(INPUTS!$L$95,LISTS!$R$5:$R$10,0),INPUTS!$B$233,INPUTS!$B$267,INPUTS!$B$301,INPUTS!$B$335,INPUTS!$B$369,INPUTS!$B$403),"")&amp;"")</f>
        <v/>
      </c>
      <c r="C259" s="122" t="str">
        <f aca="false">IF(INPUTS!$E$95&lt;&gt;"Yes","",IFERROR(CHOOSE(MATCH(INPUTS!$L$95,LISTS!$R$5:$R$10,0),INPUTS!$C$233,INPUTS!$C$267,INPUTS!$C$301,INPUTS!$C$335,INPUTS!$C$369,INPUTS!$C$403),"")&amp;"")</f>
        <v/>
      </c>
      <c r="D259" s="123" t="n">
        <f aca="false">IF(INPUTS!$E$95&lt;&gt;"Yes",0,N(IFERROR(CHOOSE(MATCH(INPUTS!$L$95,LISTS!$R$5:$R$10,0),INPUTS!$D$233,INPUTS!$D$267,INPUTS!$D$301,INPUTS!$D$335,INPUTS!$D$369,INPUTS!$D$403),"")))</f>
        <v>0</v>
      </c>
      <c r="E259" s="124" t="n">
        <f aca="false">IF(INPUTS!$E$95&lt;&gt;"Yes",0,N(IFERROR(CHOOSE(MATCH(INPUTS!$L$95,LISTS!$R$5:$R$10,0),INPUTS!$E$233,INPUTS!$E$267,INPUTS!$E$301,INPUTS!$E$335,INPUTS!$E$369,INPUTS!$E$403),"")))</f>
        <v>0</v>
      </c>
      <c r="F259" s="125" t="str">
        <f aca="false">IF(AND(C259="Construction % complete",E259&gt;0),MAX(COUNTIF(CURVES!$D$83:$AQ$83,"&lt;"&amp;(D259-0.000000001))+1,INPUTS!$R$95),"")</f>
        <v/>
      </c>
      <c r="G259" s="126" t="str">
        <f aca="false">IF(E259=0,"",IF(C259="Booking + quarters",IF(D259=0,"at booking",D259&amp;" qtr(s) after booking"),IF(F259&gt;INPUTS!$C$24,"NOT REACHED in model","construction "&amp;TEXT(D259,"0%")&amp;" reached in Q"&amp;F259)))</f>
        <v/>
      </c>
      <c r="H259" s="126"/>
      <c r="I259" s="126"/>
      <c r="J259" s="126"/>
      <c r="K259" s="126"/>
      <c r="L259" s="126"/>
    </row>
    <row r="260" customFormat="false" ht="15" hidden="false" customHeight="false" outlineLevel="0" collapsed="false">
      <c r="B260" s="121" t="str">
        <f aca="false">IF(INPUTS!$E$95&lt;&gt;"Yes","",IFERROR(CHOOSE(MATCH(INPUTS!$L$95,LISTS!$R$5:$R$10,0),INPUTS!$B$234,INPUTS!$B$268,INPUTS!$B$302,INPUTS!$B$336,INPUTS!$B$370,INPUTS!$B$404),"")&amp;"")</f>
        <v/>
      </c>
      <c r="C260" s="122" t="str">
        <f aca="false">IF(INPUTS!$E$95&lt;&gt;"Yes","",IFERROR(CHOOSE(MATCH(INPUTS!$L$95,LISTS!$R$5:$R$10,0),INPUTS!$C$234,INPUTS!$C$268,INPUTS!$C$302,INPUTS!$C$336,INPUTS!$C$370,INPUTS!$C$404),"")&amp;"")</f>
        <v/>
      </c>
      <c r="D260" s="123" t="n">
        <f aca="false">IF(INPUTS!$E$95&lt;&gt;"Yes",0,N(IFERROR(CHOOSE(MATCH(INPUTS!$L$95,LISTS!$R$5:$R$10,0),INPUTS!$D$234,INPUTS!$D$268,INPUTS!$D$302,INPUTS!$D$336,INPUTS!$D$370,INPUTS!$D$404),"")))</f>
        <v>0</v>
      </c>
      <c r="E260" s="124" t="n">
        <f aca="false">IF(INPUTS!$E$95&lt;&gt;"Yes",0,N(IFERROR(CHOOSE(MATCH(INPUTS!$L$95,LISTS!$R$5:$R$10,0),INPUTS!$E$234,INPUTS!$E$268,INPUTS!$E$302,INPUTS!$E$336,INPUTS!$E$370,INPUTS!$E$404),"")))</f>
        <v>0</v>
      </c>
      <c r="F260" s="125" t="str">
        <f aca="false">IF(AND(C260="Construction % complete",E260&gt;0),MAX(COUNTIF(CURVES!$D$83:$AQ$83,"&lt;"&amp;(D260-0.000000001))+1,INPUTS!$R$95),"")</f>
        <v/>
      </c>
      <c r="G260" s="126" t="str">
        <f aca="false">IF(E260=0,"",IF(C260="Booking + quarters",IF(D260=0,"at booking",D260&amp;" qtr(s) after booking"),IF(F260&gt;INPUTS!$C$24,"NOT REACHED in model","construction "&amp;TEXT(D260,"0%")&amp;" reached in Q"&amp;F260)))</f>
        <v/>
      </c>
      <c r="H260" s="126"/>
      <c r="I260" s="126"/>
      <c r="J260" s="126"/>
      <c r="K260" s="126"/>
      <c r="L260" s="126"/>
    </row>
    <row r="261" customFormat="false" ht="15" hidden="false" customHeight="false" outlineLevel="0" collapsed="false">
      <c r="B261" s="121" t="str">
        <f aca="false">IF(INPUTS!$E$95&lt;&gt;"Yes","",IFERROR(CHOOSE(MATCH(INPUTS!$L$95,LISTS!$R$5:$R$10,0),INPUTS!$B$235,INPUTS!$B$269,INPUTS!$B$303,INPUTS!$B$337,INPUTS!$B$371,INPUTS!$B$405),"")&amp;"")</f>
        <v/>
      </c>
      <c r="C261" s="122" t="str">
        <f aca="false">IF(INPUTS!$E$95&lt;&gt;"Yes","",IFERROR(CHOOSE(MATCH(INPUTS!$L$95,LISTS!$R$5:$R$10,0),INPUTS!$C$235,INPUTS!$C$269,INPUTS!$C$303,INPUTS!$C$337,INPUTS!$C$371,INPUTS!$C$405),"")&amp;"")</f>
        <v/>
      </c>
      <c r="D261" s="123" t="n">
        <f aca="false">IF(INPUTS!$E$95&lt;&gt;"Yes",0,N(IFERROR(CHOOSE(MATCH(INPUTS!$L$95,LISTS!$R$5:$R$10,0),INPUTS!$D$235,INPUTS!$D$269,INPUTS!$D$303,INPUTS!$D$337,INPUTS!$D$371,INPUTS!$D$405),"")))</f>
        <v>0</v>
      </c>
      <c r="E261" s="124" t="n">
        <f aca="false">IF(INPUTS!$E$95&lt;&gt;"Yes",0,N(IFERROR(CHOOSE(MATCH(INPUTS!$L$95,LISTS!$R$5:$R$10,0),INPUTS!$E$235,INPUTS!$E$269,INPUTS!$E$303,INPUTS!$E$337,INPUTS!$E$371,INPUTS!$E$405),"")))</f>
        <v>0</v>
      </c>
      <c r="F261" s="125" t="str">
        <f aca="false">IF(AND(C261="Construction % complete",E261&gt;0),MAX(COUNTIF(CURVES!$D$83:$AQ$83,"&lt;"&amp;(D261-0.000000001))+1,INPUTS!$R$95),"")</f>
        <v/>
      </c>
      <c r="G261" s="126" t="str">
        <f aca="false">IF(E261=0,"",IF(C261="Booking + quarters",IF(D261=0,"at booking",D261&amp;" qtr(s) after booking"),IF(F261&gt;INPUTS!$C$24,"NOT REACHED in model","construction "&amp;TEXT(D261,"0%")&amp;" reached in Q"&amp;F261)))</f>
        <v/>
      </c>
      <c r="H261" s="126"/>
      <c r="I261" s="126"/>
      <c r="J261" s="126"/>
      <c r="K261" s="126"/>
      <c r="L261" s="126"/>
    </row>
    <row r="262" customFormat="false" ht="15" hidden="false" customHeight="false" outlineLevel="0" collapsed="false">
      <c r="B262" s="121" t="str">
        <f aca="false">IF(INPUTS!$E$95&lt;&gt;"Yes","",IFERROR(CHOOSE(MATCH(INPUTS!$L$95,LISTS!$R$5:$R$10,0),INPUTS!$B$236,INPUTS!$B$270,INPUTS!$B$304,INPUTS!$B$338,INPUTS!$B$372,INPUTS!$B$406),"")&amp;"")</f>
        <v/>
      </c>
      <c r="C262" s="122" t="str">
        <f aca="false">IF(INPUTS!$E$95&lt;&gt;"Yes","",IFERROR(CHOOSE(MATCH(INPUTS!$L$95,LISTS!$R$5:$R$10,0),INPUTS!$C$236,INPUTS!$C$270,INPUTS!$C$304,INPUTS!$C$338,INPUTS!$C$372,INPUTS!$C$406),"")&amp;"")</f>
        <v/>
      </c>
      <c r="D262" s="123" t="n">
        <f aca="false">IF(INPUTS!$E$95&lt;&gt;"Yes",0,N(IFERROR(CHOOSE(MATCH(INPUTS!$L$95,LISTS!$R$5:$R$10,0),INPUTS!$D$236,INPUTS!$D$270,INPUTS!$D$304,INPUTS!$D$338,INPUTS!$D$372,INPUTS!$D$406),"")))</f>
        <v>0</v>
      </c>
      <c r="E262" s="124" t="n">
        <f aca="false">IF(INPUTS!$E$95&lt;&gt;"Yes",0,N(IFERROR(CHOOSE(MATCH(INPUTS!$L$95,LISTS!$R$5:$R$10,0),INPUTS!$E$236,INPUTS!$E$270,INPUTS!$E$304,INPUTS!$E$338,INPUTS!$E$372,INPUTS!$E$406),"")))</f>
        <v>0</v>
      </c>
      <c r="F262" s="125" t="str">
        <f aca="false">IF(AND(C262="Construction % complete",E262&gt;0),MAX(COUNTIF(CURVES!$D$83:$AQ$83,"&lt;"&amp;(D262-0.000000001))+1,INPUTS!$R$95),"")</f>
        <v/>
      </c>
      <c r="G262" s="126" t="str">
        <f aca="false">IF(E262=0,"",IF(C262="Booking + quarters",IF(D262=0,"at booking",D262&amp;" qtr(s) after booking"),IF(F262&gt;INPUTS!$C$24,"NOT REACHED in model","construction "&amp;TEXT(D262,"0%")&amp;" reached in Q"&amp;F262)))</f>
        <v/>
      </c>
      <c r="H262" s="126"/>
      <c r="I262" s="126"/>
      <c r="J262" s="126"/>
      <c r="K262" s="126"/>
      <c r="L262" s="126"/>
    </row>
    <row r="263" customFormat="false" ht="15" hidden="false" customHeight="false" outlineLevel="0" collapsed="false">
      <c r="B263" s="121" t="str">
        <f aca="false">IF(INPUTS!$E$95&lt;&gt;"Yes","",IFERROR(CHOOSE(MATCH(INPUTS!$L$95,LISTS!$R$5:$R$10,0),INPUTS!$B$237,INPUTS!$B$271,INPUTS!$B$305,INPUTS!$B$339,INPUTS!$B$373,INPUTS!$B$407),"")&amp;"")</f>
        <v/>
      </c>
      <c r="C263" s="122" t="str">
        <f aca="false">IF(INPUTS!$E$95&lt;&gt;"Yes","",IFERROR(CHOOSE(MATCH(INPUTS!$L$95,LISTS!$R$5:$R$10,0),INPUTS!$C$237,INPUTS!$C$271,INPUTS!$C$305,INPUTS!$C$339,INPUTS!$C$373,INPUTS!$C$407),"")&amp;"")</f>
        <v/>
      </c>
      <c r="D263" s="123" t="n">
        <f aca="false">IF(INPUTS!$E$95&lt;&gt;"Yes",0,N(IFERROR(CHOOSE(MATCH(INPUTS!$L$95,LISTS!$R$5:$R$10,0),INPUTS!$D$237,INPUTS!$D$271,INPUTS!$D$305,INPUTS!$D$339,INPUTS!$D$373,INPUTS!$D$407),"")))</f>
        <v>0</v>
      </c>
      <c r="E263" s="124" t="n">
        <f aca="false">IF(INPUTS!$E$95&lt;&gt;"Yes",0,N(IFERROR(CHOOSE(MATCH(INPUTS!$L$95,LISTS!$R$5:$R$10,0),INPUTS!$E$237,INPUTS!$E$271,INPUTS!$E$305,INPUTS!$E$339,INPUTS!$E$373,INPUTS!$E$407),"")))</f>
        <v>0</v>
      </c>
      <c r="F263" s="125" t="str">
        <f aca="false">IF(AND(C263="Construction % complete",E263&gt;0),MAX(COUNTIF(CURVES!$D$83:$AQ$83,"&lt;"&amp;(D263-0.000000001))+1,INPUTS!$R$95),"")</f>
        <v/>
      </c>
      <c r="G263" s="126" t="str">
        <f aca="false">IF(E263=0,"",IF(C263="Booking + quarters",IF(D263=0,"at booking",D263&amp;" qtr(s) after booking"),IF(F263&gt;INPUTS!$C$24,"NOT REACHED in model","construction "&amp;TEXT(D263,"0%")&amp;" reached in Q"&amp;F263)))</f>
        <v/>
      </c>
      <c r="H263" s="126"/>
      <c r="I263" s="126"/>
      <c r="J263" s="126"/>
      <c r="K263" s="126"/>
      <c r="L263" s="126"/>
    </row>
    <row r="264" customFormat="false" ht="15" hidden="false" customHeight="false" outlineLevel="0" collapsed="false">
      <c r="B264" s="121" t="str">
        <f aca="false">IF(INPUTS!$E$95&lt;&gt;"Yes","",IFERROR(CHOOSE(MATCH(INPUTS!$L$95,LISTS!$R$5:$R$10,0),INPUTS!$B$238,INPUTS!$B$272,INPUTS!$B$306,INPUTS!$B$340,INPUTS!$B$374,INPUTS!$B$408),"")&amp;"")</f>
        <v/>
      </c>
      <c r="C264" s="122" t="str">
        <f aca="false">IF(INPUTS!$E$95&lt;&gt;"Yes","",IFERROR(CHOOSE(MATCH(INPUTS!$L$95,LISTS!$R$5:$R$10,0),INPUTS!$C$238,INPUTS!$C$272,INPUTS!$C$306,INPUTS!$C$340,INPUTS!$C$374,INPUTS!$C$408),"")&amp;"")</f>
        <v/>
      </c>
      <c r="D264" s="123" t="n">
        <f aca="false">IF(INPUTS!$E$95&lt;&gt;"Yes",0,N(IFERROR(CHOOSE(MATCH(INPUTS!$L$95,LISTS!$R$5:$R$10,0),INPUTS!$D$238,INPUTS!$D$272,INPUTS!$D$306,INPUTS!$D$340,INPUTS!$D$374,INPUTS!$D$408),"")))</f>
        <v>0</v>
      </c>
      <c r="E264" s="124" t="n">
        <f aca="false">IF(INPUTS!$E$95&lt;&gt;"Yes",0,N(IFERROR(CHOOSE(MATCH(INPUTS!$L$95,LISTS!$R$5:$R$10,0),INPUTS!$E$238,INPUTS!$E$272,INPUTS!$E$306,INPUTS!$E$340,INPUTS!$E$374,INPUTS!$E$408),"")))</f>
        <v>0</v>
      </c>
      <c r="F264" s="125" t="str">
        <f aca="false">IF(AND(C264="Construction % complete",E264&gt;0),MAX(COUNTIF(CURVES!$D$83:$AQ$83,"&lt;"&amp;(D264-0.000000001))+1,INPUTS!$R$95),"")</f>
        <v/>
      </c>
      <c r="G264" s="126" t="str">
        <f aca="false">IF(E264=0,"",IF(C264="Booking + quarters",IF(D264=0,"at booking",D264&amp;" qtr(s) after booking"),IF(F264&gt;INPUTS!$C$24,"NOT REACHED in model","construction "&amp;TEXT(D264,"0%")&amp;" reached in Q"&amp;F264)))</f>
        <v/>
      </c>
      <c r="H264" s="126"/>
      <c r="I264" s="126"/>
      <c r="J264" s="126"/>
      <c r="K264" s="126"/>
      <c r="L264" s="126"/>
    </row>
    <row r="265" customFormat="false" ht="15" hidden="false" customHeight="false" outlineLevel="0" collapsed="false">
      <c r="B265" s="121" t="str">
        <f aca="false">IF(INPUTS!$E$95&lt;&gt;"Yes","",IFERROR(CHOOSE(MATCH(INPUTS!$L$95,LISTS!$R$5:$R$10,0),INPUTS!$B$239,INPUTS!$B$273,INPUTS!$B$307,INPUTS!$B$341,INPUTS!$B$375,INPUTS!$B$409),"")&amp;"")</f>
        <v/>
      </c>
      <c r="C265" s="122" t="str">
        <f aca="false">IF(INPUTS!$E$95&lt;&gt;"Yes","",IFERROR(CHOOSE(MATCH(INPUTS!$L$95,LISTS!$R$5:$R$10,0),INPUTS!$C$239,INPUTS!$C$273,INPUTS!$C$307,INPUTS!$C$341,INPUTS!$C$375,INPUTS!$C$409),"")&amp;"")</f>
        <v/>
      </c>
      <c r="D265" s="123" t="n">
        <f aca="false">IF(INPUTS!$E$95&lt;&gt;"Yes",0,N(IFERROR(CHOOSE(MATCH(INPUTS!$L$95,LISTS!$R$5:$R$10,0),INPUTS!$D$239,INPUTS!$D$273,INPUTS!$D$307,INPUTS!$D$341,INPUTS!$D$375,INPUTS!$D$409),"")))</f>
        <v>0</v>
      </c>
      <c r="E265" s="124" t="n">
        <f aca="false">IF(INPUTS!$E$95&lt;&gt;"Yes",0,N(IFERROR(CHOOSE(MATCH(INPUTS!$L$95,LISTS!$R$5:$R$10,0),INPUTS!$E$239,INPUTS!$E$273,INPUTS!$E$307,INPUTS!$E$341,INPUTS!$E$375,INPUTS!$E$409),"")))</f>
        <v>0</v>
      </c>
      <c r="F265" s="125" t="str">
        <f aca="false">IF(AND(C265="Construction % complete",E265&gt;0),MAX(COUNTIF(CURVES!$D$83:$AQ$83,"&lt;"&amp;(D265-0.000000001))+1,INPUTS!$R$95),"")</f>
        <v/>
      </c>
      <c r="G265" s="126" t="str">
        <f aca="false">IF(E265=0,"",IF(C265="Booking + quarters",IF(D265=0,"at booking",D265&amp;" qtr(s) after booking"),IF(F265&gt;INPUTS!$C$24,"NOT REACHED in model","construction "&amp;TEXT(D265,"0%")&amp;" reached in Q"&amp;F265)))</f>
        <v/>
      </c>
      <c r="H265" s="126"/>
      <c r="I265" s="126"/>
      <c r="J265" s="126"/>
      <c r="K265" s="126"/>
      <c r="L265" s="126"/>
    </row>
    <row r="266" customFormat="false" ht="15" hidden="false" customHeight="false" outlineLevel="0" collapsed="false">
      <c r="B266" s="121" t="str">
        <f aca="false">IF(INPUTS!$E$95&lt;&gt;"Yes","",IFERROR(CHOOSE(MATCH(INPUTS!$L$95,LISTS!$R$5:$R$10,0),INPUTS!$B$240,INPUTS!$B$274,INPUTS!$B$308,INPUTS!$B$342,INPUTS!$B$376,INPUTS!$B$410),"")&amp;"")</f>
        <v/>
      </c>
      <c r="C266" s="122" t="str">
        <f aca="false">IF(INPUTS!$E$95&lt;&gt;"Yes","",IFERROR(CHOOSE(MATCH(INPUTS!$L$95,LISTS!$R$5:$R$10,0),INPUTS!$C$240,INPUTS!$C$274,INPUTS!$C$308,INPUTS!$C$342,INPUTS!$C$376,INPUTS!$C$410),"")&amp;"")</f>
        <v/>
      </c>
      <c r="D266" s="123" t="n">
        <f aca="false">IF(INPUTS!$E$95&lt;&gt;"Yes",0,N(IFERROR(CHOOSE(MATCH(INPUTS!$L$95,LISTS!$R$5:$R$10,0),INPUTS!$D$240,INPUTS!$D$274,INPUTS!$D$308,INPUTS!$D$342,INPUTS!$D$376,INPUTS!$D$410),"")))</f>
        <v>0</v>
      </c>
      <c r="E266" s="124" t="n">
        <f aca="false">IF(INPUTS!$E$95&lt;&gt;"Yes",0,N(IFERROR(CHOOSE(MATCH(INPUTS!$L$95,LISTS!$R$5:$R$10,0),INPUTS!$E$240,INPUTS!$E$274,INPUTS!$E$308,INPUTS!$E$342,INPUTS!$E$376,INPUTS!$E$410),"")))</f>
        <v>0</v>
      </c>
      <c r="F266" s="125" t="str">
        <f aca="false">IF(AND(C266="Construction % complete",E266&gt;0),MAX(COUNTIF(CURVES!$D$83:$AQ$83,"&lt;"&amp;(D266-0.000000001))+1,INPUTS!$R$95),"")</f>
        <v/>
      </c>
      <c r="G266" s="126" t="str">
        <f aca="false">IF(E266=0,"",IF(C266="Booking + quarters",IF(D266=0,"at booking",D266&amp;" qtr(s) after booking"),IF(F266&gt;INPUTS!$C$24,"NOT REACHED in model","construction "&amp;TEXT(D266,"0%")&amp;" reached in Q"&amp;F266)))</f>
        <v/>
      </c>
      <c r="H266" s="126"/>
      <c r="I266" s="126"/>
      <c r="J266" s="126"/>
      <c r="K266" s="126"/>
      <c r="L266" s="126"/>
    </row>
    <row r="267" customFormat="false" ht="15" hidden="false" customHeight="false" outlineLevel="0" collapsed="false">
      <c r="B267" s="121" t="str">
        <f aca="false">IF(INPUTS!$E$95&lt;&gt;"Yes","",IFERROR(CHOOSE(MATCH(INPUTS!$L$95,LISTS!$R$5:$R$10,0),INPUTS!$B$241,INPUTS!$B$275,INPUTS!$B$309,INPUTS!$B$343,INPUTS!$B$377,INPUTS!$B$411),"")&amp;"")</f>
        <v/>
      </c>
      <c r="C267" s="122" t="str">
        <f aca="false">IF(INPUTS!$E$95&lt;&gt;"Yes","",IFERROR(CHOOSE(MATCH(INPUTS!$L$95,LISTS!$R$5:$R$10,0),INPUTS!$C$241,INPUTS!$C$275,INPUTS!$C$309,INPUTS!$C$343,INPUTS!$C$377,INPUTS!$C$411),"")&amp;"")</f>
        <v/>
      </c>
      <c r="D267" s="123" t="n">
        <f aca="false">IF(INPUTS!$E$95&lt;&gt;"Yes",0,N(IFERROR(CHOOSE(MATCH(INPUTS!$L$95,LISTS!$R$5:$R$10,0),INPUTS!$D$241,INPUTS!$D$275,INPUTS!$D$309,INPUTS!$D$343,INPUTS!$D$377,INPUTS!$D$411),"")))</f>
        <v>0</v>
      </c>
      <c r="E267" s="124" t="n">
        <f aca="false">IF(INPUTS!$E$95&lt;&gt;"Yes",0,N(IFERROR(CHOOSE(MATCH(INPUTS!$L$95,LISTS!$R$5:$R$10,0),INPUTS!$E$241,INPUTS!$E$275,INPUTS!$E$309,INPUTS!$E$343,INPUTS!$E$377,INPUTS!$E$411),"")))</f>
        <v>0</v>
      </c>
      <c r="F267" s="125" t="str">
        <f aca="false">IF(AND(C267="Construction % complete",E267&gt;0),MAX(COUNTIF(CURVES!$D$83:$AQ$83,"&lt;"&amp;(D267-0.000000001))+1,INPUTS!$R$95),"")</f>
        <v/>
      </c>
      <c r="G267" s="126" t="str">
        <f aca="false">IF(E267=0,"",IF(C267="Booking + quarters",IF(D267=0,"at booking",D267&amp;" qtr(s) after booking"),IF(F267&gt;INPUTS!$C$24,"NOT REACHED in model","construction "&amp;TEXT(D267,"0%")&amp;" reached in Q"&amp;F267)))</f>
        <v/>
      </c>
      <c r="H267" s="126"/>
      <c r="I267" s="126"/>
      <c r="J267" s="126"/>
      <c r="K267" s="126"/>
      <c r="L267" s="126"/>
    </row>
    <row r="268" customFormat="false" ht="15" hidden="false" customHeight="false" outlineLevel="0" collapsed="false">
      <c r="B268" s="121" t="str">
        <f aca="false">IF(INPUTS!$E$95&lt;&gt;"Yes","",IFERROR(CHOOSE(MATCH(INPUTS!$L$95,LISTS!$R$5:$R$10,0),INPUTS!$B$242,INPUTS!$B$276,INPUTS!$B$310,INPUTS!$B$344,INPUTS!$B$378,INPUTS!$B$412),"")&amp;"")</f>
        <v/>
      </c>
      <c r="C268" s="122" t="str">
        <f aca="false">IF(INPUTS!$E$95&lt;&gt;"Yes","",IFERROR(CHOOSE(MATCH(INPUTS!$L$95,LISTS!$R$5:$R$10,0),INPUTS!$C$242,INPUTS!$C$276,INPUTS!$C$310,INPUTS!$C$344,INPUTS!$C$378,INPUTS!$C$412),"")&amp;"")</f>
        <v/>
      </c>
      <c r="D268" s="123" t="n">
        <f aca="false">IF(INPUTS!$E$95&lt;&gt;"Yes",0,N(IFERROR(CHOOSE(MATCH(INPUTS!$L$95,LISTS!$R$5:$R$10,0),INPUTS!$D$242,INPUTS!$D$276,INPUTS!$D$310,INPUTS!$D$344,INPUTS!$D$378,INPUTS!$D$412),"")))</f>
        <v>0</v>
      </c>
      <c r="E268" s="124" t="n">
        <f aca="false">IF(INPUTS!$E$95&lt;&gt;"Yes",0,N(IFERROR(CHOOSE(MATCH(INPUTS!$L$95,LISTS!$R$5:$R$10,0),INPUTS!$E$242,INPUTS!$E$276,INPUTS!$E$310,INPUTS!$E$344,INPUTS!$E$378,INPUTS!$E$412),"")))</f>
        <v>0</v>
      </c>
      <c r="F268" s="125" t="str">
        <f aca="false">IF(AND(C268="Construction % complete",E268&gt;0),MAX(COUNTIF(CURVES!$D$83:$AQ$83,"&lt;"&amp;(D268-0.000000001))+1,INPUTS!$R$95),"")</f>
        <v/>
      </c>
      <c r="G268" s="126" t="str">
        <f aca="false">IF(E268=0,"",IF(C268="Booking + quarters",IF(D268=0,"at booking",D268&amp;" qtr(s) after booking"),IF(F268&gt;INPUTS!$C$24,"NOT REACHED in model","construction "&amp;TEXT(D268,"0%")&amp;" reached in Q"&amp;F268)))</f>
        <v/>
      </c>
      <c r="H268" s="126"/>
      <c r="I268" s="126"/>
      <c r="J268" s="126"/>
      <c r="K268" s="126"/>
      <c r="L268" s="126"/>
    </row>
    <row r="269" customFormat="false" ht="15" hidden="false" customHeight="false" outlineLevel="0" collapsed="false">
      <c r="B269" s="121" t="str">
        <f aca="false">IF(INPUTS!$E$95&lt;&gt;"Yes","",IFERROR(CHOOSE(MATCH(INPUTS!$L$95,LISTS!$R$5:$R$10,0),INPUTS!$B$243,INPUTS!$B$277,INPUTS!$B$311,INPUTS!$B$345,INPUTS!$B$379,INPUTS!$B$413),"")&amp;"")</f>
        <v/>
      </c>
      <c r="C269" s="122" t="str">
        <f aca="false">IF(INPUTS!$E$95&lt;&gt;"Yes","",IFERROR(CHOOSE(MATCH(INPUTS!$L$95,LISTS!$R$5:$R$10,0),INPUTS!$C$243,INPUTS!$C$277,INPUTS!$C$311,INPUTS!$C$345,INPUTS!$C$379,INPUTS!$C$413),"")&amp;"")</f>
        <v/>
      </c>
      <c r="D269" s="123" t="n">
        <f aca="false">IF(INPUTS!$E$95&lt;&gt;"Yes",0,N(IFERROR(CHOOSE(MATCH(INPUTS!$L$95,LISTS!$R$5:$R$10,0),INPUTS!$D$243,INPUTS!$D$277,INPUTS!$D$311,INPUTS!$D$345,INPUTS!$D$379,INPUTS!$D$413),"")))</f>
        <v>0</v>
      </c>
      <c r="E269" s="124" t="n">
        <f aca="false">IF(INPUTS!$E$95&lt;&gt;"Yes",0,N(IFERROR(CHOOSE(MATCH(INPUTS!$L$95,LISTS!$R$5:$R$10,0),INPUTS!$E$243,INPUTS!$E$277,INPUTS!$E$311,INPUTS!$E$345,INPUTS!$E$379,INPUTS!$E$413),"")))</f>
        <v>0</v>
      </c>
      <c r="F269" s="125" t="str">
        <f aca="false">IF(AND(C269="Construction % complete",E269&gt;0),MAX(COUNTIF(CURVES!$D$83:$AQ$83,"&lt;"&amp;(D269-0.000000001))+1,INPUTS!$R$95),"")</f>
        <v/>
      </c>
      <c r="G269" s="126" t="str">
        <f aca="false">IF(E269=0,"",IF(C269="Booking + quarters",IF(D269=0,"at booking",D269&amp;" qtr(s) after booking"),IF(F269&gt;INPUTS!$C$24,"NOT REACHED in model","construction "&amp;TEXT(D269,"0%")&amp;" reached in Q"&amp;F269)))</f>
        <v/>
      </c>
      <c r="H269" s="126"/>
      <c r="I269" s="126"/>
      <c r="J269" s="126"/>
      <c r="K269" s="126"/>
      <c r="L269" s="126"/>
    </row>
    <row r="270" customFormat="false" ht="15" hidden="false" customHeight="false" outlineLevel="0" collapsed="false">
      <c r="B270" s="121" t="str">
        <f aca="false">IF(INPUTS!$E$95&lt;&gt;"Yes","",IFERROR(CHOOSE(MATCH(INPUTS!$L$95,LISTS!$R$5:$R$10,0),INPUTS!$B$244,INPUTS!$B$278,INPUTS!$B$312,INPUTS!$B$346,INPUTS!$B$380,INPUTS!$B$414),"")&amp;"")</f>
        <v/>
      </c>
      <c r="C270" s="122" t="str">
        <f aca="false">IF(INPUTS!$E$95&lt;&gt;"Yes","",IFERROR(CHOOSE(MATCH(INPUTS!$L$95,LISTS!$R$5:$R$10,0),INPUTS!$C$244,INPUTS!$C$278,INPUTS!$C$312,INPUTS!$C$346,INPUTS!$C$380,INPUTS!$C$414),"")&amp;"")</f>
        <v/>
      </c>
      <c r="D270" s="123" t="n">
        <f aca="false">IF(INPUTS!$E$95&lt;&gt;"Yes",0,N(IFERROR(CHOOSE(MATCH(INPUTS!$L$95,LISTS!$R$5:$R$10,0),INPUTS!$D$244,INPUTS!$D$278,INPUTS!$D$312,INPUTS!$D$346,INPUTS!$D$380,INPUTS!$D$414),"")))</f>
        <v>0</v>
      </c>
      <c r="E270" s="124" t="n">
        <f aca="false">IF(INPUTS!$E$95&lt;&gt;"Yes",0,N(IFERROR(CHOOSE(MATCH(INPUTS!$L$95,LISTS!$R$5:$R$10,0),INPUTS!$E$244,INPUTS!$E$278,INPUTS!$E$312,INPUTS!$E$346,INPUTS!$E$380,INPUTS!$E$414),"")))</f>
        <v>0</v>
      </c>
      <c r="F270" s="125" t="str">
        <f aca="false">IF(AND(C270="Construction % complete",E270&gt;0),MAX(COUNTIF(CURVES!$D$83:$AQ$83,"&lt;"&amp;(D270-0.000000001))+1,INPUTS!$R$95),"")</f>
        <v/>
      </c>
      <c r="G270" s="126" t="str">
        <f aca="false">IF(E270=0,"",IF(C270="Booking + quarters",IF(D270=0,"at booking",D270&amp;" qtr(s) after booking"),IF(F270&gt;INPUTS!$C$24,"NOT REACHED in model","construction "&amp;TEXT(D270,"0%")&amp;" reached in Q"&amp;F270)))</f>
        <v/>
      </c>
      <c r="H270" s="126"/>
      <c r="I270" s="126"/>
      <c r="J270" s="126"/>
      <c r="K270" s="126"/>
      <c r="L270" s="126"/>
    </row>
    <row r="271" customFormat="false" ht="15" hidden="false" customHeight="false" outlineLevel="0" collapsed="false">
      <c r="B271" s="121" t="str">
        <f aca="false">IF(INPUTS!$E$95&lt;&gt;"Yes","",IFERROR(CHOOSE(MATCH(INPUTS!$L$95,LISTS!$R$5:$R$10,0),INPUTS!$B$245,INPUTS!$B$279,INPUTS!$B$313,INPUTS!$B$347,INPUTS!$B$381,INPUTS!$B$415),"")&amp;"")</f>
        <v/>
      </c>
      <c r="C271" s="122" t="str">
        <f aca="false">IF(INPUTS!$E$95&lt;&gt;"Yes","",IFERROR(CHOOSE(MATCH(INPUTS!$L$95,LISTS!$R$5:$R$10,0),INPUTS!$C$245,INPUTS!$C$279,INPUTS!$C$313,INPUTS!$C$347,INPUTS!$C$381,INPUTS!$C$415),"")&amp;"")</f>
        <v/>
      </c>
      <c r="D271" s="123" t="n">
        <f aca="false">IF(INPUTS!$E$95&lt;&gt;"Yes",0,N(IFERROR(CHOOSE(MATCH(INPUTS!$L$95,LISTS!$R$5:$R$10,0),INPUTS!$D$245,INPUTS!$D$279,INPUTS!$D$313,INPUTS!$D$347,INPUTS!$D$381,INPUTS!$D$415),"")))</f>
        <v>0</v>
      </c>
      <c r="E271" s="124" t="n">
        <f aca="false">IF(INPUTS!$E$95&lt;&gt;"Yes",0,N(IFERROR(CHOOSE(MATCH(INPUTS!$L$95,LISTS!$R$5:$R$10,0),INPUTS!$E$245,INPUTS!$E$279,INPUTS!$E$313,INPUTS!$E$347,INPUTS!$E$381,INPUTS!$E$415),"")))</f>
        <v>0</v>
      </c>
      <c r="F271" s="125" t="str">
        <f aca="false">IF(AND(C271="Construction % complete",E271&gt;0),MAX(COUNTIF(CURVES!$D$83:$AQ$83,"&lt;"&amp;(D271-0.000000001))+1,INPUTS!$R$95),"")</f>
        <v/>
      </c>
      <c r="G271" s="126" t="str">
        <f aca="false">IF(E271=0,"",IF(C271="Booking + quarters",IF(D271=0,"at booking",D271&amp;" qtr(s) after booking"),IF(F271&gt;INPUTS!$C$24,"NOT REACHED in model","construction "&amp;TEXT(D271,"0%")&amp;" reached in Q"&amp;F271)))</f>
        <v/>
      </c>
      <c r="H271" s="126"/>
      <c r="I271" s="126"/>
      <c r="J271" s="126"/>
      <c r="K271" s="126"/>
      <c r="L271" s="126"/>
    </row>
    <row r="272" customFormat="false" ht="15" hidden="false" customHeight="false" outlineLevel="0" collapsed="false">
      <c r="B272" s="121" t="str">
        <f aca="false">IF(INPUTS!$E$95&lt;&gt;"Yes","",IFERROR(CHOOSE(MATCH(INPUTS!$L$95,LISTS!$R$5:$R$10,0),INPUTS!$B$246,INPUTS!$B$280,INPUTS!$B$314,INPUTS!$B$348,INPUTS!$B$382,INPUTS!$B$416),"")&amp;"")</f>
        <v/>
      </c>
      <c r="C272" s="122" t="str">
        <f aca="false">IF(INPUTS!$E$95&lt;&gt;"Yes","",IFERROR(CHOOSE(MATCH(INPUTS!$L$95,LISTS!$R$5:$R$10,0),INPUTS!$C$246,INPUTS!$C$280,INPUTS!$C$314,INPUTS!$C$348,INPUTS!$C$382,INPUTS!$C$416),"")&amp;"")</f>
        <v/>
      </c>
      <c r="D272" s="123" t="n">
        <f aca="false">IF(INPUTS!$E$95&lt;&gt;"Yes",0,N(IFERROR(CHOOSE(MATCH(INPUTS!$L$95,LISTS!$R$5:$R$10,0),INPUTS!$D$246,INPUTS!$D$280,INPUTS!$D$314,INPUTS!$D$348,INPUTS!$D$382,INPUTS!$D$416),"")))</f>
        <v>0</v>
      </c>
      <c r="E272" s="124" t="n">
        <f aca="false">IF(INPUTS!$E$95&lt;&gt;"Yes",0,N(IFERROR(CHOOSE(MATCH(INPUTS!$L$95,LISTS!$R$5:$R$10,0),INPUTS!$E$246,INPUTS!$E$280,INPUTS!$E$314,INPUTS!$E$348,INPUTS!$E$382,INPUTS!$E$416),"")))</f>
        <v>0</v>
      </c>
      <c r="F272" s="125" t="str">
        <f aca="false">IF(AND(C272="Construction % complete",E272&gt;0),MAX(COUNTIF(CURVES!$D$83:$AQ$83,"&lt;"&amp;(D272-0.000000001))+1,INPUTS!$R$95),"")</f>
        <v/>
      </c>
      <c r="G272" s="126" t="str">
        <f aca="false">IF(E272=0,"",IF(C272="Booking + quarters",IF(D272=0,"at booking",D272&amp;" qtr(s) after booking"),IF(F272&gt;INPUTS!$C$24,"NOT REACHED in model","construction "&amp;TEXT(D272,"0%")&amp;" reached in Q"&amp;F272)))</f>
        <v/>
      </c>
      <c r="H272" s="126"/>
      <c r="I272" s="126"/>
      <c r="J272" s="126"/>
      <c r="K272" s="126"/>
      <c r="L272" s="126"/>
    </row>
    <row r="273" customFormat="false" ht="15" hidden="false" customHeight="false" outlineLevel="0" collapsed="false">
      <c r="B273" s="121" t="str">
        <f aca="false">IF(INPUTS!$E$95&lt;&gt;"Yes","",IFERROR(CHOOSE(MATCH(INPUTS!$L$95,LISTS!$R$5:$R$10,0),INPUTS!$B$247,INPUTS!$B$281,INPUTS!$B$315,INPUTS!$B$349,INPUTS!$B$383,INPUTS!$B$417),"")&amp;"")</f>
        <v/>
      </c>
      <c r="C273" s="122" t="str">
        <f aca="false">IF(INPUTS!$E$95&lt;&gt;"Yes","",IFERROR(CHOOSE(MATCH(INPUTS!$L$95,LISTS!$R$5:$R$10,0),INPUTS!$C$247,INPUTS!$C$281,INPUTS!$C$315,INPUTS!$C$349,INPUTS!$C$383,INPUTS!$C$417),"")&amp;"")</f>
        <v/>
      </c>
      <c r="D273" s="123" t="n">
        <f aca="false">IF(INPUTS!$E$95&lt;&gt;"Yes",0,N(IFERROR(CHOOSE(MATCH(INPUTS!$L$95,LISTS!$R$5:$R$10,0),INPUTS!$D$247,INPUTS!$D$281,INPUTS!$D$315,INPUTS!$D$349,INPUTS!$D$383,INPUTS!$D$417),"")))</f>
        <v>0</v>
      </c>
      <c r="E273" s="124" t="n">
        <f aca="false">IF(INPUTS!$E$95&lt;&gt;"Yes",0,N(IFERROR(CHOOSE(MATCH(INPUTS!$L$95,LISTS!$R$5:$R$10,0),INPUTS!$E$247,INPUTS!$E$281,INPUTS!$E$315,INPUTS!$E$349,INPUTS!$E$383,INPUTS!$E$417),"")))</f>
        <v>0</v>
      </c>
      <c r="F273" s="125" t="str">
        <f aca="false">IF(AND(C273="Construction % complete",E273&gt;0),MAX(COUNTIF(CURVES!$D$83:$AQ$83,"&lt;"&amp;(D273-0.000000001))+1,INPUTS!$R$95),"")</f>
        <v/>
      </c>
      <c r="G273" s="126" t="str">
        <f aca="false">IF(E273=0,"",IF(C273="Booking + quarters",IF(D273=0,"at booking",D273&amp;" qtr(s) after booking"),IF(F273&gt;INPUTS!$C$24,"NOT REACHED in model","construction "&amp;TEXT(D273,"0%")&amp;" reached in Q"&amp;F273)))</f>
        <v/>
      </c>
      <c r="H273" s="126"/>
      <c r="I273" s="126"/>
      <c r="J273" s="126"/>
      <c r="K273" s="126"/>
      <c r="L273" s="126"/>
    </row>
    <row r="274" customFormat="false" ht="15" hidden="false" customHeight="false" outlineLevel="0" collapsed="false">
      <c r="B274" s="121" t="str">
        <f aca="false">IF(INPUTS!$E$95&lt;&gt;"Yes","",IFERROR(CHOOSE(MATCH(INPUTS!$L$95,LISTS!$R$5:$R$10,0),INPUTS!$B$248,INPUTS!$B$282,INPUTS!$B$316,INPUTS!$B$350,INPUTS!$B$384,INPUTS!$B$418),"")&amp;"")</f>
        <v/>
      </c>
      <c r="C274" s="122" t="str">
        <f aca="false">IF(INPUTS!$E$95&lt;&gt;"Yes","",IFERROR(CHOOSE(MATCH(INPUTS!$L$95,LISTS!$R$5:$R$10,0),INPUTS!$C$248,INPUTS!$C$282,INPUTS!$C$316,INPUTS!$C$350,INPUTS!$C$384,INPUTS!$C$418),"")&amp;"")</f>
        <v/>
      </c>
      <c r="D274" s="123" t="n">
        <f aca="false">IF(INPUTS!$E$95&lt;&gt;"Yes",0,N(IFERROR(CHOOSE(MATCH(INPUTS!$L$95,LISTS!$R$5:$R$10,0),INPUTS!$D$248,INPUTS!$D$282,INPUTS!$D$316,INPUTS!$D$350,INPUTS!$D$384,INPUTS!$D$418),"")))</f>
        <v>0</v>
      </c>
      <c r="E274" s="124" t="n">
        <f aca="false">IF(INPUTS!$E$95&lt;&gt;"Yes",0,N(IFERROR(CHOOSE(MATCH(INPUTS!$L$95,LISTS!$R$5:$R$10,0),INPUTS!$E$248,INPUTS!$E$282,INPUTS!$E$316,INPUTS!$E$350,INPUTS!$E$384,INPUTS!$E$418),"")))</f>
        <v>0</v>
      </c>
      <c r="F274" s="125" t="str">
        <f aca="false">IF(AND(C274="Construction % complete",E274&gt;0),MAX(COUNTIF(CURVES!$D$83:$AQ$83,"&lt;"&amp;(D274-0.000000001))+1,INPUTS!$R$95),"")</f>
        <v/>
      </c>
      <c r="G274" s="126" t="str">
        <f aca="false">IF(E274=0,"",IF(C274="Booking + quarters",IF(D274=0,"at booking",D274&amp;" qtr(s) after booking"),IF(F274&gt;INPUTS!$C$24,"NOT REACHED in model","construction "&amp;TEXT(D274,"0%")&amp;" reached in Q"&amp;F274)))</f>
        <v/>
      </c>
      <c r="H274" s="126"/>
      <c r="I274" s="126"/>
      <c r="J274" s="126"/>
      <c r="K274" s="126"/>
      <c r="L274" s="126"/>
    </row>
    <row r="275" customFormat="false" ht="15" hidden="false" customHeight="false" outlineLevel="0" collapsed="false">
      <c r="B275" s="127" t="s">
        <v>708</v>
      </c>
      <c r="D275" s="128" t="n">
        <f aca="false">SUMIFS($E$245:$E$274,$C$245:$C$274,"Booking + quarters",$D$245:$D$274,0)</f>
        <v>0</v>
      </c>
      <c r="E275" s="128" t="n">
        <f aca="false">SUMIFS($E$245:$E$274,$C$245:$C$274,"Booking + quarters",$D$245:$D$274,1)</f>
        <v>0</v>
      </c>
      <c r="F275" s="128" t="n">
        <f aca="false">SUMIFS($E$245:$E$274,$C$245:$C$274,"Booking + quarters",$D$245:$D$274,2)</f>
        <v>0</v>
      </c>
      <c r="G275" s="128" t="n">
        <f aca="false">SUMIFS($E$245:$E$274,$C$245:$C$274,"Booking + quarters",$D$245:$D$274,3)</f>
        <v>0</v>
      </c>
      <c r="H275" s="128" t="n">
        <f aca="false">SUMIFS($E$245:$E$274,$C$245:$C$274,"Booking + quarters",$D$245:$D$274,4)</f>
        <v>0</v>
      </c>
      <c r="I275" s="128" t="n">
        <f aca="false">SUMIFS($E$245:$E$274,$C$245:$C$274,"Booking + quarters",$D$245:$D$274,5)</f>
        <v>0</v>
      </c>
      <c r="J275" s="128" t="n">
        <f aca="false">SUMIFS($E$245:$E$274,$C$245:$C$274,"Booking + quarters",$D$245:$D$274,6)</f>
        <v>0</v>
      </c>
      <c r="K275" s="128" t="n">
        <f aca="false">SUMIFS($E$245:$E$274,$C$245:$C$274,"Booking + quarters",$D$245:$D$274,7)</f>
        <v>0</v>
      </c>
      <c r="L275" s="128" t="n">
        <f aca="false">SUMIFS($E$245:$E$274,$C$245:$C$274,"Booking + quarters",$D$245:$D$274,8)</f>
        <v>0</v>
      </c>
      <c r="M275" s="128" t="n">
        <f aca="false">SUMIFS($E$245:$E$274,$C$245:$C$274,"Booking + quarters",$D$245:$D$274,9)</f>
        <v>0</v>
      </c>
      <c r="N275" s="128" t="n">
        <f aca="false">SUMIFS($E$245:$E$274,$C$245:$C$274,"Booking + quarters",$D$245:$D$274,10)</f>
        <v>0</v>
      </c>
      <c r="O275" s="128" t="n">
        <f aca="false">SUMIFS($E$245:$E$274,$C$245:$C$274,"Booking + quarters",$D$245:$D$274,11)</f>
        <v>0</v>
      </c>
      <c r="P275" s="128" t="n">
        <f aca="false">SUMIFS($E$245:$E$274,$C$245:$C$274,"Booking + quarters",$D$245:$D$274,12)</f>
        <v>0</v>
      </c>
    </row>
    <row r="276" customFormat="false" ht="15" hidden="false" customHeight="false" outlineLevel="0" collapsed="false">
      <c r="B276" s="127" t="s">
        <v>709</v>
      </c>
      <c r="C276" s="105" t="str">
        <f aca="false">IF(INPUTS!$E$95&lt;&gt;"Yes","Off",IF(ABS(SUM($E$245:$E$274)-1)&lt;0.000001,"OK","ERROR"))</f>
        <v>Off</v>
      </c>
    </row>
    <row r="277" customFormat="false" ht="15" hidden="false" customHeight="false" outlineLevel="0" collapsed="false">
      <c r="B277" s="110" t="str">
        <f aca="false">IF(INPUTS!$E$96="Yes",INPUTS!$B$96&amp;"   →   "&amp;INPUTS!$L$96,"Product row 9 (off)")</f>
        <v>Product row 9 (off)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</row>
    <row r="278" customFormat="false" ht="15" hidden="false" customHeight="false" outlineLevel="0" collapsed="false">
      <c r="B278" s="121" t="str">
        <f aca="false">IF(INPUTS!$E$96&lt;&gt;"Yes","",IFERROR(CHOOSE(MATCH(INPUTS!$L$96,LISTS!$R$5:$R$10,0),INPUTS!$B$219,INPUTS!$B$253,INPUTS!$B$287,INPUTS!$B$321,INPUTS!$B$355,INPUTS!$B$389),"")&amp;"")</f>
        <v/>
      </c>
      <c r="C278" s="122" t="str">
        <f aca="false">IF(INPUTS!$E$96&lt;&gt;"Yes","",IFERROR(CHOOSE(MATCH(INPUTS!$L$96,LISTS!$R$5:$R$10,0),INPUTS!$C$219,INPUTS!$C$253,INPUTS!$C$287,INPUTS!$C$321,INPUTS!$C$355,INPUTS!$C$389),"")&amp;"")</f>
        <v/>
      </c>
      <c r="D278" s="123" t="n">
        <f aca="false">IF(INPUTS!$E$96&lt;&gt;"Yes",0,N(IFERROR(CHOOSE(MATCH(INPUTS!$L$96,LISTS!$R$5:$R$10,0),INPUTS!$D$219,INPUTS!$D$253,INPUTS!$D$287,INPUTS!$D$321,INPUTS!$D$355,INPUTS!$D$389),"")))</f>
        <v>0</v>
      </c>
      <c r="E278" s="124" t="n">
        <f aca="false">IF(INPUTS!$E$96&lt;&gt;"Yes",0,N(IFERROR(CHOOSE(MATCH(INPUTS!$L$96,LISTS!$R$5:$R$10,0),INPUTS!$E$219,INPUTS!$E$253,INPUTS!$E$287,INPUTS!$E$321,INPUTS!$E$355,INPUTS!$E$389),"")))</f>
        <v>0</v>
      </c>
      <c r="F278" s="125" t="str">
        <f aca="false">IF(AND(C278="Construction % complete",E278&gt;0),MAX(COUNTIF(CURVES!$D$89:$AQ$89,"&lt;"&amp;(D278-0.000000001))+1,INPUTS!$R$96),"")</f>
        <v/>
      </c>
      <c r="G278" s="126" t="str">
        <f aca="false">IF(E278=0,"",IF(C278="Booking + quarters",IF(D278=0,"at booking",D278&amp;" qtr(s) after booking"),IF(F278&gt;INPUTS!$C$24,"NOT REACHED in model","construction "&amp;TEXT(D278,"0%")&amp;" reached in Q"&amp;F278)))</f>
        <v/>
      </c>
      <c r="H278" s="126"/>
      <c r="I278" s="126"/>
      <c r="J278" s="126"/>
      <c r="K278" s="126"/>
      <c r="L278" s="126"/>
    </row>
    <row r="279" customFormat="false" ht="15" hidden="false" customHeight="false" outlineLevel="0" collapsed="false">
      <c r="B279" s="121" t="str">
        <f aca="false">IF(INPUTS!$E$96&lt;&gt;"Yes","",IFERROR(CHOOSE(MATCH(INPUTS!$L$96,LISTS!$R$5:$R$10,0),INPUTS!$B$220,INPUTS!$B$254,INPUTS!$B$288,INPUTS!$B$322,INPUTS!$B$356,INPUTS!$B$390),"")&amp;"")</f>
        <v/>
      </c>
      <c r="C279" s="122" t="str">
        <f aca="false">IF(INPUTS!$E$96&lt;&gt;"Yes","",IFERROR(CHOOSE(MATCH(INPUTS!$L$96,LISTS!$R$5:$R$10,0),INPUTS!$C$220,INPUTS!$C$254,INPUTS!$C$288,INPUTS!$C$322,INPUTS!$C$356,INPUTS!$C$390),"")&amp;"")</f>
        <v/>
      </c>
      <c r="D279" s="123" t="n">
        <f aca="false">IF(INPUTS!$E$96&lt;&gt;"Yes",0,N(IFERROR(CHOOSE(MATCH(INPUTS!$L$96,LISTS!$R$5:$R$10,0),INPUTS!$D$220,INPUTS!$D$254,INPUTS!$D$288,INPUTS!$D$322,INPUTS!$D$356,INPUTS!$D$390),"")))</f>
        <v>0</v>
      </c>
      <c r="E279" s="124" t="n">
        <f aca="false">IF(INPUTS!$E$96&lt;&gt;"Yes",0,N(IFERROR(CHOOSE(MATCH(INPUTS!$L$96,LISTS!$R$5:$R$10,0),INPUTS!$E$220,INPUTS!$E$254,INPUTS!$E$288,INPUTS!$E$322,INPUTS!$E$356,INPUTS!$E$390),"")))</f>
        <v>0</v>
      </c>
      <c r="F279" s="125" t="str">
        <f aca="false">IF(AND(C279="Construction % complete",E279&gt;0),MAX(COUNTIF(CURVES!$D$89:$AQ$89,"&lt;"&amp;(D279-0.000000001))+1,INPUTS!$R$96),"")</f>
        <v/>
      </c>
      <c r="G279" s="126" t="str">
        <f aca="false">IF(E279=0,"",IF(C279="Booking + quarters",IF(D279=0,"at booking",D279&amp;" qtr(s) after booking"),IF(F279&gt;INPUTS!$C$24,"NOT REACHED in model","construction "&amp;TEXT(D279,"0%")&amp;" reached in Q"&amp;F279)))</f>
        <v/>
      </c>
      <c r="H279" s="126"/>
      <c r="I279" s="126"/>
      <c r="J279" s="126"/>
      <c r="K279" s="126"/>
      <c r="L279" s="126"/>
    </row>
    <row r="280" customFormat="false" ht="15" hidden="false" customHeight="false" outlineLevel="0" collapsed="false">
      <c r="B280" s="121" t="str">
        <f aca="false">IF(INPUTS!$E$96&lt;&gt;"Yes","",IFERROR(CHOOSE(MATCH(INPUTS!$L$96,LISTS!$R$5:$R$10,0),INPUTS!$B$221,INPUTS!$B$255,INPUTS!$B$289,INPUTS!$B$323,INPUTS!$B$357,INPUTS!$B$391),"")&amp;"")</f>
        <v/>
      </c>
      <c r="C280" s="122" t="str">
        <f aca="false">IF(INPUTS!$E$96&lt;&gt;"Yes","",IFERROR(CHOOSE(MATCH(INPUTS!$L$96,LISTS!$R$5:$R$10,0),INPUTS!$C$221,INPUTS!$C$255,INPUTS!$C$289,INPUTS!$C$323,INPUTS!$C$357,INPUTS!$C$391),"")&amp;"")</f>
        <v/>
      </c>
      <c r="D280" s="123" t="n">
        <f aca="false">IF(INPUTS!$E$96&lt;&gt;"Yes",0,N(IFERROR(CHOOSE(MATCH(INPUTS!$L$96,LISTS!$R$5:$R$10,0),INPUTS!$D$221,INPUTS!$D$255,INPUTS!$D$289,INPUTS!$D$323,INPUTS!$D$357,INPUTS!$D$391),"")))</f>
        <v>0</v>
      </c>
      <c r="E280" s="124" t="n">
        <f aca="false">IF(INPUTS!$E$96&lt;&gt;"Yes",0,N(IFERROR(CHOOSE(MATCH(INPUTS!$L$96,LISTS!$R$5:$R$10,0),INPUTS!$E$221,INPUTS!$E$255,INPUTS!$E$289,INPUTS!$E$323,INPUTS!$E$357,INPUTS!$E$391),"")))</f>
        <v>0</v>
      </c>
      <c r="F280" s="125" t="str">
        <f aca="false">IF(AND(C280="Construction % complete",E280&gt;0),MAX(COUNTIF(CURVES!$D$89:$AQ$89,"&lt;"&amp;(D280-0.000000001))+1,INPUTS!$R$96),"")</f>
        <v/>
      </c>
      <c r="G280" s="126" t="str">
        <f aca="false">IF(E280=0,"",IF(C280="Booking + quarters",IF(D280=0,"at booking",D280&amp;" qtr(s) after booking"),IF(F280&gt;INPUTS!$C$24,"NOT REACHED in model","construction "&amp;TEXT(D280,"0%")&amp;" reached in Q"&amp;F280)))</f>
        <v/>
      </c>
      <c r="H280" s="126"/>
      <c r="I280" s="126"/>
      <c r="J280" s="126"/>
      <c r="K280" s="126"/>
      <c r="L280" s="126"/>
    </row>
    <row r="281" customFormat="false" ht="15" hidden="false" customHeight="false" outlineLevel="0" collapsed="false">
      <c r="B281" s="121" t="str">
        <f aca="false">IF(INPUTS!$E$96&lt;&gt;"Yes","",IFERROR(CHOOSE(MATCH(INPUTS!$L$96,LISTS!$R$5:$R$10,0),INPUTS!$B$222,INPUTS!$B$256,INPUTS!$B$290,INPUTS!$B$324,INPUTS!$B$358,INPUTS!$B$392),"")&amp;"")</f>
        <v/>
      </c>
      <c r="C281" s="122" t="str">
        <f aca="false">IF(INPUTS!$E$96&lt;&gt;"Yes","",IFERROR(CHOOSE(MATCH(INPUTS!$L$96,LISTS!$R$5:$R$10,0),INPUTS!$C$222,INPUTS!$C$256,INPUTS!$C$290,INPUTS!$C$324,INPUTS!$C$358,INPUTS!$C$392),"")&amp;"")</f>
        <v/>
      </c>
      <c r="D281" s="123" t="n">
        <f aca="false">IF(INPUTS!$E$96&lt;&gt;"Yes",0,N(IFERROR(CHOOSE(MATCH(INPUTS!$L$96,LISTS!$R$5:$R$10,0),INPUTS!$D$222,INPUTS!$D$256,INPUTS!$D$290,INPUTS!$D$324,INPUTS!$D$358,INPUTS!$D$392),"")))</f>
        <v>0</v>
      </c>
      <c r="E281" s="124" t="n">
        <f aca="false">IF(INPUTS!$E$96&lt;&gt;"Yes",0,N(IFERROR(CHOOSE(MATCH(INPUTS!$L$96,LISTS!$R$5:$R$10,0),INPUTS!$E$222,INPUTS!$E$256,INPUTS!$E$290,INPUTS!$E$324,INPUTS!$E$358,INPUTS!$E$392),"")))</f>
        <v>0</v>
      </c>
      <c r="F281" s="125" t="str">
        <f aca="false">IF(AND(C281="Construction % complete",E281&gt;0),MAX(COUNTIF(CURVES!$D$89:$AQ$89,"&lt;"&amp;(D281-0.000000001))+1,INPUTS!$R$96),"")</f>
        <v/>
      </c>
      <c r="G281" s="126" t="str">
        <f aca="false">IF(E281=0,"",IF(C281="Booking + quarters",IF(D281=0,"at booking",D281&amp;" qtr(s) after booking"),IF(F281&gt;INPUTS!$C$24,"NOT REACHED in model","construction "&amp;TEXT(D281,"0%")&amp;" reached in Q"&amp;F281)))</f>
        <v/>
      </c>
      <c r="H281" s="126"/>
      <c r="I281" s="126"/>
      <c r="J281" s="126"/>
      <c r="K281" s="126"/>
      <c r="L281" s="126"/>
    </row>
    <row r="282" customFormat="false" ht="15" hidden="false" customHeight="false" outlineLevel="0" collapsed="false">
      <c r="B282" s="121" t="str">
        <f aca="false">IF(INPUTS!$E$96&lt;&gt;"Yes","",IFERROR(CHOOSE(MATCH(INPUTS!$L$96,LISTS!$R$5:$R$10,0),INPUTS!$B$223,INPUTS!$B$257,INPUTS!$B$291,INPUTS!$B$325,INPUTS!$B$359,INPUTS!$B$393),"")&amp;"")</f>
        <v/>
      </c>
      <c r="C282" s="122" t="str">
        <f aca="false">IF(INPUTS!$E$96&lt;&gt;"Yes","",IFERROR(CHOOSE(MATCH(INPUTS!$L$96,LISTS!$R$5:$R$10,0),INPUTS!$C$223,INPUTS!$C$257,INPUTS!$C$291,INPUTS!$C$325,INPUTS!$C$359,INPUTS!$C$393),"")&amp;"")</f>
        <v/>
      </c>
      <c r="D282" s="123" t="n">
        <f aca="false">IF(INPUTS!$E$96&lt;&gt;"Yes",0,N(IFERROR(CHOOSE(MATCH(INPUTS!$L$96,LISTS!$R$5:$R$10,0),INPUTS!$D$223,INPUTS!$D$257,INPUTS!$D$291,INPUTS!$D$325,INPUTS!$D$359,INPUTS!$D$393),"")))</f>
        <v>0</v>
      </c>
      <c r="E282" s="124" t="n">
        <f aca="false">IF(INPUTS!$E$96&lt;&gt;"Yes",0,N(IFERROR(CHOOSE(MATCH(INPUTS!$L$96,LISTS!$R$5:$R$10,0),INPUTS!$E$223,INPUTS!$E$257,INPUTS!$E$291,INPUTS!$E$325,INPUTS!$E$359,INPUTS!$E$393),"")))</f>
        <v>0</v>
      </c>
      <c r="F282" s="125" t="str">
        <f aca="false">IF(AND(C282="Construction % complete",E282&gt;0),MAX(COUNTIF(CURVES!$D$89:$AQ$89,"&lt;"&amp;(D282-0.000000001))+1,INPUTS!$R$96),"")</f>
        <v/>
      </c>
      <c r="G282" s="126" t="str">
        <f aca="false">IF(E282=0,"",IF(C282="Booking + quarters",IF(D282=0,"at booking",D282&amp;" qtr(s) after booking"),IF(F282&gt;INPUTS!$C$24,"NOT REACHED in model","construction "&amp;TEXT(D282,"0%")&amp;" reached in Q"&amp;F282)))</f>
        <v/>
      </c>
      <c r="H282" s="126"/>
      <c r="I282" s="126"/>
      <c r="J282" s="126"/>
      <c r="K282" s="126"/>
      <c r="L282" s="126"/>
    </row>
    <row r="283" customFormat="false" ht="15" hidden="false" customHeight="false" outlineLevel="0" collapsed="false">
      <c r="B283" s="121" t="str">
        <f aca="false">IF(INPUTS!$E$96&lt;&gt;"Yes","",IFERROR(CHOOSE(MATCH(INPUTS!$L$96,LISTS!$R$5:$R$10,0),INPUTS!$B$224,INPUTS!$B$258,INPUTS!$B$292,INPUTS!$B$326,INPUTS!$B$360,INPUTS!$B$394),"")&amp;"")</f>
        <v/>
      </c>
      <c r="C283" s="122" t="str">
        <f aca="false">IF(INPUTS!$E$96&lt;&gt;"Yes","",IFERROR(CHOOSE(MATCH(INPUTS!$L$96,LISTS!$R$5:$R$10,0),INPUTS!$C$224,INPUTS!$C$258,INPUTS!$C$292,INPUTS!$C$326,INPUTS!$C$360,INPUTS!$C$394),"")&amp;"")</f>
        <v/>
      </c>
      <c r="D283" s="123" t="n">
        <f aca="false">IF(INPUTS!$E$96&lt;&gt;"Yes",0,N(IFERROR(CHOOSE(MATCH(INPUTS!$L$96,LISTS!$R$5:$R$10,0),INPUTS!$D$224,INPUTS!$D$258,INPUTS!$D$292,INPUTS!$D$326,INPUTS!$D$360,INPUTS!$D$394),"")))</f>
        <v>0</v>
      </c>
      <c r="E283" s="124" t="n">
        <f aca="false">IF(INPUTS!$E$96&lt;&gt;"Yes",0,N(IFERROR(CHOOSE(MATCH(INPUTS!$L$96,LISTS!$R$5:$R$10,0),INPUTS!$E$224,INPUTS!$E$258,INPUTS!$E$292,INPUTS!$E$326,INPUTS!$E$360,INPUTS!$E$394),"")))</f>
        <v>0</v>
      </c>
      <c r="F283" s="125" t="str">
        <f aca="false">IF(AND(C283="Construction % complete",E283&gt;0),MAX(COUNTIF(CURVES!$D$89:$AQ$89,"&lt;"&amp;(D283-0.000000001))+1,INPUTS!$R$96),"")</f>
        <v/>
      </c>
      <c r="G283" s="126" t="str">
        <f aca="false">IF(E283=0,"",IF(C283="Booking + quarters",IF(D283=0,"at booking",D283&amp;" qtr(s) after booking"),IF(F283&gt;INPUTS!$C$24,"NOT REACHED in model","construction "&amp;TEXT(D283,"0%")&amp;" reached in Q"&amp;F283)))</f>
        <v/>
      </c>
      <c r="H283" s="126"/>
      <c r="I283" s="126"/>
      <c r="J283" s="126"/>
      <c r="K283" s="126"/>
      <c r="L283" s="126"/>
    </row>
    <row r="284" customFormat="false" ht="15" hidden="false" customHeight="false" outlineLevel="0" collapsed="false">
      <c r="B284" s="121" t="str">
        <f aca="false">IF(INPUTS!$E$96&lt;&gt;"Yes","",IFERROR(CHOOSE(MATCH(INPUTS!$L$96,LISTS!$R$5:$R$10,0),INPUTS!$B$225,INPUTS!$B$259,INPUTS!$B$293,INPUTS!$B$327,INPUTS!$B$361,INPUTS!$B$395),"")&amp;"")</f>
        <v/>
      </c>
      <c r="C284" s="122" t="str">
        <f aca="false">IF(INPUTS!$E$96&lt;&gt;"Yes","",IFERROR(CHOOSE(MATCH(INPUTS!$L$96,LISTS!$R$5:$R$10,0),INPUTS!$C$225,INPUTS!$C$259,INPUTS!$C$293,INPUTS!$C$327,INPUTS!$C$361,INPUTS!$C$395),"")&amp;"")</f>
        <v/>
      </c>
      <c r="D284" s="123" t="n">
        <f aca="false">IF(INPUTS!$E$96&lt;&gt;"Yes",0,N(IFERROR(CHOOSE(MATCH(INPUTS!$L$96,LISTS!$R$5:$R$10,0),INPUTS!$D$225,INPUTS!$D$259,INPUTS!$D$293,INPUTS!$D$327,INPUTS!$D$361,INPUTS!$D$395),"")))</f>
        <v>0</v>
      </c>
      <c r="E284" s="124" t="n">
        <f aca="false">IF(INPUTS!$E$96&lt;&gt;"Yes",0,N(IFERROR(CHOOSE(MATCH(INPUTS!$L$96,LISTS!$R$5:$R$10,0),INPUTS!$E$225,INPUTS!$E$259,INPUTS!$E$293,INPUTS!$E$327,INPUTS!$E$361,INPUTS!$E$395),"")))</f>
        <v>0</v>
      </c>
      <c r="F284" s="125" t="str">
        <f aca="false">IF(AND(C284="Construction % complete",E284&gt;0),MAX(COUNTIF(CURVES!$D$89:$AQ$89,"&lt;"&amp;(D284-0.000000001))+1,INPUTS!$R$96),"")</f>
        <v/>
      </c>
      <c r="G284" s="126" t="str">
        <f aca="false">IF(E284=0,"",IF(C284="Booking + quarters",IF(D284=0,"at booking",D284&amp;" qtr(s) after booking"),IF(F284&gt;INPUTS!$C$24,"NOT REACHED in model","construction "&amp;TEXT(D284,"0%")&amp;" reached in Q"&amp;F284)))</f>
        <v/>
      </c>
      <c r="H284" s="126"/>
      <c r="I284" s="126"/>
      <c r="J284" s="126"/>
      <c r="K284" s="126"/>
      <c r="L284" s="126"/>
    </row>
    <row r="285" customFormat="false" ht="15" hidden="false" customHeight="false" outlineLevel="0" collapsed="false">
      <c r="B285" s="121" t="str">
        <f aca="false">IF(INPUTS!$E$96&lt;&gt;"Yes","",IFERROR(CHOOSE(MATCH(INPUTS!$L$96,LISTS!$R$5:$R$10,0),INPUTS!$B$226,INPUTS!$B$260,INPUTS!$B$294,INPUTS!$B$328,INPUTS!$B$362,INPUTS!$B$396),"")&amp;"")</f>
        <v/>
      </c>
      <c r="C285" s="122" t="str">
        <f aca="false">IF(INPUTS!$E$96&lt;&gt;"Yes","",IFERROR(CHOOSE(MATCH(INPUTS!$L$96,LISTS!$R$5:$R$10,0),INPUTS!$C$226,INPUTS!$C$260,INPUTS!$C$294,INPUTS!$C$328,INPUTS!$C$362,INPUTS!$C$396),"")&amp;"")</f>
        <v/>
      </c>
      <c r="D285" s="123" t="n">
        <f aca="false">IF(INPUTS!$E$96&lt;&gt;"Yes",0,N(IFERROR(CHOOSE(MATCH(INPUTS!$L$96,LISTS!$R$5:$R$10,0),INPUTS!$D$226,INPUTS!$D$260,INPUTS!$D$294,INPUTS!$D$328,INPUTS!$D$362,INPUTS!$D$396),"")))</f>
        <v>0</v>
      </c>
      <c r="E285" s="124" t="n">
        <f aca="false">IF(INPUTS!$E$96&lt;&gt;"Yes",0,N(IFERROR(CHOOSE(MATCH(INPUTS!$L$96,LISTS!$R$5:$R$10,0),INPUTS!$E$226,INPUTS!$E$260,INPUTS!$E$294,INPUTS!$E$328,INPUTS!$E$362,INPUTS!$E$396),"")))</f>
        <v>0</v>
      </c>
      <c r="F285" s="125" t="str">
        <f aca="false">IF(AND(C285="Construction % complete",E285&gt;0),MAX(COUNTIF(CURVES!$D$89:$AQ$89,"&lt;"&amp;(D285-0.000000001))+1,INPUTS!$R$96),"")</f>
        <v/>
      </c>
      <c r="G285" s="126" t="str">
        <f aca="false">IF(E285=0,"",IF(C285="Booking + quarters",IF(D285=0,"at booking",D285&amp;" qtr(s) after booking"),IF(F285&gt;INPUTS!$C$24,"NOT REACHED in model","construction "&amp;TEXT(D285,"0%")&amp;" reached in Q"&amp;F285)))</f>
        <v/>
      </c>
      <c r="H285" s="126"/>
      <c r="I285" s="126"/>
      <c r="J285" s="126"/>
      <c r="K285" s="126"/>
      <c r="L285" s="126"/>
    </row>
    <row r="286" customFormat="false" ht="15" hidden="false" customHeight="false" outlineLevel="0" collapsed="false">
      <c r="B286" s="121" t="str">
        <f aca="false">IF(INPUTS!$E$96&lt;&gt;"Yes","",IFERROR(CHOOSE(MATCH(INPUTS!$L$96,LISTS!$R$5:$R$10,0),INPUTS!$B$227,INPUTS!$B$261,INPUTS!$B$295,INPUTS!$B$329,INPUTS!$B$363,INPUTS!$B$397),"")&amp;"")</f>
        <v/>
      </c>
      <c r="C286" s="122" t="str">
        <f aca="false">IF(INPUTS!$E$96&lt;&gt;"Yes","",IFERROR(CHOOSE(MATCH(INPUTS!$L$96,LISTS!$R$5:$R$10,0),INPUTS!$C$227,INPUTS!$C$261,INPUTS!$C$295,INPUTS!$C$329,INPUTS!$C$363,INPUTS!$C$397),"")&amp;"")</f>
        <v/>
      </c>
      <c r="D286" s="123" t="n">
        <f aca="false">IF(INPUTS!$E$96&lt;&gt;"Yes",0,N(IFERROR(CHOOSE(MATCH(INPUTS!$L$96,LISTS!$R$5:$R$10,0),INPUTS!$D$227,INPUTS!$D$261,INPUTS!$D$295,INPUTS!$D$329,INPUTS!$D$363,INPUTS!$D$397),"")))</f>
        <v>0</v>
      </c>
      <c r="E286" s="124" t="n">
        <f aca="false">IF(INPUTS!$E$96&lt;&gt;"Yes",0,N(IFERROR(CHOOSE(MATCH(INPUTS!$L$96,LISTS!$R$5:$R$10,0),INPUTS!$E$227,INPUTS!$E$261,INPUTS!$E$295,INPUTS!$E$329,INPUTS!$E$363,INPUTS!$E$397),"")))</f>
        <v>0</v>
      </c>
      <c r="F286" s="125" t="str">
        <f aca="false">IF(AND(C286="Construction % complete",E286&gt;0),MAX(COUNTIF(CURVES!$D$89:$AQ$89,"&lt;"&amp;(D286-0.000000001))+1,INPUTS!$R$96),"")</f>
        <v/>
      </c>
      <c r="G286" s="126" t="str">
        <f aca="false">IF(E286=0,"",IF(C286="Booking + quarters",IF(D286=0,"at booking",D286&amp;" qtr(s) after booking"),IF(F286&gt;INPUTS!$C$24,"NOT REACHED in model","construction "&amp;TEXT(D286,"0%")&amp;" reached in Q"&amp;F286)))</f>
        <v/>
      </c>
      <c r="H286" s="126"/>
      <c r="I286" s="126"/>
      <c r="J286" s="126"/>
      <c r="K286" s="126"/>
      <c r="L286" s="126"/>
    </row>
    <row r="287" customFormat="false" ht="15" hidden="false" customHeight="false" outlineLevel="0" collapsed="false">
      <c r="B287" s="121" t="str">
        <f aca="false">IF(INPUTS!$E$96&lt;&gt;"Yes","",IFERROR(CHOOSE(MATCH(INPUTS!$L$96,LISTS!$R$5:$R$10,0),INPUTS!$B$228,INPUTS!$B$262,INPUTS!$B$296,INPUTS!$B$330,INPUTS!$B$364,INPUTS!$B$398),"")&amp;"")</f>
        <v/>
      </c>
      <c r="C287" s="122" t="str">
        <f aca="false">IF(INPUTS!$E$96&lt;&gt;"Yes","",IFERROR(CHOOSE(MATCH(INPUTS!$L$96,LISTS!$R$5:$R$10,0),INPUTS!$C$228,INPUTS!$C$262,INPUTS!$C$296,INPUTS!$C$330,INPUTS!$C$364,INPUTS!$C$398),"")&amp;"")</f>
        <v/>
      </c>
      <c r="D287" s="123" t="n">
        <f aca="false">IF(INPUTS!$E$96&lt;&gt;"Yes",0,N(IFERROR(CHOOSE(MATCH(INPUTS!$L$96,LISTS!$R$5:$R$10,0),INPUTS!$D$228,INPUTS!$D$262,INPUTS!$D$296,INPUTS!$D$330,INPUTS!$D$364,INPUTS!$D$398),"")))</f>
        <v>0</v>
      </c>
      <c r="E287" s="124" t="n">
        <f aca="false">IF(INPUTS!$E$96&lt;&gt;"Yes",0,N(IFERROR(CHOOSE(MATCH(INPUTS!$L$96,LISTS!$R$5:$R$10,0),INPUTS!$E$228,INPUTS!$E$262,INPUTS!$E$296,INPUTS!$E$330,INPUTS!$E$364,INPUTS!$E$398),"")))</f>
        <v>0</v>
      </c>
      <c r="F287" s="125" t="str">
        <f aca="false">IF(AND(C287="Construction % complete",E287&gt;0),MAX(COUNTIF(CURVES!$D$89:$AQ$89,"&lt;"&amp;(D287-0.000000001))+1,INPUTS!$R$96),"")</f>
        <v/>
      </c>
      <c r="G287" s="126" t="str">
        <f aca="false">IF(E287=0,"",IF(C287="Booking + quarters",IF(D287=0,"at booking",D287&amp;" qtr(s) after booking"),IF(F287&gt;INPUTS!$C$24,"NOT REACHED in model","construction "&amp;TEXT(D287,"0%")&amp;" reached in Q"&amp;F287)))</f>
        <v/>
      </c>
      <c r="H287" s="126"/>
      <c r="I287" s="126"/>
      <c r="J287" s="126"/>
      <c r="K287" s="126"/>
      <c r="L287" s="126"/>
    </row>
    <row r="288" customFormat="false" ht="15" hidden="false" customHeight="false" outlineLevel="0" collapsed="false">
      <c r="B288" s="121" t="str">
        <f aca="false">IF(INPUTS!$E$96&lt;&gt;"Yes","",IFERROR(CHOOSE(MATCH(INPUTS!$L$96,LISTS!$R$5:$R$10,0),INPUTS!$B$229,INPUTS!$B$263,INPUTS!$B$297,INPUTS!$B$331,INPUTS!$B$365,INPUTS!$B$399),"")&amp;"")</f>
        <v/>
      </c>
      <c r="C288" s="122" t="str">
        <f aca="false">IF(INPUTS!$E$96&lt;&gt;"Yes","",IFERROR(CHOOSE(MATCH(INPUTS!$L$96,LISTS!$R$5:$R$10,0),INPUTS!$C$229,INPUTS!$C$263,INPUTS!$C$297,INPUTS!$C$331,INPUTS!$C$365,INPUTS!$C$399),"")&amp;"")</f>
        <v/>
      </c>
      <c r="D288" s="123" t="n">
        <f aca="false">IF(INPUTS!$E$96&lt;&gt;"Yes",0,N(IFERROR(CHOOSE(MATCH(INPUTS!$L$96,LISTS!$R$5:$R$10,0),INPUTS!$D$229,INPUTS!$D$263,INPUTS!$D$297,INPUTS!$D$331,INPUTS!$D$365,INPUTS!$D$399),"")))</f>
        <v>0</v>
      </c>
      <c r="E288" s="124" t="n">
        <f aca="false">IF(INPUTS!$E$96&lt;&gt;"Yes",0,N(IFERROR(CHOOSE(MATCH(INPUTS!$L$96,LISTS!$R$5:$R$10,0),INPUTS!$E$229,INPUTS!$E$263,INPUTS!$E$297,INPUTS!$E$331,INPUTS!$E$365,INPUTS!$E$399),"")))</f>
        <v>0</v>
      </c>
      <c r="F288" s="125" t="str">
        <f aca="false">IF(AND(C288="Construction % complete",E288&gt;0),MAX(COUNTIF(CURVES!$D$89:$AQ$89,"&lt;"&amp;(D288-0.000000001))+1,INPUTS!$R$96),"")</f>
        <v/>
      </c>
      <c r="G288" s="126" t="str">
        <f aca="false">IF(E288=0,"",IF(C288="Booking + quarters",IF(D288=0,"at booking",D288&amp;" qtr(s) after booking"),IF(F288&gt;INPUTS!$C$24,"NOT REACHED in model","construction "&amp;TEXT(D288,"0%")&amp;" reached in Q"&amp;F288)))</f>
        <v/>
      </c>
      <c r="H288" s="126"/>
      <c r="I288" s="126"/>
      <c r="J288" s="126"/>
      <c r="K288" s="126"/>
      <c r="L288" s="126"/>
    </row>
    <row r="289" customFormat="false" ht="15" hidden="false" customHeight="false" outlineLevel="0" collapsed="false">
      <c r="B289" s="121" t="str">
        <f aca="false">IF(INPUTS!$E$96&lt;&gt;"Yes","",IFERROR(CHOOSE(MATCH(INPUTS!$L$96,LISTS!$R$5:$R$10,0),INPUTS!$B$230,INPUTS!$B$264,INPUTS!$B$298,INPUTS!$B$332,INPUTS!$B$366,INPUTS!$B$400),"")&amp;"")</f>
        <v/>
      </c>
      <c r="C289" s="122" t="str">
        <f aca="false">IF(INPUTS!$E$96&lt;&gt;"Yes","",IFERROR(CHOOSE(MATCH(INPUTS!$L$96,LISTS!$R$5:$R$10,0),INPUTS!$C$230,INPUTS!$C$264,INPUTS!$C$298,INPUTS!$C$332,INPUTS!$C$366,INPUTS!$C$400),"")&amp;"")</f>
        <v/>
      </c>
      <c r="D289" s="123" t="n">
        <f aca="false">IF(INPUTS!$E$96&lt;&gt;"Yes",0,N(IFERROR(CHOOSE(MATCH(INPUTS!$L$96,LISTS!$R$5:$R$10,0),INPUTS!$D$230,INPUTS!$D$264,INPUTS!$D$298,INPUTS!$D$332,INPUTS!$D$366,INPUTS!$D$400),"")))</f>
        <v>0</v>
      </c>
      <c r="E289" s="124" t="n">
        <f aca="false">IF(INPUTS!$E$96&lt;&gt;"Yes",0,N(IFERROR(CHOOSE(MATCH(INPUTS!$L$96,LISTS!$R$5:$R$10,0),INPUTS!$E$230,INPUTS!$E$264,INPUTS!$E$298,INPUTS!$E$332,INPUTS!$E$366,INPUTS!$E$400),"")))</f>
        <v>0</v>
      </c>
      <c r="F289" s="125" t="str">
        <f aca="false">IF(AND(C289="Construction % complete",E289&gt;0),MAX(COUNTIF(CURVES!$D$89:$AQ$89,"&lt;"&amp;(D289-0.000000001))+1,INPUTS!$R$96),"")</f>
        <v/>
      </c>
      <c r="G289" s="126" t="str">
        <f aca="false">IF(E289=0,"",IF(C289="Booking + quarters",IF(D289=0,"at booking",D289&amp;" qtr(s) after booking"),IF(F289&gt;INPUTS!$C$24,"NOT REACHED in model","construction "&amp;TEXT(D289,"0%")&amp;" reached in Q"&amp;F289)))</f>
        <v/>
      </c>
      <c r="H289" s="126"/>
      <c r="I289" s="126"/>
      <c r="J289" s="126"/>
      <c r="K289" s="126"/>
      <c r="L289" s="126"/>
    </row>
    <row r="290" customFormat="false" ht="15" hidden="false" customHeight="false" outlineLevel="0" collapsed="false">
      <c r="B290" s="121" t="str">
        <f aca="false">IF(INPUTS!$E$96&lt;&gt;"Yes","",IFERROR(CHOOSE(MATCH(INPUTS!$L$96,LISTS!$R$5:$R$10,0),INPUTS!$B$231,INPUTS!$B$265,INPUTS!$B$299,INPUTS!$B$333,INPUTS!$B$367,INPUTS!$B$401),"")&amp;"")</f>
        <v/>
      </c>
      <c r="C290" s="122" t="str">
        <f aca="false">IF(INPUTS!$E$96&lt;&gt;"Yes","",IFERROR(CHOOSE(MATCH(INPUTS!$L$96,LISTS!$R$5:$R$10,0),INPUTS!$C$231,INPUTS!$C$265,INPUTS!$C$299,INPUTS!$C$333,INPUTS!$C$367,INPUTS!$C$401),"")&amp;"")</f>
        <v/>
      </c>
      <c r="D290" s="123" t="n">
        <f aca="false">IF(INPUTS!$E$96&lt;&gt;"Yes",0,N(IFERROR(CHOOSE(MATCH(INPUTS!$L$96,LISTS!$R$5:$R$10,0),INPUTS!$D$231,INPUTS!$D$265,INPUTS!$D$299,INPUTS!$D$333,INPUTS!$D$367,INPUTS!$D$401),"")))</f>
        <v>0</v>
      </c>
      <c r="E290" s="124" t="n">
        <f aca="false">IF(INPUTS!$E$96&lt;&gt;"Yes",0,N(IFERROR(CHOOSE(MATCH(INPUTS!$L$96,LISTS!$R$5:$R$10,0),INPUTS!$E$231,INPUTS!$E$265,INPUTS!$E$299,INPUTS!$E$333,INPUTS!$E$367,INPUTS!$E$401),"")))</f>
        <v>0</v>
      </c>
      <c r="F290" s="125" t="str">
        <f aca="false">IF(AND(C290="Construction % complete",E290&gt;0),MAX(COUNTIF(CURVES!$D$89:$AQ$89,"&lt;"&amp;(D290-0.000000001))+1,INPUTS!$R$96),"")</f>
        <v/>
      </c>
      <c r="G290" s="126" t="str">
        <f aca="false">IF(E290=0,"",IF(C290="Booking + quarters",IF(D290=0,"at booking",D290&amp;" qtr(s) after booking"),IF(F290&gt;INPUTS!$C$24,"NOT REACHED in model","construction "&amp;TEXT(D290,"0%")&amp;" reached in Q"&amp;F290)))</f>
        <v/>
      </c>
      <c r="H290" s="126"/>
      <c r="I290" s="126"/>
      <c r="J290" s="126"/>
      <c r="K290" s="126"/>
      <c r="L290" s="126"/>
    </row>
    <row r="291" customFormat="false" ht="15" hidden="false" customHeight="false" outlineLevel="0" collapsed="false">
      <c r="B291" s="121" t="str">
        <f aca="false">IF(INPUTS!$E$96&lt;&gt;"Yes","",IFERROR(CHOOSE(MATCH(INPUTS!$L$96,LISTS!$R$5:$R$10,0),INPUTS!$B$232,INPUTS!$B$266,INPUTS!$B$300,INPUTS!$B$334,INPUTS!$B$368,INPUTS!$B$402),"")&amp;"")</f>
        <v/>
      </c>
      <c r="C291" s="122" t="str">
        <f aca="false">IF(INPUTS!$E$96&lt;&gt;"Yes","",IFERROR(CHOOSE(MATCH(INPUTS!$L$96,LISTS!$R$5:$R$10,0),INPUTS!$C$232,INPUTS!$C$266,INPUTS!$C$300,INPUTS!$C$334,INPUTS!$C$368,INPUTS!$C$402),"")&amp;"")</f>
        <v/>
      </c>
      <c r="D291" s="123" t="n">
        <f aca="false">IF(INPUTS!$E$96&lt;&gt;"Yes",0,N(IFERROR(CHOOSE(MATCH(INPUTS!$L$96,LISTS!$R$5:$R$10,0),INPUTS!$D$232,INPUTS!$D$266,INPUTS!$D$300,INPUTS!$D$334,INPUTS!$D$368,INPUTS!$D$402),"")))</f>
        <v>0</v>
      </c>
      <c r="E291" s="124" t="n">
        <f aca="false">IF(INPUTS!$E$96&lt;&gt;"Yes",0,N(IFERROR(CHOOSE(MATCH(INPUTS!$L$96,LISTS!$R$5:$R$10,0),INPUTS!$E$232,INPUTS!$E$266,INPUTS!$E$300,INPUTS!$E$334,INPUTS!$E$368,INPUTS!$E$402),"")))</f>
        <v>0</v>
      </c>
      <c r="F291" s="125" t="str">
        <f aca="false">IF(AND(C291="Construction % complete",E291&gt;0),MAX(COUNTIF(CURVES!$D$89:$AQ$89,"&lt;"&amp;(D291-0.000000001))+1,INPUTS!$R$96),"")</f>
        <v/>
      </c>
      <c r="G291" s="126" t="str">
        <f aca="false">IF(E291=0,"",IF(C291="Booking + quarters",IF(D291=0,"at booking",D291&amp;" qtr(s) after booking"),IF(F291&gt;INPUTS!$C$24,"NOT REACHED in model","construction "&amp;TEXT(D291,"0%")&amp;" reached in Q"&amp;F291)))</f>
        <v/>
      </c>
      <c r="H291" s="126"/>
      <c r="I291" s="126"/>
      <c r="J291" s="126"/>
      <c r="K291" s="126"/>
      <c r="L291" s="126"/>
    </row>
    <row r="292" customFormat="false" ht="15" hidden="false" customHeight="false" outlineLevel="0" collapsed="false">
      <c r="B292" s="121" t="str">
        <f aca="false">IF(INPUTS!$E$96&lt;&gt;"Yes","",IFERROR(CHOOSE(MATCH(INPUTS!$L$96,LISTS!$R$5:$R$10,0),INPUTS!$B$233,INPUTS!$B$267,INPUTS!$B$301,INPUTS!$B$335,INPUTS!$B$369,INPUTS!$B$403),"")&amp;"")</f>
        <v/>
      </c>
      <c r="C292" s="122" t="str">
        <f aca="false">IF(INPUTS!$E$96&lt;&gt;"Yes","",IFERROR(CHOOSE(MATCH(INPUTS!$L$96,LISTS!$R$5:$R$10,0),INPUTS!$C$233,INPUTS!$C$267,INPUTS!$C$301,INPUTS!$C$335,INPUTS!$C$369,INPUTS!$C$403),"")&amp;"")</f>
        <v/>
      </c>
      <c r="D292" s="123" t="n">
        <f aca="false">IF(INPUTS!$E$96&lt;&gt;"Yes",0,N(IFERROR(CHOOSE(MATCH(INPUTS!$L$96,LISTS!$R$5:$R$10,0),INPUTS!$D$233,INPUTS!$D$267,INPUTS!$D$301,INPUTS!$D$335,INPUTS!$D$369,INPUTS!$D$403),"")))</f>
        <v>0</v>
      </c>
      <c r="E292" s="124" t="n">
        <f aca="false">IF(INPUTS!$E$96&lt;&gt;"Yes",0,N(IFERROR(CHOOSE(MATCH(INPUTS!$L$96,LISTS!$R$5:$R$10,0),INPUTS!$E$233,INPUTS!$E$267,INPUTS!$E$301,INPUTS!$E$335,INPUTS!$E$369,INPUTS!$E$403),"")))</f>
        <v>0</v>
      </c>
      <c r="F292" s="125" t="str">
        <f aca="false">IF(AND(C292="Construction % complete",E292&gt;0),MAX(COUNTIF(CURVES!$D$89:$AQ$89,"&lt;"&amp;(D292-0.000000001))+1,INPUTS!$R$96),"")</f>
        <v/>
      </c>
      <c r="G292" s="126" t="str">
        <f aca="false">IF(E292=0,"",IF(C292="Booking + quarters",IF(D292=0,"at booking",D292&amp;" qtr(s) after booking"),IF(F292&gt;INPUTS!$C$24,"NOT REACHED in model","construction "&amp;TEXT(D292,"0%")&amp;" reached in Q"&amp;F292)))</f>
        <v/>
      </c>
      <c r="H292" s="126"/>
      <c r="I292" s="126"/>
      <c r="J292" s="126"/>
      <c r="K292" s="126"/>
      <c r="L292" s="126"/>
    </row>
    <row r="293" customFormat="false" ht="15" hidden="false" customHeight="false" outlineLevel="0" collapsed="false">
      <c r="B293" s="121" t="str">
        <f aca="false">IF(INPUTS!$E$96&lt;&gt;"Yes","",IFERROR(CHOOSE(MATCH(INPUTS!$L$96,LISTS!$R$5:$R$10,0),INPUTS!$B$234,INPUTS!$B$268,INPUTS!$B$302,INPUTS!$B$336,INPUTS!$B$370,INPUTS!$B$404),"")&amp;"")</f>
        <v/>
      </c>
      <c r="C293" s="122" t="str">
        <f aca="false">IF(INPUTS!$E$96&lt;&gt;"Yes","",IFERROR(CHOOSE(MATCH(INPUTS!$L$96,LISTS!$R$5:$R$10,0),INPUTS!$C$234,INPUTS!$C$268,INPUTS!$C$302,INPUTS!$C$336,INPUTS!$C$370,INPUTS!$C$404),"")&amp;"")</f>
        <v/>
      </c>
      <c r="D293" s="123" t="n">
        <f aca="false">IF(INPUTS!$E$96&lt;&gt;"Yes",0,N(IFERROR(CHOOSE(MATCH(INPUTS!$L$96,LISTS!$R$5:$R$10,0),INPUTS!$D$234,INPUTS!$D$268,INPUTS!$D$302,INPUTS!$D$336,INPUTS!$D$370,INPUTS!$D$404),"")))</f>
        <v>0</v>
      </c>
      <c r="E293" s="124" t="n">
        <f aca="false">IF(INPUTS!$E$96&lt;&gt;"Yes",0,N(IFERROR(CHOOSE(MATCH(INPUTS!$L$96,LISTS!$R$5:$R$10,0),INPUTS!$E$234,INPUTS!$E$268,INPUTS!$E$302,INPUTS!$E$336,INPUTS!$E$370,INPUTS!$E$404),"")))</f>
        <v>0</v>
      </c>
      <c r="F293" s="125" t="str">
        <f aca="false">IF(AND(C293="Construction % complete",E293&gt;0),MAX(COUNTIF(CURVES!$D$89:$AQ$89,"&lt;"&amp;(D293-0.000000001))+1,INPUTS!$R$96),"")</f>
        <v/>
      </c>
      <c r="G293" s="126" t="str">
        <f aca="false">IF(E293=0,"",IF(C293="Booking + quarters",IF(D293=0,"at booking",D293&amp;" qtr(s) after booking"),IF(F293&gt;INPUTS!$C$24,"NOT REACHED in model","construction "&amp;TEXT(D293,"0%")&amp;" reached in Q"&amp;F293)))</f>
        <v/>
      </c>
      <c r="H293" s="126"/>
      <c r="I293" s="126"/>
      <c r="J293" s="126"/>
      <c r="K293" s="126"/>
      <c r="L293" s="126"/>
    </row>
    <row r="294" customFormat="false" ht="15" hidden="false" customHeight="false" outlineLevel="0" collapsed="false">
      <c r="B294" s="121" t="str">
        <f aca="false">IF(INPUTS!$E$96&lt;&gt;"Yes","",IFERROR(CHOOSE(MATCH(INPUTS!$L$96,LISTS!$R$5:$R$10,0),INPUTS!$B$235,INPUTS!$B$269,INPUTS!$B$303,INPUTS!$B$337,INPUTS!$B$371,INPUTS!$B$405),"")&amp;"")</f>
        <v/>
      </c>
      <c r="C294" s="122" t="str">
        <f aca="false">IF(INPUTS!$E$96&lt;&gt;"Yes","",IFERROR(CHOOSE(MATCH(INPUTS!$L$96,LISTS!$R$5:$R$10,0),INPUTS!$C$235,INPUTS!$C$269,INPUTS!$C$303,INPUTS!$C$337,INPUTS!$C$371,INPUTS!$C$405),"")&amp;"")</f>
        <v/>
      </c>
      <c r="D294" s="123" t="n">
        <f aca="false">IF(INPUTS!$E$96&lt;&gt;"Yes",0,N(IFERROR(CHOOSE(MATCH(INPUTS!$L$96,LISTS!$R$5:$R$10,0),INPUTS!$D$235,INPUTS!$D$269,INPUTS!$D$303,INPUTS!$D$337,INPUTS!$D$371,INPUTS!$D$405),"")))</f>
        <v>0</v>
      </c>
      <c r="E294" s="124" t="n">
        <f aca="false">IF(INPUTS!$E$96&lt;&gt;"Yes",0,N(IFERROR(CHOOSE(MATCH(INPUTS!$L$96,LISTS!$R$5:$R$10,0),INPUTS!$E$235,INPUTS!$E$269,INPUTS!$E$303,INPUTS!$E$337,INPUTS!$E$371,INPUTS!$E$405),"")))</f>
        <v>0</v>
      </c>
      <c r="F294" s="125" t="str">
        <f aca="false">IF(AND(C294="Construction % complete",E294&gt;0),MAX(COUNTIF(CURVES!$D$89:$AQ$89,"&lt;"&amp;(D294-0.000000001))+1,INPUTS!$R$96),"")</f>
        <v/>
      </c>
      <c r="G294" s="126" t="str">
        <f aca="false">IF(E294=0,"",IF(C294="Booking + quarters",IF(D294=0,"at booking",D294&amp;" qtr(s) after booking"),IF(F294&gt;INPUTS!$C$24,"NOT REACHED in model","construction "&amp;TEXT(D294,"0%")&amp;" reached in Q"&amp;F294)))</f>
        <v/>
      </c>
      <c r="H294" s="126"/>
      <c r="I294" s="126"/>
      <c r="J294" s="126"/>
      <c r="K294" s="126"/>
      <c r="L294" s="126"/>
    </row>
    <row r="295" customFormat="false" ht="15" hidden="false" customHeight="false" outlineLevel="0" collapsed="false">
      <c r="B295" s="121" t="str">
        <f aca="false">IF(INPUTS!$E$96&lt;&gt;"Yes","",IFERROR(CHOOSE(MATCH(INPUTS!$L$96,LISTS!$R$5:$R$10,0),INPUTS!$B$236,INPUTS!$B$270,INPUTS!$B$304,INPUTS!$B$338,INPUTS!$B$372,INPUTS!$B$406),"")&amp;"")</f>
        <v/>
      </c>
      <c r="C295" s="122" t="str">
        <f aca="false">IF(INPUTS!$E$96&lt;&gt;"Yes","",IFERROR(CHOOSE(MATCH(INPUTS!$L$96,LISTS!$R$5:$R$10,0),INPUTS!$C$236,INPUTS!$C$270,INPUTS!$C$304,INPUTS!$C$338,INPUTS!$C$372,INPUTS!$C$406),"")&amp;"")</f>
        <v/>
      </c>
      <c r="D295" s="123" t="n">
        <f aca="false">IF(INPUTS!$E$96&lt;&gt;"Yes",0,N(IFERROR(CHOOSE(MATCH(INPUTS!$L$96,LISTS!$R$5:$R$10,0),INPUTS!$D$236,INPUTS!$D$270,INPUTS!$D$304,INPUTS!$D$338,INPUTS!$D$372,INPUTS!$D$406),"")))</f>
        <v>0</v>
      </c>
      <c r="E295" s="124" t="n">
        <f aca="false">IF(INPUTS!$E$96&lt;&gt;"Yes",0,N(IFERROR(CHOOSE(MATCH(INPUTS!$L$96,LISTS!$R$5:$R$10,0),INPUTS!$E$236,INPUTS!$E$270,INPUTS!$E$304,INPUTS!$E$338,INPUTS!$E$372,INPUTS!$E$406),"")))</f>
        <v>0</v>
      </c>
      <c r="F295" s="125" t="str">
        <f aca="false">IF(AND(C295="Construction % complete",E295&gt;0),MAX(COUNTIF(CURVES!$D$89:$AQ$89,"&lt;"&amp;(D295-0.000000001))+1,INPUTS!$R$96),"")</f>
        <v/>
      </c>
      <c r="G295" s="126" t="str">
        <f aca="false">IF(E295=0,"",IF(C295="Booking + quarters",IF(D295=0,"at booking",D295&amp;" qtr(s) after booking"),IF(F295&gt;INPUTS!$C$24,"NOT REACHED in model","construction "&amp;TEXT(D295,"0%")&amp;" reached in Q"&amp;F295)))</f>
        <v/>
      </c>
      <c r="H295" s="126"/>
      <c r="I295" s="126"/>
      <c r="J295" s="126"/>
      <c r="K295" s="126"/>
      <c r="L295" s="126"/>
    </row>
    <row r="296" customFormat="false" ht="15" hidden="false" customHeight="false" outlineLevel="0" collapsed="false">
      <c r="B296" s="121" t="str">
        <f aca="false">IF(INPUTS!$E$96&lt;&gt;"Yes","",IFERROR(CHOOSE(MATCH(INPUTS!$L$96,LISTS!$R$5:$R$10,0),INPUTS!$B$237,INPUTS!$B$271,INPUTS!$B$305,INPUTS!$B$339,INPUTS!$B$373,INPUTS!$B$407),"")&amp;"")</f>
        <v/>
      </c>
      <c r="C296" s="122" t="str">
        <f aca="false">IF(INPUTS!$E$96&lt;&gt;"Yes","",IFERROR(CHOOSE(MATCH(INPUTS!$L$96,LISTS!$R$5:$R$10,0),INPUTS!$C$237,INPUTS!$C$271,INPUTS!$C$305,INPUTS!$C$339,INPUTS!$C$373,INPUTS!$C$407),"")&amp;"")</f>
        <v/>
      </c>
      <c r="D296" s="123" t="n">
        <f aca="false">IF(INPUTS!$E$96&lt;&gt;"Yes",0,N(IFERROR(CHOOSE(MATCH(INPUTS!$L$96,LISTS!$R$5:$R$10,0),INPUTS!$D$237,INPUTS!$D$271,INPUTS!$D$305,INPUTS!$D$339,INPUTS!$D$373,INPUTS!$D$407),"")))</f>
        <v>0</v>
      </c>
      <c r="E296" s="124" t="n">
        <f aca="false">IF(INPUTS!$E$96&lt;&gt;"Yes",0,N(IFERROR(CHOOSE(MATCH(INPUTS!$L$96,LISTS!$R$5:$R$10,0),INPUTS!$E$237,INPUTS!$E$271,INPUTS!$E$305,INPUTS!$E$339,INPUTS!$E$373,INPUTS!$E$407),"")))</f>
        <v>0</v>
      </c>
      <c r="F296" s="125" t="str">
        <f aca="false">IF(AND(C296="Construction % complete",E296&gt;0),MAX(COUNTIF(CURVES!$D$89:$AQ$89,"&lt;"&amp;(D296-0.000000001))+1,INPUTS!$R$96),"")</f>
        <v/>
      </c>
      <c r="G296" s="126" t="str">
        <f aca="false">IF(E296=0,"",IF(C296="Booking + quarters",IF(D296=0,"at booking",D296&amp;" qtr(s) after booking"),IF(F296&gt;INPUTS!$C$24,"NOT REACHED in model","construction "&amp;TEXT(D296,"0%")&amp;" reached in Q"&amp;F296)))</f>
        <v/>
      </c>
      <c r="H296" s="126"/>
      <c r="I296" s="126"/>
      <c r="J296" s="126"/>
      <c r="K296" s="126"/>
      <c r="L296" s="126"/>
    </row>
    <row r="297" customFormat="false" ht="15" hidden="false" customHeight="false" outlineLevel="0" collapsed="false">
      <c r="B297" s="121" t="str">
        <f aca="false">IF(INPUTS!$E$96&lt;&gt;"Yes","",IFERROR(CHOOSE(MATCH(INPUTS!$L$96,LISTS!$R$5:$R$10,0),INPUTS!$B$238,INPUTS!$B$272,INPUTS!$B$306,INPUTS!$B$340,INPUTS!$B$374,INPUTS!$B$408),"")&amp;"")</f>
        <v/>
      </c>
      <c r="C297" s="122" t="str">
        <f aca="false">IF(INPUTS!$E$96&lt;&gt;"Yes","",IFERROR(CHOOSE(MATCH(INPUTS!$L$96,LISTS!$R$5:$R$10,0),INPUTS!$C$238,INPUTS!$C$272,INPUTS!$C$306,INPUTS!$C$340,INPUTS!$C$374,INPUTS!$C$408),"")&amp;"")</f>
        <v/>
      </c>
      <c r="D297" s="123" t="n">
        <f aca="false">IF(INPUTS!$E$96&lt;&gt;"Yes",0,N(IFERROR(CHOOSE(MATCH(INPUTS!$L$96,LISTS!$R$5:$R$10,0),INPUTS!$D$238,INPUTS!$D$272,INPUTS!$D$306,INPUTS!$D$340,INPUTS!$D$374,INPUTS!$D$408),"")))</f>
        <v>0</v>
      </c>
      <c r="E297" s="124" t="n">
        <f aca="false">IF(INPUTS!$E$96&lt;&gt;"Yes",0,N(IFERROR(CHOOSE(MATCH(INPUTS!$L$96,LISTS!$R$5:$R$10,0),INPUTS!$E$238,INPUTS!$E$272,INPUTS!$E$306,INPUTS!$E$340,INPUTS!$E$374,INPUTS!$E$408),"")))</f>
        <v>0</v>
      </c>
      <c r="F297" s="125" t="str">
        <f aca="false">IF(AND(C297="Construction % complete",E297&gt;0),MAX(COUNTIF(CURVES!$D$89:$AQ$89,"&lt;"&amp;(D297-0.000000001))+1,INPUTS!$R$96),"")</f>
        <v/>
      </c>
      <c r="G297" s="126" t="str">
        <f aca="false">IF(E297=0,"",IF(C297="Booking + quarters",IF(D297=0,"at booking",D297&amp;" qtr(s) after booking"),IF(F297&gt;INPUTS!$C$24,"NOT REACHED in model","construction "&amp;TEXT(D297,"0%")&amp;" reached in Q"&amp;F297)))</f>
        <v/>
      </c>
      <c r="H297" s="126"/>
      <c r="I297" s="126"/>
      <c r="J297" s="126"/>
      <c r="K297" s="126"/>
      <c r="L297" s="126"/>
    </row>
    <row r="298" customFormat="false" ht="15" hidden="false" customHeight="false" outlineLevel="0" collapsed="false">
      <c r="B298" s="121" t="str">
        <f aca="false">IF(INPUTS!$E$96&lt;&gt;"Yes","",IFERROR(CHOOSE(MATCH(INPUTS!$L$96,LISTS!$R$5:$R$10,0),INPUTS!$B$239,INPUTS!$B$273,INPUTS!$B$307,INPUTS!$B$341,INPUTS!$B$375,INPUTS!$B$409),"")&amp;"")</f>
        <v/>
      </c>
      <c r="C298" s="122" t="str">
        <f aca="false">IF(INPUTS!$E$96&lt;&gt;"Yes","",IFERROR(CHOOSE(MATCH(INPUTS!$L$96,LISTS!$R$5:$R$10,0),INPUTS!$C$239,INPUTS!$C$273,INPUTS!$C$307,INPUTS!$C$341,INPUTS!$C$375,INPUTS!$C$409),"")&amp;"")</f>
        <v/>
      </c>
      <c r="D298" s="123" t="n">
        <f aca="false">IF(INPUTS!$E$96&lt;&gt;"Yes",0,N(IFERROR(CHOOSE(MATCH(INPUTS!$L$96,LISTS!$R$5:$R$10,0),INPUTS!$D$239,INPUTS!$D$273,INPUTS!$D$307,INPUTS!$D$341,INPUTS!$D$375,INPUTS!$D$409),"")))</f>
        <v>0</v>
      </c>
      <c r="E298" s="124" t="n">
        <f aca="false">IF(INPUTS!$E$96&lt;&gt;"Yes",0,N(IFERROR(CHOOSE(MATCH(INPUTS!$L$96,LISTS!$R$5:$R$10,0),INPUTS!$E$239,INPUTS!$E$273,INPUTS!$E$307,INPUTS!$E$341,INPUTS!$E$375,INPUTS!$E$409),"")))</f>
        <v>0</v>
      </c>
      <c r="F298" s="125" t="str">
        <f aca="false">IF(AND(C298="Construction % complete",E298&gt;0),MAX(COUNTIF(CURVES!$D$89:$AQ$89,"&lt;"&amp;(D298-0.000000001))+1,INPUTS!$R$96),"")</f>
        <v/>
      </c>
      <c r="G298" s="126" t="str">
        <f aca="false">IF(E298=0,"",IF(C298="Booking + quarters",IF(D298=0,"at booking",D298&amp;" qtr(s) after booking"),IF(F298&gt;INPUTS!$C$24,"NOT REACHED in model","construction "&amp;TEXT(D298,"0%")&amp;" reached in Q"&amp;F298)))</f>
        <v/>
      </c>
      <c r="H298" s="126"/>
      <c r="I298" s="126"/>
      <c r="J298" s="126"/>
      <c r="K298" s="126"/>
      <c r="L298" s="126"/>
    </row>
    <row r="299" customFormat="false" ht="15" hidden="false" customHeight="false" outlineLevel="0" collapsed="false">
      <c r="B299" s="121" t="str">
        <f aca="false">IF(INPUTS!$E$96&lt;&gt;"Yes","",IFERROR(CHOOSE(MATCH(INPUTS!$L$96,LISTS!$R$5:$R$10,0),INPUTS!$B$240,INPUTS!$B$274,INPUTS!$B$308,INPUTS!$B$342,INPUTS!$B$376,INPUTS!$B$410),"")&amp;"")</f>
        <v/>
      </c>
      <c r="C299" s="122" t="str">
        <f aca="false">IF(INPUTS!$E$96&lt;&gt;"Yes","",IFERROR(CHOOSE(MATCH(INPUTS!$L$96,LISTS!$R$5:$R$10,0),INPUTS!$C$240,INPUTS!$C$274,INPUTS!$C$308,INPUTS!$C$342,INPUTS!$C$376,INPUTS!$C$410),"")&amp;"")</f>
        <v/>
      </c>
      <c r="D299" s="123" t="n">
        <f aca="false">IF(INPUTS!$E$96&lt;&gt;"Yes",0,N(IFERROR(CHOOSE(MATCH(INPUTS!$L$96,LISTS!$R$5:$R$10,0),INPUTS!$D$240,INPUTS!$D$274,INPUTS!$D$308,INPUTS!$D$342,INPUTS!$D$376,INPUTS!$D$410),"")))</f>
        <v>0</v>
      </c>
      <c r="E299" s="124" t="n">
        <f aca="false">IF(INPUTS!$E$96&lt;&gt;"Yes",0,N(IFERROR(CHOOSE(MATCH(INPUTS!$L$96,LISTS!$R$5:$R$10,0),INPUTS!$E$240,INPUTS!$E$274,INPUTS!$E$308,INPUTS!$E$342,INPUTS!$E$376,INPUTS!$E$410),"")))</f>
        <v>0</v>
      </c>
      <c r="F299" s="125" t="str">
        <f aca="false">IF(AND(C299="Construction % complete",E299&gt;0),MAX(COUNTIF(CURVES!$D$89:$AQ$89,"&lt;"&amp;(D299-0.000000001))+1,INPUTS!$R$96),"")</f>
        <v/>
      </c>
      <c r="G299" s="126" t="str">
        <f aca="false">IF(E299=0,"",IF(C299="Booking + quarters",IF(D299=0,"at booking",D299&amp;" qtr(s) after booking"),IF(F299&gt;INPUTS!$C$24,"NOT REACHED in model","construction "&amp;TEXT(D299,"0%")&amp;" reached in Q"&amp;F299)))</f>
        <v/>
      </c>
      <c r="H299" s="126"/>
      <c r="I299" s="126"/>
      <c r="J299" s="126"/>
      <c r="K299" s="126"/>
      <c r="L299" s="126"/>
    </row>
    <row r="300" customFormat="false" ht="15" hidden="false" customHeight="false" outlineLevel="0" collapsed="false">
      <c r="B300" s="121" t="str">
        <f aca="false">IF(INPUTS!$E$96&lt;&gt;"Yes","",IFERROR(CHOOSE(MATCH(INPUTS!$L$96,LISTS!$R$5:$R$10,0),INPUTS!$B$241,INPUTS!$B$275,INPUTS!$B$309,INPUTS!$B$343,INPUTS!$B$377,INPUTS!$B$411),"")&amp;"")</f>
        <v/>
      </c>
      <c r="C300" s="122" t="str">
        <f aca="false">IF(INPUTS!$E$96&lt;&gt;"Yes","",IFERROR(CHOOSE(MATCH(INPUTS!$L$96,LISTS!$R$5:$R$10,0),INPUTS!$C$241,INPUTS!$C$275,INPUTS!$C$309,INPUTS!$C$343,INPUTS!$C$377,INPUTS!$C$411),"")&amp;"")</f>
        <v/>
      </c>
      <c r="D300" s="123" t="n">
        <f aca="false">IF(INPUTS!$E$96&lt;&gt;"Yes",0,N(IFERROR(CHOOSE(MATCH(INPUTS!$L$96,LISTS!$R$5:$R$10,0),INPUTS!$D$241,INPUTS!$D$275,INPUTS!$D$309,INPUTS!$D$343,INPUTS!$D$377,INPUTS!$D$411),"")))</f>
        <v>0</v>
      </c>
      <c r="E300" s="124" t="n">
        <f aca="false">IF(INPUTS!$E$96&lt;&gt;"Yes",0,N(IFERROR(CHOOSE(MATCH(INPUTS!$L$96,LISTS!$R$5:$R$10,0),INPUTS!$E$241,INPUTS!$E$275,INPUTS!$E$309,INPUTS!$E$343,INPUTS!$E$377,INPUTS!$E$411),"")))</f>
        <v>0</v>
      </c>
      <c r="F300" s="125" t="str">
        <f aca="false">IF(AND(C300="Construction % complete",E300&gt;0),MAX(COUNTIF(CURVES!$D$89:$AQ$89,"&lt;"&amp;(D300-0.000000001))+1,INPUTS!$R$96),"")</f>
        <v/>
      </c>
      <c r="G300" s="126" t="str">
        <f aca="false">IF(E300=0,"",IF(C300="Booking + quarters",IF(D300=0,"at booking",D300&amp;" qtr(s) after booking"),IF(F300&gt;INPUTS!$C$24,"NOT REACHED in model","construction "&amp;TEXT(D300,"0%")&amp;" reached in Q"&amp;F300)))</f>
        <v/>
      </c>
      <c r="H300" s="126"/>
      <c r="I300" s="126"/>
      <c r="J300" s="126"/>
      <c r="K300" s="126"/>
      <c r="L300" s="126"/>
    </row>
    <row r="301" customFormat="false" ht="15" hidden="false" customHeight="false" outlineLevel="0" collapsed="false">
      <c r="B301" s="121" t="str">
        <f aca="false">IF(INPUTS!$E$96&lt;&gt;"Yes","",IFERROR(CHOOSE(MATCH(INPUTS!$L$96,LISTS!$R$5:$R$10,0),INPUTS!$B$242,INPUTS!$B$276,INPUTS!$B$310,INPUTS!$B$344,INPUTS!$B$378,INPUTS!$B$412),"")&amp;"")</f>
        <v/>
      </c>
      <c r="C301" s="122" t="str">
        <f aca="false">IF(INPUTS!$E$96&lt;&gt;"Yes","",IFERROR(CHOOSE(MATCH(INPUTS!$L$96,LISTS!$R$5:$R$10,0),INPUTS!$C$242,INPUTS!$C$276,INPUTS!$C$310,INPUTS!$C$344,INPUTS!$C$378,INPUTS!$C$412),"")&amp;"")</f>
        <v/>
      </c>
      <c r="D301" s="123" t="n">
        <f aca="false">IF(INPUTS!$E$96&lt;&gt;"Yes",0,N(IFERROR(CHOOSE(MATCH(INPUTS!$L$96,LISTS!$R$5:$R$10,0),INPUTS!$D$242,INPUTS!$D$276,INPUTS!$D$310,INPUTS!$D$344,INPUTS!$D$378,INPUTS!$D$412),"")))</f>
        <v>0</v>
      </c>
      <c r="E301" s="124" t="n">
        <f aca="false">IF(INPUTS!$E$96&lt;&gt;"Yes",0,N(IFERROR(CHOOSE(MATCH(INPUTS!$L$96,LISTS!$R$5:$R$10,0),INPUTS!$E$242,INPUTS!$E$276,INPUTS!$E$310,INPUTS!$E$344,INPUTS!$E$378,INPUTS!$E$412),"")))</f>
        <v>0</v>
      </c>
      <c r="F301" s="125" t="str">
        <f aca="false">IF(AND(C301="Construction % complete",E301&gt;0),MAX(COUNTIF(CURVES!$D$89:$AQ$89,"&lt;"&amp;(D301-0.000000001))+1,INPUTS!$R$96),"")</f>
        <v/>
      </c>
      <c r="G301" s="126" t="str">
        <f aca="false">IF(E301=0,"",IF(C301="Booking + quarters",IF(D301=0,"at booking",D301&amp;" qtr(s) after booking"),IF(F301&gt;INPUTS!$C$24,"NOT REACHED in model","construction "&amp;TEXT(D301,"0%")&amp;" reached in Q"&amp;F301)))</f>
        <v/>
      </c>
      <c r="H301" s="126"/>
      <c r="I301" s="126"/>
      <c r="J301" s="126"/>
      <c r="K301" s="126"/>
      <c r="L301" s="126"/>
    </row>
    <row r="302" customFormat="false" ht="15" hidden="false" customHeight="false" outlineLevel="0" collapsed="false">
      <c r="B302" s="121" t="str">
        <f aca="false">IF(INPUTS!$E$96&lt;&gt;"Yes","",IFERROR(CHOOSE(MATCH(INPUTS!$L$96,LISTS!$R$5:$R$10,0),INPUTS!$B$243,INPUTS!$B$277,INPUTS!$B$311,INPUTS!$B$345,INPUTS!$B$379,INPUTS!$B$413),"")&amp;"")</f>
        <v/>
      </c>
      <c r="C302" s="122" t="str">
        <f aca="false">IF(INPUTS!$E$96&lt;&gt;"Yes","",IFERROR(CHOOSE(MATCH(INPUTS!$L$96,LISTS!$R$5:$R$10,0),INPUTS!$C$243,INPUTS!$C$277,INPUTS!$C$311,INPUTS!$C$345,INPUTS!$C$379,INPUTS!$C$413),"")&amp;"")</f>
        <v/>
      </c>
      <c r="D302" s="123" t="n">
        <f aca="false">IF(INPUTS!$E$96&lt;&gt;"Yes",0,N(IFERROR(CHOOSE(MATCH(INPUTS!$L$96,LISTS!$R$5:$R$10,0),INPUTS!$D$243,INPUTS!$D$277,INPUTS!$D$311,INPUTS!$D$345,INPUTS!$D$379,INPUTS!$D$413),"")))</f>
        <v>0</v>
      </c>
      <c r="E302" s="124" t="n">
        <f aca="false">IF(INPUTS!$E$96&lt;&gt;"Yes",0,N(IFERROR(CHOOSE(MATCH(INPUTS!$L$96,LISTS!$R$5:$R$10,0),INPUTS!$E$243,INPUTS!$E$277,INPUTS!$E$311,INPUTS!$E$345,INPUTS!$E$379,INPUTS!$E$413),"")))</f>
        <v>0</v>
      </c>
      <c r="F302" s="125" t="str">
        <f aca="false">IF(AND(C302="Construction % complete",E302&gt;0),MAX(COUNTIF(CURVES!$D$89:$AQ$89,"&lt;"&amp;(D302-0.000000001))+1,INPUTS!$R$96),"")</f>
        <v/>
      </c>
      <c r="G302" s="126" t="str">
        <f aca="false">IF(E302=0,"",IF(C302="Booking + quarters",IF(D302=0,"at booking",D302&amp;" qtr(s) after booking"),IF(F302&gt;INPUTS!$C$24,"NOT REACHED in model","construction "&amp;TEXT(D302,"0%")&amp;" reached in Q"&amp;F302)))</f>
        <v/>
      </c>
      <c r="H302" s="126"/>
      <c r="I302" s="126"/>
      <c r="J302" s="126"/>
      <c r="K302" s="126"/>
      <c r="L302" s="126"/>
    </row>
    <row r="303" customFormat="false" ht="15" hidden="false" customHeight="false" outlineLevel="0" collapsed="false">
      <c r="B303" s="121" t="str">
        <f aca="false">IF(INPUTS!$E$96&lt;&gt;"Yes","",IFERROR(CHOOSE(MATCH(INPUTS!$L$96,LISTS!$R$5:$R$10,0),INPUTS!$B$244,INPUTS!$B$278,INPUTS!$B$312,INPUTS!$B$346,INPUTS!$B$380,INPUTS!$B$414),"")&amp;"")</f>
        <v/>
      </c>
      <c r="C303" s="122" t="str">
        <f aca="false">IF(INPUTS!$E$96&lt;&gt;"Yes","",IFERROR(CHOOSE(MATCH(INPUTS!$L$96,LISTS!$R$5:$R$10,0),INPUTS!$C$244,INPUTS!$C$278,INPUTS!$C$312,INPUTS!$C$346,INPUTS!$C$380,INPUTS!$C$414),"")&amp;"")</f>
        <v/>
      </c>
      <c r="D303" s="123" t="n">
        <f aca="false">IF(INPUTS!$E$96&lt;&gt;"Yes",0,N(IFERROR(CHOOSE(MATCH(INPUTS!$L$96,LISTS!$R$5:$R$10,0),INPUTS!$D$244,INPUTS!$D$278,INPUTS!$D$312,INPUTS!$D$346,INPUTS!$D$380,INPUTS!$D$414),"")))</f>
        <v>0</v>
      </c>
      <c r="E303" s="124" t="n">
        <f aca="false">IF(INPUTS!$E$96&lt;&gt;"Yes",0,N(IFERROR(CHOOSE(MATCH(INPUTS!$L$96,LISTS!$R$5:$R$10,0),INPUTS!$E$244,INPUTS!$E$278,INPUTS!$E$312,INPUTS!$E$346,INPUTS!$E$380,INPUTS!$E$414),"")))</f>
        <v>0</v>
      </c>
      <c r="F303" s="125" t="str">
        <f aca="false">IF(AND(C303="Construction % complete",E303&gt;0),MAX(COUNTIF(CURVES!$D$89:$AQ$89,"&lt;"&amp;(D303-0.000000001))+1,INPUTS!$R$96),"")</f>
        <v/>
      </c>
      <c r="G303" s="126" t="str">
        <f aca="false">IF(E303=0,"",IF(C303="Booking + quarters",IF(D303=0,"at booking",D303&amp;" qtr(s) after booking"),IF(F303&gt;INPUTS!$C$24,"NOT REACHED in model","construction "&amp;TEXT(D303,"0%")&amp;" reached in Q"&amp;F303)))</f>
        <v/>
      </c>
      <c r="H303" s="126"/>
      <c r="I303" s="126"/>
      <c r="J303" s="126"/>
      <c r="K303" s="126"/>
      <c r="L303" s="126"/>
    </row>
    <row r="304" customFormat="false" ht="15" hidden="false" customHeight="false" outlineLevel="0" collapsed="false">
      <c r="B304" s="121" t="str">
        <f aca="false">IF(INPUTS!$E$96&lt;&gt;"Yes","",IFERROR(CHOOSE(MATCH(INPUTS!$L$96,LISTS!$R$5:$R$10,0),INPUTS!$B$245,INPUTS!$B$279,INPUTS!$B$313,INPUTS!$B$347,INPUTS!$B$381,INPUTS!$B$415),"")&amp;"")</f>
        <v/>
      </c>
      <c r="C304" s="122" t="str">
        <f aca="false">IF(INPUTS!$E$96&lt;&gt;"Yes","",IFERROR(CHOOSE(MATCH(INPUTS!$L$96,LISTS!$R$5:$R$10,0),INPUTS!$C$245,INPUTS!$C$279,INPUTS!$C$313,INPUTS!$C$347,INPUTS!$C$381,INPUTS!$C$415),"")&amp;"")</f>
        <v/>
      </c>
      <c r="D304" s="123" t="n">
        <f aca="false">IF(INPUTS!$E$96&lt;&gt;"Yes",0,N(IFERROR(CHOOSE(MATCH(INPUTS!$L$96,LISTS!$R$5:$R$10,0),INPUTS!$D$245,INPUTS!$D$279,INPUTS!$D$313,INPUTS!$D$347,INPUTS!$D$381,INPUTS!$D$415),"")))</f>
        <v>0</v>
      </c>
      <c r="E304" s="124" t="n">
        <f aca="false">IF(INPUTS!$E$96&lt;&gt;"Yes",0,N(IFERROR(CHOOSE(MATCH(INPUTS!$L$96,LISTS!$R$5:$R$10,0),INPUTS!$E$245,INPUTS!$E$279,INPUTS!$E$313,INPUTS!$E$347,INPUTS!$E$381,INPUTS!$E$415),"")))</f>
        <v>0</v>
      </c>
      <c r="F304" s="125" t="str">
        <f aca="false">IF(AND(C304="Construction % complete",E304&gt;0),MAX(COUNTIF(CURVES!$D$89:$AQ$89,"&lt;"&amp;(D304-0.000000001))+1,INPUTS!$R$96),"")</f>
        <v/>
      </c>
      <c r="G304" s="126" t="str">
        <f aca="false">IF(E304=0,"",IF(C304="Booking + quarters",IF(D304=0,"at booking",D304&amp;" qtr(s) after booking"),IF(F304&gt;INPUTS!$C$24,"NOT REACHED in model","construction "&amp;TEXT(D304,"0%")&amp;" reached in Q"&amp;F304)))</f>
        <v/>
      </c>
      <c r="H304" s="126"/>
      <c r="I304" s="126"/>
      <c r="J304" s="126"/>
      <c r="K304" s="126"/>
      <c r="L304" s="126"/>
    </row>
    <row r="305" customFormat="false" ht="15" hidden="false" customHeight="false" outlineLevel="0" collapsed="false">
      <c r="B305" s="121" t="str">
        <f aca="false">IF(INPUTS!$E$96&lt;&gt;"Yes","",IFERROR(CHOOSE(MATCH(INPUTS!$L$96,LISTS!$R$5:$R$10,0),INPUTS!$B$246,INPUTS!$B$280,INPUTS!$B$314,INPUTS!$B$348,INPUTS!$B$382,INPUTS!$B$416),"")&amp;"")</f>
        <v/>
      </c>
      <c r="C305" s="122" t="str">
        <f aca="false">IF(INPUTS!$E$96&lt;&gt;"Yes","",IFERROR(CHOOSE(MATCH(INPUTS!$L$96,LISTS!$R$5:$R$10,0),INPUTS!$C$246,INPUTS!$C$280,INPUTS!$C$314,INPUTS!$C$348,INPUTS!$C$382,INPUTS!$C$416),"")&amp;"")</f>
        <v/>
      </c>
      <c r="D305" s="123" t="n">
        <f aca="false">IF(INPUTS!$E$96&lt;&gt;"Yes",0,N(IFERROR(CHOOSE(MATCH(INPUTS!$L$96,LISTS!$R$5:$R$10,0),INPUTS!$D$246,INPUTS!$D$280,INPUTS!$D$314,INPUTS!$D$348,INPUTS!$D$382,INPUTS!$D$416),"")))</f>
        <v>0</v>
      </c>
      <c r="E305" s="124" t="n">
        <f aca="false">IF(INPUTS!$E$96&lt;&gt;"Yes",0,N(IFERROR(CHOOSE(MATCH(INPUTS!$L$96,LISTS!$R$5:$R$10,0),INPUTS!$E$246,INPUTS!$E$280,INPUTS!$E$314,INPUTS!$E$348,INPUTS!$E$382,INPUTS!$E$416),"")))</f>
        <v>0</v>
      </c>
      <c r="F305" s="125" t="str">
        <f aca="false">IF(AND(C305="Construction % complete",E305&gt;0),MAX(COUNTIF(CURVES!$D$89:$AQ$89,"&lt;"&amp;(D305-0.000000001))+1,INPUTS!$R$96),"")</f>
        <v/>
      </c>
      <c r="G305" s="126" t="str">
        <f aca="false">IF(E305=0,"",IF(C305="Booking + quarters",IF(D305=0,"at booking",D305&amp;" qtr(s) after booking"),IF(F305&gt;INPUTS!$C$24,"NOT REACHED in model","construction "&amp;TEXT(D305,"0%")&amp;" reached in Q"&amp;F305)))</f>
        <v/>
      </c>
      <c r="H305" s="126"/>
      <c r="I305" s="126"/>
      <c r="J305" s="126"/>
      <c r="K305" s="126"/>
      <c r="L305" s="126"/>
    </row>
    <row r="306" customFormat="false" ht="15" hidden="false" customHeight="false" outlineLevel="0" collapsed="false">
      <c r="B306" s="121" t="str">
        <f aca="false">IF(INPUTS!$E$96&lt;&gt;"Yes","",IFERROR(CHOOSE(MATCH(INPUTS!$L$96,LISTS!$R$5:$R$10,0),INPUTS!$B$247,INPUTS!$B$281,INPUTS!$B$315,INPUTS!$B$349,INPUTS!$B$383,INPUTS!$B$417),"")&amp;"")</f>
        <v/>
      </c>
      <c r="C306" s="122" t="str">
        <f aca="false">IF(INPUTS!$E$96&lt;&gt;"Yes","",IFERROR(CHOOSE(MATCH(INPUTS!$L$96,LISTS!$R$5:$R$10,0),INPUTS!$C$247,INPUTS!$C$281,INPUTS!$C$315,INPUTS!$C$349,INPUTS!$C$383,INPUTS!$C$417),"")&amp;"")</f>
        <v/>
      </c>
      <c r="D306" s="123" t="n">
        <f aca="false">IF(INPUTS!$E$96&lt;&gt;"Yes",0,N(IFERROR(CHOOSE(MATCH(INPUTS!$L$96,LISTS!$R$5:$R$10,0),INPUTS!$D$247,INPUTS!$D$281,INPUTS!$D$315,INPUTS!$D$349,INPUTS!$D$383,INPUTS!$D$417),"")))</f>
        <v>0</v>
      </c>
      <c r="E306" s="124" t="n">
        <f aca="false">IF(INPUTS!$E$96&lt;&gt;"Yes",0,N(IFERROR(CHOOSE(MATCH(INPUTS!$L$96,LISTS!$R$5:$R$10,0),INPUTS!$E$247,INPUTS!$E$281,INPUTS!$E$315,INPUTS!$E$349,INPUTS!$E$383,INPUTS!$E$417),"")))</f>
        <v>0</v>
      </c>
      <c r="F306" s="125" t="str">
        <f aca="false">IF(AND(C306="Construction % complete",E306&gt;0),MAX(COUNTIF(CURVES!$D$89:$AQ$89,"&lt;"&amp;(D306-0.000000001))+1,INPUTS!$R$96),"")</f>
        <v/>
      </c>
      <c r="G306" s="126" t="str">
        <f aca="false">IF(E306=0,"",IF(C306="Booking + quarters",IF(D306=0,"at booking",D306&amp;" qtr(s) after booking"),IF(F306&gt;INPUTS!$C$24,"NOT REACHED in model","construction "&amp;TEXT(D306,"0%")&amp;" reached in Q"&amp;F306)))</f>
        <v/>
      </c>
      <c r="H306" s="126"/>
      <c r="I306" s="126"/>
      <c r="J306" s="126"/>
      <c r="K306" s="126"/>
      <c r="L306" s="126"/>
    </row>
    <row r="307" customFormat="false" ht="15" hidden="false" customHeight="false" outlineLevel="0" collapsed="false">
      <c r="B307" s="121" t="str">
        <f aca="false">IF(INPUTS!$E$96&lt;&gt;"Yes","",IFERROR(CHOOSE(MATCH(INPUTS!$L$96,LISTS!$R$5:$R$10,0),INPUTS!$B$248,INPUTS!$B$282,INPUTS!$B$316,INPUTS!$B$350,INPUTS!$B$384,INPUTS!$B$418),"")&amp;"")</f>
        <v/>
      </c>
      <c r="C307" s="122" t="str">
        <f aca="false">IF(INPUTS!$E$96&lt;&gt;"Yes","",IFERROR(CHOOSE(MATCH(INPUTS!$L$96,LISTS!$R$5:$R$10,0),INPUTS!$C$248,INPUTS!$C$282,INPUTS!$C$316,INPUTS!$C$350,INPUTS!$C$384,INPUTS!$C$418),"")&amp;"")</f>
        <v/>
      </c>
      <c r="D307" s="123" t="n">
        <f aca="false">IF(INPUTS!$E$96&lt;&gt;"Yes",0,N(IFERROR(CHOOSE(MATCH(INPUTS!$L$96,LISTS!$R$5:$R$10,0),INPUTS!$D$248,INPUTS!$D$282,INPUTS!$D$316,INPUTS!$D$350,INPUTS!$D$384,INPUTS!$D$418),"")))</f>
        <v>0</v>
      </c>
      <c r="E307" s="124" t="n">
        <f aca="false">IF(INPUTS!$E$96&lt;&gt;"Yes",0,N(IFERROR(CHOOSE(MATCH(INPUTS!$L$96,LISTS!$R$5:$R$10,0),INPUTS!$E$248,INPUTS!$E$282,INPUTS!$E$316,INPUTS!$E$350,INPUTS!$E$384,INPUTS!$E$418),"")))</f>
        <v>0</v>
      </c>
      <c r="F307" s="125" t="str">
        <f aca="false">IF(AND(C307="Construction % complete",E307&gt;0),MAX(COUNTIF(CURVES!$D$89:$AQ$89,"&lt;"&amp;(D307-0.000000001))+1,INPUTS!$R$96),"")</f>
        <v/>
      </c>
      <c r="G307" s="126" t="str">
        <f aca="false">IF(E307=0,"",IF(C307="Booking + quarters",IF(D307=0,"at booking",D307&amp;" qtr(s) after booking"),IF(F307&gt;INPUTS!$C$24,"NOT REACHED in model","construction "&amp;TEXT(D307,"0%")&amp;" reached in Q"&amp;F307)))</f>
        <v/>
      </c>
      <c r="H307" s="126"/>
      <c r="I307" s="126"/>
      <c r="J307" s="126"/>
      <c r="K307" s="126"/>
      <c r="L307" s="126"/>
    </row>
    <row r="308" customFormat="false" ht="15" hidden="false" customHeight="false" outlineLevel="0" collapsed="false">
      <c r="B308" s="127" t="s">
        <v>708</v>
      </c>
      <c r="D308" s="128" t="n">
        <f aca="false">SUMIFS($E$278:$E$307,$C$278:$C$307,"Booking + quarters",$D$278:$D$307,0)</f>
        <v>0</v>
      </c>
      <c r="E308" s="128" t="n">
        <f aca="false">SUMIFS($E$278:$E$307,$C$278:$C$307,"Booking + quarters",$D$278:$D$307,1)</f>
        <v>0</v>
      </c>
      <c r="F308" s="128" t="n">
        <f aca="false">SUMIFS($E$278:$E$307,$C$278:$C$307,"Booking + quarters",$D$278:$D$307,2)</f>
        <v>0</v>
      </c>
      <c r="G308" s="128" t="n">
        <f aca="false">SUMIFS($E$278:$E$307,$C$278:$C$307,"Booking + quarters",$D$278:$D$307,3)</f>
        <v>0</v>
      </c>
      <c r="H308" s="128" t="n">
        <f aca="false">SUMIFS($E$278:$E$307,$C$278:$C$307,"Booking + quarters",$D$278:$D$307,4)</f>
        <v>0</v>
      </c>
      <c r="I308" s="128" t="n">
        <f aca="false">SUMIFS($E$278:$E$307,$C$278:$C$307,"Booking + quarters",$D$278:$D$307,5)</f>
        <v>0</v>
      </c>
      <c r="J308" s="128" t="n">
        <f aca="false">SUMIFS($E$278:$E$307,$C$278:$C$307,"Booking + quarters",$D$278:$D$307,6)</f>
        <v>0</v>
      </c>
      <c r="K308" s="128" t="n">
        <f aca="false">SUMIFS($E$278:$E$307,$C$278:$C$307,"Booking + quarters",$D$278:$D$307,7)</f>
        <v>0</v>
      </c>
      <c r="L308" s="128" t="n">
        <f aca="false">SUMIFS($E$278:$E$307,$C$278:$C$307,"Booking + quarters",$D$278:$D$307,8)</f>
        <v>0</v>
      </c>
      <c r="M308" s="128" t="n">
        <f aca="false">SUMIFS($E$278:$E$307,$C$278:$C$307,"Booking + quarters",$D$278:$D$307,9)</f>
        <v>0</v>
      </c>
      <c r="N308" s="128" t="n">
        <f aca="false">SUMIFS($E$278:$E$307,$C$278:$C$307,"Booking + quarters",$D$278:$D$307,10)</f>
        <v>0</v>
      </c>
      <c r="O308" s="128" t="n">
        <f aca="false">SUMIFS($E$278:$E$307,$C$278:$C$307,"Booking + quarters",$D$278:$D$307,11)</f>
        <v>0</v>
      </c>
      <c r="P308" s="128" t="n">
        <f aca="false">SUMIFS($E$278:$E$307,$C$278:$C$307,"Booking + quarters",$D$278:$D$307,12)</f>
        <v>0</v>
      </c>
    </row>
    <row r="309" customFormat="false" ht="15" hidden="false" customHeight="false" outlineLevel="0" collapsed="false">
      <c r="B309" s="127" t="s">
        <v>709</v>
      </c>
      <c r="C309" s="105" t="str">
        <f aca="false">IF(INPUTS!$E$96&lt;&gt;"Yes","Off",IF(ABS(SUM($E$278:$E$307)-1)&lt;0.000001,"OK","ERROR"))</f>
        <v>Off</v>
      </c>
    </row>
    <row r="310" customFormat="false" ht="15" hidden="false" customHeight="false" outlineLevel="0" collapsed="false">
      <c r="B310" s="110" t="str">
        <f aca="false">IF(INPUTS!$E$97="Yes",INPUTS!$B$97&amp;"   →   "&amp;INPUTS!$L$97,"Product row 10 (off)")</f>
        <v>Product row 10 (off)</v>
      </c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</row>
    <row r="311" customFormat="false" ht="15" hidden="false" customHeight="false" outlineLevel="0" collapsed="false">
      <c r="B311" s="121" t="str">
        <f aca="false">IF(INPUTS!$E$97&lt;&gt;"Yes","",IFERROR(CHOOSE(MATCH(INPUTS!$L$97,LISTS!$R$5:$R$10,0),INPUTS!$B$219,INPUTS!$B$253,INPUTS!$B$287,INPUTS!$B$321,INPUTS!$B$355,INPUTS!$B$389),"")&amp;"")</f>
        <v/>
      </c>
      <c r="C311" s="122" t="str">
        <f aca="false">IF(INPUTS!$E$97&lt;&gt;"Yes","",IFERROR(CHOOSE(MATCH(INPUTS!$L$97,LISTS!$R$5:$R$10,0),INPUTS!$C$219,INPUTS!$C$253,INPUTS!$C$287,INPUTS!$C$321,INPUTS!$C$355,INPUTS!$C$389),"")&amp;"")</f>
        <v/>
      </c>
      <c r="D311" s="123" t="n">
        <f aca="false">IF(INPUTS!$E$97&lt;&gt;"Yes",0,N(IFERROR(CHOOSE(MATCH(INPUTS!$L$97,LISTS!$R$5:$R$10,0),INPUTS!$D$219,INPUTS!$D$253,INPUTS!$D$287,INPUTS!$D$321,INPUTS!$D$355,INPUTS!$D$389),"")))</f>
        <v>0</v>
      </c>
      <c r="E311" s="124" t="n">
        <f aca="false">IF(INPUTS!$E$97&lt;&gt;"Yes",0,N(IFERROR(CHOOSE(MATCH(INPUTS!$L$97,LISTS!$R$5:$R$10,0),INPUTS!$E$219,INPUTS!$E$253,INPUTS!$E$287,INPUTS!$E$321,INPUTS!$E$355,INPUTS!$E$389),"")))</f>
        <v>0</v>
      </c>
      <c r="F311" s="125" t="str">
        <f aca="false">IF(AND(C311="Construction % complete",E311&gt;0),MAX(COUNTIF(CURVES!$D$95:$AQ$95,"&lt;"&amp;(D311-0.000000001))+1,INPUTS!$R$97),"")</f>
        <v/>
      </c>
      <c r="G311" s="126" t="str">
        <f aca="false">IF(E311=0,"",IF(C311="Booking + quarters",IF(D311=0,"at booking",D311&amp;" qtr(s) after booking"),IF(F311&gt;INPUTS!$C$24,"NOT REACHED in model","construction "&amp;TEXT(D311,"0%")&amp;" reached in Q"&amp;F311)))</f>
        <v/>
      </c>
      <c r="H311" s="126"/>
      <c r="I311" s="126"/>
      <c r="J311" s="126"/>
      <c r="K311" s="126"/>
      <c r="L311" s="126"/>
    </row>
    <row r="312" customFormat="false" ht="15" hidden="false" customHeight="false" outlineLevel="0" collapsed="false">
      <c r="B312" s="121" t="str">
        <f aca="false">IF(INPUTS!$E$97&lt;&gt;"Yes","",IFERROR(CHOOSE(MATCH(INPUTS!$L$97,LISTS!$R$5:$R$10,0),INPUTS!$B$220,INPUTS!$B$254,INPUTS!$B$288,INPUTS!$B$322,INPUTS!$B$356,INPUTS!$B$390),"")&amp;"")</f>
        <v/>
      </c>
      <c r="C312" s="122" t="str">
        <f aca="false">IF(INPUTS!$E$97&lt;&gt;"Yes","",IFERROR(CHOOSE(MATCH(INPUTS!$L$97,LISTS!$R$5:$R$10,0),INPUTS!$C$220,INPUTS!$C$254,INPUTS!$C$288,INPUTS!$C$322,INPUTS!$C$356,INPUTS!$C$390),"")&amp;"")</f>
        <v/>
      </c>
      <c r="D312" s="123" t="n">
        <f aca="false">IF(INPUTS!$E$97&lt;&gt;"Yes",0,N(IFERROR(CHOOSE(MATCH(INPUTS!$L$97,LISTS!$R$5:$R$10,0),INPUTS!$D$220,INPUTS!$D$254,INPUTS!$D$288,INPUTS!$D$322,INPUTS!$D$356,INPUTS!$D$390),"")))</f>
        <v>0</v>
      </c>
      <c r="E312" s="124" t="n">
        <f aca="false">IF(INPUTS!$E$97&lt;&gt;"Yes",0,N(IFERROR(CHOOSE(MATCH(INPUTS!$L$97,LISTS!$R$5:$R$10,0),INPUTS!$E$220,INPUTS!$E$254,INPUTS!$E$288,INPUTS!$E$322,INPUTS!$E$356,INPUTS!$E$390),"")))</f>
        <v>0</v>
      </c>
      <c r="F312" s="125" t="str">
        <f aca="false">IF(AND(C312="Construction % complete",E312&gt;0),MAX(COUNTIF(CURVES!$D$95:$AQ$95,"&lt;"&amp;(D312-0.000000001))+1,INPUTS!$R$97),"")</f>
        <v/>
      </c>
      <c r="G312" s="126" t="str">
        <f aca="false">IF(E312=0,"",IF(C312="Booking + quarters",IF(D312=0,"at booking",D312&amp;" qtr(s) after booking"),IF(F312&gt;INPUTS!$C$24,"NOT REACHED in model","construction "&amp;TEXT(D312,"0%")&amp;" reached in Q"&amp;F312)))</f>
        <v/>
      </c>
      <c r="H312" s="126"/>
      <c r="I312" s="126"/>
      <c r="J312" s="126"/>
      <c r="K312" s="126"/>
      <c r="L312" s="126"/>
    </row>
    <row r="313" customFormat="false" ht="15" hidden="false" customHeight="false" outlineLevel="0" collapsed="false">
      <c r="B313" s="121" t="str">
        <f aca="false">IF(INPUTS!$E$97&lt;&gt;"Yes","",IFERROR(CHOOSE(MATCH(INPUTS!$L$97,LISTS!$R$5:$R$10,0),INPUTS!$B$221,INPUTS!$B$255,INPUTS!$B$289,INPUTS!$B$323,INPUTS!$B$357,INPUTS!$B$391),"")&amp;"")</f>
        <v/>
      </c>
      <c r="C313" s="122" t="str">
        <f aca="false">IF(INPUTS!$E$97&lt;&gt;"Yes","",IFERROR(CHOOSE(MATCH(INPUTS!$L$97,LISTS!$R$5:$R$10,0),INPUTS!$C$221,INPUTS!$C$255,INPUTS!$C$289,INPUTS!$C$323,INPUTS!$C$357,INPUTS!$C$391),"")&amp;"")</f>
        <v/>
      </c>
      <c r="D313" s="123" t="n">
        <f aca="false">IF(INPUTS!$E$97&lt;&gt;"Yes",0,N(IFERROR(CHOOSE(MATCH(INPUTS!$L$97,LISTS!$R$5:$R$10,0),INPUTS!$D$221,INPUTS!$D$255,INPUTS!$D$289,INPUTS!$D$323,INPUTS!$D$357,INPUTS!$D$391),"")))</f>
        <v>0</v>
      </c>
      <c r="E313" s="124" t="n">
        <f aca="false">IF(INPUTS!$E$97&lt;&gt;"Yes",0,N(IFERROR(CHOOSE(MATCH(INPUTS!$L$97,LISTS!$R$5:$R$10,0),INPUTS!$E$221,INPUTS!$E$255,INPUTS!$E$289,INPUTS!$E$323,INPUTS!$E$357,INPUTS!$E$391),"")))</f>
        <v>0</v>
      </c>
      <c r="F313" s="125" t="str">
        <f aca="false">IF(AND(C313="Construction % complete",E313&gt;0),MAX(COUNTIF(CURVES!$D$95:$AQ$95,"&lt;"&amp;(D313-0.000000001))+1,INPUTS!$R$97),"")</f>
        <v/>
      </c>
      <c r="G313" s="126" t="str">
        <f aca="false">IF(E313=0,"",IF(C313="Booking + quarters",IF(D313=0,"at booking",D313&amp;" qtr(s) after booking"),IF(F313&gt;INPUTS!$C$24,"NOT REACHED in model","construction "&amp;TEXT(D313,"0%")&amp;" reached in Q"&amp;F313)))</f>
        <v/>
      </c>
      <c r="H313" s="126"/>
      <c r="I313" s="126"/>
      <c r="J313" s="126"/>
      <c r="K313" s="126"/>
      <c r="L313" s="126"/>
    </row>
    <row r="314" customFormat="false" ht="15" hidden="false" customHeight="false" outlineLevel="0" collapsed="false">
      <c r="B314" s="121" t="str">
        <f aca="false">IF(INPUTS!$E$97&lt;&gt;"Yes","",IFERROR(CHOOSE(MATCH(INPUTS!$L$97,LISTS!$R$5:$R$10,0),INPUTS!$B$222,INPUTS!$B$256,INPUTS!$B$290,INPUTS!$B$324,INPUTS!$B$358,INPUTS!$B$392),"")&amp;"")</f>
        <v/>
      </c>
      <c r="C314" s="122" t="str">
        <f aca="false">IF(INPUTS!$E$97&lt;&gt;"Yes","",IFERROR(CHOOSE(MATCH(INPUTS!$L$97,LISTS!$R$5:$R$10,0),INPUTS!$C$222,INPUTS!$C$256,INPUTS!$C$290,INPUTS!$C$324,INPUTS!$C$358,INPUTS!$C$392),"")&amp;"")</f>
        <v/>
      </c>
      <c r="D314" s="123" t="n">
        <f aca="false">IF(INPUTS!$E$97&lt;&gt;"Yes",0,N(IFERROR(CHOOSE(MATCH(INPUTS!$L$97,LISTS!$R$5:$R$10,0),INPUTS!$D$222,INPUTS!$D$256,INPUTS!$D$290,INPUTS!$D$324,INPUTS!$D$358,INPUTS!$D$392),"")))</f>
        <v>0</v>
      </c>
      <c r="E314" s="124" t="n">
        <f aca="false">IF(INPUTS!$E$97&lt;&gt;"Yes",0,N(IFERROR(CHOOSE(MATCH(INPUTS!$L$97,LISTS!$R$5:$R$10,0),INPUTS!$E$222,INPUTS!$E$256,INPUTS!$E$290,INPUTS!$E$324,INPUTS!$E$358,INPUTS!$E$392),"")))</f>
        <v>0</v>
      </c>
      <c r="F314" s="125" t="str">
        <f aca="false">IF(AND(C314="Construction % complete",E314&gt;0),MAX(COUNTIF(CURVES!$D$95:$AQ$95,"&lt;"&amp;(D314-0.000000001))+1,INPUTS!$R$97),"")</f>
        <v/>
      </c>
      <c r="G314" s="126" t="str">
        <f aca="false">IF(E314=0,"",IF(C314="Booking + quarters",IF(D314=0,"at booking",D314&amp;" qtr(s) after booking"),IF(F314&gt;INPUTS!$C$24,"NOT REACHED in model","construction "&amp;TEXT(D314,"0%")&amp;" reached in Q"&amp;F314)))</f>
        <v/>
      </c>
      <c r="H314" s="126"/>
      <c r="I314" s="126"/>
      <c r="J314" s="126"/>
      <c r="K314" s="126"/>
      <c r="L314" s="126"/>
    </row>
    <row r="315" customFormat="false" ht="15" hidden="false" customHeight="false" outlineLevel="0" collapsed="false">
      <c r="B315" s="121" t="str">
        <f aca="false">IF(INPUTS!$E$97&lt;&gt;"Yes","",IFERROR(CHOOSE(MATCH(INPUTS!$L$97,LISTS!$R$5:$R$10,0),INPUTS!$B$223,INPUTS!$B$257,INPUTS!$B$291,INPUTS!$B$325,INPUTS!$B$359,INPUTS!$B$393),"")&amp;"")</f>
        <v/>
      </c>
      <c r="C315" s="122" t="str">
        <f aca="false">IF(INPUTS!$E$97&lt;&gt;"Yes","",IFERROR(CHOOSE(MATCH(INPUTS!$L$97,LISTS!$R$5:$R$10,0),INPUTS!$C$223,INPUTS!$C$257,INPUTS!$C$291,INPUTS!$C$325,INPUTS!$C$359,INPUTS!$C$393),"")&amp;"")</f>
        <v/>
      </c>
      <c r="D315" s="123" t="n">
        <f aca="false">IF(INPUTS!$E$97&lt;&gt;"Yes",0,N(IFERROR(CHOOSE(MATCH(INPUTS!$L$97,LISTS!$R$5:$R$10,0),INPUTS!$D$223,INPUTS!$D$257,INPUTS!$D$291,INPUTS!$D$325,INPUTS!$D$359,INPUTS!$D$393),"")))</f>
        <v>0</v>
      </c>
      <c r="E315" s="124" t="n">
        <f aca="false">IF(INPUTS!$E$97&lt;&gt;"Yes",0,N(IFERROR(CHOOSE(MATCH(INPUTS!$L$97,LISTS!$R$5:$R$10,0),INPUTS!$E$223,INPUTS!$E$257,INPUTS!$E$291,INPUTS!$E$325,INPUTS!$E$359,INPUTS!$E$393),"")))</f>
        <v>0</v>
      </c>
      <c r="F315" s="125" t="str">
        <f aca="false">IF(AND(C315="Construction % complete",E315&gt;0),MAX(COUNTIF(CURVES!$D$95:$AQ$95,"&lt;"&amp;(D315-0.000000001))+1,INPUTS!$R$97),"")</f>
        <v/>
      </c>
      <c r="G315" s="126" t="str">
        <f aca="false">IF(E315=0,"",IF(C315="Booking + quarters",IF(D315=0,"at booking",D315&amp;" qtr(s) after booking"),IF(F315&gt;INPUTS!$C$24,"NOT REACHED in model","construction "&amp;TEXT(D315,"0%")&amp;" reached in Q"&amp;F315)))</f>
        <v/>
      </c>
      <c r="H315" s="126"/>
      <c r="I315" s="126"/>
      <c r="J315" s="126"/>
      <c r="K315" s="126"/>
      <c r="L315" s="126"/>
    </row>
    <row r="316" customFormat="false" ht="15" hidden="false" customHeight="false" outlineLevel="0" collapsed="false">
      <c r="B316" s="121" t="str">
        <f aca="false">IF(INPUTS!$E$97&lt;&gt;"Yes","",IFERROR(CHOOSE(MATCH(INPUTS!$L$97,LISTS!$R$5:$R$10,0),INPUTS!$B$224,INPUTS!$B$258,INPUTS!$B$292,INPUTS!$B$326,INPUTS!$B$360,INPUTS!$B$394),"")&amp;"")</f>
        <v/>
      </c>
      <c r="C316" s="122" t="str">
        <f aca="false">IF(INPUTS!$E$97&lt;&gt;"Yes","",IFERROR(CHOOSE(MATCH(INPUTS!$L$97,LISTS!$R$5:$R$10,0),INPUTS!$C$224,INPUTS!$C$258,INPUTS!$C$292,INPUTS!$C$326,INPUTS!$C$360,INPUTS!$C$394),"")&amp;"")</f>
        <v/>
      </c>
      <c r="D316" s="123" t="n">
        <f aca="false">IF(INPUTS!$E$97&lt;&gt;"Yes",0,N(IFERROR(CHOOSE(MATCH(INPUTS!$L$97,LISTS!$R$5:$R$10,0),INPUTS!$D$224,INPUTS!$D$258,INPUTS!$D$292,INPUTS!$D$326,INPUTS!$D$360,INPUTS!$D$394),"")))</f>
        <v>0</v>
      </c>
      <c r="E316" s="124" t="n">
        <f aca="false">IF(INPUTS!$E$97&lt;&gt;"Yes",0,N(IFERROR(CHOOSE(MATCH(INPUTS!$L$97,LISTS!$R$5:$R$10,0),INPUTS!$E$224,INPUTS!$E$258,INPUTS!$E$292,INPUTS!$E$326,INPUTS!$E$360,INPUTS!$E$394),"")))</f>
        <v>0</v>
      </c>
      <c r="F316" s="125" t="str">
        <f aca="false">IF(AND(C316="Construction % complete",E316&gt;0),MAX(COUNTIF(CURVES!$D$95:$AQ$95,"&lt;"&amp;(D316-0.000000001))+1,INPUTS!$R$97),"")</f>
        <v/>
      </c>
      <c r="G316" s="126" t="str">
        <f aca="false">IF(E316=0,"",IF(C316="Booking + quarters",IF(D316=0,"at booking",D316&amp;" qtr(s) after booking"),IF(F316&gt;INPUTS!$C$24,"NOT REACHED in model","construction "&amp;TEXT(D316,"0%")&amp;" reached in Q"&amp;F316)))</f>
        <v/>
      </c>
      <c r="H316" s="126"/>
      <c r="I316" s="126"/>
      <c r="J316" s="126"/>
      <c r="K316" s="126"/>
      <c r="L316" s="126"/>
    </row>
    <row r="317" customFormat="false" ht="15" hidden="false" customHeight="false" outlineLevel="0" collapsed="false">
      <c r="B317" s="121" t="str">
        <f aca="false">IF(INPUTS!$E$97&lt;&gt;"Yes","",IFERROR(CHOOSE(MATCH(INPUTS!$L$97,LISTS!$R$5:$R$10,0),INPUTS!$B$225,INPUTS!$B$259,INPUTS!$B$293,INPUTS!$B$327,INPUTS!$B$361,INPUTS!$B$395),"")&amp;"")</f>
        <v/>
      </c>
      <c r="C317" s="122" t="str">
        <f aca="false">IF(INPUTS!$E$97&lt;&gt;"Yes","",IFERROR(CHOOSE(MATCH(INPUTS!$L$97,LISTS!$R$5:$R$10,0),INPUTS!$C$225,INPUTS!$C$259,INPUTS!$C$293,INPUTS!$C$327,INPUTS!$C$361,INPUTS!$C$395),"")&amp;"")</f>
        <v/>
      </c>
      <c r="D317" s="123" t="n">
        <f aca="false">IF(INPUTS!$E$97&lt;&gt;"Yes",0,N(IFERROR(CHOOSE(MATCH(INPUTS!$L$97,LISTS!$R$5:$R$10,0),INPUTS!$D$225,INPUTS!$D$259,INPUTS!$D$293,INPUTS!$D$327,INPUTS!$D$361,INPUTS!$D$395),"")))</f>
        <v>0</v>
      </c>
      <c r="E317" s="124" t="n">
        <f aca="false">IF(INPUTS!$E$97&lt;&gt;"Yes",0,N(IFERROR(CHOOSE(MATCH(INPUTS!$L$97,LISTS!$R$5:$R$10,0),INPUTS!$E$225,INPUTS!$E$259,INPUTS!$E$293,INPUTS!$E$327,INPUTS!$E$361,INPUTS!$E$395),"")))</f>
        <v>0</v>
      </c>
      <c r="F317" s="125" t="str">
        <f aca="false">IF(AND(C317="Construction % complete",E317&gt;0),MAX(COUNTIF(CURVES!$D$95:$AQ$95,"&lt;"&amp;(D317-0.000000001))+1,INPUTS!$R$97),"")</f>
        <v/>
      </c>
      <c r="G317" s="126" t="str">
        <f aca="false">IF(E317=0,"",IF(C317="Booking + quarters",IF(D317=0,"at booking",D317&amp;" qtr(s) after booking"),IF(F317&gt;INPUTS!$C$24,"NOT REACHED in model","construction "&amp;TEXT(D317,"0%")&amp;" reached in Q"&amp;F317)))</f>
        <v/>
      </c>
      <c r="H317" s="126"/>
      <c r="I317" s="126"/>
      <c r="J317" s="126"/>
      <c r="K317" s="126"/>
      <c r="L317" s="126"/>
    </row>
    <row r="318" customFormat="false" ht="15" hidden="false" customHeight="false" outlineLevel="0" collapsed="false">
      <c r="B318" s="121" t="str">
        <f aca="false">IF(INPUTS!$E$97&lt;&gt;"Yes","",IFERROR(CHOOSE(MATCH(INPUTS!$L$97,LISTS!$R$5:$R$10,0),INPUTS!$B$226,INPUTS!$B$260,INPUTS!$B$294,INPUTS!$B$328,INPUTS!$B$362,INPUTS!$B$396),"")&amp;"")</f>
        <v/>
      </c>
      <c r="C318" s="122" t="str">
        <f aca="false">IF(INPUTS!$E$97&lt;&gt;"Yes","",IFERROR(CHOOSE(MATCH(INPUTS!$L$97,LISTS!$R$5:$R$10,0),INPUTS!$C$226,INPUTS!$C$260,INPUTS!$C$294,INPUTS!$C$328,INPUTS!$C$362,INPUTS!$C$396),"")&amp;"")</f>
        <v/>
      </c>
      <c r="D318" s="123" t="n">
        <f aca="false">IF(INPUTS!$E$97&lt;&gt;"Yes",0,N(IFERROR(CHOOSE(MATCH(INPUTS!$L$97,LISTS!$R$5:$R$10,0),INPUTS!$D$226,INPUTS!$D$260,INPUTS!$D$294,INPUTS!$D$328,INPUTS!$D$362,INPUTS!$D$396),"")))</f>
        <v>0</v>
      </c>
      <c r="E318" s="124" t="n">
        <f aca="false">IF(INPUTS!$E$97&lt;&gt;"Yes",0,N(IFERROR(CHOOSE(MATCH(INPUTS!$L$97,LISTS!$R$5:$R$10,0),INPUTS!$E$226,INPUTS!$E$260,INPUTS!$E$294,INPUTS!$E$328,INPUTS!$E$362,INPUTS!$E$396),"")))</f>
        <v>0</v>
      </c>
      <c r="F318" s="125" t="str">
        <f aca="false">IF(AND(C318="Construction % complete",E318&gt;0),MAX(COUNTIF(CURVES!$D$95:$AQ$95,"&lt;"&amp;(D318-0.000000001))+1,INPUTS!$R$97),"")</f>
        <v/>
      </c>
      <c r="G318" s="126" t="str">
        <f aca="false">IF(E318=0,"",IF(C318="Booking + quarters",IF(D318=0,"at booking",D318&amp;" qtr(s) after booking"),IF(F318&gt;INPUTS!$C$24,"NOT REACHED in model","construction "&amp;TEXT(D318,"0%")&amp;" reached in Q"&amp;F318)))</f>
        <v/>
      </c>
      <c r="H318" s="126"/>
      <c r="I318" s="126"/>
      <c r="J318" s="126"/>
      <c r="K318" s="126"/>
      <c r="L318" s="126"/>
    </row>
    <row r="319" customFormat="false" ht="15" hidden="false" customHeight="false" outlineLevel="0" collapsed="false">
      <c r="B319" s="121" t="str">
        <f aca="false">IF(INPUTS!$E$97&lt;&gt;"Yes","",IFERROR(CHOOSE(MATCH(INPUTS!$L$97,LISTS!$R$5:$R$10,0),INPUTS!$B$227,INPUTS!$B$261,INPUTS!$B$295,INPUTS!$B$329,INPUTS!$B$363,INPUTS!$B$397),"")&amp;"")</f>
        <v/>
      </c>
      <c r="C319" s="122" t="str">
        <f aca="false">IF(INPUTS!$E$97&lt;&gt;"Yes","",IFERROR(CHOOSE(MATCH(INPUTS!$L$97,LISTS!$R$5:$R$10,0),INPUTS!$C$227,INPUTS!$C$261,INPUTS!$C$295,INPUTS!$C$329,INPUTS!$C$363,INPUTS!$C$397),"")&amp;"")</f>
        <v/>
      </c>
      <c r="D319" s="123" t="n">
        <f aca="false">IF(INPUTS!$E$97&lt;&gt;"Yes",0,N(IFERROR(CHOOSE(MATCH(INPUTS!$L$97,LISTS!$R$5:$R$10,0),INPUTS!$D$227,INPUTS!$D$261,INPUTS!$D$295,INPUTS!$D$329,INPUTS!$D$363,INPUTS!$D$397),"")))</f>
        <v>0</v>
      </c>
      <c r="E319" s="124" t="n">
        <f aca="false">IF(INPUTS!$E$97&lt;&gt;"Yes",0,N(IFERROR(CHOOSE(MATCH(INPUTS!$L$97,LISTS!$R$5:$R$10,0),INPUTS!$E$227,INPUTS!$E$261,INPUTS!$E$295,INPUTS!$E$329,INPUTS!$E$363,INPUTS!$E$397),"")))</f>
        <v>0</v>
      </c>
      <c r="F319" s="125" t="str">
        <f aca="false">IF(AND(C319="Construction % complete",E319&gt;0),MAX(COUNTIF(CURVES!$D$95:$AQ$95,"&lt;"&amp;(D319-0.000000001))+1,INPUTS!$R$97),"")</f>
        <v/>
      </c>
      <c r="G319" s="126" t="str">
        <f aca="false">IF(E319=0,"",IF(C319="Booking + quarters",IF(D319=0,"at booking",D319&amp;" qtr(s) after booking"),IF(F319&gt;INPUTS!$C$24,"NOT REACHED in model","construction "&amp;TEXT(D319,"0%")&amp;" reached in Q"&amp;F319)))</f>
        <v/>
      </c>
      <c r="H319" s="126"/>
      <c r="I319" s="126"/>
      <c r="J319" s="126"/>
      <c r="K319" s="126"/>
      <c r="L319" s="126"/>
    </row>
    <row r="320" customFormat="false" ht="15" hidden="false" customHeight="false" outlineLevel="0" collapsed="false">
      <c r="B320" s="121" t="str">
        <f aca="false">IF(INPUTS!$E$97&lt;&gt;"Yes","",IFERROR(CHOOSE(MATCH(INPUTS!$L$97,LISTS!$R$5:$R$10,0),INPUTS!$B$228,INPUTS!$B$262,INPUTS!$B$296,INPUTS!$B$330,INPUTS!$B$364,INPUTS!$B$398),"")&amp;"")</f>
        <v/>
      </c>
      <c r="C320" s="122" t="str">
        <f aca="false">IF(INPUTS!$E$97&lt;&gt;"Yes","",IFERROR(CHOOSE(MATCH(INPUTS!$L$97,LISTS!$R$5:$R$10,0),INPUTS!$C$228,INPUTS!$C$262,INPUTS!$C$296,INPUTS!$C$330,INPUTS!$C$364,INPUTS!$C$398),"")&amp;"")</f>
        <v/>
      </c>
      <c r="D320" s="123" t="n">
        <f aca="false">IF(INPUTS!$E$97&lt;&gt;"Yes",0,N(IFERROR(CHOOSE(MATCH(INPUTS!$L$97,LISTS!$R$5:$R$10,0),INPUTS!$D$228,INPUTS!$D$262,INPUTS!$D$296,INPUTS!$D$330,INPUTS!$D$364,INPUTS!$D$398),"")))</f>
        <v>0</v>
      </c>
      <c r="E320" s="124" t="n">
        <f aca="false">IF(INPUTS!$E$97&lt;&gt;"Yes",0,N(IFERROR(CHOOSE(MATCH(INPUTS!$L$97,LISTS!$R$5:$R$10,0),INPUTS!$E$228,INPUTS!$E$262,INPUTS!$E$296,INPUTS!$E$330,INPUTS!$E$364,INPUTS!$E$398),"")))</f>
        <v>0</v>
      </c>
      <c r="F320" s="125" t="str">
        <f aca="false">IF(AND(C320="Construction % complete",E320&gt;0),MAX(COUNTIF(CURVES!$D$95:$AQ$95,"&lt;"&amp;(D320-0.000000001))+1,INPUTS!$R$97),"")</f>
        <v/>
      </c>
      <c r="G320" s="126" t="str">
        <f aca="false">IF(E320=0,"",IF(C320="Booking + quarters",IF(D320=0,"at booking",D320&amp;" qtr(s) after booking"),IF(F320&gt;INPUTS!$C$24,"NOT REACHED in model","construction "&amp;TEXT(D320,"0%")&amp;" reached in Q"&amp;F320)))</f>
        <v/>
      </c>
      <c r="H320" s="126"/>
      <c r="I320" s="126"/>
      <c r="J320" s="126"/>
      <c r="K320" s="126"/>
      <c r="L320" s="126"/>
    </row>
    <row r="321" customFormat="false" ht="15" hidden="false" customHeight="false" outlineLevel="0" collapsed="false">
      <c r="B321" s="121" t="str">
        <f aca="false">IF(INPUTS!$E$97&lt;&gt;"Yes","",IFERROR(CHOOSE(MATCH(INPUTS!$L$97,LISTS!$R$5:$R$10,0),INPUTS!$B$229,INPUTS!$B$263,INPUTS!$B$297,INPUTS!$B$331,INPUTS!$B$365,INPUTS!$B$399),"")&amp;"")</f>
        <v/>
      </c>
      <c r="C321" s="122" t="str">
        <f aca="false">IF(INPUTS!$E$97&lt;&gt;"Yes","",IFERROR(CHOOSE(MATCH(INPUTS!$L$97,LISTS!$R$5:$R$10,0),INPUTS!$C$229,INPUTS!$C$263,INPUTS!$C$297,INPUTS!$C$331,INPUTS!$C$365,INPUTS!$C$399),"")&amp;"")</f>
        <v/>
      </c>
      <c r="D321" s="123" t="n">
        <f aca="false">IF(INPUTS!$E$97&lt;&gt;"Yes",0,N(IFERROR(CHOOSE(MATCH(INPUTS!$L$97,LISTS!$R$5:$R$10,0),INPUTS!$D$229,INPUTS!$D$263,INPUTS!$D$297,INPUTS!$D$331,INPUTS!$D$365,INPUTS!$D$399),"")))</f>
        <v>0</v>
      </c>
      <c r="E321" s="124" t="n">
        <f aca="false">IF(INPUTS!$E$97&lt;&gt;"Yes",0,N(IFERROR(CHOOSE(MATCH(INPUTS!$L$97,LISTS!$R$5:$R$10,0),INPUTS!$E$229,INPUTS!$E$263,INPUTS!$E$297,INPUTS!$E$331,INPUTS!$E$365,INPUTS!$E$399),"")))</f>
        <v>0</v>
      </c>
      <c r="F321" s="125" t="str">
        <f aca="false">IF(AND(C321="Construction % complete",E321&gt;0),MAX(COUNTIF(CURVES!$D$95:$AQ$95,"&lt;"&amp;(D321-0.000000001))+1,INPUTS!$R$97),"")</f>
        <v/>
      </c>
      <c r="G321" s="126" t="str">
        <f aca="false">IF(E321=0,"",IF(C321="Booking + quarters",IF(D321=0,"at booking",D321&amp;" qtr(s) after booking"),IF(F321&gt;INPUTS!$C$24,"NOT REACHED in model","construction "&amp;TEXT(D321,"0%")&amp;" reached in Q"&amp;F321)))</f>
        <v/>
      </c>
      <c r="H321" s="126"/>
      <c r="I321" s="126"/>
      <c r="J321" s="126"/>
      <c r="K321" s="126"/>
      <c r="L321" s="126"/>
    </row>
    <row r="322" customFormat="false" ht="15" hidden="false" customHeight="false" outlineLevel="0" collapsed="false">
      <c r="B322" s="121" t="str">
        <f aca="false">IF(INPUTS!$E$97&lt;&gt;"Yes","",IFERROR(CHOOSE(MATCH(INPUTS!$L$97,LISTS!$R$5:$R$10,0),INPUTS!$B$230,INPUTS!$B$264,INPUTS!$B$298,INPUTS!$B$332,INPUTS!$B$366,INPUTS!$B$400),"")&amp;"")</f>
        <v/>
      </c>
      <c r="C322" s="122" t="str">
        <f aca="false">IF(INPUTS!$E$97&lt;&gt;"Yes","",IFERROR(CHOOSE(MATCH(INPUTS!$L$97,LISTS!$R$5:$R$10,0),INPUTS!$C$230,INPUTS!$C$264,INPUTS!$C$298,INPUTS!$C$332,INPUTS!$C$366,INPUTS!$C$400),"")&amp;"")</f>
        <v/>
      </c>
      <c r="D322" s="123" t="n">
        <f aca="false">IF(INPUTS!$E$97&lt;&gt;"Yes",0,N(IFERROR(CHOOSE(MATCH(INPUTS!$L$97,LISTS!$R$5:$R$10,0),INPUTS!$D$230,INPUTS!$D$264,INPUTS!$D$298,INPUTS!$D$332,INPUTS!$D$366,INPUTS!$D$400),"")))</f>
        <v>0</v>
      </c>
      <c r="E322" s="124" t="n">
        <f aca="false">IF(INPUTS!$E$97&lt;&gt;"Yes",0,N(IFERROR(CHOOSE(MATCH(INPUTS!$L$97,LISTS!$R$5:$R$10,0),INPUTS!$E$230,INPUTS!$E$264,INPUTS!$E$298,INPUTS!$E$332,INPUTS!$E$366,INPUTS!$E$400),"")))</f>
        <v>0</v>
      </c>
      <c r="F322" s="125" t="str">
        <f aca="false">IF(AND(C322="Construction % complete",E322&gt;0),MAX(COUNTIF(CURVES!$D$95:$AQ$95,"&lt;"&amp;(D322-0.000000001))+1,INPUTS!$R$97),"")</f>
        <v/>
      </c>
      <c r="G322" s="126" t="str">
        <f aca="false">IF(E322=0,"",IF(C322="Booking + quarters",IF(D322=0,"at booking",D322&amp;" qtr(s) after booking"),IF(F322&gt;INPUTS!$C$24,"NOT REACHED in model","construction "&amp;TEXT(D322,"0%")&amp;" reached in Q"&amp;F322)))</f>
        <v/>
      </c>
      <c r="H322" s="126"/>
      <c r="I322" s="126"/>
      <c r="J322" s="126"/>
      <c r="K322" s="126"/>
      <c r="L322" s="126"/>
    </row>
    <row r="323" customFormat="false" ht="15" hidden="false" customHeight="false" outlineLevel="0" collapsed="false">
      <c r="B323" s="121" t="str">
        <f aca="false">IF(INPUTS!$E$97&lt;&gt;"Yes","",IFERROR(CHOOSE(MATCH(INPUTS!$L$97,LISTS!$R$5:$R$10,0),INPUTS!$B$231,INPUTS!$B$265,INPUTS!$B$299,INPUTS!$B$333,INPUTS!$B$367,INPUTS!$B$401),"")&amp;"")</f>
        <v/>
      </c>
      <c r="C323" s="122" t="str">
        <f aca="false">IF(INPUTS!$E$97&lt;&gt;"Yes","",IFERROR(CHOOSE(MATCH(INPUTS!$L$97,LISTS!$R$5:$R$10,0),INPUTS!$C$231,INPUTS!$C$265,INPUTS!$C$299,INPUTS!$C$333,INPUTS!$C$367,INPUTS!$C$401),"")&amp;"")</f>
        <v/>
      </c>
      <c r="D323" s="123" t="n">
        <f aca="false">IF(INPUTS!$E$97&lt;&gt;"Yes",0,N(IFERROR(CHOOSE(MATCH(INPUTS!$L$97,LISTS!$R$5:$R$10,0),INPUTS!$D$231,INPUTS!$D$265,INPUTS!$D$299,INPUTS!$D$333,INPUTS!$D$367,INPUTS!$D$401),"")))</f>
        <v>0</v>
      </c>
      <c r="E323" s="124" t="n">
        <f aca="false">IF(INPUTS!$E$97&lt;&gt;"Yes",0,N(IFERROR(CHOOSE(MATCH(INPUTS!$L$97,LISTS!$R$5:$R$10,0),INPUTS!$E$231,INPUTS!$E$265,INPUTS!$E$299,INPUTS!$E$333,INPUTS!$E$367,INPUTS!$E$401),"")))</f>
        <v>0</v>
      </c>
      <c r="F323" s="125" t="str">
        <f aca="false">IF(AND(C323="Construction % complete",E323&gt;0),MAX(COUNTIF(CURVES!$D$95:$AQ$95,"&lt;"&amp;(D323-0.000000001))+1,INPUTS!$R$97),"")</f>
        <v/>
      </c>
      <c r="G323" s="126" t="str">
        <f aca="false">IF(E323=0,"",IF(C323="Booking + quarters",IF(D323=0,"at booking",D323&amp;" qtr(s) after booking"),IF(F323&gt;INPUTS!$C$24,"NOT REACHED in model","construction "&amp;TEXT(D323,"0%")&amp;" reached in Q"&amp;F323)))</f>
        <v/>
      </c>
      <c r="H323" s="126"/>
      <c r="I323" s="126"/>
      <c r="J323" s="126"/>
      <c r="K323" s="126"/>
      <c r="L323" s="126"/>
    </row>
    <row r="324" customFormat="false" ht="15" hidden="false" customHeight="false" outlineLevel="0" collapsed="false">
      <c r="B324" s="121" t="str">
        <f aca="false">IF(INPUTS!$E$97&lt;&gt;"Yes","",IFERROR(CHOOSE(MATCH(INPUTS!$L$97,LISTS!$R$5:$R$10,0),INPUTS!$B$232,INPUTS!$B$266,INPUTS!$B$300,INPUTS!$B$334,INPUTS!$B$368,INPUTS!$B$402),"")&amp;"")</f>
        <v/>
      </c>
      <c r="C324" s="122" t="str">
        <f aca="false">IF(INPUTS!$E$97&lt;&gt;"Yes","",IFERROR(CHOOSE(MATCH(INPUTS!$L$97,LISTS!$R$5:$R$10,0),INPUTS!$C$232,INPUTS!$C$266,INPUTS!$C$300,INPUTS!$C$334,INPUTS!$C$368,INPUTS!$C$402),"")&amp;"")</f>
        <v/>
      </c>
      <c r="D324" s="123" t="n">
        <f aca="false">IF(INPUTS!$E$97&lt;&gt;"Yes",0,N(IFERROR(CHOOSE(MATCH(INPUTS!$L$97,LISTS!$R$5:$R$10,0),INPUTS!$D$232,INPUTS!$D$266,INPUTS!$D$300,INPUTS!$D$334,INPUTS!$D$368,INPUTS!$D$402),"")))</f>
        <v>0</v>
      </c>
      <c r="E324" s="124" t="n">
        <f aca="false">IF(INPUTS!$E$97&lt;&gt;"Yes",0,N(IFERROR(CHOOSE(MATCH(INPUTS!$L$97,LISTS!$R$5:$R$10,0),INPUTS!$E$232,INPUTS!$E$266,INPUTS!$E$300,INPUTS!$E$334,INPUTS!$E$368,INPUTS!$E$402),"")))</f>
        <v>0</v>
      </c>
      <c r="F324" s="125" t="str">
        <f aca="false">IF(AND(C324="Construction % complete",E324&gt;0),MAX(COUNTIF(CURVES!$D$95:$AQ$95,"&lt;"&amp;(D324-0.000000001))+1,INPUTS!$R$97),"")</f>
        <v/>
      </c>
      <c r="G324" s="126" t="str">
        <f aca="false">IF(E324=0,"",IF(C324="Booking + quarters",IF(D324=0,"at booking",D324&amp;" qtr(s) after booking"),IF(F324&gt;INPUTS!$C$24,"NOT REACHED in model","construction "&amp;TEXT(D324,"0%")&amp;" reached in Q"&amp;F324)))</f>
        <v/>
      </c>
      <c r="H324" s="126"/>
      <c r="I324" s="126"/>
      <c r="J324" s="126"/>
      <c r="K324" s="126"/>
      <c r="L324" s="126"/>
    </row>
    <row r="325" customFormat="false" ht="15" hidden="false" customHeight="false" outlineLevel="0" collapsed="false">
      <c r="B325" s="121" t="str">
        <f aca="false">IF(INPUTS!$E$97&lt;&gt;"Yes","",IFERROR(CHOOSE(MATCH(INPUTS!$L$97,LISTS!$R$5:$R$10,0),INPUTS!$B$233,INPUTS!$B$267,INPUTS!$B$301,INPUTS!$B$335,INPUTS!$B$369,INPUTS!$B$403),"")&amp;"")</f>
        <v/>
      </c>
      <c r="C325" s="122" t="str">
        <f aca="false">IF(INPUTS!$E$97&lt;&gt;"Yes","",IFERROR(CHOOSE(MATCH(INPUTS!$L$97,LISTS!$R$5:$R$10,0),INPUTS!$C$233,INPUTS!$C$267,INPUTS!$C$301,INPUTS!$C$335,INPUTS!$C$369,INPUTS!$C$403),"")&amp;"")</f>
        <v/>
      </c>
      <c r="D325" s="123" t="n">
        <f aca="false">IF(INPUTS!$E$97&lt;&gt;"Yes",0,N(IFERROR(CHOOSE(MATCH(INPUTS!$L$97,LISTS!$R$5:$R$10,0),INPUTS!$D$233,INPUTS!$D$267,INPUTS!$D$301,INPUTS!$D$335,INPUTS!$D$369,INPUTS!$D$403),"")))</f>
        <v>0</v>
      </c>
      <c r="E325" s="124" t="n">
        <f aca="false">IF(INPUTS!$E$97&lt;&gt;"Yes",0,N(IFERROR(CHOOSE(MATCH(INPUTS!$L$97,LISTS!$R$5:$R$10,0),INPUTS!$E$233,INPUTS!$E$267,INPUTS!$E$301,INPUTS!$E$335,INPUTS!$E$369,INPUTS!$E$403),"")))</f>
        <v>0</v>
      </c>
      <c r="F325" s="125" t="str">
        <f aca="false">IF(AND(C325="Construction % complete",E325&gt;0),MAX(COUNTIF(CURVES!$D$95:$AQ$95,"&lt;"&amp;(D325-0.000000001))+1,INPUTS!$R$97),"")</f>
        <v/>
      </c>
      <c r="G325" s="126" t="str">
        <f aca="false">IF(E325=0,"",IF(C325="Booking + quarters",IF(D325=0,"at booking",D325&amp;" qtr(s) after booking"),IF(F325&gt;INPUTS!$C$24,"NOT REACHED in model","construction "&amp;TEXT(D325,"0%")&amp;" reached in Q"&amp;F325)))</f>
        <v/>
      </c>
      <c r="H325" s="126"/>
      <c r="I325" s="126"/>
      <c r="J325" s="126"/>
      <c r="K325" s="126"/>
      <c r="L325" s="126"/>
    </row>
    <row r="326" customFormat="false" ht="15" hidden="false" customHeight="false" outlineLevel="0" collapsed="false">
      <c r="B326" s="121" t="str">
        <f aca="false">IF(INPUTS!$E$97&lt;&gt;"Yes","",IFERROR(CHOOSE(MATCH(INPUTS!$L$97,LISTS!$R$5:$R$10,0),INPUTS!$B$234,INPUTS!$B$268,INPUTS!$B$302,INPUTS!$B$336,INPUTS!$B$370,INPUTS!$B$404),"")&amp;"")</f>
        <v/>
      </c>
      <c r="C326" s="122" t="str">
        <f aca="false">IF(INPUTS!$E$97&lt;&gt;"Yes","",IFERROR(CHOOSE(MATCH(INPUTS!$L$97,LISTS!$R$5:$R$10,0),INPUTS!$C$234,INPUTS!$C$268,INPUTS!$C$302,INPUTS!$C$336,INPUTS!$C$370,INPUTS!$C$404),"")&amp;"")</f>
        <v/>
      </c>
      <c r="D326" s="123" t="n">
        <f aca="false">IF(INPUTS!$E$97&lt;&gt;"Yes",0,N(IFERROR(CHOOSE(MATCH(INPUTS!$L$97,LISTS!$R$5:$R$10,0),INPUTS!$D$234,INPUTS!$D$268,INPUTS!$D$302,INPUTS!$D$336,INPUTS!$D$370,INPUTS!$D$404),"")))</f>
        <v>0</v>
      </c>
      <c r="E326" s="124" t="n">
        <f aca="false">IF(INPUTS!$E$97&lt;&gt;"Yes",0,N(IFERROR(CHOOSE(MATCH(INPUTS!$L$97,LISTS!$R$5:$R$10,0),INPUTS!$E$234,INPUTS!$E$268,INPUTS!$E$302,INPUTS!$E$336,INPUTS!$E$370,INPUTS!$E$404),"")))</f>
        <v>0</v>
      </c>
      <c r="F326" s="125" t="str">
        <f aca="false">IF(AND(C326="Construction % complete",E326&gt;0),MAX(COUNTIF(CURVES!$D$95:$AQ$95,"&lt;"&amp;(D326-0.000000001))+1,INPUTS!$R$97),"")</f>
        <v/>
      </c>
      <c r="G326" s="126" t="str">
        <f aca="false">IF(E326=0,"",IF(C326="Booking + quarters",IF(D326=0,"at booking",D326&amp;" qtr(s) after booking"),IF(F326&gt;INPUTS!$C$24,"NOT REACHED in model","construction "&amp;TEXT(D326,"0%")&amp;" reached in Q"&amp;F326)))</f>
        <v/>
      </c>
      <c r="H326" s="126"/>
      <c r="I326" s="126"/>
      <c r="J326" s="126"/>
      <c r="K326" s="126"/>
      <c r="L326" s="126"/>
    </row>
    <row r="327" customFormat="false" ht="15" hidden="false" customHeight="false" outlineLevel="0" collapsed="false">
      <c r="B327" s="121" t="str">
        <f aca="false">IF(INPUTS!$E$97&lt;&gt;"Yes","",IFERROR(CHOOSE(MATCH(INPUTS!$L$97,LISTS!$R$5:$R$10,0),INPUTS!$B$235,INPUTS!$B$269,INPUTS!$B$303,INPUTS!$B$337,INPUTS!$B$371,INPUTS!$B$405),"")&amp;"")</f>
        <v/>
      </c>
      <c r="C327" s="122" t="str">
        <f aca="false">IF(INPUTS!$E$97&lt;&gt;"Yes","",IFERROR(CHOOSE(MATCH(INPUTS!$L$97,LISTS!$R$5:$R$10,0),INPUTS!$C$235,INPUTS!$C$269,INPUTS!$C$303,INPUTS!$C$337,INPUTS!$C$371,INPUTS!$C$405),"")&amp;"")</f>
        <v/>
      </c>
      <c r="D327" s="123" t="n">
        <f aca="false">IF(INPUTS!$E$97&lt;&gt;"Yes",0,N(IFERROR(CHOOSE(MATCH(INPUTS!$L$97,LISTS!$R$5:$R$10,0),INPUTS!$D$235,INPUTS!$D$269,INPUTS!$D$303,INPUTS!$D$337,INPUTS!$D$371,INPUTS!$D$405),"")))</f>
        <v>0</v>
      </c>
      <c r="E327" s="124" t="n">
        <f aca="false">IF(INPUTS!$E$97&lt;&gt;"Yes",0,N(IFERROR(CHOOSE(MATCH(INPUTS!$L$97,LISTS!$R$5:$R$10,0),INPUTS!$E$235,INPUTS!$E$269,INPUTS!$E$303,INPUTS!$E$337,INPUTS!$E$371,INPUTS!$E$405),"")))</f>
        <v>0</v>
      </c>
      <c r="F327" s="125" t="str">
        <f aca="false">IF(AND(C327="Construction % complete",E327&gt;0),MAX(COUNTIF(CURVES!$D$95:$AQ$95,"&lt;"&amp;(D327-0.000000001))+1,INPUTS!$R$97),"")</f>
        <v/>
      </c>
      <c r="G327" s="126" t="str">
        <f aca="false">IF(E327=0,"",IF(C327="Booking + quarters",IF(D327=0,"at booking",D327&amp;" qtr(s) after booking"),IF(F327&gt;INPUTS!$C$24,"NOT REACHED in model","construction "&amp;TEXT(D327,"0%")&amp;" reached in Q"&amp;F327)))</f>
        <v/>
      </c>
      <c r="H327" s="126"/>
      <c r="I327" s="126"/>
      <c r="J327" s="126"/>
      <c r="K327" s="126"/>
      <c r="L327" s="126"/>
    </row>
    <row r="328" customFormat="false" ht="15" hidden="false" customHeight="false" outlineLevel="0" collapsed="false">
      <c r="B328" s="121" t="str">
        <f aca="false">IF(INPUTS!$E$97&lt;&gt;"Yes","",IFERROR(CHOOSE(MATCH(INPUTS!$L$97,LISTS!$R$5:$R$10,0),INPUTS!$B$236,INPUTS!$B$270,INPUTS!$B$304,INPUTS!$B$338,INPUTS!$B$372,INPUTS!$B$406),"")&amp;"")</f>
        <v/>
      </c>
      <c r="C328" s="122" t="str">
        <f aca="false">IF(INPUTS!$E$97&lt;&gt;"Yes","",IFERROR(CHOOSE(MATCH(INPUTS!$L$97,LISTS!$R$5:$R$10,0),INPUTS!$C$236,INPUTS!$C$270,INPUTS!$C$304,INPUTS!$C$338,INPUTS!$C$372,INPUTS!$C$406),"")&amp;"")</f>
        <v/>
      </c>
      <c r="D328" s="123" t="n">
        <f aca="false">IF(INPUTS!$E$97&lt;&gt;"Yes",0,N(IFERROR(CHOOSE(MATCH(INPUTS!$L$97,LISTS!$R$5:$R$10,0),INPUTS!$D$236,INPUTS!$D$270,INPUTS!$D$304,INPUTS!$D$338,INPUTS!$D$372,INPUTS!$D$406),"")))</f>
        <v>0</v>
      </c>
      <c r="E328" s="124" t="n">
        <f aca="false">IF(INPUTS!$E$97&lt;&gt;"Yes",0,N(IFERROR(CHOOSE(MATCH(INPUTS!$L$97,LISTS!$R$5:$R$10,0),INPUTS!$E$236,INPUTS!$E$270,INPUTS!$E$304,INPUTS!$E$338,INPUTS!$E$372,INPUTS!$E$406),"")))</f>
        <v>0</v>
      </c>
      <c r="F328" s="125" t="str">
        <f aca="false">IF(AND(C328="Construction % complete",E328&gt;0),MAX(COUNTIF(CURVES!$D$95:$AQ$95,"&lt;"&amp;(D328-0.000000001))+1,INPUTS!$R$97),"")</f>
        <v/>
      </c>
      <c r="G328" s="126" t="str">
        <f aca="false">IF(E328=0,"",IF(C328="Booking + quarters",IF(D328=0,"at booking",D328&amp;" qtr(s) after booking"),IF(F328&gt;INPUTS!$C$24,"NOT REACHED in model","construction "&amp;TEXT(D328,"0%")&amp;" reached in Q"&amp;F328)))</f>
        <v/>
      </c>
      <c r="H328" s="126"/>
      <c r="I328" s="126"/>
      <c r="J328" s="126"/>
      <c r="K328" s="126"/>
      <c r="L328" s="126"/>
    </row>
    <row r="329" customFormat="false" ht="15" hidden="false" customHeight="false" outlineLevel="0" collapsed="false">
      <c r="B329" s="121" t="str">
        <f aca="false">IF(INPUTS!$E$97&lt;&gt;"Yes","",IFERROR(CHOOSE(MATCH(INPUTS!$L$97,LISTS!$R$5:$R$10,0),INPUTS!$B$237,INPUTS!$B$271,INPUTS!$B$305,INPUTS!$B$339,INPUTS!$B$373,INPUTS!$B$407),"")&amp;"")</f>
        <v/>
      </c>
      <c r="C329" s="122" t="str">
        <f aca="false">IF(INPUTS!$E$97&lt;&gt;"Yes","",IFERROR(CHOOSE(MATCH(INPUTS!$L$97,LISTS!$R$5:$R$10,0),INPUTS!$C$237,INPUTS!$C$271,INPUTS!$C$305,INPUTS!$C$339,INPUTS!$C$373,INPUTS!$C$407),"")&amp;"")</f>
        <v/>
      </c>
      <c r="D329" s="123" t="n">
        <f aca="false">IF(INPUTS!$E$97&lt;&gt;"Yes",0,N(IFERROR(CHOOSE(MATCH(INPUTS!$L$97,LISTS!$R$5:$R$10,0),INPUTS!$D$237,INPUTS!$D$271,INPUTS!$D$305,INPUTS!$D$339,INPUTS!$D$373,INPUTS!$D$407),"")))</f>
        <v>0</v>
      </c>
      <c r="E329" s="124" t="n">
        <f aca="false">IF(INPUTS!$E$97&lt;&gt;"Yes",0,N(IFERROR(CHOOSE(MATCH(INPUTS!$L$97,LISTS!$R$5:$R$10,0),INPUTS!$E$237,INPUTS!$E$271,INPUTS!$E$305,INPUTS!$E$339,INPUTS!$E$373,INPUTS!$E$407),"")))</f>
        <v>0</v>
      </c>
      <c r="F329" s="125" t="str">
        <f aca="false">IF(AND(C329="Construction % complete",E329&gt;0),MAX(COUNTIF(CURVES!$D$95:$AQ$95,"&lt;"&amp;(D329-0.000000001))+1,INPUTS!$R$97),"")</f>
        <v/>
      </c>
      <c r="G329" s="126" t="str">
        <f aca="false">IF(E329=0,"",IF(C329="Booking + quarters",IF(D329=0,"at booking",D329&amp;" qtr(s) after booking"),IF(F329&gt;INPUTS!$C$24,"NOT REACHED in model","construction "&amp;TEXT(D329,"0%")&amp;" reached in Q"&amp;F329)))</f>
        <v/>
      </c>
      <c r="H329" s="126"/>
      <c r="I329" s="126"/>
      <c r="J329" s="126"/>
      <c r="K329" s="126"/>
      <c r="L329" s="126"/>
    </row>
    <row r="330" customFormat="false" ht="15" hidden="false" customHeight="false" outlineLevel="0" collapsed="false">
      <c r="B330" s="121" t="str">
        <f aca="false">IF(INPUTS!$E$97&lt;&gt;"Yes","",IFERROR(CHOOSE(MATCH(INPUTS!$L$97,LISTS!$R$5:$R$10,0),INPUTS!$B$238,INPUTS!$B$272,INPUTS!$B$306,INPUTS!$B$340,INPUTS!$B$374,INPUTS!$B$408),"")&amp;"")</f>
        <v/>
      </c>
      <c r="C330" s="122" t="str">
        <f aca="false">IF(INPUTS!$E$97&lt;&gt;"Yes","",IFERROR(CHOOSE(MATCH(INPUTS!$L$97,LISTS!$R$5:$R$10,0),INPUTS!$C$238,INPUTS!$C$272,INPUTS!$C$306,INPUTS!$C$340,INPUTS!$C$374,INPUTS!$C$408),"")&amp;"")</f>
        <v/>
      </c>
      <c r="D330" s="123" t="n">
        <f aca="false">IF(INPUTS!$E$97&lt;&gt;"Yes",0,N(IFERROR(CHOOSE(MATCH(INPUTS!$L$97,LISTS!$R$5:$R$10,0),INPUTS!$D$238,INPUTS!$D$272,INPUTS!$D$306,INPUTS!$D$340,INPUTS!$D$374,INPUTS!$D$408),"")))</f>
        <v>0</v>
      </c>
      <c r="E330" s="124" t="n">
        <f aca="false">IF(INPUTS!$E$97&lt;&gt;"Yes",0,N(IFERROR(CHOOSE(MATCH(INPUTS!$L$97,LISTS!$R$5:$R$10,0),INPUTS!$E$238,INPUTS!$E$272,INPUTS!$E$306,INPUTS!$E$340,INPUTS!$E$374,INPUTS!$E$408),"")))</f>
        <v>0</v>
      </c>
      <c r="F330" s="125" t="str">
        <f aca="false">IF(AND(C330="Construction % complete",E330&gt;0),MAX(COUNTIF(CURVES!$D$95:$AQ$95,"&lt;"&amp;(D330-0.000000001))+1,INPUTS!$R$97),"")</f>
        <v/>
      </c>
      <c r="G330" s="126" t="str">
        <f aca="false">IF(E330=0,"",IF(C330="Booking + quarters",IF(D330=0,"at booking",D330&amp;" qtr(s) after booking"),IF(F330&gt;INPUTS!$C$24,"NOT REACHED in model","construction "&amp;TEXT(D330,"0%")&amp;" reached in Q"&amp;F330)))</f>
        <v/>
      </c>
      <c r="H330" s="126"/>
      <c r="I330" s="126"/>
      <c r="J330" s="126"/>
      <c r="K330" s="126"/>
      <c r="L330" s="126"/>
    </row>
    <row r="331" customFormat="false" ht="15" hidden="false" customHeight="false" outlineLevel="0" collapsed="false">
      <c r="B331" s="121" t="str">
        <f aca="false">IF(INPUTS!$E$97&lt;&gt;"Yes","",IFERROR(CHOOSE(MATCH(INPUTS!$L$97,LISTS!$R$5:$R$10,0),INPUTS!$B$239,INPUTS!$B$273,INPUTS!$B$307,INPUTS!$B$341,INPUTS!$B$375,INPUTS!$B$409),"")&amp;"")</f>
        <v/>
      </c>
      <c r="C331" s="122" t="str">
        <f aca="false">IF(INPUTS!$E$97&lt;&gt;"Yes","",IFERROR(CHOOSE(MATCH(INPUTS!$L$97,LISTS!$R$5:$R$10,0),INPUTS!$C$239,INPUTS!$C$273,INPUTS!$C$307,INPUTS!$C$341,INPUTS!$C$375,INPUTS!$C$409),"")&amp;"")</f>
        <v/>
      </c>
      <c r="D331" s="123" t="n">
        <f aca="false">IF(INPUTS!$E$97&lt;&gt;"Yes",0,N(IFERROR(CHOOSE(MATCH(INPUTS!$L$97,LISTS!$R$5:$R$10,0),INPUTS!$D$239,INPUTS!$D$273,INPUTS!$D$307,INPUTS!$D$341,INPUTS!$D$375,INPUTS!$D$409),"")))</f>
        <v>0</v>
      </c>
      <c r="E331" s="124" t="n">
        <f aca="false">IF(INPUTS!$E$97&lt;&gt;"Yes",0,N(IFERROR(CHOOSE(MATCH(INPUTS!$L$97,LISTS!$R$5:$R$10,0),INPUTS!$E$239,INPUTS!$E$273,INPUTS!$E$307,INPUTS!$E$341,INPUTS!$E$375,INPUTS!$E$409),"")))</f>
        <v>0</v>
      </c>
      <c r="F331" s="125" t="str">
        <f aca="false">IF(AND(C331="Construction % complete",E331&gt;0),MAX(COUNTIF(CURVES!$D$95:$AQ$95,"&lt;"&amp;(D331-0.000000001))+1,INPUTS!$R$97),"")</f>
        <v/>
      </c>
      <c r="G331" s="126" t="str">
        <f aca="false">IF(E331=0,"",IF(C331="Booking + quarters",IF(D331=0,"at booking",D331&amp;" qtr(s) after booking"),IF(F331&gt;INPUTS!$C$24,"NOT REACHED in model","construction "&amp;TEXT(D331,"0%")&amp;" reached in Q"&amp;F331)))</f>
        <v/>
      </c>
      <c r="H331" s="126"/>
      <c r="I331" s="126"/>
      <c r="J331" s="126"/>
      <c r="K331" s="126"/>
      <c r="L331" s="126"/>
    </row>
    <row r="332" customFormat="false" ht="15" hidden="false" customHeight="false" outlineLevel="0" collapsed="false">
      <c r="B332" s="121" t="str">
        <f aca="false">IF(INPUTS!$E$97&lt;&gt;"Yes","",IFERROR(CHOOSE(MATCH(INPUTS!$L$97,LISTS!$R$5:$R$10,0),INPUTS!$B$240,INPUTS!$B$274,INPUTS!$B$308,INPUTS!$B$342,INPUTS!$B$376,INPUTS!$B$410),"")&amp;"")</f>
        <v/>
      </c>
      <c r="C332" s="122" t="str">
        <f aca="false">IF(INPUTS!$E$97&lt;&gt;"Yes","",IFERROR(CHOOSE(MATCH(INPUTS!$L$97,LISTS!$R$5:$R$10,0),INPUTS!$C$240,INPUTS!$C$274,INPUTS!$C$308,INPUTS!$C$342,INPUTS!$C$376,INPUTS!$C$410),"")&amp;"")</f>
        <v/>
      </c>
      <c r="D332" s="123" t="n">
        <f aca="false">IF(INPUTS!$E$97&lt;&gt;"Yes",0,N(IFERROR(CHOOSE(MATCH(INPUTS!$L$97,LISTS!$R$5:$R$10,0),INPUTS!$D$240,INPUTS!$D$274,INPUTS!$D$308,INPUTS!$D$342,INPUTS!$D$376,INPUTS!$D$410),"")))</f>
        <v>0</v>
      </c>
      <c r="E332" s="124" t="n">
        <f aca="false">IF(INPUTS!$E$97&lt;&gt;"Yes",0,N(IFERROR(CHOOSE(MATCH(INPUTS!$L$97,LISTS!$R$5:$R$10,0),INPUTS!$E$240,INPUTS!$E$274,INPUTS!$E$308,INPUTS!$E$342,INPUTS!$E$376,INPUTS!$E$410),"")))</f>
        <v>0</v>
      </c>
      <c r="F332" s="125" t="str">
        <f aca="false">IF(AND(C332="Construction % complete",E332&gt;0),MAX(COUNTIF(CURVES!$D$95:$AQ$95,"&lt;"&amp;(D332-0.000000001))+1,INPUTS!$R$97),"")</f>
        <v/>
      </c>
      <c r="G332" s="126" t="str">
        <f aca="false">IF(E332=0,"",IF(C332="Booking + quarters",IF(D332=0,"at booking",D332&amp;" qtr(s) after booking"),IF(F332&gt;INPUTS!$C$24,"NOT REACHED in model","construction "&amp;TEXT(D332,"0%")&amp;" reached in Q"&amp;F332)))</f>
        <v/>
      </c>
      <c r="H332" s="126"/>
      <c r="I332" s="126"/>
      <c r="J332" s="126"/>
      <c r="K332" s="126"/>
      <c r="L332" s="126"/>
    </row>
    <row r="333" customFormat="false" ht="15" hidden="false" customHeight="false" outlineLevel="0" collapsed="false">
      <c r="B333" s="121" t="str">
        <f aca="false">IF(INPUTS!$E$97&lt;&gt;"Yes","",IFERROR(CHOOSE(MATCH(INPUTS!$L$97,LISTS!$R$5:$R$10,0),INPUTS!$B$241,INPUTS!$B$275,INPUTS!$B$309,INPUTS!$B$343,INPUTS!$B$377,INPUTS!$B$411),"")&amp;"")</f>
        <v/>
      </c>
      <c r="C333" s="122" t="str">
        <f aca="false">IF(INPUTS!$E$97&lt;&gt;"Yes","",IFERROR(CHOOSE(MATCH(INPUTS!$L$97,LISTS!$R$5:$R$10,0),INPUTS!$C$241,INPUTS!$C$275,INPUTS!$C$309,INPUTS!$C$343,INPUTS!$C$377,INPUTS!$C$411),"")&amp;"")</f>
        <v/>
      </c>
      <c r="D333" s="123" t="n">
        <f aca="false">IF(INPUTS!$E$97&lt;&gt;"Yes",0,N(IFERROR(CHOOSE(MATCH(INPUTS!$L$97,LISTS!$R$5:$R$10,0),INPUTS!$D$241,INPUTS!$D$275,INPUTS!$D$309,INPUTS!$D$343,INPUTS!$D$377,INPUTS!$D$411),"")))</f>
        <v>0</v>
      </c>
      <c r="E333" s="124" t="n">
        <f aca="false">IF(INPUTS!$E$97&lt;&gt;"Yes",0,N(IFERROR(CHOOSE(MATCH(INPUTS!$L$97,LISTS!$R$5:$R$10,0),INPUTS!$E$241,INPUTS!$E$275,INPUTS!$E$309,INPUTS!$E$343,INPUTS!$E$377,INPUTS!$E$411),"")))</f>
        <v>0</v>
      </c>
      <c r="F333" s="125" t="str">
        <f aca="false">IF(AND(C333="Construction % complete",E333&gt;0),MAX(COUNTIF(CURVES!$D$95:$AQ$95,"&lt;"&amp;(D333-0.000000001))+1,INPUTS!$R$97),"")</f>
        <v/>
      </c>
      <c r="G333" s="126" t="str">
        <f aca="false">IF(E333=0,"",IF(C333="Booking + quarters",IF(D333=0,"at booking",D333&amp;" qtr(s) after booking"),IF(F333&gt;INPUTS!$C$24,"NOT REACHED in model","construction "&amp;TEXT(D333,"0%")&amp;" reached in Q"&amp;F333)))</f>
        <v/>
      </c>
      <c r="H333" s="126"/>
      <c r="I333" s="126"/>
      <c r="J333" s="126"/>
      <c r="K333" s="126"/>
      <c r="L333" s="126"/>
    </row>
    <row r="334" customFormat="false" ht="15" hidden="false" customHeight="false" outlineLevel="0" collapsed="false">
      <c r="B334" s="121" t="str">
        <f aca="false">IF(INPUTS!$E$97&lt;&gt;"Yes","",IFERROR(CHOOSE(MATCH(INPUTS!$L$97,LISTS!$R$5:$R$10,0),INPUTS!$B$242,INPUTS!$B$276,INPUTS!$B$310,INPUTS!$B$344,INPUTS!$B$378,INPUTS!$B$412),"")&amp;"")</f>
        <v/>
      </c>
      <c r="C334" s="122" t="str">
        <f aca="false">IF(INPUTS!$E$97&lt;&gt;"Yes","",IFERROR(CHOOSE(MATCH(INPUTS!$L$97,LISTS!$R$5:$R$10,0),INPUTS!$C$242,INPUTS!$C$276,INPUTS!$C$310,INPUTS!$C$344,INPUTS!$C$378,INPUTS!$C$412),"")&amp;"")</f>
        <v/>
      </c>
      <c r="D334" s="123" t="n">
        <f aca="false">IF(INPUTS!$E$97&lt;&gt;"Yes",0,N(IFERROR(CHOOSE(MATCH(INPUTS!$L$97,LISTS!$R$5:$R$10,0),INPUTS!$D$242,INPUTS!$D$276,INPUTS!$D$310,INPUTS!$D$344,INPUTS!$D$378,INPUTS!$D$412),"")))</f>
        <v>0</v>
      </c>
      <c r="E334" s="124" t="n">
        <f aca="false">IF(INPUTS!$E$97&lt;&gt;"Yes",0,N(IFERROR(CHOOSE(MATCH(INPUTS!$L$97,LISTS!$R$5:$R$10,0),INPUTS!$E$242,INPUTS!$E$276,INPUTS!$E$310,INPUTS!$E$344,INPUTS!$E$378,INPUTS!$E$412),"")))</f>
        <v>0</v>
      </c>
      <c r="F334" s="125" t="str">
        <f aca="false">IF(AND(C334="Construction % complete",E334&gt;0),MAX(COUNTIF(CURVES!$D$95:$AQ$95,"&lt;"&amp;(D334-0.000000001))+1,INPUTS!$R$97),"")</f>
        <v/>
      </c>
      <c r="G334" s="126" t="str">
        <f aca="false">IF(E334=0,"",IF(C334="Booking + quarters",IF(D334=0,"at booking",D334&amp;" qtr(s) after booking"),IF(F334&gt;INPUTS!$C$24,"NOT REACHED in model","construction "&amp;TEXT(D334,"0%")&amp;" reached in Q"&amp;F334)))</f>
        <v/>
      </c>
      <c r="H334" s="126"/>
      <c r="I334" s="126"/>
      <c r="J334" s="126"/>
      <c r="K334" s="126"/>
      <c r="L334" s="126"/>
    </row>
    <row r="335" customFormat="false" ht="15" hidden="false" customHeight="false" outlineLevel="0" collapsed="false">
      <c r="B335" s="121" t="str">
        <f aca="false">IF(INPUTS!$E$97&lt;&gt;"Yes","",IFERROR(CHOOSE(MATCH(INPUTS!$L$97,LISTS!$R$5:$R$10,0),INPUTS!$B$243,INPUTS!$B$277,INPUTS!$B$311,INPUTS!$B$345,INPUTS!$B$379,INPUTS!$B$413),"")&amp;"")</f>
        <v/>
      </c>
      <c r="C335" s="122" t="str">
        <f aca="false">IF(INPUTS!$E$97&lt;&gt;"Yes","",IFERROR(CHOOSE(MATCH(INPUTS!$L$97,LISTS!$R$5:$R$10,0),INPUTS!$C$243,INPUTS!$C$277,INPUTS!$C$311,INPUTS!$C$345,INPUTS!$C$379,INPUTS!$C$413),"")&amp;"")</f>
        <v/>
      </c>
      <c r="D335" s="123" t="n">
        <f aca="false">IF(INPUTS!$E$97&lt;&gt;"Yes",0,N(IFERROR(CHOOSE(MATCH(INPUTS!$L$97,LISTS!$R$5:$R$10,0),INPUTS!$D$243,INPUTS!$D$277,INPUTS!$D$311,INPUTS!$D$345,INPUTS!$D$379,INPUTS!$D$413),"")))</f>
        <v>0</v>
      </c>
      <c r="E335" s="124" t="n">
        <f aca="false">IF(INPUTS!$E$97&lt;&gt;"Yes",0,N(IFERROR(CHOOSE(MATCH(INPUTS!$L$97,LISTS!$R$5:$R$10,0),INPUTS!$E$243,INPUTS!$E$277,INPUTS!$E$311,INPUTS!$E$345,INPUTS!$E$379,INPUTS!$E$413),"")))</f>
        <v>0</v>
      </c>
      <c r="F335" s="125" t="str">
        <f aca="false">IF(AND(C335="Construction % complete",E335&gt;0),MAX(COUNTIF(CURVES!$D$95:$AQ$95,"&lt;"&amp;(D335-0.000000001))+1,INPUTS!$R$97),"")</f>
        <v/>
      </c>
      <c r="G335" s="126" t="str">
        <f aca="false">IF(E335=0,"",IF(C335="Booking + quarters",IF(D335=0,"at booking",D335&amp;" qtr(s) after booking"),IF(F335&gt;INPUTS!$C$24,"NOT REACHED in model","construction "&amp;TEXT(D335,"0%")&amp;" reached in Q"&amp;F335)))</f>
        <v/>
      </c>
      <c r="H335" s="126"/>
      <c r="I335" s="126"/>
      <c r="J335" s="126"/>
      <c r="K335" s="126"/>
      <c r="L335" s="126"/>
    </row>
    <row r="336" customFormat="false" ht="15" hidden="false" customHeight="false" outlineLevel="0" collapsed="false">
      <c r="B336" s="121" t="str">
        <f aca="false">IF(INPUTS!$E$97&lt;&gt;"Yes","",IFERROR(CHOOSE(MATCH(INPUTS!$L$97,LISTS!$R$5:$R$10,0),INPUTS!$B$244,INPUTS!$B$278,INPUTS!$B$312,INPUTS!$B$346,INPUTS!$B$380,INPUTS!$B$414),"")&amp;"")</f>
        <v/>
      </c>
      <c r="C336" s="122" t="str">
        <f aca="false">IF(INPUTS!$E$97&lt;&gt;"Yes","",IFERROR(CHOOSE(MATCH(INPUTS!$L$97,LISTS!$R$5:$R$10,0),INPUTS!$C$244,INPUTS!$C$278,INPUTS!$C$312,INPUTS!$C$346,INPUTS!$C$380,INPUTS!$C$414),"")&amp;"")</f>
        <v/>
      </c>
      <c r="D336" s="123" t="n">
        <f aca="false">IF(INPUTS!$E$97&lt;&gt;"Yes",0,N(IFERROR(CHOOSE(MATCH(INPUTS!$L$97,LISTS!$R$5:$R$10,0),INPUTS!$D$244,INPUTS!$D$278,INPUTS!$D$312,INPUTS!$D$346,INPUTS!$D$380,INPUTS!$D$414),"")))</f>
        <v>0</v>
      </c>
      <c r="E336" s="124" t="n">
        <f aca="false">IF(INPUTS!$E$97&lt;&gt;"Yes",0,N(IFERROR(CHOOSE(MATCH(INPUTS!$L$97,LISTS!$R$5:$R$10,0),INPUTS!$E$244,INPUTS!$E$278,INPUTS!$E$312,INPUTS!$E$346,INPUTS!$E$380,INPUTS!$E$414),"")))</f>
        <v>0</v>
      </c>
      <c r="F336" s="125" t="str">
        <f aca="false">IF(AND(C336="Construction % complete",E336&gt;0),MAX(COUNTIF(CURVES!$D$95:$AQ$95,"&lt;"&amp;(D336-0.000000001))+1,INPUTS!$R$97),"")</f>
        <v/>
      </c>
      <c r="G336" s="126" t="str">
        <f aca="false">IF(E336=0,"",IF(C336="Booking + quarters",IF(D336=0,"at booking",D336&amp;" qtr(s) after booking"),IF(F336&gt;INPUTS!$C$24,"NOT REACHED in model","construction "&amp;TEXT(D336,"0%")&amp;" reached in Q"&amp;F336)))</f>
        <v/>
      </c>
      <c r="H336" s="126"/>
      <c r="I336" s="126"/>
      <c r="J336" s="126"/>
      <c r="K336" s="126"/>
      <c r="L336" s="126"/>
    </row>
    <row r="337" customFormat="false" ht="15" hidden="false" customHeight="false" outlineLevel="0" collapsed="false">
      <c r="B337" s="121" t="str">
        <f aca="false">IF(INPUTS!$E$97&lt;&gt;"Yes","",IFERROR(CHOOSE(MATCH(INPUTS!$L$97,LISTS!$R$5:$R$10,0),INPUTS!$B$245,INPUTS!$B$279,INPUTS!$B$313,INPUTS!$B$347,INPUTS!$B$381,INPUTS!$B$415),"")&amp;"")</f>
        <v/>
      </c>
      <c r="C337" s="122" t="str">
        <f aca="false">IF(INPUTS!$E$97&lt;&gt;"Yes","",IFERROR(CHOOSE(MATCH(INPUTS!$L$97,LISTS!$R$5:$R$10,0),INPUTS!$C$245,INPUTS!$C$279,INPUTS!$C$313,INPUTS!$C$347,INPUTS!$C$381,INPUTS!$C$415),"")&amp;"")</f>
        <v/>
      </c>
      <c r="D337" s="123" t="n">
        <f aca="false">IF(INPUTS!$E$97&lt;&gt;"Yes",0,N(IFERROR(CHOOSE(MATCH(INPUTS!$L$97,LISTS!$R$5:$R$10,0),INPUTS!$D$245,INPUTS!$D$279,INPUTS!$D$313,INPUTS!$D$347,INPUTS!$D$381,INPUTS!$D$415),"")))</f>
        <v>0</v>
      </c>
      <c r="E337" s="124" t="n">
        <f aca="false">IF(INPUTS!$E$97&lt;&gt;"Yes",0,N(IFERROR(CHOOSE(MATCH(INPUTS!$L$97,LISTS!$R$5:$R$10,0),INPUTS!$E$245,INPUTS!$E$279,INPUTS!$E$313,INPUTS!$E$347,INPUTS!$E$381,INPUTS!$E$415),"")))</f>
        <v>0</v>
      </c>
      <c r="F337" s="125" t="str">
        <f aca="false">IF(AND(C337="Construction % complete",E337&gt;0),MAX(COUNTIF(CURVES!$D$95:$AQ$95,"&lt;"&amp;(D337-0.000000001))+1,INPUTS!$R$97),"")</f>
        <v/>
      </c>
      <c r="G337" s="126" t="str">
        <f aca="false">IF(E337=0,"",IF(C337="Booking + quarters",IF(D337=0,"at booking",D337&amp;" qtr(s) after booking"),IF(F337&gt;INPUTS!$C$24,"NOT REACHED in model","construction "&amp;TEXT(D337,"0%")&amp;" reached in Q"&amp;F337)))</f>
        <v/>
      </c>
      <c r="H337" s="126"/>
      <c r="I337" s="126"/>
      <c r="J337" s="126"/>
      <c r="K337" s="126"/>
      <c r="L337" s="126"/>
    </row>
    <row r="338" customFormat="false" ht="15" hidden="false" customHeight="false" outlineLevel="0" collapsed="false">
      <c r="B338" s="121" t="str">
        <f aca="false">IF(INPUTS!$E$97&lt;&gt;"Yes","",IFERROR(CHOOSE(MATCH(INPUTS!$L$97,LISTS!$R$5:$R$10,0),INPUTS!$B$246,INPUTS!$B$280,INPUTS!$B$314,INPUTS!$B$348,INPUTS!$B$382,INPUTS!$B$416),"")&amp;"")</f>
        <v/>
      </c>
      <c r="C338" s="122" t="str">
        <f aca="false">IF(INPUTS!$E$97&lt;&gt;"Yes","",IFERROR(CHOOSE(MATCH(INPUTS!$L$97,LISTS!$R$5:$R$10,0),INPUTS!$C$246,INPUTS!$C$280,INPUTS!$C$314,INPUTS!$C$348,INPUTS!$C$382,INPUTS!$C$416),"")&amp;"")</f>
        <v/>
      </c>
      <c r="D338" s="123" t="n">
        <f aca="false">IF(INPUTS!$E$97&lt;&gt;"Yes",0,N(IFERROR(CHOOSE(MATCH(INPUTS!$L$97,LISTS!$R$5:$R$10,0),INPUTS!$D$246,INPUTS!$D$280,INPUTS!$D$314,INPUTS!$D$348,INPUTS!$D$382,INPUTS!$D$416),"")))</f>
        <v>0</v>
      </c>
      <c r="E338" s="124" t="n">
        <f aca="false">IF(INPUTS!$E$97&lt;&gt;"Yes",0,N(IFERROR(CHOOSE(MATCH(INPUTS!$L$97,LISTS!$R$5:$R$10,0),INPUTS!$E$246,INPUTS!$E$280,INPUTS!$E$314,INPUTS!$E$348,INPUTS!$E$382,INPUTS!$E$416),"")))</f>
        <v>0</v>
      </c>
      <c r="F338" s="125" t="str">
        <f aca="false">IF(AND(C338="Construction % complete",E338&gt;0),MAX(COUNTIF(CURVES!$D$95:$AQ$95,"&lt;"&amp;(D338-0.000000001))+1,INPUTS!$R$97),"")</f>
        <v/>
      </c>
      <c r="G338" s="126" t="str">
        <f aca="false">IF(E338=0,"",IF(C338="Booking + quarters",IF(D338=0,"at booking",D338&amp;" qtr(s) after booking"),IF(F338&gt;INPUTS!$C$24,"NOT REACHED in model","construction "&amp;TEXT(D338,"0%")&amp;" reached in Q"&amp;F338)))</f>
        <v/>
      </c>
      <c r="H338" s="126"/>
      <c r="I338" s="126"/>
      <c r="J338" s="126"/>
      <c r="K338" s="126"/>
      <c r="L338" s="126"/>
    </row>
    <row r="339" customFormat="false" ht="15" hidden="false" customHeight="false" outlineLevel="0" collapsed="false">
      <c r="B339" s="121" t="str">
        <f aca="false">IF(INPUTS!$E$97&lt;&gt;"Yes","",IFERROR(CHOOSE(MATCH(INPUTS!$L$97,LISTS!$R$5:$R$10,0),INPUTS!$B$247,INPUTS!$B$281,INPUTS!$B$315,INPUTS!$B$349,INPUTS!$B$383,INPUTS!$B$417),"")&amp;"")</f>
        <v/>
      </c>
      <c r="C339" s="122" t="str">
        <f aca="false">IF(INPUTS!$E$97&lt;&gt;"Yes","",IFERROR(CHOOSE(MATCH(INPUTS!$L$97,LISTS!$R$5:$R$10,0),INPUTS!$C$247,INPUTS!$C$281,INPUTS!$C$315,INPUTS!$C$349,INPUTS!$C$383,INPUTS!$C$417),"")&amp;"")</f>
        <v/>
      </c>
      <c r="D339" s="123" t="n">
        <f aca="false">IF(INPUTS!$E$97&lt;&gt;"Yes",0,N(IFERROR(CHOOSE(MATCH(INPUTS!$L$97,LISTS!$R$5:$R$10,0),INPUTS!$D$247,INPUTS!$D$281,INPUTS!$D$315,INPUTS!$D$349,INPUTS!$D$383,INPUTS!$D$417),"")))</f>
        <v>0</v>
      </c>
      <c r="E339" s="124" t="n">
        <f aca="false">IF(INPUTS!$E$97&lt;&gt;"Yes",0,N(IFERROR(CHOOSE(MATCH(INPUTS!$L$97,LISTS!$R$5:$R$10,0),INPUTS!$E$247,INPUTS!$E$281,INPUTS!$E$315,INPUTS!$E$349,INPUTS!$E$383,INPUTS!$E$417),"")))</f>
        <v>0</v>
      </c>
      <c r="F339" s="125" t="str">
        <f aca="false">IF(AND(C339="Construction % complete",E339&gt;0),MAX(COUNTIF(CURVES!$D$95:$AQ$95,"&lt;"&amp;(D339-0.000000001))+1,INPUTS!$R$97),"")</f>
        <v/>
      </c>
      <c r="G339" s="126" t="str">
        <f aca="false">IF(E339=0,"",IF(C339="Booking + quarters",IF(D339=0,"at booking",D339&amp;" qtr(s) after booking"),IF(F339&gt;INPUTS!$C$24,"NOT REACHED in model","construction "&amp;TEXT(D339,"0%")&amp;" reached in Q"&amp;F339)))</f>
        <v/>
      </c>
      <c r="H339" s="126"/>
      <c r="I339" s="126"/>
      <c r="J339" s="126"/>
      <c r="K339" s="126"/>
      <c r="L339" s="126"/>
    </row>
    <row r="340" customFormat="false" ht="15" hidden="false" customHeight="false" outlineLevel="0" collapsed="false">
      <c r="B340" s="121" t="str">
        <f aca="false">IF(INPUTS!$E$97&lt;&gt;"Yes","",IFERROR(CHOOSE(MATCH(INPUTS!$L$97,LISTS!$R$5:$R$10,0),INPUTS!$B$248,INPUTS!$B$282,INPUTS!$B$316,INPUTS!$B$350,INPUTS!$B$384,INPUTS!$B$418),"")&amp;"")</f>
        <v/>
      </c>
      <c r="C340" s="122" t="str">
        <f aca="false">IF(INPUTS!$E$97&lt;&gt;"Yes","",IFERROR(CHOOSE(MATCH(INPUTS!$L$97,LISTS!$R$5:$R$10,0),INPUTS!$C$248,INPUTS!$C$282,INPUTS!$C$316,INPUTS!$C$350,INPUTS!$C$384,INPUTS!$C$418),"")&amp;"")</f>
        <v/>
      </c>
      <c r="D340" s="123" t="n">
        <f aca="false">IF(INPUTS!$E$97&lt;&gt;"Yes",0,N(IFERROR(CHOOSE(MATCH(INPUTS!$L$97,LISTS!$R$5:$R$10,0),INPUTS!$D$248,INPUTS!$D$282,INPUTS!$D$316,INPUTS!$D$350,INPUTS!$D$384,INPUTS!$D$418),"")))</f>
        <v>0</v>
      </c>
      <c r="E340" s="124" t="n">
        <f aca="false">IF(INPUTS!$E$97&lt;&gt;"Yes",0,N(IFERROR(CHOOSE(MATCH(INPUTS!$L$97,LISTS!$R$5:$R$10,0),INPUTS!$E$248,INPUTS!$E$282,INPUTS!$E$316,INPUTS!$E$350,INPUTS!$E$384,INPUTS!$E$418),"")))</f>
        <v>0</v>
      </c>
      <c r="F340" s="125" t="str">
        <f aca="false">IF(AND(C340="Construction % complete",E340&gt;0),MAX(COUNTIF(CURVES!$D$95:$AQ$95,"&lt;"&amp;(D340-0.000000001))+1,INPUTS!$R$97),"")</f>
        <v/>
      </c>
      <c r="G340" s="126" t="str">
        <f aca="false">IF(E340=0,"",IF(C340="Booking + quarters",IF(D340=0,"at booking",D340&amp;" qtr(s) after booking"),IF(F340&gt;INPUTS!$C$24,"NOT REACHED in model","construction "&amp;TEXT(D340,"0%")&amp;" reached in Q"&amp;F340)))</f>
        <v/>
      </c>
      <c r="H340" s="126"/>
      <c r="I340" s="126"/>
      <c r="J340" s="126"/>
      <c r="K340" s="126"/>
      <c r="L340" s="126"/>
    </row>
    <row r="341" customFormat="false" ht="15" hidden="false" customHeight="false" outlineLevel="0" collapsed="false">
      <c r="B341" s="127" t="s">
        <v>708</v>
      </c>
      <c r="D341" s="128" t="n">
        <f aca="false">SUMIFS($E$311:$E$340,$C$311:$C$340,"Booking + quarters",$D$311:$D$340,0)</f>
        <v>0</v>
      </c>
      <c r="E341" s="128" t="n">
        <f aca="false">SUMIFS($E$311:$E$340,$C$311:$C$340,"Booking + quarters",$D$311:$D$340,1)</f>
        <v>0</v>
      </c>
      <c r="F341" s="128" t="n">
        <f aca="false">SUMIFS($E$311:$E$340,$C$311:$C$340,"Booking + quarters",$D$311:$D$340,2)</f>
        <v>0</v>
      </c>
      <c r="G341" s="128" t="n">
        <f aca="false">SUMIFS($E$311:$E$340,$C$311:$C$340,"Booking + quarters",$D$311:$D$340,3)</f>
        <v>0</v>
      </c>
      <c r="H341" s="128" t="n">
        <f aca="false">SUMIFS($E$311:$E$340,$C$311:$C$340,"Booking + quarters",$D$311:$D$340,4)</f>
        <v>0</v>
      </c>
      <c r="I341" s="128" t="n">
        <f aca="false">SUMIFS($E$311:$E$340,$C$311:$C$340,"Booking + quarters",$D$311:$D$340,5)</f>
        <v>0</v>
      </c>
      <c r="J341" s="128" t="n">
        <f aca="false">SUMIFS($E$311:$E$340,$C$311:$C$340,"Booking + quarters",$D$311:$D$340,6)</f>
        <v>0</v>
      </c>
      <c r="K341" s="128" t="n">
        <f aca="false">SUMIFS($E$311:$E$340,$C$311:$C$340,"Booking + quarters",$D$311:$D$340,7)</f>
        <v>0</v>
      </c>
      <c r="L341" s="128" t="n">
        <f aca="false">SUMIFS($E$311:$E$340,$C$311:$C$340,"Booking + quarters",$D$311:$D$340,8)</f>
        <v>0</v>
      </c>
      <c r="M341" s="128" t="n">
        <f aca="false">SUMIFS($E$311:$E$340,$C$311:$C$340,"Booking + quarters",$D$311:$D$340,9)</f>
        <v>0</v>
      </c>
      <c r="N341" s="128" t="n">
        <f aca="false">SUMIFS($E$311:$E$340,$C$311:$C$340,"Booking + quarters",$D$311:$D$340,10)</f>
        <v>0</v>
      </c>
      <c r="O341" s="128" t="n">
        <f aca="false">SUMIFS($E$311:$E$340,$C$311:$C$340,"Booking + quarters",$D$311:$D$340,11)</f>
        <v>0</v>
      </c>
      <c r="P341" s="128" t="n">
        <f aca="false">SUMIFS($E$311:$E$340,$C$311:$C$340,"Booking + quarters",$D$311:$D$340,12)</f>
        <v>0</v>
      </c>
    </row>
    <row r="342" customFormat="false" ht="15" hidden="false" customHeight="false" outlineLevel="0" collapsed="false">
      <c r="B342" s="127" t="s">
        <v>709</v>
      </c>
      <c r="C342" s="105" t="str">
        <f aca="false">IF(INPUTS!$E$97&lt;&gt;"Yes","Off",IF(ABS(SUM($E$311:$E$340)-1)&lt;0.000001,"OK","ERROR"))</f>
        <v>Off</v>
      </c>
    </row>
    <row r="344" customFormat="false" ht="19.5" hidden="false" customHeight="true" outlineLevel="0" collapsed="false">
      <c r="B344" s="4" t="s">
        <v>710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customFormat="false" ht="15" hidden="false" customHeight="false" outlineLevel="0" collapsed="false">
      <c r="B345" s="17" t="s">
        <v>711</v>
      </c>
    </row>
    <row r="346" customFormat="false" ht="15" hidden="false" customHeight="false" outlineLevel="0" collapsed="false">
      <c r="B346" s="110" t="str">
        <f aca="false">IF(INPUTS!$E$88="Yes",INPUTS!$B$88,"Product row 1 (off)")</f>
        <v>Villas</v>
      </c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</row>
    <row r="347" customFormat="false" ht="15" hidden="false" customHeight="false" outlineLevel="0" collapsed="false">
      <c r="B347" s="2" t="s">
        <v>712</v>
      </c>
      <c r="C347" s="129" t="n">
        <f aca="false">SUM(D347:AQ347)</f>
        <v>275</v>
      </c>
      <c r="D347" s="130" t="n">
        <f aca="false">INPUTS!$T$88*CURVES!D38</f>
        <v>0</v>
      </c>
      <c r="E347" s="130" t="n">
        <f aca="false">INPUTS!$T$88*CURVES!E38</f>
        <v>0</v>
      </c>
      <c r="F347" s="130" t="n">
        <f aca="false">INPUTS!$T$88*CURVES!F38</f>
        <v>61.1111111111111</v>
      </c>
      <c r="G347" s="130" t="n">
        <f aca="false">INPUTS!$T$88*CURVES!G38</f>
        <v>53.4722222222222</v>
      </c>
      <c r="H347" s="130" t="n">
        <f aca="false">INPUTS!$T$88*CURVES!H38</f>
        <v>45.8333333333333</v>
      </c>
      <c r="I347" s="130" t="n">
        <f aca="false">INPUTS!$T$88*CURVES!I38</f>
        <v>38.1944444444444</v>
      </c>
      <c r="J347" s="130" t="n">
        <f aca="false">INPUTS!$T$88*CURVES!J38</f>
        <v>30.5555555555556</v>
      </c>
      <c r="K347" s="130" t="n">
        <f aca="false">INPUTS!$T$88*CURVES!K38</f>
        <v>22.9166666666667</v>
      </c>
      <c r="L347" s="130" t="n">
        <f aca="false">INPUTS!$T$88*CURVES!L38</f>
        <v>15.2777777777778</v>
      </c>
      <c r="M347" s="130" t="n">
        <f aca="false">INPUTS!$T$88*CURVES!M38</f>
        <v>7.63888888888889</v>
      </c>
      <c r="N347" s="130" t="n">
        <f aca="false">INPUTS!$T$88*CURVES!N38</f>
        <v>0</v>
      </c>
      <c r="O347" s="130" t="n">
        <f aca="false">INPUTS!$T$88*CURVES!O38</f>
        <v>0</v>
      </c>
      <c r="P347" s="130" t="n">
        <f aca="false">INPUTS!$T$88*CURVES!P38</f>
        <v>0</v>
      </c>
      <c r="Q347" s="130" t="n">
        <f aca="false">INPUTS!$T$88*CURVES!Q38</f>
        <v>0</v>
      </c>
      <c r="R347" s="130" t="n">
        <f aca="false">INPUTS!$T$88*CURVES!R38</f>
        <v>0</v>
      </c>
      <c r="S347" s="130" t="n">
        <f aca="false">INPUTS!$T$88*CURVES!S38</f>
        <v>0</v>
      </c>
      <c r="T347" s="130" t="n">
        <f aca="false">INPUTS!$T$88*CURVES!T38</f>
        <v>0</v>
      </c>
      <c r="U347" s="130" t="n">
        <f aca="false">INPUTS!$T$88*CURVES!U38</f>
        <v>0</v>
      </c>
      <c r="V347" s="130" t="n">
        <f aca="false">INPUTS!$T$88*CURVES!V38</f>
        <v>0</v>
      </c>
      <c r="W347" s="130" t="n">
        <f aca="false">INPUTS!$T$88*CURVES!W38</f>
        <v>0</v>
      </c>
      <c r="X347" s="130" t="n">
        <f aca="false">INPUTS!$T$88*CURVES!X38</f>
        <v>0</v>
      </c>
      <c r="Y347" s="130" t="n">
        <f aca="false">INPUTS!$T$88*CURVES!Y38</f>
        <v>0</v>
      </c>
      <c r="Z347" s="130" t="n">
        <f aca="false">INPUTS!$T$88*CURVES!Z38</f>
        <v>0</v>
      </c>
      <c r="AA347" s="130" t="n">
        <f aca="false">INPUTS!$T$88*CURVES!AA38</f>
        <v>0</v>
      </c>
      <c r="AB347" s="130" t="n">
        <f aca="false">INPUTS!$T$88*CURVES!AB38</f>
        <v>0</v>
      </c>
      <c r="AC347" s="130" t="n">
        <f aca="false">INPUTS!$T$88*CURVES!AC38</f>
        <v>0</v>
      </c>
      <c r="AD347" s="130" t="n">
        <f aca="false">INPUTS!$T$88*CURVES!AD38</f>
        <v>0</v>
      </c>
      <c r="AE347" s="130" t="n">
        <f aca="false">INPUTS!$T$88*CURVES!AE38</f>
        <v>0</v>
      </c>
      <c r="AF347" s="130" t="n">
        <f aca="false">INPUTS!$T$88*CURVES!AF38</f>
        <v>0</v>
      </c>
      <c r="AG347" s="130" t="n">
        <f aca="false">INPUTS!$T$88*CURVES!AG38</f>
        <v>0</v>
      </c>
      <c r="AH347" s="130" t="n">
        <f aca="false">INPUTS!$T$88*CURVES!AH38</f>
        <v>0</v>
      </c>
      <c r="AI347" s="130" t="n">
        <f aca="false">INPUTS!$T$88*CURVES!AI38</f>
        <v>0</v>
      </c>
      <c r="AJ347" s="130" t="n">
        <f aca="false">INPUTS!$T$88*CURVES!AJ38</f>
        <v>0</v>
      </c>
      <c r="AK347" s="130" t="n">
        <f aca="false">INPUTS!$T$88*CURVES!AK38</f>
        <v>0</v>
      </c>
      <c r="AL347" s="130" t="n">
        <f aca="false">INPUTS!$T$88*CURVES!AL38</f>
        <v>0</v>
      </c>
      <c r="AM347" s="130" t="n">
        <f aca="false">INPUTS!$T$88*CURVES!AM38</f>
        <v>0</v>
      </c>
      <c r="AN347" s="130" t="n">
        <f aca="false">INPUTS!$T$88*CURVES!AN38</f>
        <v>0</v>
      </c>
      <c r="AO347" s="130" t="n">
        <f aca="false">INPUTS!$T$88*CURVES!AO38</f>
        <v>0</v>
      </c>
      <c r="AP347" s="130" t="n">
        <f aca="false">INPUTS!$T$88*CURVES!AP38</f>
        <v>0</v>
      </c>
      <c r="AQ347" s="130" t="n">
        <f aca="false">INPUTS!$T$88*CURVES!AQ38</f>
        <v>0</v>
      </c>
    </row>
    <row r="348" customFormat="false" ht="15" hidden="false" customHeight="false" outlineLevel="0" collapsed="false">
      <c r="B348" s="3" t="s">
        <v>713</v>
      </c>
      <c r="D348" s="130" t="n">
        <f aca="false">SUM($D347:D347)</f>
        <v>0</v>
      </c>
      <c r="E348" s="130" t="n">
        <f aca="false">SUM($D347:E347)</f>
        <v>0</v>
      </c>
      <c r="F348" s="130" t="n">
        <f aca="false">SUM($D347:F347)</f>
        <v>61.1111111111111</v>
      </c>
      <c r="G348" s="130" t="n">
        <f aca="false">SUM($D347:G347)</f>
        <v>114.583333333333</v>
      </c>
      <c r="H348" s="130" t="n">
        <f aca="false">SUM($D347:H347)</f>
        <v>160.416666666667</v>
      </c>
      <c r="I348" s="130" t="n">
        <f aca="false">SUM($D347:I347)</f>
        <v>198.611111111111</v>
      </c>
      <c r="J348" s="130" t="n">
        <f aca="false">SUM($D347:J347)</f>
        <v>229.166666666667</v>
      </c>
      <c r="K348" s="130" t="n">
        <f aca="false">SUM($D347:K347)</f>
        <v>252.083333333333</v>
      </c>
      <c r="L348" s="130" t="n">
        <f aca="false">SUM($D347:L347)</f>
        <v>267.361111111111</v>
      </c>
      <c r="M348" s="130" t="n">
        <f aca="false">SUM($D347:M347)</f>
        <v>275</v>
      </c>
      <c r="N348" s="130" t="n">
        <f aca="false">SUM($D347:N347)</f>
        <v>275</v>
      </c>
      <c r="O348" s="130" t="n">
        <f aca="false">SUM($D347:O347)</f>
        <v>275</v>
      </c>
      <c r="P348" s="130" t="n">
        <f aca="false">SUM($D347:P347)</f>
        <v>275</v>
      </c>
      <c r="Q348" s="130" t="n">
        <f aca="false">SUM($D347:Q347)</f>
        <v>275</v>
      </c>
      <c r="R348" s="130" t="n">
        <f aca="false">SUM($D347:R347)</f>
        <v>275</v>
      </c>
      <c r="S348" s="130" t="n">
        <f aca="false">SUM($D347:S347)</f>
        <v>275</v>
      </c>
      <c r="T348" s="130" t="n">
        <f aca="false">SUM($D347:T347)</f>
        <v>275</v>
      </c>
      <c r="U348" s="130" t="n">
        <f aca="false">SUM($D347:U347)</f>
        <v>275</v>
      </c>
      <c r="V348" s="130" t="n">
        <f aca="false">SUM($D347:V347)</f>
        <v>275</v>
      </c>
      <c r="W348" s="130" t="n">
        <f aca="false">SUM($D347:W347)</f>
        <v>275</v>
      </c>
      <c r="X348" s="130" t="n">
        <f aca="false">SUM($D347:X347)</f>
        <v>275</v>
      </c>
      <c r="Y348" s="130" t="n">
        <f aca="false">SUM($D347:Y347)</f>
        <v>275</v>
      </c>
      <c r="Z348" s="130" t="n">
        <f aca="false">SUM($D347:Z347)</f>
        <v>275</v>
      </c>
      <c r="AA348" s="130" t="n">
        <f aca="false">SUM($D347:AA347)</f>
        <v>275</v>
      </c>
      <c r="AB348" s="130" t="n">
        <f aca="false">SUM($D347:AB347)</f>
        <v>275</v>
      </c>
      <c r="AC348" s="130" t="n">
        <f aca="false">SUM($D347:AC347)</f>
        <v>275</v>
      </c>
      <c r="AD348" s="130" t="n">
        <f aca="false">SUM($D347:AD347)</f>
        <v>275</v>
      </c>
      <c r="AE348" s="130" t="n">
        <f aca="false">SUM($D347:AE347)</f>
        <v>275</v>
      </c>
      <c r="AF348" s="130" t="n">
        <f aca="false">SUM($D347:AF347)</f>
        <v>275</v>
      </c>
      <c r="AG348" s="130" t="n">
        <f aca="false">SUM($D347:AG347)</f>
        <v>275</v>
      </c>
      <c r="AH348" s="130" t="n">
        <f aca="false">SUM($D347:AH347)</f>
        <v>275</v>
      </c>
      <c r="AI348" s="130" t="n">
        <f aca="false">SUM($D347:AI347)</f>
        <v>275</v>
      </c>
      <c r="AJ348" s="130" t="n">
        <f aca="false">SUM($D347:AJ347)</f>
        <v>275</v>
      </c>
      <c r="AK348" s="130" t="n">
        <f aca="false">SUM($D347:AK347)</f>
        <v>275</v>
      </c>
      <c r="AL348" s="130" t="n">
        <f aca="false">SUM($D347:AL347)</f>
        <v>275</v>
      </c>
      <c r="AM348" s="130" t="n">
        <f aca="false">SUM($D347:AM347)</f>
        <v>275</v>
      </c>
      <c r="AN348" s="130" t="n">
        <f aca="false">SUM($D347:AN347)</f>
        <v>275</v>
      </c>
      <c r="AO348" s="130" t="n">
        <f aca="false">SUM($D347:AO347)</f>
        <v>275</v>
      </c>
      <c r="AP348" s="130" t="n">
        <f aca="false">SUM($D347:AP347)</f>
        <v>275</v>
      </c>
      <c r="AQ348" s="130" t="n">
        <f aca="false">SUM($D347:AQ347)</f>
        <v>275</v>
      </c>
    </row>
    <row r="349" customFormat="false" ht="15" hidden="false" customHeight="false" outlineLevel="0" collapsed="false">
      <c r="B349" s="131" t="s">
        <v>714</v>
      </c>
      <c r="C349" s="129" t="n">
        <f aca="false">SUM(D349:AQ349)</f>
        <v>55</v>
      </c>
      <c r="D349" s="130" t="n">
        <f aca="false">$D$44*IF(D$7-0&gt;=1,INDEX($D$347:$AQ$347,D$7-0),0)+$E$44*IF(D$7-1&gt;=1,INDEX($D$347:$AQ$347,D$7-1),0)+$F$44*IF(D$7-2&gt;=1,INDEX($D$347:$AQ$347,D$7-2),0)+$G$44*IF(D$7-3&gt;=1,INDEX($D$347:$AQ$347,D$7-3),0)+$H$44*IF(D$7-4&gt;=1,INDEX($D$347:$AQ$347,D$7-4),0)+$I$44*IF(D$7-5&gt;=1,INDEX($D$347:$AQ$347,D$7-5),0)+$J$44*IF(D$7-6&gt;=1,INDEX($D$347:$AQ$347,D$7-6),0)+$K$44*IF(D$7-7&gt;=1,INDEX($D$347:$AQ$347,D$7-7),0)+$L$44*IF(D$7-8&gt;=1,INDEX($D$347:$AQ$347,D$7-8),0)+$M$44*IF(D$7-9&gt;=1,INDEX($D$347:$AQ$347,D$7-9),0)+$N$44*IF(D$7-10&gt;=1,INDEX($D$347:$AQ$347,D$7-10),0)+$O$44*IF(D$7-11&gt;=1,INDEX($D$347:$AQ$347,D$7-11),0)+$P$44*IF(D$7-12&gt;=1,INDEX($D$347:$AQ$347,D$7-12),0)</f>
        <v>0</v>
      </c>
      <c r="E349" s="130" t="n">
        <f aca="false">$D$44*IF(E$7-0&gt;=1,INDEX($D$347:$AQ$347,E$7-0),0)+$E$44*IF(E$7-1&gt;=1,INDEX($D$347:$AQ$347,E$7-1),0)+$F$44*IF(E$7-2&gt;=1,INDEX($D$347:$AQ$347,E$7-2),0)+$G$44*IF(E$7-3&gt;=1,INDEX($D$347:$AQ$347,E$7-3),0)+$H$44*IF(E$7-4&gt;=1,INDEX($D$347:$AQ$347,E$7-4),0)+$I$44*IF(E$7-5&gt;=1,INDEX($D$347:$AQ$347,E$7-5),0)+$J$44*IF(E$7-6&gt;=1,INDEX($D$347:$AQ$347,E$7-6),0)+$K$44*IF(E$7-7&gt;=1,INDEX($D$347:$AQ$347,E$7-7),0)+$L$44*IF(E$7-8&gt;=1,INDEX($D$347:$AQ$347,E$7-8),0)+$M$44*IF(E$7-9&gt;=1,INDEX($D$347:$AQ$347,E$7-9),0)+$N$44*IF(E$7-10&gt;=1,INDEX($D$347:$AQ$347,E$7-10),0)+$O$44*IF(E$7-11&gt;=1,INDEX($D$347:$AQ$347,E$7-11),0)+$P$44*IF(E$7-12&gt;=1,INDEX($D$347:$AQ$347,E$7-12),0)</f>
        <v>0</v>
      </c>
      <c r="F349" s="130" t="n">
        <f aca="false">$D$44*IF(F$7-0&gt;=1,INDEX($D$347:$AQ$347,F$7-0),0)+$E$44*IF(F$7-1&gt;=1,INDEX($D$347:$AQ$347,F$7-1),0)+$F$44*IF(F$7-2&gt;=1,INDEX($D$347:$AQ$347,F$7-2),0)+$G$44*IF(F$7-3&gt;=1,INDEX($D$347:$AQ$347,F$7-3),0)+$H$44*IF(F$7-4&gt;=1,INDEX($D$347:$AQ$347,F$7-4),0)+$I$44*IF(F$7-5&gt;=1,INDEX($D$347:$AQ$347,F$7-5),0)+$J$44*IF(F$7-6&gt;=1,INDEX($D$347:$AQ$347,F$7-6),0)+$K$44*IF(F$7-7&gt;=1,INDEX($D$347:$AQ$347,F$7-7),0)+$L$44*IF(F$7-8&gt;=1,INDEX($D$347:$AQ$347,F$7-8),0)+$M$44*IF(F$7-9&gt;=1,INDEX($D$347:$AQ$347,F$7-9),0)+$N$44*IF(F$7-10&gt;=1,INDEX($D$347:$AQ$347,F$7-10),0)+$O$44*IF(F$7-11&gt;=1,INDEX($D$347:$AQ$347,F$7-11),0)+$P$44*IF(F$7-12&gt;=1,INDEX($D$347:$AQ$347,F$7-12),0)</f>
        <v>6.11111111111111</v>
      </c>
      <c r="G349" s="130" t="n">
        <f aca="false">$D$44*IF(G$7-0&gt;=1,INDEX($D$347:$AQ$347,G$7-0),0)+$E$44*IF(G$7-1&gt;=1,INDEX($D$347:$AQ$347,G$7-1),0)+$F$44*IF(G$7-2&gt;=1,INDEX($D$347:$AQ$347,G$7-2),0)+$G$44*IF(G$7-3&gt;=1,INDEX($D$347:$AQ$347,G$7-3),0)+$H$44*IF(G$7-4&gt;=1,INDEX($D$347:$AQ$347,G$7-4),0)+$I$44*IF(G$7-5&gt;=1,INDEX($D$347:$AQ$347,G$7-5),0)+$J$44*IF(G$7-6&gt;=1,INDEX($D$347:$AQ$347,G$7-6),0)+$K$44*IF(G$7-7&gt;=1,INDEX($D$347:$AQ$347,G$7-7),0)+$L$44*IF(G$7-8&gt;=1,INDEX($D$347:$AQ$347,G$7-8),0)+$M$44*IF(G$7-9&gt;=1,INDEX($D$347:$AQ$347,G$7-9),0)+$N$44*IF(G$7-10&gt;=1,INDEX($D$347:$AQ$347,G$7-10),0)+$O$44*IF(G$7-11&gt;=1,INDEX($D$347:$AQ$347,G$7-11),0)+$P$44*IF(G$7-12&gt;=1,INDEX($D$347:$AQ$347,G$7-12),0)</f>
        <v>11.4583333333333</v>
      </c>
      <c r="H349" s="130" t="n">
        <f aca="false">$D$44*IF(H$7-0&gt;=1,INDEX($D$347:$AQ$347,H$7-0),0)+$E$44*IF(H$7-1&gt;=1,INDEX($D$347:$AQ$347,H$7-1),0)+$F$44*IF(H$7-2&gt;=1,INDEX($D$347:$AQ$347,H$7-2),0)+$G$44*IF(H$7-3&gt;=1,INDEX($D$347:$AQ$347,H$7-3),0)+$H$44*IF(H$7-4&gt;=1,INDEX($D$347:$AQ$347,H$7-4),0)+$I$44*IF(H$7-5&gt;=1,INDEX($D$347:$AQ$347,H$7-5),0)+$J$44*IF(H$7-6&gt;=1,INDEX($D$347:$AQ$347,H$7-6),0)+$K$44*IF(H$7-7&gt;=1,INDEX($D$347:$AQ$347,H$7-7),0)+$L$44*IF(H$7-8&gt;=1,INDEX($D$347:$AQ$347,H$7-8),0)+$M$44*IF(H$7-9&gt;=1,INDEX($D$347:$AQ$347,H$7-9),0)+$N$44*IF(H$7-10&gt;=1,INDEX($D$347:$AQ$347,H$7-10),0)+$O$44*IF(H$7-11&gt;=1,INDEX($D$347:$AQ$347,H$7-11),0)+$P$44*IF(H$7-12&gt;=1,INDEX($D$347:$AQ$347,H$7-12),0)</f>
        <v>9.93055555555556</v>
      </c>
      <c r="I349" s="130" t="n">
        <f aca="false">$D$44*IF(I$7-0&gt;=1,INDEX($D$347:$AQ$347,I$7-0),0)+$E$44*IF(I$7-1&gt;=1,INDEX($D$347:$AQ$347,I$7-1),0)+$F$44*IF(I$7-2&gt;=1,INDEX($D$347:$AQ$347,I$7-2),0)+$G$44*IF(I$7-3&gt;=1,INDEX($D$347:$AQ$347,I$7-3),0)+$H$44*IF(I$7-4&gt;=1,INDEX($D$347:$AQ$347,I$7-4),0)+$I$44*IF(I$7-5&gt;=1,INDEX($D$347:$AQ$347,I$7-5),0)+$J$44*IF(I$7-6&gt;=1,INDEX($D$347:$AQ$347,I$7-6),0)+$K$44*IF(I$7-7&gt;=1,INDEX($D$347:$AQ$347,I$7-7),0)+$L$44*IF(I$7-8&gt;=1,INDEX($D$347:$AQ$347,I$7-8),0)+$M$44*IF(I$7-9&gt;=1,INDEX($D$347:$AQ$347,I$7-9),0)+$N$44*IF(I$7-10&gt;=1,INDEX($D$347:$AQ$347,I$7-10),0)+$O$44*IF(I$7-11&gt;=1,INDEX($D$347:$AQ$347,I$7-11),0)+$P$44*IF(I$7-12&gt;=1,INDEX($D$347:$AQ$347,I$7-12),0)</f>
        <v>8.40277777777778</v>
      </c>
      <c r="J349" s="130" t="n">
        <f aca="false">$D$44*IF(J$7-0&gt;=1,INDEX($D$347:$AQ$347,J$7-0),0)+$E$44*IF(J$7-1&gt;=1,INDEX($D$347:$AQ$347,J$7-1),0)+$F$44*IF(J$7-2&gt;=1,INDEX($D$347:$AQ$347,J$7-2),0)+$G$44*IF(J$7-3&gt;=1,INDEX($D$347:$AQ$347,J$7-3),0)+$H$44*IF(J$7-4&gt;=1,INDEX($D$347:$AQ$347,J$7-4),0)+$I$44*IF(J$7-5&gt;=1,INDEX($D$347:$AQ$347,J$7-5),0)+$J$44*IF(J$7-6&gt;=1,INDEX($D$347:$AQ$347,J$7-6),0)+$K$44*IF(J$7-7&gt;=1,INDEX($D$347:$AQ$347,J$7-7),0)+$L$44*IF(J$7-8&gt;=1,INDEX($D$347:$AQ$347,J$7-8),0)+$M$44*IF(J$7-9&gt;=1,INDEX($D$347:$AQ$347,J$7-9),0)+$N$44*IF(J$7-10&gt;=1,INDEX($D$347:$AQ$347,J$7-10),0)+$O$44*IF(J$7-11&gt;=1,INDEX($D$347:$AQ$347,J$7-11),0)+$P$44*IF(J$7-12&gt;=1,INDEX($D$347:$AQ$347,J$7-12),0)</f>
        <v>6.875</v>
      </c>
      <c r="K349" s="130" t="n">
        <f aca="false">$D$44*IF(K$7-0&gt;=1,INDEX($D$347:$AQ$347,K$7-0),0)+$E$44*IF(K$7-1&gt;=1,INDEX($D$347:$AQ$347,K$7-1),0)+$F$44*IF(K$7-2&gt;=1,INDEX($D$347:$AQ$347,K$7-2),0)+$G$44*IF(K$7-3&gt;=1,INDEX($D$347:$AQ$347,K$7-3),0)+$H$44*IF(K$7-4&gt;=1,INDEX($D$347:$AQ$347,K$7-4),0)+$I$44*IF(K$7-5&gt;=1,INDEX($D$347:$AQ$347,K$7-5),0)+$J$44*IF(K$7-6&gt;=1,INDEX($D$347:$AQ$347,K$7-6),0)+$K$44*IF(K$7-7&gt;=1,INDEX($D$347:$AQ$347,K$7-7),0)+$L$44*IF(K$7-8&gt;=1,INDEX($D$347:$AQ$347,K$7-8),0)+$M$44*IF(K$7-9&gt;=1,INDEX($D$347:$AQ$347,K$7-9),0)+$N$44*IF(K$7-10&gt;=1,INDEX($D$347:$AQ$347,K$7-10),0)+$O$44*IF(K$7-11&gt;=1,INDEX($D$347:$AQ$347,K$7-11),0)+$P$44*IF(K$7-12&gt;=1,INDEX($D$347:$AQ$347,K$7-12),0)</f>
        <v>5.34722222222222</v>
      </c>
      <c r="L349" s="130" t="n">
        <f aca="false">$D$44*IF(L$7-0&gt;=1,INDEX($D$347:$AQ$347,L$7-0),0)+$E$44*IF(L$7-1&gt;=1,INDEX($D$347:$AQ$347,L$7-1),0)+$F$44*IF(L$7-2&gt;=1,INDEX($D$347:$AQ$347,L$7-2),0)+$G$44*IF(L$7-3&gt;=1,INDEX($D$347:$AQ$347,L$7-3),0)+$H$44*IF(L$7-4&gt;=1,INDEX($D$347:$AQ$347,L$7-4),0)+$I$44*IF(L$7-5&gt;=1,INDEX($D$347:$AQ$347,L$7-5),0)+$J$44*IF(L$7-6&gt;=1,INDEX($D$347:$AQ$347,L$7-6),0)+$K$44*IF(L$7-7&gt;=1,INDEX($D$347:$AQ$347,L$7-7),0)+$L$44*IF(L$7-8&gt;=1,INDEX($D$347:$AQ$347,L$7-8),0)+$M$44*IF(L$7-9&gt;=1,INDEX($D$347:$AQ$347,L$7-9),0)+$N$44*IF(L$7-10&gt;=1,INDEX($D$347:$AQ$347,L$7-10),0)+$O$44*IF(L$7-11&gt;=1,INDEX($D$347:$AQ$347,L$7-11),0)+$P$44*IF(L$7-12&gt;=1,INDEX($D$347:$AQ$347,L$7-12),0)</f>
        <v>3.81944444444444</v>
      </c>
      <c r="M349" s="130" t="n">
        <f aca="false">$D$44*IF(M$7-0&gt;=1,INDEX($D$347:$AQ$347,M$7-0),0)+$E$44*IF(M$7-1&gt;=1,INDEX($D$347:$AQ$347,M$7-1),0)+$F$44*IF(M$7-2&gt;=1,INDEX($D$347:$AQ$347,M$7-2),0)+$G$44*IF(M$7-3&gt;=1,INDEX($D$347:$AQ$347,M$7-3),0)+$H$44*IF(M$7-4&gt;=1,INDEX($D$347:$AQ$347,M$7-4),0)+$I$44*IF(M$7-5&gt;=1,INDEX($D$347:$AQ$347,M$7-5),0)+$J$44*IF(M$7-6&gt;=1,INDEX($D$347:$AQ$347,M$7-6),0)+$K$44*IF(M$7-7&gt;=1,INDEX($D$347:$AQ$347,M$7-7),0)+$L$44*IF(M$7-8&gt;=1,INDEX($D$347:$AQ$347,M$7-8),0)+$M$44*IF(M$7-9&gt;=1,INDEX($D$347:$AQ$347,M$7-9),0)+$N$44*IF(M$7-10&gt;=1,INDEX($D$347:$AQ$347,M$7-10),0)+$O$44*IF(M$7-11&gt;=1,INDEX($D$347:$AQ$347,M$7-11),0)+$P$44*IF(M$7-12&gt;=1,INDEX($D$347:$AQ$347,M$7-12),0)</f>
        <v>2.29166666666667</v>
      </c>
      <c r="N349" s="130" t="n">
        <f aca="false">$D$44*IF(N$7-0&gt;=1,INDEX($D$347:$AQ$347,N$7-0),0)+$E$44*IF(N$7-1&gt;=1,INDEX($D$347:$AQ$347,N$7-1),0)+$F$44*IF(N$7-2&gt;=1,INDEX($D$347:$AQ$347,N$7-2),0)+$G$44*IF(N$7-3&gt;=1,INDEX($D$347:$AQ$347,N$7-3),0)+$H$44*IF(N$7-4&gt;=1,INDEX($D$347:$AQ$347,N$7-4),0)+$I$44*IF(N$7-5&gt;=1,INDEX($D$347:$AQ$347,N$7-5),0)+$J$44*IF(N$7-6&gt;=1,INDEX($D$347:$AQ$347,N$7-6),0)+$K$44*IF(N$7-7&gt;=1,INDEX($D$347:$AQ$347,N$7-7),0)+$L$44*IF(N$7-8&gt;=1,INDEX($D$347:$AQ$347,N$7-8),0)+$M$44*IF(N$7-9&gt;=1,INDEX($D$347:$AQ$347,N$7-9),0)+$N$44*IF(N$7-10&gt;=1,INDEX($D$347:$AQ$347,N$7-10),0)+$O$44*IF(N$7-11&gt;=1,INDEX($D$347:$AQ$347,N$7-11),0)+$P$44*IF(N$7-12&gt;=1,INDEX($D$347:$AQ$347,N$7-12),0)</f>
        <v>0.763888888888889</v>
      </c>
      <c r="O349" s="130" t="n">
        <f aca="false">$D$44*IF(O$7-0&gt;=1,INDEX($D$347:$AQ$347,O$7-0),0)+$E$44*IF(O$7-1&gt;=1,INDEX($D$347:$AQ$347,O$7-1),0)+$F$44*IF(O$7-2&gt;=1,INDEX($D$347:$AQ$347,O$7-2),0)+$G$44*IF(O$7-3&gt;=1,INDEX($D$347:$AQ$347,O$7-3),0)+$H$44*IF(O$7-4&gt;=1,INDEX($D$347:$AQ$347,O$7-4),0)+$I$44*IF(O$7-5&gt;=1,INDEX($D$347:$AQ$347,O$7-5),0)+$J$44*IF(O$7-6&gt;=1,INDEX($D$347:$AQ$347,O$7-6),0)+$K$44*IF(O$7-7&gt;=1,INDEX($D$347:$AQ$347,O$7-7),0)+$L$44*IF(O$7-8&gt;=1,INDEX($D$347:$AQ$347,O$7-8),0)+$M$44*IF(O$7-9&gt;=1,INDEX($D$347:$AQ$347,O$7-9),0)+$N$44*IF(O$7-10&gt;=1,INDEX($D$347:$AQ$347,O$7-10),0)+$O$44*IF(O$7-11&gt;=1,INDEX($D$347:$AQ$347,O$7-11),0)+$P$44*IF(O$7-12&gt;=1,INDEX($D$347:$AQ$347,O$7-12),0)</f>
        <v>0</v>
      </c>
      <c r="P349" s="130" t="n">
        <f aca="false">$D$44*IF(P$7-0&gt;=1,INDEX($D$347:$AQ$347,P$7-0),0)+$E$44*IF(P$7-1&gt;=1,INDEX($D$347:$AQ$347,P$7-1),0)+$F$44*IF(P$7-2&gt;=1,INDEX($D$347:$AQ$347,P$7-2),0)+$G$44*IF(P$7-3&gt;=1,INDEX($D$347:$AQ$347,P$7-3),0)+$H$44*IF(P$7-4&gt;=1,INDEX($D$347:$AQ$347,P$7-4),0)+$I$44*IF(P$7-5&gt;=1,INDEX($D$347:$AQ$347,P$7-5),0)+$J$44*IF(P$7-6&gt;=1,INDEX($D$347:$AQ$347,P$7-6),0)+$K$44*IF(P$7-7&gt;=1,INDEX($D$347:$AQ$347,P$7-7),0)+$L$44*IF(P$7-8&gt;=1,INDEX($D$347:$AQ$347,P$7-8),0)+$M$44*IF(P$7-9&gt;=1,INDEX($D$347:$AQ$347,P$7-9),0)+$N$44*IF(P$7-10&gt;=1,INDEX($D$347:$AQ$347,P$7-10),0)+$O$44*IF(P$7-11&gt;=1,INDEX($D$347:$AQ$347,P$7-11),0)+$P$44*IF(P$7-12&gt;=1,INDEX($D$347:$AQ$347,P$7-12),0)</f>
        <v>0</v>
      </c>
      <c r="Q349" s="130" t="n">
        <f aca="false">$D$44*IF(Q$7-0&gt;=1,INDEX($D$347:$AQ$347,Q$7-0),0)+$E$44*IF(Q$7-1&gt;=1,INDEX($D$347:$AQ$347,Q$7-1),0)+$F$44*IF(Q$7-2&gt;=1,INDEX($D$347:$AQ$347,Q$7-2),0)+$G$44*IF(Q$7-3&gt;=1,INDEX($D$347:$AQ$347,Q$7-3),0)+$H$44*IF(Q$7-4&gt;=1,INDEX($D$347:$AQ$347,Q$7-4),0)+$I$44*IF(Q$7-5&gt;=1,INDEX($D$347:$AQ$347,Q$7-5),0)+$J$44*IF(Q$7-6&gt;=1,INDEX($D$347:$AQ$347,Q$7-6),0)+$K$44*IF(Q$7-7&gt;=1,INDEX($D$347:$AQ$347,Q$7-7),0)+$L$44*IF(Q$7-8&gt;=1,INDEX($D$347:$AQ$347,Q$7-8),0)+$M$44*IF(Q$7-9&gt;=1,INDEX($D$347:$AQ$347,Q$7-9),0)+$N$44*IF(Q$7-10&gt;=1,INDEX($D$347:$AQ$347,Q$7-10),0)+$O$44*IF(Q$7-11&gt;=1,INDEX($D$347:$AQ$347,Q$7-11),0)+$P$44*IF(Q$7-12&gt;=1,INDEX($D$347:$AQ$347,Q$7-12),0)</f>
        <v>0</v>
      </c>
      <c r="R349" s="130" t="n">
        <f aca="false">$D$44*IF(R$7-0&gt;=1,INDEX($D$347:$AQ$347,R$7-0),0)+$E$44*IF(R$7-1&gt;=1,INDEX($D$347:$AQ$347,R$7-1),0)+$F$44*IF(R$7-2&gt;=1,INDEX($D$347:$AQ$347,R$7-2),0)+$G$44*IF(R$7-3&gt;=1,INDEX($D$347:$AQ$347,R$7-3),0)+$H$44*IF(R$7-4&gt;=1,INDEX($D$347:$AQ$347,R$7-4),0)+$I$44*IF(R$7-5&gt;=1,INDEX($D$347:$AQ$347,R$7-5),0)+$J$44*IF(R$7-6&gt;=1,INDEX($D$347:$AQ$347,R$7-6),0)+$K$44*IF(R$7-7&gt;=1,INDEX($D$347:$AQ$347,R$7-7),0)+$L$44*IF(R$7-8&gt;=1,INDEX($D$347:$AQ$347,R$7-8),0)+$M$44*IF(R$7-9&gt;=1,INDEX($D$347:$AQ$347,R$7-9),0)+$N$44*IF(R$7-10&gt;=1,INDEX($D$347:$AQ$347,R$7-10),0)+$O$44*IF(R$7-11&gt;=1,INDEX($D$347:$AQ$347,R$7-11),0)+$P$44*IF(R$7-12&gt;=1,INDEX($D$347:$AQ$347,R$7-12),0)</f>
        <v>0</v>
      </c>
      <c r="S349" s="130" t="n">
        <f aca="false">$D$44*IF(S$7-0&gt;=1,INDEX($D$347:$AQ$347,S$7-0),0)+$E$44*IF(S$7-1&gt;=1,INDEX($D$347:$AQ$347,S$7-1),0)+$F$44*IF(S$7-2&gt;=1,INDEX($D$347:$AQ$347,S$7-2),0)+$G$44*IF(S$7-3&gt;=1,INDEX($D$347:$AQ$347,S$7-3),0)+$H$44*IF(S$7-4&gt;=1,INDEX($D$347:$AQ$347,S$7-4),0)+$I$44*IF(S$7-5&gt;=1,INDEX($D$347:$AQ$347,S$7-5),0)+$J$44*IF(S$7-6&gt;=1,INDEX($D$347:$AQ$347,S$7-6),0)+$K$44*IF(S$7-7&gt;=1,INDEX($D$347:$AQ$347,S$7-7),0)+$L$44*IF(S$7-8&gt;=1,INDEX($D$347:$AQ$347,S$7-8),0)+$M$44*IF(S$7-9&gt;=1,INDEX($D$347:$AQ$347,S$7-9),0)+$N$44*IF(S$7-10&gt;=1,INDEX($D$347:$AQ$347,S$7-10),0)+$O$44*IF(S$7-11&gt;=1,INDEX($D$347:$AQ$347,S$7-11),0)+$P$44*IF(S$7-12&gt;=1,INDEX($D$347:$AQ$347,S$7-12),0)</f>
        <v>0</v>
      </c>
      <c r="T349" s="130" t="n">
        <f aca="false">$D$44*IF(T$7-0&gt;=1,INDEX($D$347:$AQ$347,T$7-0),0)+$E$44*IF(T$7-1&gt;=1,INDEX($D$347:$AQ$347,T$7-1),0)+$F$44*IF(T$7-2&gt;=1,INDEX($D$347:$AQ$347,T$7-2),0)+$G$44*IF(T$7-3&gt;=1,INDEX($D$347:$AQ$347,T$7-3),0)+$H$44*IF(T$7-4&gt;=1,INDEX($D$347:$AQ$347,T$7-4),0)+$I$44*IF(T$7-5&gt;=1,INDEX($D$347:$AQ$347,T$7-5),0)+$J$44*IF(T$7-6&gt;=1,INDEX($D$347:$AQ$347,T$7-6),0)+$K$44*IF(T$7-7&gt;=1,INDEX($D$347:$AQ$347,T$7-7),0)+$L$44*IF(T$7-8&gt;=1,INDEX($D$347:$AQ$347,T$7-8),0)+$M$44*IF(T$7-9&gt;=1,INDEX($D$347:$AQ$347,T$7-9),0)+$N$44*IF(T$7-10&gt;=1,INDEX($D$347:$AQ$347,T$7-10),0)+$O$44*IF(T$7-11&gt;=1,INDEX($D$347:$AQ$347,T$7-11),0)+$P$44*IF(T$7-12&gt;=1,INDEX($D$347:$AQ$347,T$7-12),0)</f>
        <v>0</v>
      </c>
      <c r="U349" s="130" t="n">
        <f aca="false">$D$44*IF(U$7-0&gt;=1,INDEX($D$347:$AQ$347,U$7-0),0)+$E$44*IF(U$7-1&gt;=1,INDEX($D$347:$AQ$347,U$7-1),0)+$F$44*IF(U$7-2&gt;=1,INDEX($D$347:$AQ$347,U$7-2),0)+$G$44*IF(U$7-3&gt;=1,INDEX($D$347:$AQ$347,U$7-3),0)+$H$44*IF(U$7-4&gt;=1,INDEX($D$347:$AQ$347,U$7-4),0)+$I$44*IF(U$7-5&gt;=1,INDEX($D$347:$AQ$347,U$7-5),0)+$J$44*IF(U$7-6&gt;=1,INDEX($D$347:$AQ$347,U$7-6),0)+$K$44*IF(U$7-7&gt;=1,INDEX($D$347:$AQ$347,U$7-7),0)+$L$44*IF(U$7-8&gt;=1,INDEX($D$347:$AQ$347,U$7-8),0)+$M$44*IF(U$7-9&gt;=1,INDEX($D$347:$AQ$347,U$7-9),0)+$N$44*IF(U$7-10&gt;=1,INDEX($D$347:$AQ$347,U$7-10),0)+$O$44*IF(U$7-11&gt;=1,INDEX($D$347:$AQ$347,U$7-11),0)+$P$44*IF(U$7-12&gt;=1,INDEX($D$347:$AQ$347,U$7-12),0)</f>
        <v>0</v>
      </c>
      <c r="V349" s="130" t="n">
        <f aca="false">$D$44*IF(V$7-0&gt;=1,INDEX($D$347:$AQ$347,V$7-0),0)+$E$44*IF(V$7-1&gt;=1,INDEX($D$347:$AQ$347,V$7-1),0)+$F$44*IF(V$7-2&gt;=1,INDEX($D$347:$AQ$347,V$7-2),0)+$G$44*IF(V$7-3&gt;=1,INDEX($D$347:$AQ$347,V$7-3),0)+$H$44*IF(V$7-4&gt;=1,INDEX($D$347:$AQ$347,V$7-4),0)+$I$44*IF(V$7-5&gt;=1,INDEX($D$347:$AQ$347,V$7-5),0)+$J$44*IF(V$7-6&gt;=1,INDEX($D$347:$AQ$347,V$7-6),0)+$K$44*IF(V$7-7&gt;=1,INDEX($D$347:$AQ$347,V$7-7),0)+$L$44*IF(V$7-8&gt;=1,INDEX($D$347:$AQ$347,V$7-8),0)+$M$44*IF(V$7-9&gt;=1,INDEX($D$347:$AQ$347,V$7-9),0)+$N$44*IF(V$7-10&gt;=1,INDEX($D$347:$AQ$347,V$7-10),0)+$O$44*IF(V$7-11&gt;=1,INDEX($D$347:$AQ$347,V$7-11),0)+$P$44*IF(V$7-12&gt;=1,INDEX($D$347:$AQ$347,V$7-12),0)</f>
        <v>0</v>
      </c>
      <c r="W349" s="130" t="n">
        <f aca="false">$D$44*IF(W$7-0&gt;=1,INDEX($D$347:$AQ$347,W$7-0),0)+$E$44*IF(W$7-1&gt;=1,INDEX($D$347:$AQ$347,W$7-1),0)+$F$44*IF(W$7-2&gt;=1,INDEX($D$347:$AQ$347,W$7-2),0)+$G$44*IF(W$7-3&gt;=1,INDEX($D$347:$AQ$347,W$7-3),0)+$H$44*IF(W$7-4&gt;=1,INDEX($D$347:$AQ$347,W$7-4),0)+$I$44*IF(W$7-5&gt;=1,INDEX($D$347:$AQ$347,W$7-5),0)+$J$44*IF(W$7-6&gt;=1,INDEX($D$347:$AQ$347,W$7-6),0)+$K$44*IF(W$7-7&gt;=1,INDEX($D$347:$AQ$347,W$7-7),0)+$L$44*IF(W$7-8&gt;=1,INDEX($D$347:$AQ$347,W$7-8),0)+$M$44*IF(W$7-9&gt;=1,INDEX($D$347:$AQ$347,W$7-9),0)+$N$44*IF(W$7-10&gt;=1,INDEX($D$347:$AQ$347,W$7-10),0)+$O$44*IF(W$7-11&gt;=1,INDEX($D$347:$AQ$347,W$7-11),0)+$P$44*IF(W$7-12&gt;=1,INDEX($D$347:$AQ$347,W$7-12),0)</f>
        <v>0</v>
      </c>
      <c r="X349" s="130" t="n">
        <f aca="false">$D$44*IF(X$7-0&gt;=1,INDEX($D$347:$AQ$347,X$7-0),0)+$E$44*IF(X$7-1&gt;=1,INDEX($D$347:$AQ$347,X$7-1),0)+$F$44*IF(X$7-2&gt;=1,INDEX($D$347:$AQ$347,X$7-2),0)+$G$44*IF(X$7-3&gt;=1,INDEX($D$347:$AQ$347,X$7-3),0)+$H$44*IF(X$7-4&gt;=1,INDEX($D$347:$AQ$347,X$7-4),0)+$I$44*IF(X$7-5&gt;=1,INDEX($D$347:$AQ$347,X$7-5),0)+$J$44*IF(X$7-6&gt;=1,INDEX($D$347:$AQ$347,X$7-6),0)+$K$44*IF(X$7-7&gt;=1,INDEX($D$347:$AQ$347,X$7-7),0)+$L$44*IF(X$7-8&gt;=1,INDEX($D$347:$AQ$347,X$7-8),0)+$M$44*IF(X$7-9&gt;=1,INDEX($D$347:$AQ$347,X$7-9),0)+$N$44*IF(X$7-10&gt;=1,INDEX($D$347:$AQ$347,X$7-10),0)+$O$44*IF(X$7-11&gt;=1,INDEX($D$347:$AQ$347,X$7-11),0)+$P$44*IF(X$7-12&gt;=1,INDEX($D$347:$AQ$347,X$7-12),0)</f>
        <v>0</v>
      </c>
      <c r="Y349" s="130" t="n">
        <f aca="false">$D$44*IF(Y$7-0&gt;=1,INDEX($D$347:$AQ$347,Y$7-0),0)+$E$44*IF(Y$7-1&gt;=1,INDEX($D$347:$AQ$347,Y$7-1),0)+$F$44*IF(Y$7-2&gt;=1,INDEX($D$347:$AQ$347,Y$7-2),0)+$G$44*IF(Y$7-3&gt;=1,INDEX($D$347:$AQ$347,Y$7-3),0)+$H$44*IF(Y$7-4&gt;=1,INDEX($D$347:$AQ$347,Y$7-4),0)+$I$44*IF(Y$7-5&gt;=1,INDEX($D$347:$AQ$347,Y$7-5),0)+$J$44*IF(Y$7-6&gt;=1,INDEX($D$347:$AQ$347,Y$7-6),0)+$K$44*IF(Y$7-7&gt;=1,INDEX($D$347:$AQ$347,Y$7-7),0)+$L$44*IF(Y$7-8&gt;=1,INDEX($D$347:$AQ$347,Y$7-8),0)+$M$44*IF(Y$7-9&gt;=1,INDEX($D$347:$AQ$347,Y$7-9),0)+$N$44*IF(Y$7-10&gt;=1,INDEX($D$347:$AQ$347,Y$7-10),0)+$O$44*IF(Y$7-11&gt;=1,INDEX($D$347:$AQ$347,Y$7-11),0)+$P$44*IF(Y$7-12&gt;=1,INDEX($D$347:$AQ$347,Y$7-12),0)</f>
        <v>0</v>
      </c>
      <c r="Z349" s="130" t="n">
        <f aca="false">$D$44*IF(Z$7-0&gt;=1,INDEX($D$347:$AQ$347,Z$7-0),0)+$E$44*IF(Z$7-1&gt;=1,INDEX($D$347:$AQ$347,Z$7-1),0)+$F$44*IF(Z$7-2&gt;=1,INDEX($D$347:$AQ$347,Z$7-2),0)+$G$44*IF(Z$7-3&gt;=1,INDEX($D$347:$AQ$347,Z$7-3),0)+$H$44*IF(Z$7-4&gt;=1,INDEX($D$347:$AQ$347,Z$7-4),0)+$I$44*IF(Z$7-5&gt;=1,INDEX($D$347:$AQ$347,Z$7-5),0)+$J$44*IF(Z$7-6&gt;=1,INDEX($D$347:$AQ$347,Z$7-6),0)+$K$44*IF(Z$7-7&gt;=1,INDEX($D$347:$AQ$347,Z$7-7),0)+$L$44*IF(Z$7-8&gt;=1,INDEX($D$347:$AQ$347,Z$7-8),0)+$M$44*IF(Z$7-9&gt;=1,INDEX($D$347:$AQ$347,Z$7-9),0)+$N$44*IF(Z$7-10&gt;=1,INDEX($D$347:$AQ$347,Z$7-10),0)+$O$44*IF(Z$7-11&gt;=1,INDEX($D$347:$AQ$347,Z$7-11),0)+$P$44*IF(Z$7-12&gt;=1,INDEX($D$347:$AQ$347,Z$7-12),0)</f>
        <v>0</v>
      </c>
      <c r="AA349" s="130" t="n">
        <f aca="false">$D$44*IF(AA$7-0&gt;=1,INDEX($D$347:$AQ$347,AA$7-0),0)+$E$44*IF(AA$7-1&gt;=1,INDEX($D$347:$AQ$347,AA$7-1),0)+$F$44*IF(AA$7-2&gt;=1,INDEX($D$347:$AQ$347,AA$7-2),0)+$G$44*IF(AA$7-3&gt;=1,INDEX($D$347:$AQ$347,AA$7-3),0)+$H$44*IF(AA$7-4&gt;=1,INDEX($D$347:$AQ$347,AA$7-4),0)+$I$44*IF(AA$7-5&gt;=1,INDEX($D$347:$AQ$347,AA$7-5),0)+$J$44*IF(AA$7-6&gt;=1,INDEX($D$347:$AQ$347,AA$7-6),0)+$K$44*IF(AA$7-7&gt;=1,INDEX($D$347:$AQ$347,AA$7-7),0)+$L$44*IF(AA$7-8&gt;=1,INDEX($D$347:$AQ$347,AA$7-8),0)+$M$44*IF(AA$7-9&gt;=1,INDEX($D$347:$AQ$347,AA$7-9),0)+$N$44*IF(AA$7-10&gt;=1,INDEX($D$347:$AQ$347,AA$7-10),0)+$O$44*IF(AA$7-11&gt;=1,INDEX($D$347:$AQ$347,AA$7-11),0)+$P$44*IF(AA$7-12&gt;=1,INDEX($D$347:$AQ$347,AA$7-12),0)</f>
        <v>0</v>
      </c>
      <c r="AB349" s="130" t="n">
        <f aca="false">$D$44*IF(AB$7-0&gt;=1,INDEX($D$347:$AQ$347,AB$7-0),0)+$E$44*IF(AB$7-1&gt;=1,INDEX($D$347:$AQ$347,AB$7-1),0)+$F$44*IF(AB$7-2&gt;=1,INDEX($D$347:$AQ$347,AB$7-2),0)+$G$44*IF(AB$7-3&gt;=1,INDEX($D$347:$AQ$347,AB$7-3),0)+$H$44*IF(AB$7-4&gt;=1,INDEX($D$347:$AQ$347,AB$7-4),0)+$I$44*IF(AB$7-5&gt;=1,INDEX($D$347:$AQ$347,AB$7-5),0)+$J$44*IF(AB$7-6&gt;=1,INDEX($D$347:$AQ$347,AB$7-6),0)+$K$44*IF(AB$7-7&gt;=1,INDEX($D$347:$AQ$347,AB$7-7),0)+$L$44*IF(AB$7-8&gt;=1,INDEX($D$347:$AQ$347,AB$7-8),0)+$M$44*IF(AB$7-9&gt;=1,INDEX($D$347:$AQ$347,AB$7-9),0)+$N$44*IF(AB$7-10&gt;=1,INDEX($D$347:$AQ$347,AB$7-10),0)+$O$44*IF(AB$7-11&gt;=1,INDEX($D$347:$AQ$347,AB$7-11),0)+$P$44*IF(AB$7-12&gt;=1,INDEX($D$347:$AQ$347,AB$7-12),0)</f>
        <v>0</v>
      </c>
      <c r="AC349" s="130" t="n">
        <f aca="false">$D$44*IF(AC$7-0&gt;=1,INDEX($D$347:$AQ$347,AC$7-0),0)+$E$44*IF(AC$7-1&gt;=1,INDEX($D$347:$AQ$347,AC$7-1),0)+$F$44*IF(AC$7-2&gt;=1,INDEX($D$347:$AQ$347,AC$7-2),0)+$G$44*IF(AC$7-3&gt;=1,INDEX($D$347:$AQ$347,AC$7-3),0)+$H$44*IF(AC$7-4&gt;=1,INDEX($D$347:$AQ$347,AC$7-4),0)+$I$44*IF(AC$7-5&gt;=1,INDEX($D$347:$AQ$347,AC$7-5),0)+$J$44*IF(AC$7-6&gt;=1,INDEX($D$347:$AQ$347,AC$7-6),0)+$K$44*IF(AC$7-7&gt;=1,INDEX($D$347:$AQ$347,AC$7-7),0)+$L$44*IF(AC$7-8&gt;=1,INDEX($D$347:$AQ$347,AC$7-8),0)+$M$44*IF(AC$7-9&gt;=1,INDEX($D$347:$AQ$347,AC$7-9),0)+$N$44*IF(AC$7-10&gt;=1,INDEX($D$347:$AQ$347,AC$7-10),0)+$O$44*IF(AC$7-11&gt;=1,INDEX($D$347:$AQ$347,AC$7-11),0)+$P$44*IF(AC$7-12&gt;=1,INDEX($D$347:$AQ$347,AC$7-12),0)</f>
        <v>0</v>
      </c>
      <c r="AD349" s="130" t="n">
        <f aca="false">$D$44*IF(AD$7-0&gt;=1,INDEX($D$347:$AQ$347,AD$7-0),0)+$E$44*IF(AD$7-1&gt;=1,INDEX($D$347:$AQ$347,AD$7-1),0)+$F$44*IF(AD$7-2&gt;=1,INDEX($D$347:$AQ$347,AD$7-2),0)+$G$44*IF(AD$7-3&gt;=1,INDEX($D$347:$AQ$347,AD$7-3),0)+$H$44*IF(AD$7-4&gt;=1,INDEX($D$347:$AQ$347,AD$7-4),0)+$I$44*IF(AD$7-5&gt;=1,INDEX($D$347:$AQ$347,AD$7-5),0)+$J$44*IF(AD$7-6&gt;=1,INDEX($D$347:$AQ$347,AD$7-6),0)+$K$44*IF(AD$7-7&gt;=1,INDEX($D$347:$AQ$347,AD$7-7),0)+$L$44*IF(AD$7-8&gt;=1,INDEX($D$347:$AQ$347,AD$7-8),0)+$M$44*IF(AD$7-9&gt;=1,INDEX($D$347:$AQ$347,AD$7-9),0)+$N$44*IF(AD$7-10&gt;=1,INDEX($D$347:$AQ$347,AD$7-10),0)+$O$44*IF(AD$7-11&gt;=1,INDEX($D$347:$AQ$347,AD$7-11),0)+$P$44*IF(AD$7-12&gt;=1,INDEX($D$347:$AQ$347,AD$7-12),0)</f>
        <v>0</v>
      </c>
      <c r="AE349" s="130" t="n">
        <f aca="false">$D$44*IF(AE$7-0&gt;=1,INDEX($D$347:$AQ$347,AE$7-0),0)+$E$44*IF(AE$7-1&gt;=1,INDEX($D$347:$AQ$347,AE$7-1),0)+$F$44*IF(AE$7-2&gt;=1,INDEX($D$347:$AQ$347,AE$7-2),0)+$G$44*IF(AE$7-3&gt;=1,INDEX($D$347:$AQ$347,AE$7-3),0)+$H$44*IF(AE$7-4&gt;=1,INDEX($D$347:$AQ$347,AE$7-4),0)+$I$44*IF(AE$7-5&gt;=1,INDEX($D$347:$AQ$347,AE$7-5),0)+$J$44*IF(AE$7-6&gt;=1,INDEX($D$347:$AQ$347,AE$7-6),0)+$K$44*IF(AE$7-7&gt;=1,INDEX($D$347:$AQ$347,AE$7-7),0)+$L$44*IF(AE$7-8&gt;=1,INDEX($D$347:$AQ$347,AE$7-8),0)+$M$44*IF(AE$7-9&gt;=1,INDEX($D$347:$AQ$347,AE$7-9),0)+$N$44*IF(AE$7-10&gt;=1,INDEX($D$347:$AQ$347,AE$7-10),0)+$O$44*IF(AE$7-11&gt;=1,INDEX($D$347:$AQ$347,AE$7-11),0)+$P$44*IF(AE$7-12&gt;=1,INDEX($D$347:$AQ$347,AE$7-12),0)</f>
        <v>0</v>
      </c>
      <c r="AF349" s="130" t="n">
        <f aca="false">$D$44*IF(AF$7-0&gt;=1,INDEX($D$347:$AQ$347,AF$7-0),0)+$E$44*IF(AF$7-1&gt;=1,INDEX($D$347:$AQ$347,AF$7-1),0)+$F$44*IF(AF$7-2&gt;=1,INDEX($D$347:$AQ$347,AF$7-2),0)+$G$44*IF(AF$7-3&gt;=1,INDEX($D$347:$AQ$347,AF$7-3),0)+$H$44*IF(AF$7-4&gt;=1,INDEX($D$347:$AQ$347,AF$7-4),0)+$I$44*IF(AF$7-5&gt;=1,INDEX($D$347:$AQ$347,AF$7-5),0)+$J$44*IF(AF$7-6&gt;=1,INDEX($D$347:$AQ$347,AF$7-6),0)+$K$44*IF(AF$7-7&gt;=1,INDEX($D$347:$AQ$347,AF$7-7),0)+$L$44*IF(AF$7-8&gt;=1,INDEX($D$347:$AQ$347,AF$7-8),0)+$M$44*IF(AF$7-9&gt;=1,INDEX($D$347:$AQ$347,AF$7-9),0)+$N$44*IF(AF$7-10&gt;=1,INDEX($D$347:$AQ$347,AF$7-10),0)+$O$44*IF(AF$7-11&gt;=1,INDEX($D$347:$AQ$347,AF$7-11),0)+$P$44*IF(AF$7-12&gt;=1,INDEX($D$347:$AQ$347,AF$7-12),0)</f>
        <v>0</v>
      </c>
      <c r="AG349" s="130" t="n">
        <f aca="false">$D$44*IF(AG$7-0&gt;=1,INDEX($D$347:$AQ$347,AG$7-0),0)+$E$44*IF(AG$7-1&gt;=1,INDEX($D$347:$AQ$347,AG$7-1),0)+$F$44*IF(AG$7-2&gt;=1,INDEX($D$347:$AQ$347,AG$7-2),0)+$G$44*IF(AG$7-3&gt;=1,INDEX($D$347:$AQ$347,AG$7-3),0)+$H$44*IF(AG$7-4&gt;=1,INDEX($D$347:$AQ$347,AG$7-4),0)+$I$44*IF(AG$7-5&gt;=1,INDEX($D$347:$AQ$347,AG$7-5),0)+$J$44*IF(AG$7-6&gt;=1,INDEX($D$347:$AQ$347,AG$7-6),0)+$K$44*IF(AG$7-7&gt;=1,INDEX($D$347:$AQ$347,AG$7-7),0)+$L$44*IF(AG$7-8&gt;=1,INDEX($D$347:$AQ$347,AG$7-8),0)+$M$44*IF(AG$7-9&gt;=1,INDEX($D$347:$AQ$347,AG$7-9),0)+$N$44*IF(AG$7-10&gt;=1,INDEX($D$347:$AQ$347,AG$7-10),0)+$O$44*IF(AG$7-11&gt;=1,INDEX($D$347:$AQ$347,AG$7-11),0)+$P$44*IF(AG$7-12&gt;=1,INDEX($D$347:$AQ$347,AG$7-12),0)</f>
        <v>0</v>
      </c>
      <c r="AH349" s="130" t="n">
        <f aca="false">$D$44*IF(AH$7-0&gt;=1,INDEX($D$347:$AQ$347,AH$7-0),0)+$E$44*IF(AH$7-1&gt;=1,INDEX($D$347:$AQ$347,AH$7-1),0)+$F$44*IF(AH$7-2&gt;=1,INDEX($D$347:$AQ$347,AH$7-2),0)+$G$44*IF(AH$7-3&gt;=1,INDEX($D$347:$AQ$347,AH$7-3),0)+$H$44*IF(AH$7-4&gt;=1,INDEX($D$347:$AQ$347,AH$7-4),0)+$I$44*IF(AH$7-5&gt;=1,INDEX($D$347:$AQ$347,AH$7-5),0)+$J$44*IF(AH$7-6&gt;=1,INDEX($D$347:$AQ$347,AH$7-6),0)+$K$44*IF(AH$7-7&gt;=1,INDEX($D$347:$AQ$347,AH$7-7),0)+$L$44*IF(AH$7-8&gt;=1,INDEX($D$347:$AQ$347,AH$7-8),0)+$M$44*IF(AH$7-9&gt;=1,INDEX($D$347:$AQ$347,AH$7-9),0)+$N$44*IF(AH$7-10&gt;=1,INDEX($D$347:$AQ$347,AH$7-10),0)+$O$44*IF(AH$7-11&gt;=1,INDEX($D$347:$AQ$347,AH$7-11),0)+$P$44*IF(AH$7-12&gt;=1,INDEX($D$347:$AQ$347,AH$7-12),0)</f>
        <v>0</v>
      </c>
      <c r="AI349" s="130" t="n">
        <f aca="false">$D$44*IF(AI$7-0&gt;=1,INDEX($D$347:$AQ$347,AI$7-0),0)+$E$44*IF(AI$7-1&gt;=1,INDEX($D$347:$AQ$347,AI$7-1),0)+$F$44*IF(AI$7-2&gt;=1,INDEX($D$347:$AQ$347,AI$7-2),0)+$G$44*IF(AI$7-3&gt;=1,INDEX($D$347:$AQ$347,AI$7-3),0)+$H$44*IF(AI$7-4&gt;=1,INDEX($D$347:$AQ$347,AI$7-4),0)+$I$44*IF(AI$7-5&gt;=1,INDEX($D$347:$AQ$347,AI$7-5),0)+$J$44*IF(AI$7-6&gt;=1,INDEX($D$347:$AQ$347,AI$7-6),0)+$K$44*IF(AI$7-7&gt;=1,INDEX($D$347:$AQ$347,AI$7-7),0)+$L$44*IF(AI$7-8&gt;=1,INDEX($D$347:$AQ$347,AI$7-8),0)+$M$44*IF(AI$7-9&gt;=1,INDEX($D$347:$AQ$347,AI$7-9),0)+$N$44*IF(AI$7-10&gt;=1,INDEX($D$347:$AQ$347,AI$7-10),0)+$O$44*IF(AI$7-11&gt;=1,INDEX($D$347:$AQ$347,AI$7-11),0)+$P$44*IF(AI$7-12&gt;=1,INDEX($D$347:$AQ$347,AI$7-12),0)</f>
        <v>0</v>
      </c>
      <c r="AJ349" s="130" t="n">
        <f aca="false">$D$44*IF(AJ$7-0&gt;=1,INDEX($D$347:$AQ$347,AJ$7-0),0)+$E$44*IF(AJ$7-1&gt;=1,INDEX($D$347:$AQ$347,AJ$7-1),0)+$F$44*IF(AJ$7-2&gt;=1,INDEX($D$347:$AQ$347,AJ$7-2),0)+$G$44*IF(AJ$7-3&gt;=1,INDEX($D$347:$AQ$347,AJ$7-3),0)+$H$44*IF(AJ$7-4&gt;=1,INDEX($D$347:$AQ$347,AJ$7-4),0)+$I$44*IF(AJ$7-5&gt;=1,INDEX($D$347:$AQ$347,AJ$7-5),0)+$J$44*IF(AJ$7-6&gt;=1,INDEX($D$347:$AQ$347,AJ$7-6),0)+$K$44*IF(AJ$7-7&gt;=1,INDEX($D$347:$AQ$347,AJ$7-7),0)+$L$44*IF(AJ$7-8&gt;=1,INDEX($D$347:$AQ$347,AJ$7-8),0)+$M$44*IF(AJ$7-9&gt;=1,INDEX($D$347:$AQ$347,AJ$7-9),0)+$N$44*IF(AJ$7-10&gt;=1,INDEX($D$347:$AQ$347,AJ$7-10),0)+$O$44*IF(AJ$7-11&gt;=1,INDEX($D$347:$AQ$347,AJ$7-11),0)+$P$44*IF(AJ$7-12&gt;=1,INDEX($D$347:$AQ$347,AJ$7-12),0)</f>
        <v>0</v>
      </c>
      <c r="AK349" s="130" t="n">
        <f aca="false">$D$44*IF(AK$7-0&gt;=1,INDEX($D$347:$AQ$347,AK$7-0),0)+$E$44*IF(AK$7-1&gt;=1,INDEX($D$347:$AQ$347,AK$7-1),0)+$F$44*IF(AK$7-2&gt;=1,INDEX($D$347:$AQ$347,AK$7-2),0)+$G$44*IF(AK$7-3&gt;=1,INDEX($D$347:$AQ$347,AK$7-3),0)+$H$44*IF(AK$7-4&gt;=1,INDEX($D$347:$AQ$347,AK$7-4),0)+$I$44*IF(AK$7-5&gt;=1,INDEX($D$347:$AQ$347,AK$7-5),0)+$J$44*IF(AK$7-6&gt;=1,INDEX($D$347:$AQ$347,AK$7-6),0)+$K$44*IF(AK$7-7&gt;=1,INDEX($D$347:$AQ$347,AK$7-7),0)+$L$44*IF(AK$7-8&gt;=1,INDEX($D$347:$AQ$347,AK$7-8),0)+$M$44*IF(AK$7-9&gt;=1,INDEX($D$347:$AQ$347,AK$7-9),0)+$N$44*IF(AK$7-10&gt;=1,INDEX($D$347:$AQ$347,AK$7-10),0)+$O$44*IF(AK$7-11&gt;=1,INDEX($D$347:$AQ$347,AK$7-11),0)+$P$44*IF(AK$7-12&gt;=1,INDEX($D$347:$AQ$347,AK$7-12),0)</f>
        <v>0</v>
      </c>
      <c r="AL349" s="130" t="n">
        <f aca="false">$D$44*IF(AL$7-0&gt;=1,INDEX($D$347:$AQ$347,AL$7-0),0)+$E$44*IF(AL$7-1&gt;=1,INDEX($D$347:$AQ$347,AL$7-1),0)+$F$44*IF(AL$7-2&gt;=1,INDEX($D$347:$AQ$347,AL$7-2),0)+$G$44*IF(AL$7-3&gt;=1,INDEX($D$347:$AQ$347,AL$7-3),0)+$H$44*IF(AL$7-4&gt;=1,INDEX($D$347:$AQ$347,AL$7-4),0)+$I$44*IF(AL$7-5&gt;=1,INDEX($D$347:$AQ$347,AL$7-5),0)+$J$44*IF(AL$7-6&gt;=1,INDEX($D$347:$AQ$347,AL$7-6),0)+$K$44*IF(AL$7-7&gt;=1,INDEX($D$347:$AQ$347,AL$7-7),0)+$L$44*IF(AL$7-8&gt;=1,INDEX($D$347:$AQ$347,AL$7-8),0)+$M$44*IF(AL$7-9&gt;=1,INDEX($D$347:$AQ$347,AL$7-9),0)+$N$44*IF(AL$7-10&gt;=1,INDEX($D$347:$AQ$347,AL$7-10),0)+$O$44*IF(AL$7-11&gt;=1,INDEX($D$347:$AQ$347,AL$7-11),0)+$P$44*IF(AL$7-12&gt;=1,INDEX($D$347:$AQ$347,AL$7-12),0)</f>
        <v>0</v>
      </c>
      <c r="AM349" s="130" t="n">
        <f aca="false">$D$44*IF(AM$7-0&gt;=1,INDEX($D$347:$AQ$347,AM$7-0),0)+$E$44*IF(AM$7-1&gt;=1,INDEX($D$347:$AQ$347,AM$7-1),0)+$F$44*IF(AM$7-2&gt;=1,INDEX($D$347:$AQ$347,AM$7-2),0)+$G$44*IF(AM$7-3&gt;=1,INDEX($D$347:$AQ$347,AM$7-3),0)+$H$44*IF(AM$7-4&gt;=1,INDEX($D$347:$AQ$347,AM$7-4),0)+$I$44*IF(AM$7-5&gt;=1,INDEX($D$347:$AQ$347,AM$7-5),0)+$J$44*IF(AM$7-6&gt;=1,INDEX($D$347:$AQ$347,AM$7-6),0)+$K$44*IF(AM$7-7&gt;=1,INDEX($D$347:$AQ$347,AM$7-7),0)+$L$44*IF(AM$7-8&gt;=1,INDEX($D$347:$AQ$347,AM$7-8),0)+$M$44*IF(AM$7-9&gt;=1,INDEX($D$347:$AQ$347,AM$7-9),0)+$N$44*IF(AM$7-10&gt;=1,INDEX($D$347:$AQ$347,AM$7-10),0)+$O$44*IF(AM$7-11&gt;=1,INDEX($D$347:$AQ$347,AM$7-11),0)+$P$44*IF(AM$7-12&gt;=1,INDEX($D$347:$AQ$347,AM$7-12),0)</f>
        <v>0</v>
      </c>
      <c r="AN349" s="130" t="n">
        <f aca="false">$D$44*IF(AN$7-0&gt;=1,INDEX($D$347:$AQ$347,AN$7-0),0)+$E$44*IF(AN$7-1&gt;=1,INDEX($D$347:$AQ$347,AN$7-1),0)+$F$44*IF(AN$7-2&gt;=1,INDEX($D$347:$AQ$347,AN$7-2),0)+$G$44*IF(AN$7-3&gt;=1,INDEX($D$347:$AQ$347,AN$7-3),0)+$H$44*IF(AN$7-4&gt;=1,INDEX($D$347:$AQ$347,AN$7-4),0)+$I$44*IF(AN$7-5&gt;=1,INDEX($D$347:$AQ$347,AN$7-5),0)+$J$44*IF(AN$7-6&gt;=1,INDEX($D$347:$AQ$347,AN$7-6),0)+$K$44*IF(AN$7-7&gt;=1,INDEX($D$347:$AQ$347,AN$7-7),0)+$L$44*IF(AN$7-8&gt;=1,INDEX($D$347:$AQ$347,AN$7-8),0)+$M$44*IF(AN$7-9&gt;=1,INDEX($D$347:$AQ$347,AN$7-9),0)+$N$44*IF(AN$7-10&gt;=1,INDEX($D$347:$AQ$347,AN$7-10),0)+$O$44*IF(AN$7-11&gt;=1,INDEX($D$347:$AQ$347,AN$7-11),0)+$P$44*IF(AN$7-12&gt;=1,INDEX($D$347:$AQ$347,AN$7-12),0)</f>
        <v>0</v>
      </c>
      <c r="AO349" s="130" t="n">
        <f aca="false">$D$44*IF(AO$7-0&gt;=1,INDEX($D$347:$AQ$347,AO$7-0),0)+$E$44*IF(AO$7-1&gt;=1,INDEX($D$347:$AQ$347,AO$7-1),0)+$F$44*IF(AO$7-2&gt;=1,INDEX($D$347:$AQ$347,AO$7-2),0)+$G$44*IF(AO$7-3&gt;=1,INDEX($D$347:$AQ$347,AO$7-3),0)+$H$44*IF(AO$7-4&gt;=1,INDEX($D$347:$AQ$347,AO$7-4),0)+$I$44*IF(AO$7-5&gt;=1,INDEX($D$347:$AQ$347,AO$7-5),0)+$J$44*IF(AO$7-6&gt;=1,INDEX($D$347:$AQ$347,AO$7-6),0)+$K$44*IF(AO$7-7&gt;=1,INDEX($D$347:$AQ$347,AO$7-7),0)+$L$44*IF(AO$7-8&gt;=1,INDEX($D$347:$AQ$347,AO$7-8),0)+$M$44*IF(AO$7-9&gt;=1,INDEX($D$347:$AQ$347,AO$7-9),0)+$N$44*IF(AO$7-10&gt;=1,INDEX($D$347:$AQ$347,AO$7-10),0)+$O$44*IF(AO$7-11&gt;=1,INDEX($D$347:$AQ$347,AO$7-11),0)+$P$44*IF(AO$7-12&gt;=1,INDEX($D$347:$AQ$347,AO$7-12),0)</f>
        <v>0</v>
      </c>
      <c r="AP349" s="130" t="n">
        <f aca="false">$D$44*IF(AP$7-0&gt;=1,INDEX($D$347:$AQ$347,AP$7-0),0)+$E$44*IF(AP$7-1&gt;=1,INDEX($D$347:$AQ$347,AP$7-1),0)+$F$44*IF(AP$7-2&gt;=1,INDEX($D$347:$AQ$347,AP$7-2),0)+$G$44*IF(AP$7-3&gt;=1,INDEX($D$347:$AQ$347,AP$7-3),0)+$H$44*IF(AP$7-4&gt;=1,INDEX($D$347:$AQ$347,AP$7-4),0)+$I$44*IF(AP$7-5&gt;=1,INDEX($D$347:$AQ$347,AP$7-5),0)+$J$44*IF(AP$7-6&gt;=1,INDEX($D$347:$AQ$347,AP$7-6),0)+$K$44*IF(AP$7-7&gt;=1,INDEX($D$347:$AQ$347,AP$7-7),0)+$L$44*IF(AP$7-8&gt;=1,INDEX($D$347:$AQ$347,AP$7-8),0)+$M$44*IF(AP$7-9&gt;=1,INDEX($D$347:$AQ$347,AP$7-9),0)+$N$44*IF(AP$7-10&gt;=1,INDEX($D$347:$AQ$347,AP$7-10),0)+$O$44*IF(AP$7-11&gt;=1,INDEX($D$347:$AQ$347,AP$7-11),0)+$P$44*IF(AP$7-12&gt;=1,INDEX($D$347:$AQ$347,AP$7-12),0)</f>
        <v>0</v>
      </c>
      <c r="AQ349" s="130" t="n">
        <f aca="false">$D$44*IF(AQ$7-0&gt;=1,INDEX($D$347:$AQ$347,AQ$7-0),0)+$E$44*IF(AQ$7-1&gt;=1,INDEX($D$347:$AQ$347,AQ$7-1),0)+$F$44*IF(AQ$7-2&gt;=1,INDEX($D$347:$AQ$347,AQ$7-2),0)+$G$44*IF(AQ$7-3&gt;=1,INDEX($D$347:$AQ$347,AQ$7-3),0)+$H$44*IF(AQ$7-4&gt;=1,INDEX($D$347:$AQ$347,AQ$7-4),0)+$I$44*IF(AQ$7-5&gt;=1,INDEX($D$347:$AQ$347,AQ$7-5),0)+$J$44*IF(AQ$7-6&gt;=1,INDEX($D$347:$AQ$347,AQ$7-6),0)+$K$44*IF(AQ$7-7&gt;=1,INDEX($D$347:$AQ$347,AQ$7-7),0)+$L$44*IF(AQ$7-8&gt;=1,INDEX($D$347:$AQ$347,AQ$7-8),0)+$M$44*IF(AQ$7-9&gt;=1,INDEX($D$347:$AQ$347,AQ$7-9),0)+$N$44*IF(AQ$7-10&gt;=1,INDEX($D$347:$AQ$347,AQ$7-10),0)+$O$44*IF(AQ$7-11&gt;=1,INDEX($D$347:$AQ$347,AQ$7-11),0)+$P$44*IF(AQ$7-12&gt;=1,INDEX($D$347:$AQ$347,AQ$7-12),0)</f>
        <v>0</v>
      </c>
    </row>
    <row r="350" customFormat="false" ht="15" hidden="false" customHeight="false" outlineLevel="0" collapsed="false">
      <c r="B350" s="131" t="s">
        <v>715</v>
      </c>
      <c r="C350" s="129" t="n">
        <f aca="false">SUM(D350:AQ350)</f>
        <v>220</v>
      </c>
      <c r="D350" s="130" t="n">
        <f aca="false">SUMIFS($E$14:$E$43,$C$14:$C$43,"Construction % complete",$F$14:$F$43,D$7)*IF(D$7-INPUTS!$C$215&gt;=1,INDEX($D$348:$AQ$348,D$7-INPUTS!$C$215),0)+SUMIFS($E$14:$E$43,$C$14:$C$43,"Construction % complete",$F$14:$F$43,"&lt;"&amp;D$7)*IF(D$7-INPUTS!$C$215&gt;=1,INDEX($D$347:$AQ$347,D$7-INPUTS!$C$215),0)</f>
        <v>0</v>
      </c>
      <c r="E350" s="130" t="n">
        <f aca="false">SUMIFS($E$14:$E$43,$C$14:$C$43,"Construction % complete",$F$14:$F$43,E$7)*IF(E$7-INPUTS!$C$215&gt;=1,INDEX($D$348:$AQ$348,E$7-INPUTS!$C$215),0)+SUMIFS($E$14:$E$43,$C$14:$C$43,"Construction % complete",$F$14:$F$43,"&lt;"&amp;E$7)*IF(E$7-INPUTS!$C$215&gt;=1,INDEX($D$347:$AQ$347,E$7-INPUTS!$C$215),0)</f>
        <v>0</v>
      </c>
      <c r="F350" s="130" t="n">
        <f aca="false">SUMIFS($E$14:$E$43,$C$14:$C$43,"Construction % complete",$F$14:$F$43,F$7)*IF(F$7-INPUTS!$C$215&gt;=1,INDEX($D$348:$AQ$348,F$7-INPUTS!$C$215),0)+SUMIFS($E$14:$E$43,$C$14:$C$43,"Construction % complete",$F$14:$F$43,"&lt;"&amp;F$7)*IF(F$7-INPUTS!$C$215&gt;=1,INDEX($D$347:$AQ$347,F$7-INPUTS!$C$215),0)</f>
        <v>0</v>
      </c>
      <c r="G350" s="130" t="n">
        <f aca="false">SUMIFS($E$14:$E$43,$C$14:$C$43,"Construction % complete",$F$14:$F$43,G$7)*IF(G$7-INPUTS!$C$215&gt;=1,INDEX($D$348:$AQ$348,G$7-INPUTS!$C$215),0)+SUMIFS($E$14:$E$43,$C$14:$C$43,"Construction % complete",$F$14:$F$43,"&lt;"&amp;G$7)*IF(G$7-INPUTS!$C$215&gt;=1,INDEX($D$347:$AQ$347,G$7-INPUTS!$C$215),0)</f>
        <v>0</v>
      </c>
      <c r="H350" s="130" t="n">
        <f aca="false">SUMIFS($E$14:$E$43,$C$14:$C$43,"Construction % complete",$F$14:$F$43,H$7)*IF(H$7-INPUTS!$C$215&gt;=1,INDEX($D$348:$AQ$348,H$7-INPUTS!$C$215),0)+SUMIFS($E$14:$E$43,$C$14:$C$43,"Construction % complete",$F$14:$F$43,"&lt;"&amp;H$7)*IF(H$7-INPUTS!$C$215&gt;=1,INDEX($D$347:$AQ$347,H$7-INPUTS!$C$215),0)</f>
        <v>11.4583333333333</v>
      </c>
      <c r="I350" s="130" t="n">
        <f aca="false">SUMIFS($E$14:$E$43,$C$14:$C$43,"Construction % complete",$F$14:$F$43,I$7)*IF(I$7-INPUTS!$C$215&gt;=1,INDEX($D$348:$AQ$348,I$7-INPUTS!$C$215),0)+SUMIFS($E$14:$E$43,$C$14:$C$43,"Construction % complete",$F$14:$F$43,"&lt;"&amp;I$7)*IF(I$7-INPUTS!$C$215&gt;=1,INDEX($D$347:$AQ$347,I$7-INPUTS!$C$215),0)</f>
        <v>4.58333333333333</v>
      </c>
      <c r="J350" s="130" t="n">
        <f aca="false">SUMIFS($E$14:$E$43,$C$14:$C$43,"Construction % complete",$F$14:$F$43,J$7)*IF(J$7-INPUTS!$C$215&gt;=1,INDEX($D$348:$AQ$348,J$7-INPUTS!$C$215),0)+SUMIFS($E$14:$E$43,$C$14:$C$43,"Construction % complete",$F$14:$F$43,"&lt;"&amp;J$7)*IF(J$7-INPUTS!$C$215&gt;=1,INDEX($D$347:$AQ$347,J$7-INPUTS!$C$215),0)</f>
        <v>23.6805555555556</v>
      </c>
      <c r="K350" s="130" t="n">
        <f aca="false">SUMIFS($E$14:$E$43,$C$14:$C$43,"Construction % complete",$F$14:$F$43,K$7)*IF(K$7-INPUTS!$C$215&gt;=1,INDEX($D$348:$AQ$348,K$7-INPUTS!$C$215),0)+SUMIFS($E$14:$E$43,$C$14:$C$43,"Construction % complete",$F$14:$F$43,"&lt;"&amp;K$7)*IF(K$7-INPUTS!$C$215&gt;=1,INDEX($D$347:$AQ$347,K$7-INPUTS!$C$215),0)</f>
        <v>40.4861111111111</v>
      </c>
      <c r="L350" s="130" t="n">
        <f aca="false">SUMIFS($E$14:$E$43,$C$14:$C$43,"Construction % complete",$F$14:$F$43,L$7)*IF(L$7-INPUTS!$C$215&gt;=1,INDEX($D$348:$AQ$348,L$7-INPUTS!$C$215),0)+SUMIFS($E$14:$E$43,$C$14:$C$43,"Construction % complete",$F$14:$F$43,"&lt;"&amp;L$7)*IF(L$7-INPUTS!$C$215&gt;=1,INDEX($D$347:$AQ$347,L$7-INPUTS!$C$215),0)</f>
        <v>8.02083333333333</v>
      </c>
      <c r="M350" s="130" t="n">
        <f aca="false">SUMIFS($E$14:$E$43,$C$14:$C$43,"Construction % complete",$F$14:$F$43,M$7)*IF(M$7-INPUTS!$C$215&gt;=1,INDEX($D$348:$AQ$348,M$7-INPUTS!$C$215),0)+SUMIFS($E$14:$E$43,$C$14:$C$43,"Construction % complete",$F$14:$F$43,"&lt;"&amp;M$7)*IF(M$7-INPUTS!$C$215&gt;=1,INDEX($D$347:$AQ$347,M$7-INPUTS!$C$215),0)</f>
        <v>45.4513888888889</v>
      </c>
      <c r="N350" s="130" t="n">
        <f aca="false">SUMIFS($E$14:$E$43,$C$14:$C$43,"Construction % complete",$F$14:$F$43,N$7)*IF(N$7-INPUTS!$C$215&gt;=1,INDEX($D$348:$AQ$348,N$7-INPUTS!$C$215),0)+SUMIFS($E$14:$E$43,$C$14:$C$43,"Construction % complete",$F$14:$F$43,"&lt;"&amp;N$7)*IF(N$7-INPUTS!$C$215&gt;=1,INDEX($D$347:$AQ$347,N$7-INPUTS!$C$215),0)</f>
        <v>45.0694444444444</v>
      </c>
      <c r="O350" s="130" t="n">
        <f aca="false">SUMIFS($E$14:$E$43,$C$14:$C$43,"Construction % complete",$F$14:$F$43,O$7)*IF(O$7-INPUTS!$C$215&gt;=1,INDEX($D$348:$AQ$348,O$7-INPUTS!$C$215),0)+SUMIFS($E$14:$E$43,$C$14:$C$43,"Construction % complete",$F$14:$F$43,"&lt;"&amp;O$7)*IF(O$7-INPUTS!$C$215&gt;=1,INDEX($D$347:$AQ$347,O$7-INPUTS!$C$215),0)</f>
        <v>0</v>
      </c>
      <c r="P350" s="130" t="n">
        <f aca="false">SUMIFS($E$14:$E$43,$C$14:$C$43,"Construction % complete",$F$14:$F$43,P$7)*IF(P$7-INPUTS!$C$215&gt;=1,INDEX($D$348:$AQ$348,P$7-INPUTS!$C$215),0)+SUMIFS($E$14:$E$43,$C$14:$C$43,"Construction % complete",$F$14:$F$43,"&lt;"&amp;P$7)*IF(P$7-INPUTS!$C$215&gt;=1,INDEX($D$347:$AQ$347,P$7-INPUTS!$C$215),0)</f>
        <v>0</v>
      </c>
      <c r="Q350" s="130" t="n">
        <f aca="false">SUMIFS($E$14:$E$43,$C$14:$C$43,"Construction % complete",$F$14:$F$43,Q$7)*IF(Q$7-INPUTS!$C$215&gt;=1,INDEX($D$348:$AQ$348,Q$7-INPUTS!$C$215),0)+SUMIFS($E$14:$E$43,$C$14:$C$43,"Construction % complete",$F$14:$F$43,"&lt;"&amp;Q$7)*IF(Q$7-INPUTS!$C$215&gt;=1,INDEX($D$347:$AQ$347,Q$7-INPUTS!$C$215),0)</f>
        <v>13.75</v>
      </c>
      <c r="R350" s="130" t="n">
        <f aca="false">SUMIFS($E$14:$E$43,$C$14:$C$43,"Construction % complete",$F$14:$F$43,R$7)*IF(R$7-INPUTS!$C$215&gt;=1,INDEX($D$348:$AQ$348,R$7-INPUTS!$C$215),0)+SUMIFS($E$14:$E$43,$C$14:$C$43,"Construction % complete",$F$14:$F$43,"&lt;"&amp;R$7)*IF(R$7-INPUTS!$C$215&gt;=1,INDEX($D$347:$AQ$347,R$7-INPUTS!$C$215),0)</f>
        <v>27.5</v>
      </c>
      <c r="S350" s="130" t="n">
        <f aca="false">SUMIFS($E$14:$E$43,$C$14:$C$43,"Construction % complete",$F$14:$F$43,S$7)*IF(S$7-INPUTS!$C$215&gt;=1,INDEX($D$348:$AQ$348,S$7-INPUTS!$C$215),0)+SUMIFS($E$14:$E$43,$C$14:$C$43,"Construction % complete",$F$14:$F$43,"&lt;"&amp;S$7)*IF(S$7-INPUTS!$C$215&gt;=1,INDEX($D$347:$AQ$347,S$7-INPUTS!$C$215),0)</f>
        <v>0</v>
      </c>
      <c r="T350" s="130" t="n">
        <f aca="false">SUMIFS($E$14:$E$43,$C$14:$C$43,"Construction % complete",$F$14:$F$43,T$7)*IF(T$7-INPUTS!$C$215&gt;=1,INDEX($D$348:$AQ$348,T$7-INPUTS!$C$215),0)+SUMIFS($E$14:$E$43,$C$14:$C$43,"Construction % complete",$F$14:$F$43,"&lt;"&amp;T$7)*IF(T$7-INPUTS!$C$215&gt;=1,INDEX($D$347:$AQ$347,T$7-INPUTS!$C$215),0)</f>
        <v>0</v>
      </c>
      <c r="U350" s="130" t="n">
        <f aca="false">SUMIFS($E$14:$E$43,$C$14:$C$43,"Construction % complete",$F$14:$F$43,U$7)*IF(U$7-INPUTS!$C$215&gt;=1,INDEX($D$348:$AQ$348,U$7-INPUTS!$C$215),0)+SUMIFS($E$14:$E$43,$C$14:$C$43,"Construction % complete",$F$14:$F$43,"&lt;"&amp;U$7)*IF(U$7-INPUTS!$C$215&gt;=1,INDEX($D$347:$AQ$347,U$7-INPUTS!$C$215),0)</f>
        <v>0</v>
      </c>
      <c r="V350" s="130" t="n">
        <f aca="false">SUMIFS($E$14:$E$43,$C$14:$C$43,"Construction % complete",$F$14:$F$43,V$7)*IF(V$7-INPUTS!$C$215&gt;=1,INDEX($D$348:$AQ$348,V$7-INPUTS!$C$215),0)+SUMIFS($E$14:$E$43,$C$14:$C$43,"Construction % complete",$F$14:$F$43,"&lt;"&amp;V$7)*IF(V$7-INPUTS!$C$215&gt;=1,INDEX($D$347:$AQ$347,V$7-INPUTS!$C$215),0)</f>
        <v>0</v>
      </c>
      <c r="W350" s="130" t="n">
        <f aca="false">SUMIFS($E$14:$E$43,$C$14:$C$43,"Construction % complete",$F$14:$F$43,W$7)*IF(W$7-INPUTS!$C$215&gt;=1,INDEX($D$348:$AQ$348,W$7-INPUTS!$C$215),0)+SUMIFS($E$14:$E$43,$C$14:$C$43,"Construction % complete",$F$14:$F$43,"&lt;"&amp;W$7)*IF(W$7-INPUTS!$C$215&gt;=1,INDEX($D$347:$AQ$347,W$7-INPUTS!$C$215),0)</f>
        <v>0</v>
      </c>
      <c r="X350" s="130" t="n">
        <f aca="false">SUMIFS($E$14:$E$43,$C$14:$C$43,"Construction % complete",$F$14:$F$43,X$7)*IF(X$7-INPUTS!$C$215&gt;=1,INDEX($D$348:$AQ$348,X$7-INPUTS!$C$215),0)+SUMIFS($E$14:$E$43,$C$14:$C$43,"Construction % complete",$F$14:$F$43,"&lt;"&amp;X$7)*IF(X$7-INPUTS!$C$215&gt;=1,INDEX($D$347:$AQ$347,X$7-INPUTS!$C$215),0)</f>
        <v>0</v>
      </c>
      <c r="Y350" s="130" t="n">
        <f aca="false">SUMIFS($E$14:$E$43,$C$14:$C$43,"Construction % complete",$F$14:$F$43,Y$7)*IF(Y$7-INPUTS!$C$215&gt;=1,INDEX($D$348:$AQ$348,Y$7-INPUTS!$C$215),0)+SUMIFS($E$14:$E$43,$C$14:$C$43,"Construction % complete",$F$14:$F$43,"&lt;"&amp;Y$7)*IF(Y$7-INPUTS!$C$215&gt;=1,INDEX($D$347:$AQ$347,Y$7-INPUTS!$C$215),0)</f>
        <v>0</v>
      </c>
      <c r="Z350" s="130" t="n">
        <f aca="false">SUMIFS($E$14:$E$43,$C$14:$C$43,"Construction % complete",$F$14:$F$43,Z$7)*IF(Z$7-INPUTS!$C$215&gt;=1,INDEX($D$348:$AQ$348,Z$7-INPUTS!$C$215),0)+SUMIFS($E$14:$E$43,$C$14:$C$43,"Construction % complete",$F$14:$F$43,"&lt;"&amp;Z$7)*IF(Z$7-INPUTS!$C$215&gt;=1,INDEX($D$347:$AQ$347,Z$7-INPUTS!$C$215),0)</f>
        <v>0</v>
      </c>
      <c r="AA350" s="130" t="n">
        <f aca="false">SUMIFS($E$14:$E$43,$C$14:$C$43,"Construction % complete",$F$14:$F$43,AA$7)*IF(AA$7-INPUTS!$C$215&gt;=1,INDEX($D$348:$AQ$348,AA$7-INPUTS!$C$215),0)+SUMIFS($E$14:$E$43,$C$14:$C$43,"Construction % complete",$F$14:$F$43,"&lt;"&amp;AA$7)*IF(AA$7-INPUTS!$C$215&gt;=1,INDEX($D$347:$AQ$347,AA$7-INPUTS!$C$215),0)</f>
        <v>0</v>
      </c>
      <c r="AB350" s="130" t="n">
        <f aca="false">SUMIFS($E$14:$E$43,$C$14:$C$43,"Construction % complete",$F$14:$F$43,AB$7)*IF(AB$7-INPUTS!$C$215&gt;=1,INDEX($D$348:$AQ$348,AB$7-INPUTS!$C$215),0)+SUMIFS($E$14:$E$43,$C$14:$C$43,"Construction % complete",$F$14:$F$43,"&lt;"&amp;AB$7)*IF(AB$7-INPUTS!$C$215&gt;=1,INDEX($D$347:$AQ$347,AB$7-INPUTS!$C$215),0)</f>
        <v>0</v>
      </c>
      <c r="AC350" s="130" t="n">
        <f aca="false">SUMIFS($E$14:$E$43,$C$14:$C$43,"Construction % complete",$F$14:$F$43,AC$7)*IF(AC$7-INPUTS!$C$215&gt;=1,INDEX($D$348:$AQ$348,AC$7-INPUTS!$C$215),0)+SUMIFS($E$14:$E$43,$C$14:$C$43,"Construction % complete",$F$14:$F$43,"&lt;"&amp;AC$7)*IF(AC$7-INPUTS!$C$215&gt;=1,INDEX($D$347:$AQ$347,AC$7-INPUTS!$C$215),0)</f>
        <v>0</v>
      </c>
      <c r="AD350" s="130" t="n">
        <f aca="false">SUMIFS($E$14:$E$43,$C$14:$C$43,"Construction % complete",$F$14:$F$43,AD$7)*IF(AD$7-INPUTS!$C$215&gt;=1,INDEX($D$348:$AQ$348,AD$7-INPUTS!$C$215),0)+SUMIFS($E$14:$E$43,$C$14:$C$43,"Construction % complete",$F$14:$F$43,"&lt;"&amp;AD$7)*IF(AD$7-INPUTS!$C$215&gt;=1,INDEX($D$347:$AQ$347,AD$7-INPUTS!$C$215),0)</f>
        <v>0</v>
      </c>
      <c r="AE350" s="130" t="n">
        <f aca="false">SUMIFS($E$14:$E$43,$C$14:$C$43,"Construction % complete",$F$14:$F$43,AE$7)*IF(AE$7-INPUTS!$C$215&gt;=1,INDEX($D$348:$AQ$348,AE$7-INPUTS!$C$215),0)+SUMIFS($E$14:$E$43,$C$14:$C$43,"Construction % complete",$F$14:$F$43,"&lt;"&amp;AE$7)*IF(AE$7-INPUTS!$C$215&gt;=1,INDEX($D$347:$AQ$347,AE$7-INPUTS!$C$215),0)</f>
        <v>0</v>
      </c>
      <c r="AF350" s="130" t="n">
        <f aca="false">SUMIFS($E$14:$E$43,$C$14:$C$43,"Construction % complete",$F$14:$F$43,AF$7)*IF(AF$7-INPUTS!$C$215&gt;=1,INDEX($D$348:$AQ$348,AF$7-INPUTS!$C$215),0)+SUMIFS($E$14:$E$43,$C$14:$C$43,"Construction % complete",$F$14:$F$43,"&lt;"&amp;AF$7)*IF(AF$7-INPUTS!$C$215&gt;=1,INDEX($D$347:$AQ$347,AF$7-INPUTS!$C$215),0)</f>
        <v>0</v>
      </c>
      <c r="AG350" s="130" t="n">
        <f aca="false">SUMIFS($E$14:$E$43,$C$14:$C$43,"Construction % complete",$F$14:$F$43,AG$7)*IF(AG$7-INPUTS!$C$215&gt;=1,INDEX($D$348:$AQ$348,AG$7-INPUTS!$C$215),0)+SUMIFS($E$14:$E$43,$C$14:$C$43,"Construction % complete",$F$14:$F$43,"&lt;"&amp;AG$7)*IF(AG$7-INPUTS!$C$215&gt;=1,INDEX($D$347:$AQ$347,AG$7-INPUTS!$C$215),0)</f>
        <v>0</v>
      </c>
      <c r="AH350" s="130" t="n">
        <f aca="false">SUMIFS($E$14:$E$43,$C$14:$C$43,"Construction % complete",$F$14:$F$43,AH$7)*IF(AH$7-INPUTS!$C$215&gt;=1,INDEX($D$348:$AQ$348,AH$7-INPUTS!$C$215),0)+SUMIFS($E$14:$E$43,$C$14:$C$43,"Construction % complete",$F$14:$F$43,"&lt;"&amp;AH$7)*IF(AH$7-INPUTS!$C$215&gt;=1,INDEX($D$347:$AQ$347,AH$7-INPUTS!$C$215),0)</f>
        <v>0</v>
      </c>
      <c r="AI350" s="130" t="n">
        <f aca="false">SUMIFS($E$14:$E$43,$C$14:$C$43,"Construction % complete",$F$14:$F$43,AI$7)*IF(AI$7-INPUTS!$C$215&gt;=1,INDEX($D$348:$AQ$348,AI$7-INPUTS!$C$215),0)+SUMIFS($E$14:$E$43,$C$14:$C$43,"Construction % complete",$F$14:$F$43,"&lt;"&amp;AI$7)*IF(AI$7-INPUTS!$C$215&gt;=1,INDEX($D$347:$AQ$347,AI$7-INPUTS!$C$215),0)</f>
        <v>0</v>
      </c>
      <c r="AJ350" s="130" t="n">
        <f aca="false">SUMIFS($E$14:$E$43,$C$14:$C$43,"Construction % complete",$F$14:$F$43,AJ$7)*IF(AJ$7-INPUTS!$C$215&gt;=1,INDEX($D$348:$AQ$348,AJ$7-INPUTS!$C$215),0)+SUMIFS($E$14:$E$43,$C$14:$C$43,"Construction % complete",$F$14:$F$43,"&lt;"&amp;AJ$7)*IF(AJ$7-INPUTS!$C$215&gt;=1,INDEX($D$347:$AQ$347,AJ$7-INPUTS!$C$215),0)</f>
        <v>0</v>
      </c>
      <c r="AK350" s="130" t="n">
        <f aca="false">SUMIFS($E$14:$E$43,$C$14:$C$43,"Construction % complete",$F$14:$F$43,AK$7)*IF(AK$7-INPUTS!$C$215&gt;=1,INDEX($D$348:$AQ$348,AK$7-INPUTS!$C$215),0)+SUMIFS($E$14:$E$43,$C$14:$C$43,"Construction % complete",$F$14:$F$43,"&lt;"&amp;AK$7)*IF(AK$7-INPUTS!$C$215&gt;=1,INDEX($D$347:$AQ$347,AK$7-INPUTS!$C$215),0)</f>
        <v>0</v>
      </c>
      <c r="AL350" s="130" t="n">
        <f aca="false">SUMIFS($E$14:$E$43,$C$14:$C$43,"Construction % complete",$F$14:$F$43,AL$7)*IF(AL$7-INPUTS!$C$215&gt;=1,INDEX($D$348:$AQ$348,AL$7-INPUTS!$C$215),0)+SUMIFS($E$14:$E$43,$C$14:$C$43,"Construction % complete",$F$14:$F$43,"&lt;"&amp;AL$7)*IF(AL$7-INPUTS!$C$215&gt;=1,INDEX($D$347:$AQ$347,AL$7-INPUTS!$C$215),0)</f>
        <v>0</v>
      </c>
      <c r="AM350" s="130" t="n">
        <f aca="false">SUMIFS($E$14:$E$43,$C$14:$C$43,"Construction % complete",$F$14:$F$43,AM$7)*IF(AM$7-INPUTS!$C$215&gt;=1,INDEX($D$348:$AQ$348,AM$7-INPUTS!$C$215),0)+SUMIFS($E$14:$E$43,$C$14:$C$43,"Construction % complete",$F$14:$F$43,"&lt;"&amp;AM$7)*IF(AM$7-INPUTS!$C$215&gt;=1,INDEX($D$347:$AQ$347,AM$7-INPUTS!$C$215),0)</f>
        <v>0</v>
      </c>
      <c r="AN350" s="130" t="n">
        <f aca="false">SUMIFS($E$14:$E$43,$C$14:$C$43,"Construction % complete",$F$14:$F$43,AN$7)*IF(AN$7-INPUTS!$C$215&gt;=1,INDEX($D$348:$AQ$348,AN$7-INPUTS!$C$215),0)+SUMIFS($E$14:$E$43,$C$14:$C$43,"Construction % complete",$F$14:$F$43,"&lt;"&amp;AN$7)*IF(AN$7-INPUTS!$C$215&gt;=1,INDEX($D$347:$AQ$347,AN$7-INPUTS!$C$215),0)</f>
        <v>0</v>
      </c>
      <c r="AO350" s="130" t="n">
        <f aca="false">SUMIFS($E$14:$E$43,$C$14:$C$43,"Construction % complete",$F$14:$F$43,AO$7)*IF(AO$7-INPUTS!$C$215&gt;=1,INDEX($D$348:$AQ$348,AO$7-INPUTS!$C$215),0)+SUMIFS($E$14:$E$43,$C$14:$C$43,"Construction % complete",$F$14:$F$43,"&lt;"&amp;AO$7)*IF(AO$7-INPUTS!$C$215&gt;=1,INDEX($D$347:$AQ$347,AO$7-INPUTS!$C$215),0)</f>
        <v>0</v>
      </c>
      <c r="AP350" s="130" t="n">
        <f aca="false">SUMIFS($E$14:$E$43,$C$14:$C$43,"Construction % complete",$F$14:$F$43,AP$7)*IF(AP$7-INPUTS!$C$215&gt;=1,INDEX($D$348:$AQ$348,AP$7-INPUTS!$C$215),0)+SUMIFS($E$14:$E$43,$C$14:$C$43,"Construction % complete",$F$14:$F$43,"&lt;"&amp;AP$7)*IF(AP$7-INPUTS!$C$215&gt;=1,INDEX($D$347:$AQ$347,AP$7-INPUTS!$C$215),0)</f>
        <v>0</v>
      </c>
      <c r="AQ350" s="130" t="n">
        <f aca="false">SUMIFS($E$14:$E$43,$C$14:$C$43,"Construction % complete",$F$14:$F$43,AQ$7)*IF(AQ$7-INPUTS!$C$215&gt;=1,INDEX($D$348:$AQ$348,AQ$7-INPUTS!$C$215),0)+SUMIFS($E$14:$E$43,$C$14:$C$43,"Construction % complete",$F$14:$F$43,"&lt;"&amp;AQ$7)*IF(AQ$7-INPUTS!$C$215&gt;=1,INDEX($D$347:$AQ$347,AQ$7-INPUTS!$C$215),0)</f>
        <v>0</v>
      </c>
    </row>
    <row r="351" customFormat="false" ht="15" hidden="false" customHeight="false" outlineLevel="0" collapsed="false">
      <c r="B351" s="2" t="s">
        <v>716</v>
      </c>
      <c r="C351" s="129" t="n">
        <f aca="false">SUM(D351:AQ351)</f>
        <v>275</v>
      </c>
      <c r="D351" s="130" t="n">
        <f aca="false">D349+D350</f>
        <v>0</v>
      </c>
      <c r="E351" s="130" t="n">
        <f aca="false">E349+E350</f>
        <v>0</v>
      </c>
      <c r="F351" s="130" t="n">
        <f aca="false">F349+F350</f>
        <v>6.11111111111111</v>
      </c>
      <c r="G351" s="130" t="n">
        <f aca="false">G349+G350</f>
        <v>11.4583333333333</v>
      </c>
      <c r="H351" s="130" t="n">
        <f aca="false">H349+H350</f>
        <v>21.3888888888889</v>
      </c>
      <c r="I351" s="130" t="n">
        <f aca="false">I349+I350</f>
        <v>12.9861111111111</v>
      </c>
      <c r="J351" s="130" t="n">
        <f aca="false">J349+J350</f>
        <v>30.5555555555556</v>
      </c>
      <c r="K351" s="130" t="n">
        <f aca="false">K349+K350</f>
        <v>45.8333333333333</v>
      </c>
      <c r="L351" s="130" t="n">
        <f aca="false">L349+L350</f>
        <v>11.8402777777778</v>
      </c>
      <c r="M351" s="130" t="n">
        <f aca="false">M349+M350</f>
        <v>47.7430555555556</v>
      </c>
      <c r="N351" s="130" t="n">
        <f aca="false">N349+N350</f>
        <v>45.8333333333333</v>
      </c>
      <c r="O351" s="130" t="n">
        <f aca="false">O349+O350</f>
        <v>0</v>
      </c>
      <c r="P351" s="130" t="n">
        <f aca="false">P349+P350</f>
        <v>0</v>
      </c>
      <c r="Q351" s="130" t="n">
        <f aca="false">Q349+Q350</f>
        <v>13.75</v>
      </c>
      <c r="R351" s="130" t="n">
        <f aca="false">R349+R350</f>
        <v>27.5</v>
      </c>
      <c r="S351" s="130" t="n">
        <f aca="false">S349+S350</f>
        <v>0</v>
      </c>
      <c r="T351" s="130" t="n">
        <f aca="false">T349+T350</f>
        <v>0</v>
      </c>
      <c r="U351" s="130" t="n">
        <f aca="false">U349+U350</f>
        <v>0</v>
      </c>
      <c r="V351" s="130" t="n">
        <f aca="false">V349+V350</f>
        <v>0</v>
      </c>
      <c r="W351" s="130" t="n">
        <f aca="false">W349+W350</f>
        <v>0</v>
      </c>
      <c r="X351" s="130" t="n">
        <f aca="false">X349+X350</f>
        <v>0</v>
      </c>
      <c r="Y351" s="130" t="n">
        <f aca="false">Y349+Y350</f>
        <v>0</v>
      </c>
      <c r="Z351" s="130" t="n">
        <f aca="false">Z349+Z350</f>
        <v>0</v>
      </c>
      <c r="AA351" s="130" t="n">
        <f aca="false">AA349+AA350</f>
        <v>0</v>
      </c>
      <c r="AB351" s="130" t="n">
        <f aca="false">AB349+AB350</f>
        <v>0</v>
      </c>
      <c r="AC351" s="130" t="n">
        <f aca="false">AC349+AC350</f>
        <v>0</v>
      </c>
      <c r="AD351" s="130" t="n">
        <f aca="false">AD349+AD350</f>
        <v>0</v>
      </c>
      <c r="AE351" s="130" t="n">
        <f aca="false">AE349+AE350</f>
        <v>0</v>
      </c>
      <c r="AF351" s="130" t="n">
        <f aca="false">AF349+AF350</f>
        <v>0</v>
      </c>
      <c r="AG351" s="130" t="n">
        <f aca="false">AG349+AG350</f>
        <v>0</v>
      </c>
      <c r="AH351" s="130" t="n">
        <f aca="false">AH349+AH350</f>
        <v>0</v>
      </c>
      <c r="AI351" s="130" t="n">
        <f aca="false">AI349+AI350</f>
        <v>0</v>
      </c>
      <c r="AJ351" s="130" t="n">
        <f aca="false">AJ349+AJ350</f>
        <v>0</v>
      </c>
      <c r="AK351" s="130" t="n">
        <f aca="false">AK349+AK350</f>
        <v>0</v>
      </c>
      <c r="AL351" s="130" t="n">
        <f aca="false">AL349+AL350</f>
        <v>0</v>
      </c>
      <c r="AM351" s="130" t="n">
        <f aca="false">AM349+AM350</f>
        <v>0</v>
      </c>
      <c r="AN351" s="130" t="n">
        <f aca="false">AN349+AN350</f>
        <v>0</v>
      </c>
      <c r="AO351" s="130" t="n">
        <f aca="false">AO349+AO350</f>
        <v>0</v>
      </c>
      <c r="AP351" s="130" t="n">
        <f aca="false">AP349+AP350</f>
        <v>0</v>
      </c>
      <c r="AQ351" s="130" t="n">
        <f aca="false">AQ349+AQ350</f>
        <v>0</v>
      </c>
    </row>
    <row r="352" customFormat="false" ht="15" hidden="false" customHeight="false" outlineLevel="0" collapsed="false">
      <c r="B352" s="3" t="s">
        <v>717</v>
      </c>
      <c r="D352" s="130" t="n">
        <f aca="false">SUM($D351:D351)</f>
        <v>0</v>
      </c>
      <c r="E352" s="130" t="n">
        <f aca="false">SUM($D351:E351)</f>
        <v>0</v>
      </c>
      <c r="F352" s="130" t="n">
        <f aca="false">SUM($D351:F351)</f>
        <v>6.11111111111111</v>
      </c>
      <c r="G352" s="130" t="n">
        <f aca="false">SUM($D351:G351)</f>
        <v>17.5694444444444</v>
      </c>
      <c r="H352" s="130" t="n">
        <f aca="false">SUM($D351:H351)</f>
        <v>38.9583333333333</v>
      </c>
      <c r="I352" s="130" t="n">
        <f aca="false">SUM($D351:I351)</f>
        <v>51.9444444444444</v>
      </c>
      <c r="J352" s="130" t="n">
        <f aca="false">SUM($D351:J351)</f>
        <v>82.5</v>
      </c>
      <c r="K352" s="130" t="n">
        <f aca="false">SUM($D351:K351)</f>
        <v>128.333333333333</v>
      </c>
      <c r="L352" s="130" t="n">
        <f aca="false">SUM($D351:L351)</f>
        <v>140.173611111111</v>
      </c>
      <c r="M352" s="130" t="n">
        <f aca="false">SUM($D351:M351)</f>
        <v>187.916666666667</v>
      </c>
      <c r="N352" s="130" t="n">
        <f aca="false">SUM($D351:N351)</f>
        <v>233.75</v>
      </c>
      <c r="O352" s="130" t="n">
        <f aca="false">SUM($D351:O351)</f>
        <v>233.75</v>
      </c>
      <c r="P352" s="130" t="n">
        <f aca="false">SUM($D351:P351)</f>
        <v>233.75</v>
      </c>
      <c r="Q352" s="130" t="n">
        <f aca="false">SUM($D351:Q351)</f>
        <v>247.5</v>
      </c>
      <c r="R352" s="130" t="n">
        <f aca="false">SUM($D351:R351)</f>
        <v>275</v>
      </c>
      <c r="S352" s="130" t="n">
        <f aca="false">SUM($D351:S351)</f>
        <v>275</v>
      </c>
      <c r="T352" s="130" t="n">
        <f aca="false">SUM($D351:T351)</f>
        <v>275</v>
      </c>
      <c r="U352" s="130" t="n">
        <f aca="false">SUM($D351:U351)</f>
        <v>275</v>
      </c>
      <c r="V352" s="130" t="n">
        <f aca="false">SUM($D351:V351)</f>
        <v>275</v>
      </c>
      <c r="W352" s="130" t="n">
        <f aca="false">SUM($D351:W351)</f>
        <v>275</v>
      </c>
      <c r="X352" s="130" t="n">
        <f aca="false">SUM($D351:X351)</f>
        <v>275</v>
      </c>
      <c r="Y352" s="130" t="n">
        <f aca="false">SUM($D351:Y351)</f>
        <v>275</v>
      </c>
      <c r="Z352" s="130" t="n">
        <f aca="false">SUM($D351:Z351)</f>
        <v>275</v>
      </c>
      <c r="AA352" s="130" t="n">
        <f aca="false">SUM($D351:AA351)</f>
        <v>275</v>
      </c>
      <c r="AB352" s="130" t="n">
        <f aca="false">SUM($D351:AB351)</f>
        <v>275</v>
      </c>
      <c r="AC352" s="130" t="n">
        <f aca="false">SUM($D351:AC351)</f>
        <v>275</v>
      </c>
      <c r="AD352" s="130" t="n">
        <f aca="false">SUM($D351:AD351)</f>
        <v>275</v>
      </c>
      <c r="AE352" s="130" t="n">
        <f aca="false">SUM($D351:AE351)</f>
        <v>275</v>
      </c>
      <c r="AF352" s="130" t="n">
        <f aca="false">SUM($D351:AF351)</f>
        <v>275</v>
      </c>
      <c r="AG352" s="130" t="n">
        <f aca="false">SUM($D351:AG351)</f>
        <v>275</v>
      </c>
      <c r="AH352" s="130" t="n">
        <f aca="false">SUM($D351:AH351)</f>
        <v>275</v>
      </c>
      <c r="AI352" s="130" t="n">
        <f aca="false">SUM($D351:AI351)</f>
        <v>275</v>
      </c>
      <c r="AJ352" s="130" t="n">
        <f aca="false">SUM($D351:AJ351)</f>
        <v>275</v>
      </c>
      <c r="AK352" s="130" t="n">
        <f aca="false">SUM($D351:AK351)</f>
        <v>275</v>
      </c>
      <c r="AL352" s="130" t="n">
        <f aca="false">SUM($D351:AL351)</f>
        <v>275</v>
      </c>
      <c r="AM352" s="130" t="n">
        <f aca="false">SUM($D351:AM351)</f>
        <v>275</v>
      </c>
      <c r="AN352" s="130" t="n">
        <f aca="false">SUM($D351:AN351)</f>
        <v>275</v>
      </c>
      <c r="AO352" s="130" t="n">
        <f aca="false">SUM($D351:AO351)</f>
        <v>275</v>
      </c>
      <c r="AP352" s="130" t="n">
        <f aca="false">SUM($D351:AP351)</f>
        <v>275</v>
      </c>
      <c r="AQ352" s="130" t="n">
        <f aca="false">SUM($D351:AQ351)</f>
        <v>275</v>
      </c>
    </row>
    <row r="353" customFormat="false" ht="15" hidden="false" customHeight="false" outlineLevel="0" collapsed="false">
      <c r="B353" s="3" t="s">
        <v>718</v>
      </c>
      <c r="D353" s="130" t="n">
        <f aca="false">D348-D352</f>
        <v>0</v>
      </c>
      <c r="E353" s="130" t="n">
        <f aca="false">E348-E352</f>
        <v>0</v>
      </c>
      <c r="F353" s="130" t="n">
        <f aca="false">F348-F352</f>
        <v>55</v>
      </c>
      <c r="G353" s="130" t="n">
        <f aca="false">G348-G352</f>
        <v>97.0138888888889</v>
      </c>
      <c r="H353" s="130" t="n">
        <f aca="false">H348-H352</f>
        <v>121.458333333333</v>
      </c>
      <c r="I353" s="130" t="n">
        <f aca="false">I348-I352</f>
        <v>146.666666666667</v>
      </c>
      <c r="J353" s="130" t="n">
        <f aca="false">J348-J352</f>
        <v>146.666666666667</v>
      </c>
      <c r="K353" s="130" t="n">
        <f aca="false">K348-K352</f>
        <v>123.75</v>
      </c>
      <c r="L353" s="130" t="n">
        <f aca="false">L348-L352</f>
        <v>127.1875</v>
      </c>
      <c r="M353" s="130" t="n">
        <f aca="false">M348-M352</f>
        <v>87.0833333333334</v>
      </c>
      <c r="N353" s="130" t="n">
        <f aca="false">N348-N352</f>
        <v>41.25</v>
      </c>
      <c r="O353" s="130" t="n">
        <f aca="false">O348-O352</f>
        <v>41.25</v>
      </c>
      <c r="P353" s="130" t="n">
        <f aca="false">P348-P352</f>
        <v>41.25</v>
      </c>
      <c r="Q353" s="130" t="n">
        <f aca="false">Q348-Q352</f>
        <v>27.5</v>
      </c>
      <c r="R353" s="130" t="n">
        <f aca="false">R348-R352</f>
        <v>0</v>
      </c>
      <c r="S353" s="130" t="n">
        <f aca="false">S348-S352</f>
        <v>0</v>
      </c>
      <c r="T353" s="130" t="n">
        <f aca="false">T348-T352</f>
        <v>0</v>
      </c>
      <c r="U353" s="130" t="n">
        <f aca="false">U348-U352</f>
        <v>0</v>
      </c>
      <c r="V353" s="130" t="n">
        <f aca="false">V348-V352</f>
        <v>0</v>
      </c>
      <c r="W353" s="130" t="n">
        <f aca="false">W348-W352</f>
        <v>0</v>
      </c>
      <c r="X353" s="130" t="n">
        <f aca="false">X348-X352</f>
        <v>0</v>
      </c>
      <c r="Y353" s="130" t="n">
        <f aca="false">Y348-Y352</f>
        <v>0</v>
      </c>
      <c r="Z353" s="130" t="n">
        <f aca="false">Z348-Z352</f>
        <v>0</v>
      </c>
      <c r="AA353" s="130" t="n">
        <f aca="false">AA348-AA352</f>
        <v>0</v>
      </c>
      <c r="AB353" s="130" t="n">
        <f aca="false">AB348-AB352</f>
        <v>0</v>
      </c>
      <c r="AC353" s="130" t="n">
        <f aca="false">AC348-AC352</f>
        <v>0</v>
      </c>
      <c r="AD353" s="130" t="n">
        <f aca="false">AD348-AD352</f>
        <v>0</v>
      </c>
      <c r="AE353" s="130" t="n">
        <f aca="false">AE348-AE352</f>
        <v>0</v>
      </c>
      <c r="AF353" s="130" t="n">
        <f aca="false">AF348-AF352</f>
        <v>0</v>
      </c>
      <c r="AG353" s="130" t="n">
        <f aca="false">AG348-AG352</f>
        <v>0</v>
      </c>
      <c r="AH353" s="130" t="n">
        <f aca="false">AH348-AH352</f>
        <v>0</v>
      </c>
      <c r="AI353" s="130" t="n">
        <f aca="false">AI348-AI352</f>
        <v>0</v>
      </c>
      <c r="AJ353" s="130" t="n">
        <f aca="false">AJ348-AJ352</f>
        <v>0</v>
      </c>
      <c r="AK353" s="130" t="n">
        <f aca="false">AK348-AK352</f>
        <v>0</v>
      </c>
      <c r="AL353" s="130" t="n">
        <f aca="false">AL348-AL352</f>
        <v>0</v>
      </c>
      <c r="AM353" s="130" t="n">
        <f aca="false">AM348-AM352</f>
        <v>0</v>
      </c>
      <c r="AN353" s="130" t="n">
        <f aca="false">AN348-AN352</f>
        <v>0</v>
      </c>
      <c r="AO353" s="130" t="n">
        <f aca="false">AO348-AO352</f>
        <v>0</v>
      </c>
      <c r="AP353" s="130" t="n">
        <f aca="false">AP348-AP352</f>
        <v>0</v>
      </c>
      <c r="AQ353" s="130" t="n">
        <f aca="false">AQ348-AQ352</f>
        <v>0</v>
      </c>
    </row>
    <row r="354" customFormat="false" ht="15" hidden="false" customHeight="false" outlineLevel="0" collapsed="false">
      <c r="B354" s="3" t="s">
        <v>719</v>
      </c>
      <c r="D354" s="132" t="n">
        <f aca="false">IF(INPUTS!$T$88&gt;0,D352/INPUTS!$T$88,0)</f>
        <v>0</v>
      </c>
      <c r="E354" s="132" t="n">
        <f aca="false">IF(INPUTS!$T$88&gt;0,E352/INPUTS!$T$88,0)</f>
        <v>0</v>
      </c>
      <c r="F354" s="132" t="n">
        <f aca="false">IF(INPUTS!$T$88&gt;0,F352/INPUTS!$T$88,0)</f>
        <v>0.0222222222222222</v>
      </c>
      <c r="G354" s="132" t="n">
        <f aca="false">IF(INPUTS!$T$88&gt;0,G352/INPUTS!$T$88,0)</f>
        <v>0.0638888888888889</v>
      </c>
      <c r="H354" s="132" t="n">
        <f aca="false">IF(INPUTS!$T$88&gt;0,H352/INPUTS!$T$88,0)</f>
        <v>0.141666666666667</v>
      </c>
      <c r="I354" s="132" t="n">
        <f aca="false">IF(INPUTS!$T$88&gt;0,I352/INPUTS!$T$88,0)</f>
        <v>0.188888888888889</v>
      </c>
      <c r="J354" s="132" t="n">
        <f aca="false">IF(INPUTS!$T$88&gt;0,J352/INPUTS!$T$88,0)</f>
        <v>0.3</v>
      </c>
      <c r="K354" s="132" t="n">
        <f aca="false">IF(INPUTS!$T$88&gt;0,K352/INPUTS!$T$88,0)</f>
        <v>0.466666666666667</v>
      </c>
      <c r="L354" s="132" t="n">
        <f aca="false">IF(INPUTS!$T$88&gt;0,L352/INPUTS!$T$88,0)</f>
        <v>0.509722222222222</v>
      </c>
      <c r="M354" s="132" t="n">
        <f aca="false">IF(INPUTS!$T$88&gt;0,M352/INPUTS!$T$88,0)</f>
        <v>0.683333333333333</v>
      </c>
      <c r="N354" s="132" t="n">
        <f aca="false">IF(INPUTS!$T$88&gt;0,N352/INPUTS!$T$88,0)</f>
        <v>0.85</v>
      </c>
      <c r="O354" s="132" t="n">
        <f aca="false">IF(INPUTS!$T$88&gt;0,O352/INPUTS!$T$88,0)</f>
        <v>0.85</v>
      </c>
      <c r="P354" s="132" t="n">
        <f aca="false">IF(INPUTS!$T$88&gt;0,P352/INPUTS!$T$88,0)</f>
        <v>0.85</v>
      </c>
      <c r="Q354" s="132" t="n">
        <f aca="false">IF(INPUTS!$T$88&gt;0,Q352/INPUTS!$T$88,0)</f>
        <v>0.9</v>
      </c>
      <c r="R354" s="132" t="n">
        <f aca="false">IF(INPUTS!$T$88&gt;0,R352/INPUTS!$T$88,0)</f>
        <v>1</v>
      </c>
      <c r="S354" s="132" t="n">
        <f aca="false">IF(INPUTS!$T$88&gt;0,S352/INPUTS!$T$88,0)</f>
        <v>1</v>
      </c>
      <c r="T354" s="132" t="n">
        <f aca="false">IF(INPUTS!$T$88&gt;0,T352/INPUTS!$T$88,0)</f>
        <v>1</v>
      </c>
      <c r="U354" s="132" t="n">
        <f aca="false">IF(INPUTS!$T$88&gt;0,U352/INPUTS!$T$88,0)</f>
        <v>1</v>
      </c>
      <c r="V354" s="132" t="n">
        <f aca="false">IF(INPUTS!$T$88&gt;0,V352/INPUTS!$T$88,0)</f>
        <v>1</v>
      </c>
      <c r="W354" s="132" t="n">
        <f aca="false">IF(INPUTS!$T$88&gt;0,W352/INPUTS!$T$88,0)</f>
        <v>1</v>
      </c>
      <c r="X354" s="132" t="n">
        <f aca="false">IF(INPUTS!$T$88&gt;0,X352/INPUTS!$T$88,0)</f>
        <v>1</v>
      </c>
      <c r="Y354" s="132" t="n">
        <f aca="false">IF(INPUTS!$T$88&gt;0,Y352/INPUTS!$T$88,0)</f>
        <v>1</v>
      </c>
      <c r="Z354" s="132" t="n">
        <f aca="false">IF(INPUTS!$T$88&gt;0,Z352/INPUTS!$T$88,0)</f>
        <v>1</v>
      </c>
      <c r="AA354" s="132" t="n">
        <f aca="false">IF(INPUTS!$T$88&gt;0,AA352/INPUTS!$T$88,0)</f>
        <v>1</v>
      </c>
      <c r="AB354" s="132" t="n">
        <f aca="false">IF(INPUTS!$T$88&gt;0,AB352/INPUTS!$T$88,0)</f>
        <v>1</v>
      </c>
      <c r="AC354" s="132" t="n">
        <f aca="false">IF(INPUTS!$T$88&gt;0,AC352/INPUTS!$T$88,0)</f>
        <v>1</v>
      </c>
      <c r="AD354" s="132" t="n">
        <f aca="false">IF(INPUTS!$T$88&gt;0,AD352/INPUTS!$T$88,0)</f>
        <v>1</v>
      </c>
      <c r="AE354" s="132" t="n">
        <f aca="false">IF(INPUTS!$T$88&gt;0,AE352/INPUTS!$T$88,0)</f>
        <v>1</v>
      </c>
      <c r="AF354" s="132" t="n">
        <f aca="false">IF(INPUTS!$T$88&gt;0,AF352/INPUTS!$T$88,0)</f>
        <v>1</v>
      </c>
      <c r="AG354" s="132" t="n">
        <f aca="false">IF(INPUTS!$T$88&gt;0,AG352/INPUTS!$T$88,0)</f>
        <v>1</v>
      </c>
      <c r="AH354" s="132" t="n">
        <f aca="false">IF(INPUTS!$T$88&gt;0,AH352/INPUTS!$T$88,0)</f>
        <v>1</v>
      </c>
      <c r="AI354" s="132" t="n">
        <f aca="false">IF(INPUTS!$T$88&gt;0,AI352/INPUTS!$T$88,0)</f>
        <v>1</v>
      </c>
      <c r="AJ354" s="132" t="n">
        <f aca="false">IF(INPUTS!$T$88&gt;0,AJ352/INPUTS!$T$88,0)</f>
        <v>1</v>
      </c>
      <c r="AK354" s="132" t="n">
        <f aca="false">IF(INPUTS!$T$88&gt;0,AK352/INPUTS!$T$88,0)</f>
        <v>1</v>
      </c>
      <c r="AL354" s="132" t="n">
        <f aca="false">IF(INPUTS!$T$88&gt;0,AL352/INPUTS!$T$88,0)</f>
        <v>1</v>
      </c>
      <c r="AM354" s="132" t="n">
        <f aca="false">IF(INPUTS!$T$88&gt;0,AM352/INPUTS!$T$88,0)</f>
        <v>1</v>
      </c>
      <c r="AN354" s="132" t="n">
        <f aca="false">IF(INPUTS!$T$88&gt;0,AN352/INPUTS!$T$88,0)</f>
        <v>1</v>
      </c>
      <c r="AO354" s="132" t="n">
        <f aca="false">IF(INPUTS!$T$88&gt;0,AO352/INPUTS!$T$88,0)</f>
        <v>1</v>
      </c>
      <c r="AP354" s="132" t="n">
        <f aca="false">IF(INPUTS!$T$88&gt;0,AP352/INPUTS!$T$88,0)</f>
        <v>1</v>
      </c>
      <c r="AQ354" s="132" t="n">
        <f aca="false">IF(INPUTS!$T$88&gt;0,AQ352/INPUTS!$T$88,0)</f>
        <v>1</v>
      </c>
    </row>
    <row r="355" customFormat="false" ht="15" hidden="false" customHeight="false" outlineLevel="0" collapsed="false">
      <c r="B355" s="17" t="s">
        <v>689</v>
      </c>
      <c r="C355" s="105" t="str">
        <f aca="false">IF(INPUTS!$E$88&lt;&gt;"Yes","Off",IF(AND(ABS(C347-INPUTS!$T$88)&lt;0.000001,ABS(C351-INPUTS!$T$88)&lt;0.000001,MIN(D353:AQ353)&gt;-0.000001),"OK","ERROR"))</f>
        <v>OK</v>
      </c>
    </row>
    <row r="356" customFormat="false" ht="15" hidden="false" customHeight="false" outlineLevel="0" collapsed="false">
      <c r="B356" s="110" t="str">
        <f aca="false">IF(INPUTS!$E$89="Yes",INPUTS!$B$89,"Product row 2 (off)")</f>
        <v>Apartments – Towers A &amp; B</v>
      </c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</row>
    <row r="357" customFormat="false" ht="15" hidden="false" customHeight="false" outlineLevel="0" collapsed="false">
      <c r="B357" s="2" t="s">
        <v>712</v>
      </c>
      <c r="C357" s="129" t="n">
        <f aca="false">SUM(D357:AQ357)</f>
        <v>450</v>
      </c>
      <c r="D357" s="130" t="n">
        <f aca="false">INPUTS!$T$89*CURVES!D44</f>
        <v>0</v>
      </c>
      <c r="E357" s="130" t="n">
        <f aca="false">INPUTS!$T$89*CURVES!E44</f>
        <v>0</v>
      </c>
      <c r="F357" s="130" t="n">
        <f aca="false">INPUTS!$T$89*CURVES!F44</f>
        <v>0</v>
      </c>
      <c r="G357" s="130" t="n">
        <f aca="false">INPUTS!$T$89*CURVES!G44</f>
        <v>37.5</v>
      </c>
      <c r="H357" s="130" t="n">
        <f aca="false">INPUTS!$T$89*CURVES!H44</f>
        <v>37.5</v>
      </c>
      <c r="I357" s="130" t="n">
        <f aca="false">INPUTS!$T$89*CURVES!I44</f>
        <v>37.5</v>
      </c>
      <c r="J357" s="130" t="n">
        <f aca="false">INPUTS!$T$89*CURVES!J44</f>
        <v>37.5</v>
      </c>
      <c r="K357" s="130" t="n">
        <f aca="false">INPUTS!$T$89*CURVES!K44</f>
        <v>37.5</v>
      </c>
      <c r="L357" s="130" t="n">
        <f aca="false">INPUTS!$T$89*CURVES!L44</f>
        <v>37.5</v>
      </c>
      <c r="M357" s="130" t="n">
        <f aca="false">INPUTS!$T$89*CURVES!M44</f>
        <v>37.5</v>
      </c>
      <c r="N357" s="130" t="n">
        <f aca="false">INPUTS!$T$89*CURVES!N44</f>
        <v>37.5</v>
      </c>
      <c r="O357" s="130" t="n">
        <f aca="false">INPUTS!$T$89*CURVES!O44</f>
        <v>37.5</v>
      </c>
      <c r="P357" s="130" t="n">
        <f aca="false">INPUTS!$T$89*CURVES!P44</f>
        <v>37.5</v>
      </c>
      <c r="Q357" s="130" t="n">
        <f aca="false">INPUTS!$T$89*CURVES!Q44</f>
        <v>37.5</v>
      </c>
      <c r="R357" s="130" t="n">
        <f aca="false">INPUTS!$T$89*CURVES!R44</f>
        <v>37.5</v>
      </c>
      <c r="S357" s="130" t="n">
        <f aca="false">INPUTS!$T$89*CURVES!S44</f>
        <v>0</v>
      </c>
      <c r="T357" s="130" t="n">
        <f aca="false">INPUTS!$T$89*CURVES!T44</f>
        <v>0</v>
      </c>
      <c r="U357" s="130" t="n">
        <f aca="false">INPUTS!$T$89*CURVES!U44</f>
        <v>0</v>
      </c>
      <c r="V357" s="130" t="n">
        <f aca="false">INPUTS!$T$89*CURVES!V44</f>
        <v>0</v>
      </c>
      <c r="W357" s="130" t="n">
        <f aca="false">INPUTS!$T$89*CURVES!W44</f>
        <v>0</v>
      </c>
      <c r="X357" s="130" t="n">
        <f aca="false">INPUTS!$T$89*CURVES!X44</f>
        <v>0</v>
      </c>
      <c r="Y357" s="130" t="n">
        <f aca="false">INPUTS!$T$89*CURVES!Y44</f>
        <v>0</v>
      </c>
      <c r="Z357" s="130" t="n">
        <f aca="false">INPUTS!$T$89*CURVES!Z44</f>
        <v>0</v>
      </c>
      <c r="AA357" s="130" t="n">
        <f aca="false">INPUTS!$T$89*CURVES!AA44</f>
        <v>0</v>
      </c>
      <c r="AB357" s="130" t="n">
        <f aca="false">INPUTS!$T$89*CURVES!AB44</f>
        <v>0</v>
      </c>
      <c r="AC357" s="130" t="n">
        <f aca="false">INPUTS!$T$89*CURVES!AC44</f>
        <v>0</v>
      </c>
      <c r="AD357" s="130" t="n">
        <f aca="false">INPUTS!$T$89*CURVES!AD44</f>
        <v>0</v>
      </c>
      <c r="AE357" s="130" t="n">
        <f aca="false">INPUTS!$T$89*CURVES!AE44</f>
        <v>0</v>
      </c>
      <c r="AF357" s="130" t="n">
        <f aca="false">INPUTS!$T$89*CURVES!AF44</f>
        <v>0</v>
      </c>
      <c r="AG357" s="130" t="n">
        <f aca="false">INPUTS!$T$89*CURVES!AG44</f>
        <v>0</v>
      </c>
      <c r="AH357" s="130" t="n">
        <f aca="false">INPUTS!$T$89*CURVES!AH44</f>
        <v>0</v>
      </c>
      <c r="AI357" s="130" t="n">
        <f aca="false">INPUTS!$T$89*CURVES!AI44</f>
        <v>0</v>
      </c>
      <c r="AJ357" s="130" t="n">
        <f aca="false">INPUTS!$T$89*CURVES!AJ44</f>
        <v>0</v>
      </c>
      <c r="AK357" s="130" t="n">
        <f aca="false">INPUTS!$T$89*CURVES!AK44</f>
        <v>0</v>
      </c>
      <c r="AL357" s="130" t="n">
        <f aca="false">INPUTS!$T$89*CURVES!AL44</f>
        <v>0</v>
      </c>
      <c r="AM357" s="130" t="n">
        <f aca="false">INPUTS!$T$89*CURVES!AM44</f>
        <v>0</v>
      </c>
      <c r="AN357" s="130" t="n">
        <f aca="false">INPUTS!$T$89*CURVES!AN44</f>
        <v>0</v>
      </c>
      <c r="AO357" s="130" t="n">
        <f aca="false">INPUTS!$T$89*CURVES!AO44</f>
        <v>0</v>
      </c>
      <c r="AP357" s="130" t="n">
        <f aca="false">INPUTS!$T$89*CURVES!AP44</f>
        <v>0</v>
      </c>
      <c r="AQ357" s="130" t="n">
        <f aca="false">INPUTS!$T$89*CURVES!AQ44</f>
        <v>0</v>
      </c>
    </row>
    <row r="358" customFormat="false" ht="15" hidden="false" customHeight="false" outlineLevel="0" collapsed="false">
      <c r="B358" s="3" t="s">
        <v>713</v>
      </c>
      <c r="D358" s="130" t="n">
        <f aca="false">SUM($D357:D357)</f>
        <v>0</v>
      </c>
      <c r="E358" s="130" t="n">
        <f aca="false">SUM($D357:E357)</f>
        <v>0</v>
      </c>
      <c r="F358" s="130" t="n">
        <f aca="false">SUM($D357:F357)</f>
        <v>0</v>
      </c>
      <c r="G358" s="130" t="n">
        <f aca="false">SUM($D357:G357)</f>
        <v>37.5</v>
      </c>
      <c r="H358" s="130" t="n">
        <f aca="false">SUM($D357:H357)</f>
        <v>75</v>
      </c>
      <c r="I358" s="130" t="n">
        <f aca="false">SUM($D357:I357)</f>
        <v>112.5</v>
      </c>
      <c r="J358" s="130" t="n">
        <f aca="false">SUM($D357:J357)</f>
        <v>150</v>
      </c>
      <c r="K358" s="130" t="n">
        <f aca="false">SUM($D357:K357)</f>
        <v>187.5</v>
      </c>
      <c r="L358" s="130" t="n">
        <f aca="false">SUM($D357:L357)</f>
        <v>225</v>
      </c>
      <c r="M358" s="130" t="n">
        <f aca="false">SUM($D357:M357)</f>
        <v>262.5</v>
      </c>
      <c r="N358" s="130" t="n">
        <f aca="false">SUM($D357:N357)</f>
        <v>300</v>
      </c>
      <c r="O358" s="130" t="n">
        <f aca="false">SUM($D357:O357)</f>
        <v>337.5</v>
      </c>
      <c r="P358" s="130" t="n">
        <f aca="false">SUM($D357:P357)</f>
        <v>375</v>
      </c>
      <c r="Q358" s="130" t="n">
        <f aca="false">SUM($D357:Q357)</f>
        <v>412.5</v>
      </c>
      <c r="R358" s="130" t="n">
        <f aca="false">SUM($D357:R357)</f>
        <v>450</v>
      </c>
      <c r="S358" s="130" t="n">
        <f aca="false">SUM($D357:S357)</f>
        <v>450</v>
      </c>
      <c r="T358" s="130" t="n">
        <f aca="false">SUM($D357:T357)</f>
        <v>450</v>
      </c>
      <c r="U358" s="130" t="n">
        <f aca="false">SUM($D357:U357)</f>
        <v>450</v>
      </c>
      <c r="V358" s="130" t="n">
        <f aca="false">SUM($D357:V357)</f>
        <v>450</v>
      </c>
      <c r="W358" s="130" t="n">
        <f aca="false">SUM($D357:W357)</f>
        <v>450</v>
      </c>
      <c r="X358" s="130" t="n">
        <f aca="false">SUM($D357:X357)</f>
        <v>450</v>
      </c>
      <c r="Y358" s="130" t="n">
        <f aca="false">SUM($D357:Y357)</f>
        <v>450</v>
      </c>
      <c r="Z358" s="130" t="n">
        <f aca="false">SUM($D357:Z357)</f>
        <v>450</v>
      </c>
      <c r="AA358" s="130" t="n">
        <f aca="false">SUM($D357:AA357)</f>
        <v>450</v>
      </c>
      <c r="AB358" s="130" t="n">
        <f aca="false">SUM($D357:AB357)</f>
        <v>450</v>
      </c>
      <c r="AC358" s="130" t="n">
        <f aca="false">SUM($D357:AC357)</f>
        <v>450</v>
      </c>
      <c r="AD358" s="130" t="n">
        <f aca="false">SUM($D357:AD357)</f>
        <v>450</v>
      </c>
      <c r="AE358" s="130" t="n">
        <f aca="false">SUM($D357:AE357)</f>
        <v>450</v>
      </c>
      <c r="AF358" s="130" t="n">
        <f aca="false">SUM($D357:AF357)</f>
        <v>450</v>
      </c>
      <c r="AG358" s="130" t="n">
        <f aca="false">SUM($D357:AG357)</f>
        <v>450</v>
      </c>
      <c r="AH358" s="130" t="n">
        <f aca="false">SUM($D357:AH357)</f>
        <v>450</v>
      </c>
      <c r="AI358" s="130" t="n">
        <f aca="false">SUM($D357:AI357)</f>
        <v>450</v>
      </c>
      <c r="AJ358" s="130" t="n">
        <f aca="false">SUM($D357:AJ357)</f>
        <v>450</v>
      </c>
      <c r="AK358" s="130" t="n">
        <f aca="false">SUM($D357:AK357)</f>
        <v>450</v>
      </c>
      <c r="AL358" s="130" t="n">
        <f aca="false">SUM($D357:AL357)</f>
        <v>450</v>
      </c>
      <c r="AM358" s="130" t="n">
        <f aca="false">SUM($D357:AM357)</f>
        <v>450</v>
      </c>
      <c r="AN358" s="130" t="n">
        <f aca="false">SUM($D357:AN357)</f>
        <v>450</v>
      </c>
      <c r="AO358" s="130" t="n">
        <f aca="false">SUM($D357:AO357)</f>
        <v>450</v>
      </c>
      <c r="AP358" s="130" t="n">
        <f aca="false">SUM($D357:AP357)</f>
        <v>450</v>
      </c>
      <c r="AQ358" s="130" t="n">
        <f aca="false">SUM($D357:AQ357)</f>
        <v>450</v>
      </c>
    </row>
    <row r="359" customFormat="false" ht="15" hidden="false" customHeight="false" outlineLevel="0" collapsed="false">
      <c r="B359" s="131" t="s">
        <v>714</v>
      </c>
      <c r="C359" s="129" t="n">
        <f aca="false">SUM(D359:AQ359)</f>
        <v>90</v>
      </c>
      <c r="D359" s="130" t="n">
        <f aca="false">$D$77*IF(D$7-0&gt;=1,INDEX($D$357:$AQ$357,D$7-0),0)+$E$77*IF(D$7-1&gt;=1,INDEX($D$357:$AQ$357,D$7-1),0)+$F$77*IF(D$7-2&gt;=1,INDEX($D$357:$AQ$357,D$7-2),0)+$G$77*IF(D$7-3&gt;=1,INDEX($D$357:$AQ$357,D$7-3),0)+$H$77*IF(D$7-4&gt;=1,INDEX($D$357:$AQ$357,D$7-4),0)+$I$77*IF(D$7-5&gt;=1,INDEX($D$357:$AQ$357,D$7-5),0)+$J$77*IF(D$7-6&gt;=1,INDEX($D$357:$AQ$357,D$7-6),0)+$K$77*IF(D$7-7&gt;=1,INDEX($D$357:$AQ$357,D$7-7),0)+$L$77*IF(D$7-8&gt;=1,INDEX($D$357:$AQ$357,D$7-8),0)+$M$77*IF(D$7-9&gt;=1,INDEX($D$357:$AQ$357,D$7-9),0)+$N$77*IF(D$7-10&gt;=1,INDEX($D$357:$AQ$357,D$7-10),0)+$O$77*IF(D$7-11&gt;=1,INDEX($D$357:$AQ$357,D$7-11),0)+$P$77*IF(D$7-12&gt;=1,INDEX($D$357:$AQ$357,D$7-12),0)</f>
        <v>0</v>
      </c>
      <c r="E359" s="130" t="n">
        <f aca="false">$D$77*IF(E$7-0&gt;=1,INDEX($D$357:$AQ$357,E$7-0),0)+$E$77*IF(E$7-1&gt;=1,INDEX($D$357:$AQ$357,E$7-1),0)+$F$77*IF(E$7-2&gt;=1,INDEX($D$357:$AQ$357,E$7-2),0)+$G$77*IF(E$7-3&gt;=1,INDEX($D$357:$AQ$357,E$7-3),0)+$H$77*IF(E$7-4&gt;=1,INDEX($D$357:$AQ$357,E$7-4),0)+$I$77*IF(E$7-5&gt;=1,INDEX($D$357:$AQ$357,E$7-5),0)+$J$77*IF(E$7-6&gt;=1,INDEX($D$357:$AQ$357,E$7-6),0)+$K$77*IF(E$7-7&gt;=1,INDEX($D$357:$AQ$357,E$7-7),0)+$L$77*IF(E$7-8&gt;=1,INDEX($D$357:$AQ$357,E$7-8),0)+$M$77*IF(E$7-9&gt;=1,INDEX($D$357:$AQ$357,E$7-9),0)+$N$77*IF(E$7-10&gt;=1,INDEX($D$357:$AQ$357,E$7-10),0)+$O$77*IF(E$7-11&gt;=1,INDEX($D$357:$AQ$357,E$7-11),0)+$P$77*IF(E$7-12&gt;=1,INDEX($D$357:$AQ$357,E$7-12),0)</f>
        <v>0</v>
      </c>
      <c r="F359" s="130" t="n">
        <f aca="false">$D$77*IF(F$7-0&gt;=1,INDEX($D$357:$AQ$357,F$7-0),0)+$E$77*IF(F$7-1&gt;=1,INDEX($D$357:$AQ$357,F$7-1),0)+$F$77*IF(F$7-2&gt;=1,INDEX($D$357:$AQ$357,F$7-2),0)+$G$77*IF(F$7-3&gt;=1,INDEX($D$357:$AQ$357,F$7-3),0)+$H$77*IF(F$7-4&gt;=1,INDEX($D$357:$AQ$357,F$7-4),0)+$I$77*IF(F$7-5&gt;=1,INDEX($D$357:$AQ$357,F$7-5),0)+$J$77*IF(F$7-6&gt;=1,INDEX($D$357:$AQ$357,F$7-6),0)+$K$77*IF(F$7-7&gt;=1,INDEX($D$357:$AQ$357,F$7-7),0)+$L$77*IF(F$7-8&gt;=1,INDEX($D$357:$AQ$357,F$7-8),0)+$M$77*IF(F$7-9&gt;=1,INDEX($D$357:$AQ$357,F$7-9),0)+$N$77*IF(F$7-10&gt;=1,INDEX($D$357:$AQ$357,F$7-10),0)+$O$77*IF(F$7-11&gt;=1,INDEX($D$357:$AQ$357,F$7-11),0)+$P$77*IF(F$7-12&gt;=1,INDEX($D$357:$AQ$357,F$7-12),0)</f>
        <v>0</v>
      </c>
      <c r="G359" s="130" t="n">
        <f aca="false">$D$77*IF(G$7-0&gt;=1,INDEX($D$357:$AQ$357,G$7-0),0)+$E$77*IF(G$7-1&gt;=1,INDEX($D$357:$AQ$357,G$7-1),0)+$F$77*IF(G$7-2&gt;=1,INDEX($D$357:$AQ$357,G$7-2),0)+$G$77*IF(G$7-3&gt;=1,INDEX($D$357:$AQ$357,G$7-3),0)+$H$77*IF(G$7-4&gt;=1,INDEX($D$357:$AQ$357,G$7-4),0)+$I$77*IF(G$7-5&gt;=1,INDEX($D$357:$AQ$357,G$7-5),0)+$J$77*IF(G$7-6&gt;=1,INDEX($D$357:$AQ$357,G$7-6),0)+$K$77*IF(G$7-7&gt;=1,INDEX($D$357:$AQ$357,G$7-7),0)+$L$77*IF(G$7-8&gt;=1,INDEX($D$357:$AQ$357,G$7-8),0)+$M$77*IF(G$7-9&gt;=1,INDEX($D$357:$AQ$357,G$7-9),0)+$N$77*IF(G$7-10&gt;=1,INDEX($D$357:$AQ$357,G$7-10),0)+$O$77*IF(G$7-11&gt;=1,INDEX($D$357:$AQ$357,G$7-11),0)+$P$77*IF(G$7-12&gt;=1,INDEX($D$357:$AQ$357,G$7-12),0)</f>
        <v>3.75</v>
      </c>
      <c r="H359" s="130" t="n">
        <f aca="false">$D$77*IF(H$7-0&gt;=1,INDEX($D$357:$AQ$357,H$7-0),0)+$E$77*IF(H$7-1&gt;=1,INDEX($D$357:$AQ$357,H$7-1),0)+$F$77*IF(H$7-2&gt;=1,INDEX($D$357:$AQ$357,H$7-2),0)+$G$77*IF(H$7-3&gt;=1,INDEX($D$357:$AQ$357,H$7-3),0)+$H$77*IF(H$7-4&gt;=1,INDEX($D$357:$AQ$357,H$7-4),0)+$I$77*IF(H$7-5&gt;=1,INDEX($D$357:$AQ$357,H$7-5),0)+$J$77*IF(H$7-6&gt;=1,INDEX($D$357:$AQ$357,H$7-6),0)+$K$77*IF(H$7-7&gt;=1,INDEX($D$357:$AQ$357,H$7-7),0)+$L$77*IF(H$7-8&gt;=1,INDEX($D$357:$AQ$357,H$7-8),0)+$M$77*IF(H$7-9&gt;=1,INDEX($D$357:$AQ$357,H$7-9),0)+$N$77*IF(H$7-10&gt;=1,INDEX($D$357:$AQ$357,H$7-10),0)+$O$77*IF(H$7-11&gt;=1,INDEX($D$357:$AQ$357,H$7-11),0)+$P$77*IF(H$7-12&gt;=1,INDEX($D$357:$AQ$357,H$7-12),0)</f>
        <v>7.5</v>
      </c>
      <c r="I359" s="130" t="n">
        <f aca="false">$D$77*IF(I$7-0&gt;=1,INDEX($D$357:$AQ$357,I$7-0),0)+$E$77*IF(I$7-1&gt;=1,INDEX($D$357:$AQ$357,I$7-1),0)+$F$77*IF(I$7-2&gt;=1,INDEX($D$357:$AQ$357,I$7-2),0)+$G$77*IF(I$7-3&gt;=1,INDEX($D$357:$AQ$357,I$7-3),0)+$H$77*IF(I$7-4&gt;=1,INDEX($D$357:$AQ$357,I$7-4),0)+$I$77*IF(I$7-5&gt;=1,INDEX($D$357:$AQ$357,I$7-5),0)+$J$77*IF(I$7-6&gt;=1,INDEX($D$357:$AQ$357,I$7-6),0)+$K$77*IF(I$7-7&gt;=1,INDEX($D$357:$AQ$357,I$7-7),0)+$L$77*IF(I$7-8&gt;=1,INDEX($D$357:$AQ$357,I$7-8),0)+$M$77*IF(I$7-9&gt;=1,INDEX($D$357:$AQ$357,I$7-9),0)+$N$77*IF(I$7-10&gt;=1,INDEX($D$357:$AQ$357,I$7-10),0)+$O$77*IF(I$7-11&gt;=1,INDEX($D$357:$AQ$357,I$7-11),0)+$P$77*IF(I$7-12&gt;=1,INDEX($D$357:$AQ$357,I$7-12),0)</f>
        <v>7.5</v>
      </c>
      <c r="J359" s="130" t="n">
        <f aca="false">$D$77*IF(J$7-0&gt;=1,INDEX($D$357:$AQ$357,J$7-0),0)+$E$77*IF(J$7-1&gt;=1,INDEX($D$357:$AQ$357,J$7-1),0)+$F$77*IF(J$7-2&gt;=1,INDEX($D$357:$AQ$357,J$7-2),0)+$G$77*IF(J$7-3&gt;=1,INDEX($D$357:$AQ$357,J$7-3),0)+$H$77*IF(J$7-4&gt;=1,INDEX($D$357:$AQ$357,J$7-4),0)+$I$77*IF(J$7-5&gt;=1,INDEX($D$357:$AQ$357,J$7-5),0)+$J$77*IF(J$7-6&gt;=1,INDEX($D$357:$AQ$357,J$7-6),0)+$K$77*IF(J$7-7&gt;=1,INDEX($D$357:$AQ$357,J$7-7),0)+$L$77*IF(J$7-8&gt;=1,INDEX($D$357:$AQ$357,J$7-8),0)+$M$77*IF(J$7-9&gt;=1,INDEX($D$357:$AQ$357,J$7-9),0)+$N$77*IF(J$7-10&gt;=1,INDEX($D$357:$AQ$357,J$7-10),0)+$O$77*IF(J$7-11&gt;=1,INDEX($D$357:$AQ$357,J$7-11),0)+$P$77*IF(J$7-12&gt;=1,INDEX($D$357:$AQ$357,J$7-12),0)</f>
        <v>7.5</v>
      </c>
      <c r="K359" s="130" t="n">
        <f aca="false">$D$77*IF(K$7-0&gt;=1,INDEX($D$357:$AQ$357,K$7-0),0)+$E$77*IF(K$7-1&gt;=1,INDEX($D$357:$AQ$357,K$7-1),0)+$F$77*IF(K$7-2&gt;=1,INDEX($D$357:$AQ$357,K$7-2),0)+$G$77*IF(K$7-3&gt;=1,INDEX($D$357:$AQ$357,K$7-3),0)+$H$77*IF(K$7-4&gt;=1,INDEX($D$357:$AQ$357,K$7-4),0)+$I$77*IF(K$7-5&gt;=1,INDEX($D$357:$AQ$357,K$7-5),0)+$J$77*IF(K$7-6&gt;=1,INDEX($D$357:$AQ$357,K$7-6),0)+$K$77*IF(K$7-7&gt;=1,INDEX($D$357:$AQ$357,K$7-7),0)+$L$77*IF(K$7-8&gt;=1,INDEX($D$357:$AQ$357,K$7-8),0)+$M$77*IF(K$7-9&gt;=1,INDEX($D$357:$AQ$357,K$7-9),0)+$N$77*IF(K$7-10&gt;=1,INDEX($D$357:$AQ$357,K$7-10),0)+$O$77*IF(K$7-11&gt;=1,INDEX($D$357:$AQ$357,K$7-11),0)+$P$77*IF(K$7-12&gt;=1,INDEX($D$357:$AQ$357,K$7-12),0)</f>
        <v>7.5</v>
      </c>
      <c r="L359" s="130" t="n">
        <f aca="false">$D$77*IF(L$7-0&gt;=1,INDEX($D$357:$AQ$357,L$7-0),0)+$E$77*IF(L$7-1&gt;=1,INDEX($D$357:$AQ$357,L$7-1),0)+$F$77*IF(L$7-2&gt;=1,INDEX($D$357:$AQ$357,L$7-2),0)+$G$77*IF(L$7-3&gt;=1,INDEX($D$357:$AQ$357,L$7-3),0)+$H$77*IF(L$7-4&gt;=1,INDEX($D$357:$AQ$357,L$7-4),0)+$I$77*IF(L$7-5&gt;=1,INDEX($D$357:$AQ$357,L$7-5),0)+$J$77*IF(L$7-6&gt;=1,INDEX($D$357:$AQ$357,L$7-6),0)+$K$77*IF(L$7-7&gt;=1,INDEX($D$357:$AQ$357,L$7-7),0)+$L$77*IF(L$7-8&gt;=1,INDEX($D$357:$AQ$357,L$7-8),0)+$M$77*IF(L$7-9&gt;=1,INDEX($D$357:$AQ$357,L$7-9),0)+$N$77*IF(L$7-10&gt;=1,INDEX($D$357:$AQ$357,L$7-10),0)+$O$77*IF(L$7-11&gt;=1,INDEX($D$357:$AQ$357,L$7-11),0)+$P$77*IF(L$7-12&gt;=1,INDEX($D$357:$AQ$357,L$7-12),0)</f>
        <v>7.5</v>
      </c>
      <c r="M359" s="130" t="n">
        <f aca="false">$D$77*IF(M$7-0&gt;=1,INDEX($D$357:$AQ$357,M$7-0),0)+$E$77*IF(M$7-1&gt;=1,INDEX($D$357:$AQ$357,M$7-1),0)+$F$77*IF(M$7-2&gt;=1,INDEX($D$357:$AQ$357,M$7-2),0)+$G$77*IF(M$7-3&gt;=1,INDEX($D$357:$AQ$357,M$7-3),0)+$H$77*IF(M$7-4&gt;=1,INDEX($D$357:$AQ$357,M$7-4),0)+$I$77*IF(M$7-5&gt;=1,INDEX($D$357:$AQ$357,M$7-5),0)+$J$77*IF(M$7-6&gt;=1,INDEX($D$357:$AQ$357,M$7-6),0)+$K$77*IF(M$7-7&gt;=1,INDEX($D$357:$AQ$357,M$7-7),0)+$L$77*IF(M$7-8&gt;=1,INDEX($D$357:$AQ$357,M$7-8),0)+$M$77*IF(M$7-9&gt;=1,INDEX($D$357:$AQ$357,M$7-9),0)+$N$77*IF(M$7-10&gt;=1,INDEX($D$357:$AQ$357,M$7-10),0)+$O$77*IF(M$7-11&gt;=1,INDEX($D$357:$AQ$357,M$7-11),0)+$P$77*IF(M$7-12&gt;=1,INDEX($D$357:$AQ$357,M$7-12),0)</f>
        <v>7.5</v>
      </c>
      <c r="N359" s="130" t="n">
        <f aca="false">$D$77*IF(N$7-0&gt;=1,INDEX($D$357:$AQ$357,N$7-0),0)+$E$77*IF(N$7-1&gt;=1,INDEX($D$357:$AQ$357,N$7-1),0)+$F$77*IF(N$7-2&gt;=1,INDEX($D$357:$AQ$357,N$7-2),0)+$G$77*IF(N$7-3&gt;=1,INDEX($D$357:$AQ$357,N$7-3),0)+$H$77*IF(N$7-4&gt;=1,INDEX($D$357:$AQ$357,N$7-4),0)+$I$77*IF(N$7-5&gt;=1,INDEX($D$357:$AQ$357,N$7-5),0)+$J$77*IF(N$7-6&gt;=1,INDEX($D$357:$AQ$357,N$7-6),0)+$K$77*IF(N$7-7&gt;=1,INDEX($D$357:$AQ$357,N$7-7),0)+$L$77*IF(N$7-8&gt;=1,INDEX($D$357:$AQ$357,N$7-8),0)+$M$77*IF(N$7-9&gt;=1,INDEX($D$357:$AQ$357,N$7-9),0)+$N$77*IF(N$7-10&gt;=1,INDEX($D$357:$AQ$357,N$7-10),0)+$O$77*IF(N$7-11&gt;=1,INDEX($D$357:$AQ$357,N$7-11),0)+$P$77*IF(N$7-12&gt;=1,INDEX($D$357:$AQ$357,N$7-12),0)</f>
        <v>7.5</v>
      </c>
      <c r="O359" s="130" t="n">
        <f aca="false">$D$77*IF(O$7-0&gt;=1,INDEX($D$357:$AQ$357,O$7-0),0)+$E$77*IF(O$7-1&gt;=1,INDEX($D$357:$AQ$357,O$7-1),0)+$F$77*IF(O$7-2&gt;=1,INDEX($D$357:$AQ$357,O$7-2),0)+$G$77*IF(O$7-3&gt;=1,INDEX($D$357:$AQ$357,O$7-3),0)+$H$77*IF(O$7-4&gt;=1,INDEX($D$357:$AQ$357,O$7-4),0)+$I$77*IF(O$7-5&gt;=1,INDEX($D$357:$AQ$357,O$7-5),0)+$J$77*IF(O$7-6&gt;=1,INDEX($D$357:$AQ$357,O$7-6),0)+$K$77*IF(O$7-7&gt;=1,INDEX($D$357:$AQ$357,O$7-7),0)+$L$77*IF(O$7-8&gt;=1,INDEX($D$357:$AQ$357,O$7-8),0)+$M$77*IF(O$7-9&gt;=1,INDEX($D$357:$AQ$357,O$7-9),0)+$N$77*IF(O$7-10&gt;=1,INDEX($D$357:$AQ$357,O$7-10),0)+$O$77*IF(O$7-11&gt;=1,INDEX($D$357:$AQ$357,O$7-11),0)+$P$77*IF(O$7-12&gt;=1,INDEX($D$357:$AQ$357,O$7-12),0)</f>
        <v>7.5</v>
      </c>
      <c r="P359" s="130" t="n">
        <f aca="false">$D$77*IF(P$7-0&gt;=1,INDEX($D$357:$AQ$357,P$7-0),0)+$E$77*IF(P$7-1&gt;=1,INDEX($D$357:$AQ$357,P$7-1),0)+$F$77*IF(P$7-2&gt;=1,INDEX($D$357:$AQ$357,P$7-2),0)+$G$77*IF(P$7-3&gt;=1,INDEX($D$357:$AQ$357,P$7-3),0)+$H$77*IF(P$7-4&gt;=1,INDEX($D$357:$AQ$357,P$7-4),0)+$I$77*IF(P$7-5&gt;=1,INDEX($D$357:$AQ$357,P$7-5),0)+$J$77*IF(P$7-6&gt;=1,INDEX($D$357:$AQ$357,P$7-6),0)+$K$77*IF(P$7-7&gt;=1,INDEX($D$357:$AQ$357,P$7-7),0)+$L$77*IF(P$7-8&gt;=1,INDEX($D$357:$AQ$357,P$7-8),0)+$M$77*IF(P$7-9&gt;=1,INDEX($D$357:$AQ$357,P$7-9),0)+$N$77*IF(P$7-10&gt;=1,INDEX($D$357:$AQ$357,P$7-10),0)+$O$77*IF(P$7-11&gt;=1,INDEX($D$357:$AQ$357,P$7-11),0)+$P$77*IF(P$7-12&gt;=1,INDEX($D$357:$AQ$357,P$7-12),0)</f>
        <v>7.5</v>
      </c>
      <c r="Q359" s="130" t="n">
        <f aca="false">$D$77*IF(Q$7-0&gt;=1,INDEX($D$357:$AQ$357,Q$7-0),0)+$E$77*IF(Q$7-1&gt;=1,INDEX($D$357:$AQ$357,Q$7-1),0)+$F$77*IF(Q$7-2&gt;=1,INDEX($D$357:$AQ$357,Q$7-2),0)+$G$77*IF(Q$7-3&gt;=1,INDEX($D$357:$AQ$357,Q$7-3),0)+$H$77*IF(Q$7-4&gt;=1,INDEX($D$357:$AQ$357,Q$7-4),0)+$I$77*IF(Q$7-5&gt;=1,INDEX($D$357:$AQ$357,Q$7-5),0)+$J$77*IF(Q$7-6&gt;=1,INDEX($D$357:$AQ$357,Q$7-6),0)+$K$77*IF(Q$7-7&gt;=1,INDEX($D$357:$AQ$357,Q$7-7),0)+$L$77*IF(Q$7-8&gt;=1,INDEX($D$357:$AQ$357,Q$7-8),0)+$M$77*IF(Q$7-9&gt;=1,INDEX($D$357:$AQ$357,Q$7-9),0)+$N$77*IF(Q$7-10&gt;=1,INDEX($D$357:$AQ$357,Q$7-10),0)+$O$77*IF(Q$7-11&gt;=1,INDEX($D$357:$AQ$357,Q$7-11),0)+$P$77*IF(Q$7-12&gt;=1,INDEX($D$357:$AQ$357,Q$7-12),0)</f>
        <v>7.5</v>
      </c>
      <c r="R359" s="130" t="n">
        <f aca="false">$D$77*IF(R$7-0&gt;=1,INDEX($D$357:$AQ$357,R$7-0),0)+$E$77*IF(R$7-1&gt;=1,INDEX($D$357:$AQ$357,R$7-1),0)+$F$77*IF(R$7-2&gt;=1,INDEX($D$357:$AQ$357,R$7-2),0)+$G$77*IF(R$7-3&gt;=1,INDEX($D$357:$AQ$357,R$7-3),0)+$H$77*IF(R$7-4&gt;=1,INDEX($D$357:$AQ$357,R$7-4),0)+$I$77*IF(R$7-5&gt;=1,INDEX($D$357:$AQ$357,R$7-5),0)+$J$77*IF(R$7-6&gt;=1,INDEX($D$357:$AQ$357,R$7-6),0)+$K$77*IF(R$7-7&gt;=1,INDEX($D$357:$AQ$357,R$7-7),0)+$L$77*IF(R$7-8&gt;=1,INDEX($D$357:$AQ$357,R$7-8),0)+$M$77*IF(R$7-9&gt;=1,INDEX($D$357:$AQ$357,R$7-9),0)+$N$77*IF(R$7-10&gt;=1,INDEX($D$357:$AQ$357,R$7-10),0)+$O$77*IF(R$7-11&gt;=1,INDEX($D$357:$AQ$357,R$7-11),0)+$P$77*IF(R$7-12&gt;=1,INDEX($D$357:$AQ$357,R$7-12),0)</f>
        <v>7.5</v>
      </c>
      <c r="S359" s="130" t="n">
        <f aca="false">$D$77*IF(S$7-0&gt;=1,INDEX($D$357:$AQ$357,S$7-0),0)+$E$77*IF(S$7-1&gt;=1,INDEX($D$357:$AQ$357,S$7-1),0)+$F$77*IF(S$7-2&gt;=1,INDEX($D$357:$AQ$357,S$7-2),0)+$G$77*IF(S$7-3&gt;=1,INDEX($D$357:$AQ$357,S$7-3),0)+$H$77*IF(S$7-4&gt;=1,INDEX($D$357:$AQ$357,S$7-4),0)+$I$77*IF(S$7-5&gt;=1,INDEX($D$357:$AQ$357,S$7-5),0)+$J$77*IF(S$7-6&gt;=1,INDEX($D$357:$AQ$357,S$7-6),0)+$K$77*IF(S$7-7&gt;=1,INDEX($D$357:$AQ$357,S$7-7),0)+$L$77*IF(S$7-8&gt;=1,INDEX($D$357:$AQ$357,S$7-8),0)+$M$77*IF(S$7-9&gt;=1,INDEX($D$357:$AQ$357,S$7-9),0)+$N$77*IF(S$7-10&gt;=1,INDEX($D$357:$AQ$357,S$7-10),0)+$O$77*IF(S$7-11&gt;=1,INDEX($D$357:$AQ$357,S$7-11),0)+$P$77*IF(S$7-12&gt;=1,INDEX($D$357:$AQ$357,S$7-12),0)</f>
        <v>3.75</v>
      </c>
      <c r="T359" s="130" t="n">
        <f aca="false">$D$77*IF(T$7-0&gt;=1,INDEX($D$357:$AQ$357,T$7-0),0)+$E$77*IF(T$7-1&gt;=1,INDEX($D$357:$AQ$357,T$7-1),0)+$F$77*IF(T$7-2&gt;=1,INDEX($D$357:$AQ$357,T$7-2),0)+$G$77*IF(T$7-3&gt;=1,INDEX($D$357:$AQ$357,T$7-3),0)+$H$77*IF(T$7-4&gt;=1,INDEX($D$357:$AQ$357,T$7-4),0)+$I$77*IF(T$7-5&gt;=1,INDEX($D$357:$AQ$357,T$7-5),0)+$J$77*IF(T$7-6&gt;=1,INDEX($D$357:$AQ$357,T$7-6),0)+$K$77*IF(T$7-7&gt;=1,INDEX($D$357:$AQ$357,T$7-7),0)+$L$77*IF(T$7-8&gt;=1,INDEX($D$357:$AQ$357,T$7-8),0)+$M$77*IF(T$7-9&gt;=1,INDEX($D$357:$AQ$357,T$7-9),0)+$N$77*IF(T$7-10&gt;=1,INDEX($D$357:$AQ$357,T$7-10),0)+$O$77*IF(T$7-11&gt;=1,INDEX($D$357:$AQ$357,T$7-11),0)+$P$77*IF(T$7-12&gt;=1,INDEX($D$357:$AQ$357,T$7-12),0)</f>
        <v>0</v>
      </c>
      <c r="U359" s="130" t="n">
        <f aca="false">$D$77*IF(U$7-0&gt;=1,INDEX($D$357:$AQ$357,U$7-0),0)+$E$77*IF(U$7-1&gt;=1,INDEX($D$357:$AQ$357,U$7-1),0)+$F$77*IF(U$7-2&gt;=1,INDEX($D$357:$AQ$357,U$7-2),0)+$G$77*IF(U$7-3&gt;=1,INDEX($D$357:$AQ$357,U$7-3),0)+$H$77*IF(U$7-4&gt;=1,INDEX($D$357:$AQ$357,U$7-4),0)+$I$77*IF(U$7-5&gt;=1,INDEX($D$357:$AQ$357,U$7-5),0)+$J$77*IF(U$7-6&gt;=1,INDEX($D$357:$AQ$357,U$7-6),0)+$K$77*IF(U$7-7&gt;=1,INDEX($D$357:$AQ$357,U$7-7),0)+$L$77*IF(U$7-8&gt;=1,INDEX($D$357:$AQ$357,U$7-8),0)+$M$77*IF(U$7-9&gt;=1,INDEX($D$357:$AQ$357,U$7-9),0)+$N$77*IF(U$7-10&gt;=1,INDEX($D$357:$AQ$357,U$7-10),0)+$O$77*IF(U$7-11&gt;=1,INDEX($D$357:$AQ$357,U$7-11),0)+$P$77*IF(U$7-12&gt;=1,INDEX($D$357:$AQ$357,U$7-12),0)</f>
        <v>0</v>
      </c>
      <c r="V359" s="130" t="n">
        <f aca="false">$D$77*IF(V$7-0&gt;=1,INDEX($D$357:$AQ$357,V$7-0),0)+$E$77*IF(V$7-1&gt;=1,INDEX($D$357:$AQ$357,V$7-1),0)+$F$77*IF(V$7-2&gt;=1,INDEX($D$357:$AQ$357,V$7-2),0)+$G$77*IF(V$7-3&gt;=1,INDEX($D$357:$AQ$357,V$7-3),0)+$H$77*IF(V$7-4&gt;=1,INDEX($D$357:$AQ$357,V$7-4),0)+$I$77*IF(V$7-5&gt;=1,INDEX($D$357:$AQ$357,V$7-5),0)+$J$77*IF(V$7-6&gt;=1,INDEX($D$357:$AQ$357,V$7-6),0)+$K$77*IF(V$7-7&gt;=1,INDEX($D$357:$AQ$357,V$7-7),0)+$L$77*IF(V$7-8&gt;=1,INDEX($D$357:$AQ$357,V$7-8),0)+$M$77*IF(V$7-9&gt;=1,INDEX($D$357:$AQ$357,V$7-9),0)+$N$77*IF(V$7-10&gt;=1,INDEX($D$357:$AQ$357,V$7-10),0)+$O$77*IF(V$7-11&gt;=1,INDEX($D$357:$AQ$357,V$7-11),0)+$P$77*IF(V$7-12&gt;=1,INDEX($D$357:$AQ$357,V$7-12),0)</f>
        <v>0</v>
      </c>
      <c r="W359" s="130" t="n">
        <f aca="false">$D$77*IF(W$7-0&gt;=1,INDEX($D$357:$AQ$357,W$7-0),0)+$E$77*IF(W$7-1&gt;=1,INDEX($D$357:$AQ$357,W$7-1),0)+$F$77*IF(W$7-2&gt;=1,INDEX($D$357:$AQ$357,W$7-2),0)+$G$77*IF(W$7-3&gt;=1,INDEX($D$357:$AQ$357,W$7-3),0)+$H$77*IF(W$7-4&gt;=1,INDEX($D$357:$AQ$357,W$7-4),0)+$I$77*IF(W$7-5&gt;=1,INDEX($D$357:$AQ$357,W$7-5),0)+$J$77*IF(W$7-6&gt;=1,INDEX($D$357:$AQ$357,W$7-6),0)+$K$77*IF(W$7-7&gt;=1,INDEX($D$357:$AQ$357,W$7-7),0)+$L$77*IF(W$7-8&gt;=1,INDEX($D$357:$AQ$357,W$7-8),0)+$M$77*IF(W$7-9&gt;=1,INDEX($D$357:$AQ$357,W$7-9),0)+$N$77*IF(W$7-10&gt;=1,INDEX($D$357:$AQ$357,W$7-10),0)+$O$77*IF(W$7-11&gt;=1,INDEX($D$357:$AQ$357,W$7-11),0)+$P$77*IF(W$7-12&gt;=1,INDEX($D$357:$AQ$357,W$7-12),0)</f>
        <v>0</v>
      </c>
      <c r="X359" s="130" t="n">
        <f aca="false">$D$77*IF(X$7-0&gt;=1,INDEX($D$357:$AQ$357,X$7-0),0)+$E$77*IF(X$7-1&gt;=1,INDEX($D$357:$AQ$357,X$7-1),0)+$F$77*IF(X$7-2&gt;=1,INDEX($D$357:$AQ$357,X$7-2),0)+$G$77*IF(X$7-3&gt;=1,INDEX($D$357:$AQ$357,X$7-3),0)+$H$77*IF(X$7-4&gt;=1,INDEX($D$357:$AQ$357,X$7-4),0)+$I$77*IF(X$7-5&gt;=1,INDEX($D$357:$AQ$357,X$7-5),0)+$J$77*IF(X$7-6&gt;=1,INDEX($D$357:$AQ$357,X$7-6),0)+$K$77*IF(X$7-7&gt;=1,INDEX($D$357:$AQ$357,X$7-7),0)+$L$77*IF(X$7-8&gt;=1,INDEX($D$357:$AQ$357,X$7-8),0)+$M$77*IF(X$7-9&gt;=1,INDEX($D$357:$AQ$357,X$7-9),0)+$N$77*IF(X$7-10&gt;=1,INDEX($D$357:$AQ$357,X$7-10),0)+$O$77*IF(X$7-11&gt;=1,INDEX($D$357:$AQ$357,X$7-11),0)+$P$77*IF(X$7-12&gt;=1,INDEX($D$357:$AQ$357,X$7-12),0)</f>
        <v>0</v>
      </c>
      <c r="Y359" s="130" t="n">
        <f aca="false">$D$77*IF(Y$7-0&gt;=1,INDEX($D$357:$AQ$357,Y$7-0),0)+$E$77*IF(Y$7-1&gt;=1,INDEX($D$357:$AQ$357,Y$7-1),0)+$F$77*IF(Y$7-2&gt;=1,INDEX($D$357:$AQ$357,Y$7-2),0)+$G$77*IF(Y$7-3&gt;=1,INDEX($D$357:$AQ$357,Y$7-3),0)+$H$77*IF(Y$7-4&gt;=1,INDEX($D$357:$AQ$357,Y$7-4),0)+$I$77*IF(Y$7-5&gt;=1,INDEX($D$357:$AQ$357,Y$7-5),0)+$J$77*IF(Y$7-6&gt;=1,INDEX($D$357:$AQ$357,Y$7-6),0)+$K$77*IF(Y$7-7&gt;=1,INDEX($D$357:$AQ$357,Y$7-7),0)+$L$77*IF(Y$7-8&gt;=1,INDEX($D$357:$AQ$357,Y$7-8),0)+$M$77*IF(Y$7-9&gt;=1,INDEX($D$357:$AQ$357,Y$7-9),0)+$N$77*IF(Y$7-10&gt;=1,INDEX($D$357:$AQ$357,Y$7-10),0)+$O$77*IF(Y$7-11&gt;=1,INDEX($D$357:$AQ$357,Y$7-11),0)+$P$77*IF(Y$7-12&gt;=1,INDEX($D$357:$AQ$357,Y$7-12),0)</f>
        <v>0</v>
      </c>
      <c r="Z359" s="130" t="n">
        <f aca="false">$D$77*IF(Z$7-0&gt;=1,INDEX($D$357:$AQ$357,Z$7-0),0)+$E$77*IF(Z$7-1&gt;=1,INDEX($D$357:$AQ$357,Z$7-1),0)+$F$77*IF(Z$7-2&gt;=1,INDEX($D$357:$AQ$357,Z$7-2),0)+$G$77*IF(Z$7-3&gt;=1,INDEX($D$357:$AQ$357,Z$7-3),0)+$H$77*IF(Z$7-4&gt;=1,INDEX($D$357:$AQ$357,Z$7-4),0)+$I$77*IF(Z$7-5&gt;=1,INDEX($D$357:$AQ$357,Z$7-5),0)+$J$77*IF(Z$7-6&gt;=1,INDEX($D$357:$AQ$357,Z$7-6),0)+$K$77*IF(Z$7-7&gt;=1,INDEX($D$357:$AQ$357,Z$7-7),0)+$L$77*IF(Z$7-8&gt;=1,INDEX($D$357:$AQ$357,Z$7-8),0)+$M$77*IF(Z$7-9&gt;=1,INDEX($D$357:$AQ$357,Z$7-9),0)+$N$77*IF(Z$7-10&gt;=1,INDEX($D$357:$AQ$357,Z$7-10),0)+$O$77*IF(Z$7-11&gt;=1,INDEX($D$357:$AQ$357,Z$7-11),0)+$P$77*IF(Z$7-12&gt;=1,INDEX($D$357:$AQ$357,Z$7-12),0)</f>
        <v>0</v>
      </c>
      <c r="AA359" s="130" t="n">
        <f aca="false">$D$77*IF(AA$7-0&gt;=1,INDEX($D$357:$AQ$357,AA$7-0),0)+$E$77*IF(AA$7-1&gt;=1,INDEX($D$357:$AQ$357,AA$7-1),0)+$F$77*IF(AA$7-2&gt;=1,INDEX($D$357:$AQ$357,AA$7-2),0)+$G$77*IF(AA$7-3&gt;=1,INDEX($D$357:$AQ$357,AA$7-3),0)+$H$77*IF(AA$7-4&gt;=1,INDEX($D$357:$AQ$357,AA$7-4),0)+$I$77*IF(AA$7-5&gt;=1,INDEX($D$357:$AQ$357,AA$7-5),0)+$J$77*IF(AA$7-6&gt;=1,INDEX($D$357:$AQ$357,AA$7-6),0)+$K$77*IF(AA$7-7&gt;=1,INDEX($D$357:$AQ$357,AA$7-7),0)+$L$77*IF(AA$7-8&gt;=1,INDEX($D$357:$AQ$357,AA$7-8),0)+$M$77*IF(AA$7-9&gt;=1,INDEX($D$357:$AQ$357,AA$7-9),0)+$N$77*IF(AA$7-10&gt;=1,INDEX($D$357:$AQ$357,AA$7-10),0)+$O$77*IF(AA$7-11&gt;=1,INDEX($D$357:$AQ$357,AA$7-11),0)+$P$77*IF(AA$7-12&gt;=1,INDEX($D$357:$AQ$357,AA$7-12),0)</f>
        <v>0</v>
      </c>
      <c r="AB359" s="130" t="n">
        <f aca="false">$D$77*IF(AB$7-0&gt;=1,INDEX($D$357:$AQ$357,AB$7-0),0)+$E$77*IF(AB$7-1&gt;=1,INDEX($D$357:$AQ$357,AB$7-1),0)+$F$77*IF(AB$7-2&gt;=1,INDEX($D$357:$AQ$357,AB$7-2),0)+$G$77*IF(AB$7-3&gt;=1,INDEX($D$357:$AQ$357,AB$7-3),0)+$H$77*IF(AB$7-4&gt;=1,INDEX($D$357:$AQ$357,AB$7-4),0)+$I$77*IF(AB$7-5&gt;=1,INDEX($D$357:$AQ$357,AB$7-5),0)+$J$77*IF(AB$7-6&gt;=1,INDEX($D$357:$AQ$357,AB$7-6),0)+$K$77*IF(AB$7-7&gt;=1,INDEX($D$357:$AQ$357,AB$7-7),0)+$L$77*IF(AB$7-8&gt;=1,INDEX($D$357:$AQ$357,AB$7-8),0)+$M$77*IF(AB$7-9&gt;=1,INDEX($D$357:$AQ$357,AB$7-9),0)+$N$77*IF(AB$7-10&gt;=1,INDEX($D$357:$AQ$357,AB$7-10),0)+$O$77*IF(AB$7-11&gt;=1,INDEX($D$357:$AQ$357,AB$7-11),0)+$P$77*IF(AB$7-12&gt;=1,INDEX($D$357:$AQ$357,AB$7-12),0)</f>
        <v>0</v>
      </c>
      <c r="AC359" s="130" t="n">
        <f aca="false">$D$77*IF(AC$7-0&gt;=1,INDEX($D$357:$AQ$357,AC$7-0),0)+$E$77*IF(AC$7-1&gt;=1,INDEX($D$357:$AQ$357,AC$7-1),0)+$F$77*IF(AC$7-2&gt;=1,INDEX($D$357:$AQ$357,AC$7-2),0)+$G$77*IF(AC$7-3&gt;=1,INDEX($D$357:$AQ$357,AC$7-3),0)+$H$77*IF(AC$7-4&gt;=1,INDEX($D$357:$AQ$357,AC$7-4),0)+$I$77*IF(AC$7-5&gt;=1,INDEX($D$357:$AQ$357,AC$7-5),0)+$J$77*IF(AC$7-6&gt;=1,INDEX($D$357:$AQ$357,AC$7-6),0)+$K$77*IF(AC$7-7&gt;=1,INDEX($D$357:$AQ$357,AC$7-7),0)+$L$77*IF(AC$7-8&gt;=1,INDEX($D$357:$AQ$357,AC$7-8),0)+$M$77*IF(AC$7-9&gt;=1,INDEX($D$357:$AQ$357,AC$7-9),0)+$N$77*IF(AC$7-10&gt;=1,INDEX($D$357:$AQ$357,AC$7-10),0)+$O$77*IF(AC$7-11&gt;=1,INDEX($D$357:$AQ$357,AC$7-11),0)+$P$77*IF(AC$7-12&gt;=1,INDEX($D$357:$AQ$357,AC$7-12),0)</f>
        <v>0</v>
      </c>
      <c r="AD359" s="130" t="n">
        <f aca="false">$D$77*IF(AD$7-0&gt;=1,INDEX($D$357:$AQ$357,AD$7-0),0)+$E$77*IF(AD$7-1&gt;=1,INDEX($D$357:$AQ$357,AD$7-1),0)+$F$77*IF(AD$7-2&gt;=1,INDEX($D$357:$AQ$357,AD$7-2),0)+$G$77*IF(AD$7-3&gt;=1,INDEX($D$357:$AQ$357,AD$7-3),0)+$H$77*IF(AD$7-4&gt;=1,INDEX($D$357:$AQ$357,AD$7-4),0)+$I$77*IF(AD$7-5&gt;=1,INDEX($D$357:$AQ$357,AD$7-5),0)+$J$77*IF(AD$7-6&gt;=1,INDEX($D$357:$AQ$357,AD$7-6),0)+$K$77*IF(AD$7-7&gt;=1,INDEX($D$357:$AQ$357,AD$7-7),0)+$L$77*IF(AD$7-8&gt;=1,INDEX($D$357:$AQ$357,AD$7-8),0)+$M$77*IF(AD$7-9&gt;=1,INDEX($D$357:$AQ$357,AD$7-9),0)+$N$77*IF(AD$7-10&gt;=1,INDEX($D$357:$AQ$357,AD$7-10),0)+$O$77*IF(AD$7-11&gt;=1,INDEX($D$357:$AQ$357,AD$7-11),0)+$P$77*IF(AD$7-12&gt;=1,INDEX($D$357:$AQ$357,AD$7-12),0)</f>
        <v>0</v>
      </c>
      <c r="AE359" s="130" t="n">
        <f aca="false">$D$77*IF(AE$7-0&gt;=1,INDEX($D$357:$AQ$357,AE$7-0),0)+$E$77*IF(AE$7-1&gt;=1,INDEX($D$357:$AQ$357,AE$7-1),0)+$F$77*IF(AE$7-2&gt;=1,INDEX($D$357:$AQ$357,AE$7-2),0)+$G$77*IF(AE$7-3&gt;=1,INDEX($D$357:$AQ$357,AE$7-3),0)+$H$77*IF(AE$7-4&gt;=1,INDEX($D$357:$AQ$357,AE$7-4),0)+$I$77*IF(AE$7-5&gt;=1,INDEX($D$357:$AQ$357,AE$7-5),0)+$J$77*IF(AE$7-6&gt;=1,INDEX($D$357:$AQ$357,AE$7-6),0)+$K$77*IF(AE$7-7&gt;=1,INDEX($D$357:$AQ$357,AE$7-7),0)+$L$77*IF(AE$7-8&gt;=1,INDEX($D$357:$AQ$357,AE$7-8),0)+$M$77*IF(AE$7-9&gt;=1,INDEX($D$357:$AQ$357,AE$7-9),0)+$N$77*IF(AE$7-10&gt;=1,INDEX($D$357:$AQ$357,AE$7-10),0)+$O$77*IF(AE$7-11&gt;=1,INDEX($D$357:$AQ$357,AE$7-11),0)+$P$77*IF(AE$7-12&gt;=1,INDEX($D$357:$AQ$357,AE$7-12),0)</f>
        <v>0</v>
      </c>
      <c r="AF359" s="130" t="n">
        <f aca="false">$D$77*IF(AF$7-0&gt;=1,INDEX($D$357:$AQ$357,AF$7-0),0)+$E$77*IF(AF$7-1&gt;=1,INDEX($D$357:$AQ$357,AF$7-1),0)+$F$77*IF(AF$7-2&gt;=1,INDEX($D$357:$AQ$357,AF$7-2),0)+$G$77*IF(AF$7-3&gt;=1,INDEX($D$357:$AQ$357,AF$7-3),0)+$H$77*IF(AF$7-4&gt;=1,INDEX($D$357:$AQ$357,AF$7-4),0)+$I$77*IF(AF$7-5&gt;=1,INDEX($D$357:$AQ$357,AF$7-5),0)+$J$77*IF(AF$7-6&gt;=1,INDEX($D$357:$AQ$357,AF$7-6),0)+$K$77*IF(AF$7-7&gt;=1,INDEX($D$357:$AQ$357,AF$7-7),0)+$L$77*IF(AF$7-8&gt;=1,INDEX($D$357:$AQ$357,AF$7-8),0)+$M$77*IF(AF$7-9&gt;=1,INDEX($D$357:$AQ$357,AF$7-9),0)+$N$77*IF(AF$7-10&gt;=1,INDEX($D$357:$AQ$357,AF$7-10),0)+$O$77*IF(AF$7-11&gt;=1,INDEX($D$357:$AQ$357,AF$7-11),0)+$P$77*IF(AF$7-12&gt;=1,INDEX($D$357:$AQ$357,AF$7-12),0)</f>
        <v>0</v>
      </c>
      <c r="AG359" s="130" t="n">
        <f aca="false">$D$77*IF(AG$7-0&gt;=1,INDEX($D$357:$AQ$357,AG$7-0),0)+$E$77*IF(AG$7-1&gt;=1,INDEX($D$357:$AQ$357,AG$7-1),0)+$F$77*IF(AG$7-2&gt;=1,INDEX($D$357:$AQ$357,AG$7-2),0)+$G$77*IF(AG$7-3&gt;=1,INDEX($D$357:$AQ$357,AG$7-3),0)+$H$77*IF(AG$7-4&gt;=1,INDEX($D$357:$AQ$357,AG$7-4),0)+$I$77*IF(AG$7-5&gt;=1,INDEX($D$357:$AQ$357,AG$7-5),0)+$J$77*IF(AG$7-6&gt;=1,INDEX($D$357:$AQ$357,AG$7-6),0)+$K$77*IF(AG$7-7&gt;=1,INDEX($D$357:$AQ$357,AG$7-7),0)+$L$77*IF(AG$7-8&gt;=1,INDEX($D$357:$AQ$357,AG$7-8),0)+$M$77*IF(AG$7-9&gt;=1,INDEX($D$357:$AQ$357,AG$7-9),0)+$N$77*IF(AG$7-10&gt;=1,INDEX($D$357:$AQ$357,AG$7-10),0)+$O$77*IF(AG$7-11&gt;=1,INDEX($D$357:$AQ$357,AG$7-11),0)+$P$77*IF(AG$7-12&gt;=1,INDEX($D$357:$AQ$357,AG$7-12),0)</f>
        <v>0</v>
      </c>
      <c r="AH359" s="130" t="n">
        <f aca="false">$D$77*IF(AH$7-0&gt;=1,INDEX($D$357:$AQ$357,AH$7-0),0)+$E$77*IF(AH$7-1&gt;=1,INDEX($D$357:$AQ$357,AH$7-1),0)+$F$77*IF(AH$7-2&gt;=1,INDEX($D$357:$AQ$357,AH$7-2),0)+$G$77*IF(AH$7-3&gt;=1,INDEX($D$357:$AQ$357,AH$7-3),0)+$H$77*IF(AH$7-4&gt;=1,INDEX($D$357:$AQ$357,AH$7-4),0)+$I$77*IF(AH$7-5&gt;=1,INDEX($D$357:$AQ$357,AH$7-5),0)+$J$77*IF(AH$7-6&gt;=1,INDEX($D$357:$AQ$357,AH$7-6),0)+$K$77*IF(AH$7-7&gt;=1,INDEX($D$357:$AQ$357,AH$7-7),0)+$L$77*IF(AH$7-8&gt;=1,INDEX($D$357:$AQ$357,AH$7-8),0)+$M$77*IF(AH$7-9&gt;=1,INDEX($D$357:$AQ$357,AH$7-9),0)+$N$77*IF(AH$7-10&gt;=1,INDEX($D$357:$AQ$357,AH$7-10),0)+$O$77*IF(AH$7-11&gt;=1,INDEX($D$357:$AQ$357,AH$7-11),0)+$P$77*IF(AH$7-12&gt;=1,INDEX($D$357:$AQ$357,AH$7-12),0)</f>
        <v>0</v>
      </c>
      <c r="AI359" s="130" t="n">
        <f aca="false">$D$77*IF(AI$7-0&gt;=1,INDEX($D$357:$AQ$357,AI$7-0),0)+$E$77*IF(AI$7-1&gt;=1,INDEX($D$357:$AQ$357,AI$7-1),0)+$F$77*IF(AI$7-2&gt;=1,INDEX($D$357:$AQ$357,AI$7-2),0)+$G$77*IF(AI$7-3&gt;=1,INDEX($D$357:$AQ$357,AI$7-3),0)+$H$77*IF(AI$7-4&gt;=1,INDEX($D$357:$AQ$357,AI$7-4),0)+$I$77*IF(AI$7-5&gt;=1,INDEX($D$357:$AQ$357,AI$7-5),0)+$J$77*IF(AI$7-6&gt;=1,INDEX($D$357:$AQ$357,AI$7-6),0)+$K$77*IF(AI$7-7&gt;=1,INDEX($D$357:$AQ$357,AI$7-7),0)+$L$77*IF(AI$7-8&gt;=1,INDEX($D$357:$AQ$357,AI$7-8),0)+$M$77*IF(AI$7-9&gt;=1,INDEX($D$357:$AQ$357,AI$7-9),0)+$N$77*IF(AI$7-10&gt;=1,INDEX($D$357:$AQ$357,AI$7-10),0)+$O$77*IF(AI$7-11&gt;=1,INDEX($D$357:$AQ$357,AI$7-11),0)+$P$77*IF(AI$7-12&gt;=1,INDEX($D$357:$AQ$357,AI$7-12),0)</f>
        <v>0</v>
      </c>
      <c r="AJ359" s="130" t="n">
        <f aca="false">$D$77*IF(AJ$7-0&gt;=1,INDEX($D$357:$AQ$357,AJ$7-0),0)+$E$77*IF(AJ$7-1&gt;=1,INDEX($D$357:$AQ$357,AJ$7-1),0)+$F$77*IF(AJ$7-2&gt;=1,INDEX($D$357:$AQ$357,AJ$7-2),0)+$G$77*IF(AJ$7-3&gt;=1,INDEX($D$357:$AQ$357,AJ$7-3),0)+$H$77*IF(AJ$7-4&gt;=1,INDEX($D$357:$AQ$357,AJ$7-4),0)+$I$77*IF(AJ$7-5&gt;=1,INDEX($D$357:$AQ$357,AJ$7-5),0)+$J$77*IF(AJ$7-6&gt;=1,INDEX($D$357:$AQ$357,AJ$7-6),0)+$K$77*IF(AJ$7-7&gt;=1,INDEX($D$357:$AQ$357,AJ$7-7),0)+$L$77*IF(AJ$7-8&gt;=1,INDEX($D$357:$AQ$357,AJ$7-8),0)+$M$77*IF(AJ$7-9&gt;=1,INDEX($D$357:$AQ$357,AJ$7-9),0)+$N$77*IF(AJ$7-10&gt;=1,INDEX($D$357:$AQ$357,AJ$7-10),0)+$O$77*IF(AJ$7-11&gt;=1,INDEX($D$357:$AQ$357,AJ$7-11),0)+$P$77*IF(AJ$7-12&gt;=1,INDEX($D$357:$AQ$357,AJ$7-12),0)</f>
        <v>0</v>
      </c>
      <c r="AK359" s="130" t="n">
        <f aca="false">$D$77*IF(AK$7-0&gt;=1,INDEX($D$357:$AQ$357,AK$7-0),0)+$E$77*IF(AK$7-1&gt;=1,INDEX($D$357:$AQ$357,AK$7-1),0)+$F$77*IF(AK$7-2&gt;=1,INDEX($D$357:$AQ$357,AK$7-2),0)+$G$77*IF(AK$7-3&gt;=1,INDEX($D$357:$AQ$357,AK$7-3),0)+$H$77*IF(AK$7-4&gt;=1,INDEX($D$357:$AQ$357,AK$7-4),0)+$I$77*IF(AK$7-5&gt;=1,INDEX($D$357:$AQ$357,AK$7-5),0)+$J$77*IF(AK$7-6&gt;=1,INDEX($D$357:$AQ$357,AK$7-6),0)+$K$77*IF(AK$7-7&gt;=1,INDEX($D$357:$AQ$357,AK$7-7),0)+$L$77*IF(AK$7-8&gt;=1,INDEX($D$357:$AQ$357,AK$7-8),0)+$M$77*IF(AK$7-9&gt;=1,INDEX($D$357:$AQ$357,AK$7-9),0)+$N$77*IF(AK$7-10&gt;=1,INDEX($D$357:$AQ$357,AK$7-10),0)+$O$77*IF(AK$7-11&gt;=1,INDEX($D$357:$AQ$357,AK$7-11),0)+$P$77*IF(AK$7-12&gt;=1,INDEX($D$357:$AQ$357,AK$7-12),0)</f>
        <v>0</v>
      </c>
      <c r="AL359" s="130" t="n">
        <f aca="false">$D$77*IF(AL$7-0&gt;=1,INDEX($D$357:$AQ$357,AL$7-0),0)+$E$77*IF(AL$7-1&gt;=1,INDEX($D$357:$AQ$357,AL$7-1),0)+$F$77*IF(AL$7-2&gt;=1,INDEX($D$357:$AQ$357,AL$7-2),0)+$G$77*IF(AL$7-3&gt;=1,INDEX($D$357:$AQ$357,AL$7-3),0)+$H$77*IF(AL$7-4&gt;=1,INDEX($D$357:$AQ$357,AL$7-4),0)+$I$77*IF(AL$7-5&gt;=1,INDEX($D$357:$AQ$357,AL$7-5),0)+$J$77*IF(AL$7-6&gt;=1,INDEX($D$357:$AQ$357,AL$7-6),0)+$K$77*IF(AL$7-7&gt;=1,INDEX($D$357:$AQ$357,AL$7-7),0)+$L$77*IF(AL$7-8&gt;=1,INDEX($D$357:$AQ$357,AL$7-8),0)+$M$77*IF(AL$7-9&gt;=1,INDEX($D$357:$AQ$357,AL$7-9),0)+$N$77*IF(AL$7-10&gt;=1,INDEX($D$357:$AQ$357,AL$7-10),0)+$O$77*IF(AL$7-11&gt;=1,INDEX($D$357:$AQ$357,AL$7-11),0)+$P$77*IF(AL$7-12&gt;=1,INDEX($D$357:$AQ$357,AL$7-12),0)</f>
        <v>0</v>
      </c>
      <c r="AM359" s="130" t="n">
        <f aca="false">$D$77*IF(AM$7-0&gt;=1,INDEX($D$357:$AQ$357,AM$7-0),0)+$E$77*IF(AM$7-1&gt;=1,INDEX($D$357:$AQ$357,AM$7-1),0)+$F$77*IF(AM$7-2&gt;=1,INDEX($D$357:$AQ$357,AM$7-2),0)+$G$77*IF(AM$7-3&gt;=1,INDEX($D$357:$AQ$357,AM$7-3),0)+$H$77*IF(AM$7-4&gt;=1,INDEX($D$357:$AQ$357,AM$7-4),0)+$I$77*IF(AM$7-5&gt;=1,INDEX($D$357:$AQ$357,AM$7-5),0)+$J$77*IF(AM$7-6&gt;=1,INDEX($D$357:$AQ$357,AM$7-6),0)+$K$77*IF(AM$7-7&gt;=1,INDEX($D$357:$AQ$357,AM$7-7),0)+$L$77*IF(AM$7-8&gt;=1,INDEX($D$357:$AQ$357,AM$7-8),0)+$M$77*IF(AM$7-9&gt;=1,INDEX($D$357:$AQ$357,AM$7-9),0)+$N$77*IF(AM$7-10&gt;=1,INDEX($D$357:$AQ$357,AM$7-10),0)+$O$77*IF(AM$7-11&gt;=1,INDEX($D$357:$AQ$357,AM$7-11),0)+$P$77*IF(AM$7-12&gt;=1,INDEX($D$357:$AQ$357,AM$7-12),0)</f>
        <v>0</v>
      </c>
      <c r="AN359" s="130" t="n">
        <f aca="false">$D$77*IF(AN$7-0&gt;=1,INDEX($D$357:$AQ$357,AN$7-0),0)+$E$77*IF(AN$7-1&gt;=1,INDEX($D$357:$AQ$357,AN$7-1),0)+$F$77*IF(AN$7-2&gt;=1,INDEX($D$357:$AQ$357,AN$7-2),0)+$G$77*IF(AN$7-3&gt;=1,INDEX($D$357:$AQ$357,AN$7-3),0)+$H$77*IF(AN$7-4&gt;=1,INDEX($D$357:$AQ$357,AN$7-4),0)+$I$77*IF(AN$7-5&gt;=1,INDEX($D$357:$AQ$357,AN$7-5),0)+$J$77*IF(AN$7-6&gt;=1,INDEX($D$357:$AQ$357,AN$7-6),0)+$K$77*IF(AN$7-7&gt;=1,INDEX($D$357:$AQ$357,AN$7-7),0)+$L$77*IF(AN$7-8&gt;=1,INDEX($D$357:$AQ$357,AN$7-8),0)+$M$77*IF(AN$7-9&gt;=1,INDEX($D$357:$AQ$357,AN$7-9),0)+$N$77*IF(AN$7-10&gt;=1,INDEX($D$357:$AQ$357,AN$7-10),0)+$O$77*IF(AN$7-11&gt;=1,INDEX($D$357:$AQ$357,AN$7-11),0)+$P$77*IF(AN$7-12&gt;=1,INDEX($D$357:$AQ$357,AN$7-12),0)</f>
        <v>0</v>
      </c>
      <c r="AO359" s="130" t="n">
        <f aca="false">$D$77*IF(AO$7-0&gt;=1,INDEX($D$357:$AQ$357,AO$7-0),0)+$E$77*IF(AO$7-1&gt;=1,INDEX($D$357:$AQ$357,AO$7-1),0)+$F$77*IF(AO$7-2&gt;=1,INDEX($D$357:$AQ$357,AO$7-2),0)+$G$77*IF(AO$7-3&gt;=1,INDEX($D$357:$AQ$357,AO$7-3),0)+$H$77*IF(AO$7-4&gt;=1,INDEX($D$357:$AQ$357,AO$7-4),0)+$I$77*IF(AO$7-5&gt;=1,INDEX($D$357:$AQ$357,AO$7-5),0)+$J$77*IF(AO$7-6&gt;=1,INDEX($D$357:$AQ$357,AO$7-6),0)+$K$77*IF(AO$7-7&gt;=1,INDEX($D$357:$AQ$357,AO$7-7),0)+$L$77*IF(AO$7-8&gt;=1,INDEX($D$357:$AQ$357,AO$7-8),0)+$M$77*IF(AO$7-9&gt;=1,INDEX($D$357:$AQ$357,AO$7-9),0)+$N$77*IF(AO$7-10&gt;=1,INDEX($D$357:$AQ$357,AO$7-10),0)+$O$77*IF(AO$7-11&gt;=1,INDEX($D$357:$AQ$357,AO$7-11),0)+$P$77*IF(AO$7-12&gt;=1,INDEX($D$357:$AQ$357,AO$7-12),0)</f>
        <v>0</v>
      </c>
      <c r="AP359" s="130" t="n">
        <f aca="false">$D$77*IF(AP$7-0&gt;=1,INDEX($D$357:$AQ$357,AP$7-0),0)+$E$77*IF(AP$7-1&gt;=1,INDEX($D$357:$AQ$357,AP$7-1),0)+$F$77*IF(AP$7-2&gt;=1,INDEX($D$357:$AQ$357,AP$7-2),0)+$G$77*IF(AP$7-3&gt;=1,INDEX($D$357:$AQ$357,AP$7-3),0)+$H$77*IF(AP$7-4&gt;=1,INDEX($D$357:$AQ$357,AP$7-4),0)+$I$77*IF(AP$7-5&gt;=1,INDEX($D$357:$AQ$357,AP$7-5),0)+$J$77*IF(AP$7-6&gt;=1,INDEX($D$357:$AQ$357,AP$7-6),0)+$K$77*IF(AP$7-7&gt;=1,INDEX($D$357:$AQ$357,AP$7-7),0)+$L$77*IF(AP$7-8&gt;=1,INDEX($D$357:$AQ$357,AP$7-8),0)+$M$77*IF(AP$7-9&gt;=1,INDEX($D$357:$AQ$357,AP$7-9),0)+$N$77*IF(AP$7-10&gt;=1,INDEX($D$357:$AQ$357,AP$7-10),0)+$O$77*IF(AP$7-11&gt;=1,INDEX($D$357:$AQ$357,AP$7-11),0)+$P$77*IF(AP$7-12&gt;=1,INDEX($D$357:$AQ$357,AP$7-12),0)</f>
        <v>0</v>
      </c>
      <c r="AQ359" s="130" t="n">
        <f aca="false">$D$77*IF(AQ$7-0&gt;=1,INDEX($D$357:$AQ$357,AQ$7-0),0)+$E$77*IF(AQ$7-1&gt;=1,INDEX($D$357:$AQ$357,AQ$7-1),0)+$F$77*IF(AQ$7-2&gt;=1,INDEX($D$357:$AQ$357,AQ$7-2),0)+$G$77*IF(AQ$7-3&gt;=1,INDEX($D$357:$AQ$357,AQ$7-3),0)+$H$77*IF(AQ$7-4&gt;=1,INDEX($D$357:$AQ$357,AQ$7-4),0)+$I$77*IF(AQ$7-5&gt;=1,INDEX($D$357:$AQ$357,AQ$7-5),0)+$J$77*IF(AQ$7-6&gt;=1,INDEX($D$357:$AQ$357,AQ$7-6),0)+$K$77*IF(AQ$7-7&gt;=1,INDEX($D$357:$AQ$357,AQ$7-7),0)+$L$77*IF(AQ$7-8&gt;=1,INDEX($D$357:$AQ$357,AQ$7-8),0)+$M$77*IF(AQ$7-9&gt;=1,INDEX($D$357:$AQ$357,AQ$7-9),0)+$N$77*IF(AQ$7-10&gt;=1,INDEX($D$357:$AQ$357,AQ$7-10),0)+$O$77*IF(AQ$7-11&gt;=1,INDEX($D$357:$AQ$357,AQ$7-11),0)+$P$77*IF(AQ$7-12&gt;=1,INDEX($D$357:$AQ$357,AQ$7-12),0)</f>
        <v>0</v>
      </c>
    </row>
    <row r="360" customFormat="false" ht="15" hidden="false" customHeight="false" outlineLevel="0" collapsed="false">
      <c r="B360" s="131" t="s">
        <v>715</v>
      </c>
      <c r="C360" s="129" t="n">
        <f aca="false">SUM(D360:AQ360)</f>
        <v>360</v>
      </c>
      <c r="D360" s="130" t="n">
        <f aca="false">SUMIFS($E$47:$E$76,$C$47:$C$76,"Construction % complete",$F$47:$F$76,D$7)*IF(D$7-INPUTS!$C$215&gt;=1,INDEX($D$358:$AQ$358,D$7-INPUTS!$C$215),0)+SUMIFS($E$47:$E$76,$C$47:$C$76,"Construction % complete",$F$47:$F$76,"&lt;"&amp;D$7)*IF(D$7-INPUTS!$C$215&gt;=1,INDEX($D$357:$AQ$357,D$7-INPUTS!$C$215),0)</f>
        <v>0</v>
      </c>
      <c r="E360" s="130" t="n">
        <f aca="false">SUMIFS($E$47:$E$76,$C$47:$C$76,"Construction % complete",$F$47:$F$76,E$7)*IF(E$7-INPUTS!$C$215&gt;=1,INDEX($D$358:$AQ$358,E$7-INPUTS!$C$215),0)+SUMIFS($E$47:$E$76,$C$47:$C$76,"Construction % complete",$F$47:$F$76,"&lt;"&amp;E$7)*IF(E$7-INPUTS!$C$215&gt;=1,INDEX($D$357:$AQ$357,E$7-INPUTS!$C$215),0)</f>
        <v>0</v>
      </c>
      <c r="F360" s="130" t="n">
        <f aca="false">SUMIFS($E$47:$E$76,$C$47:$C$76,"Construction % complete",$F$47:$F$76,F$7)*IF(F$7-INPUTS!$C$215&gt;=1,INDEX($D$358:$AQ$358,F$7-INPUTS!$C$215),0)+SUMIFS($E$47:$E$76,$C$47:$C$76,"Construction % complete",$F$47:$F$76,"&lt;"&amp;F$7)*IF(F$7-INPUTS!$C$215&gt;=1,INDEX($D$357:$AQ$357,F$7-INPUTS!$C$215),0)</f>
        <v>0</v>
      </c>
      <c r="G360" s="130" t="n">
        <f aca="false">SUMIFS($E$47:$E$76,$C$47:$C$76,"Construction % complete",$F$47:$F$76,G$7)*IF(G$7-INPUTS!$C$215&gt;=1,INDEX($D$358:$AQ$358,G$7-INPUTS!$C$215),0)+SUMIFS($E$47:$E$76,$C$47:$C$76,"Construction % complete",$F$47:$F$76,"&lt;"&amp;G$7)*IF(G$7-INPUTS!$C$215&gt;=1,INDEX($D$357:$AQ$357,G$7-INPUTS!$C$215),0)</f>
        <v>0</v>
      </c>
      <c r="H360" s="130" t="n">
        <f aca="false">SUMIFS($E$47:$E$76,$C$47:$C$76,"Construction % complete",$F$47:$F$76,H$7)*IF(H$7-INPUTS!$C$215&gt;=1,INDEX($D$358:$AQ$358,H$7-INPUTS!$C$215),0)+SUMIFS($E$47:$E$76,$C$47:$C$76,"Construction % complete",$F$47:$F$76,"&lt;"&amp;H$7)*IF(H$7-INPUTS!$C$215&gt;=1,INDEX($D$357:$AQ$357,H$7-INPUTS!$C$215),0)</f>
        <v>0</v>
      </c>
      <c r="I360" s="130" t="n">
        <f aca="false">SUMIFS($E$47:$E$76,$C$47:$C$76,"Construction % complete",$F$47:$F$76,I$7)*IF(I$7-INPUTS!$C$215&gt;=1,INDEX($D$358:$AQ$358,I$7-INPUTS!$C$215),0)+SUMIFS($E$47:$E$76,$C$47:$C$76,"Construction % complete",$F$47:$F$76,"&lt;"&amp;I$7)*IF(I$7-INPUTS!$C$215&gt;=1,INDEX($D$357:$AQ$357,I$7-INPUTS!$C$215),0)</f>
        <v>0</v>
      </c>
      <c r="J360" s="130" t="n">
        <f aca="false">SUMIFS($E$47:$E$76,$C$47:$C$76,"Construction % complete",$F$47:$F$76,J$7)*IF(J$7-INPUTS!$C$215&gt;=1,INDEX($D$358:$AQ$358,J$7-INPUTS!$C$215),0)+SUMIFS($E$47:$E$76,$C$47:$C$76,"Construction % complete",$F$47:$F$76,"&lt;"&amp;J$7)*IF(J$7-INPUTS!$C$215&gt;=1,INDEX($D$357:$AQ$357,J$7-INPUTS!$C$215),0)</f>
        <v>0</v>
      </c>
      <c r="K360" s="130" t="n">
        <f aca="false">SUMIFS($E$47:$E$76,$C$47:$C$76,"Construction % complete",$F$47:$F$76,K$7)*IF(K$7-INPUTS!$C$215&gt;=1,INDEX($D$358:$AQ$358,K$7-INPUTS!$C$215),0)+SUMIFS($E$47:$E$76,$C$47:$C$76,"Construction % complete",$F$47:$F$76,"&lt;"&amp;K$7)*IF(K$7-INPUTS!$C$215&gt;=1,INDEX($D$357:$AQ$357,K$7-INPUTS!$C$215),0)</f>
        <v>15</v>
      </c>
      <c r="L360" s="130" t="n">
        <f aca="false">SUMIFS($E$47:$E$76,$C$47:$C$76,"Construction % complete",$F$47:$F$76,L$7)*IF(L$7-INPUTS!$C$215&gt;=1,INDEX($D$358:$AQ$358,L$7-INPUTS!$C$215),0)+SUMIFS($E$47:$E$76,$C$47:$C$76,"Construction % complete",$F$47:$F$76,"&lt;"&amp;L$7)*IF(L$7-INPUTS!$C$215&gt;=1,INDEX($D$357:$AQ$357,L$7-INPUTS!$C$215),0)</f>
        <v>22.5</v>
      </c>
      <c r="M360" s="130" t="n">
        <f aca="false">SUMIFS($E$47:$E$76,$C$47:$C$76,"Construction % complete",$F$47:$F$76,M$7)*IF(M$7-INPUTS!$C$215&gt;=1,INDEX($D$358:$AQ$358,M$7-INPUTS!$C$215),0)+SUMIFS($E$47:$E$76,$C$47:$C$76,"Construction % complete",$F$47:$F$76,"&lt;"&amp;M$7)*IF(M$7-INPUTS!$C$215&gt;=1,INDEX($D$357:$AQ$357,M$7-INPUTS!$C$215),0)</f>
        <v>7.5</v>
      </c>
      <c r="N360" s="130" t="n">
        <f aca="false">SUMIFS($E$47:$E$76,$C$47:$C$76,"Construction % complete",$F$47:$F$76,N$7)*IF(N$7-INPUTS!$C$215&gt;=1,INDEX($D$358:$AQ$358,N$7-INPUTS!$C$215),0)+SUMIFS($E$47:$E$76,$C$47:$C$76,"Construction % complete",$F$47:$F$76,"&lt;"&amp;N$7)*IF(N$7-INPUTS!$C$215&gt;=1,INDEX($D$357:$AQ$357,N$7-INPUTS!$C$215),0)</f>
        <v>33.75</v>
      </c>
      <c r="O360" s="130" t="n">
        <f aca="false">SUMIFS($E$47:$E$76,$C$47:$C$76,"Construction % complete",$F$47:$F$76,O$7)*IF(O$7-INPUTS!$C$215&gt;=1,INDEX($D$358:$AQ$358,O$7-INPUTS!$C$215),0)+SUMIFS($E$47:$E$76,$C$47:$C$76,"Construction % complete",$F$47:$F$76,"&lt;"&amp;O$7)*IF(O$7-INPUTS!$C$215&gt;=1,INDEX($D$357:$AQ$357,O$7-INPUTS!$C$215),0)</f>
        <v>41.25</v>
      </c>
      <c r="P360" s="130" t="n">
        <f aca="false">SUMIFS($E$47:$E$76,$C$47:$C$76,"Construction % complete",$F$47:$F$76,P$7)*IF(P$7-INPUTS!$C$215&gt;=1,INDEX($D$358:$AQ$358,P$7-INPUTS!$C$215),0)+SUMIFS($E$47:$E$76,$C$47:$C$76,"Construction % complete",$F$47:$F$76,"&lt;"&amp;P$7)*IF(P$7-INPUTS!$C$215&gt;=1,INDEX($D$357:$AQ$357,P$7-INPUTS!$C$215),0)</f>
        <v>15</v>
      </c>
      <c r="Q360" s="130" t="n">
        <f aca="false">SUMIFS($E$47:$E$76,$C$47:$C$76,"Construction % complete",$F$47:$F$76,Q$7)*IF(Q$7-INPUTS!$C$215&gt;=1,INDEX($D$358:$AQ$358,Q$7-INPUTS!$C$215),0)+SUMIFS($E$47:$E$76,$C$47:$C$76,"Construction % complete",$F$47:$F$76,"&lt;"&amp;Q$7)*IF(Q$7-INPUTS!$C$215&gt;=1,INDEX($D$357:$AQ$357,Q$7-INPUTS!$C$215),0)</f>
        <v>52.5</v>
      </c>
      <c r="R360" s="130" t="n">
        <f aca="false">SUMIFS($E$47:$E$76,$C$47:$C$76,"Construction % complete",$F$47:$F$76,R$7)*IF(R$7-INPUTS!$C$215&gt;=1,INDEX($D$358:$AQ$358,R$7-INPUTS!$C$215),0)+SUMIFS($E$47:$E$76,$C$47:$C$76,"Construction % complete",$F$47:$F$76,"&lt;"&amp;R$7)*IF(R$7-INPUTS!$C$215&gt;=1,INDEX($D$357:$AQ$357,R$7-INPUTS!$C$215),0)</f>
        <v>18.75</v>
      </c>
      <c r="S360" s="130" t="n">
        <f aca="false">SUMIFS($E$47:$E$76,$C$47:$C$76,"Construction % complete",$F$47:$F$76,S$7)*IF(S$7-INPUTS!$C$215&gt;=1,INDEX($D$358:$AQ$358,S$7-INPUTS!$C$215),0)+SUMIFS($E$47:$E$76,$C$47:$C$76,"Construction % complete",$F$47:$F$76,"&lt;"&amp;S$7)*IF(S$7-INPUTS!$C$215&gt;=1,INDEX($D$357:$AQ$357,S$7-INPUTS!$C$215),0)</f>
        <v>63.75</v>
      </c>
      <c r="T360" s="130" t="n">
        <f aca="false">SUMIFS($E$47:$E$76,$C$47:$C$76,"Construction % complete",$F$47:$F$76,T$7)*IF(T$7-INPUTS!$C$215&gt;=1,INDEX($D$358:$AQ$358,T$7-INPUTS!$C$215),0)+SUMIFS($E$47:$E$76,$C$47:$C$76,"Construction % complete",$F$47:$F$76,"&lt;"&amp;T$7)*IF(T$7-INPUTS!$C$215&gt;=1,INDEX($D$357:$AQ$357,T$7-INPUTS!$C$215),0)</f>
        <v>22.5</v>
      </c>
      <c r="U360" s="130" t="n">
        <f aca="false">SUMIFS($E$47:$E$76,$C$47:$C$76,"Construction % complete",$F$47:$F$76,U$7)*IF(U$7-INPUTS!$C$215&gt;=1,INDEX($D$358:$AQ$358,U$7-INPUTS!$C$215),0)+SUMIFS($E$47:$E$76,$C$47:$C$76,"Construction % complete",$F$47:$F$76,"&lt;"&amp;U$7)*IF(U$7-INPUTS!$C$215&gt;=1,INDEX($D$357:$AQ$357,U$7-INPUTS!$C$215),0)</f>
        <v>22.5</v>
      </c>
      <c r="V360" s="130" t="n">
        <f aca="false">SUMIFS($E$47:$E$76,$C$47:$C$76,"Construction % complete",$F$47:$F$76,V$7)*IF(V$7-INPUTS!$C$215&gt;=1,INDEX($D$358:$AQ$358,V$7-INPUTS!$C$215),0)+SUMIFS($E$47:$E$76,$C$47:$C$76,"Construction % complete",$F$47:$F$76,"&lt;"&amp;V$7)*IF(V$7-INPUTS!$C$215&gt;=1,INDEX($D$357:$AQ$357,V$7-INPUTS!$C$215),0)</f>
        <v>0</v>
      </c>
      <c r="W360" s="130" t="n">
        <f aca="false">SUMIFS($E$47:$E$76,$C$47:$C$76,"Construction % complete",$F$47:$F$76,W$7)*IF(W$7-INPUTS!$C$215&gt;=1,INDEX($D$358:$AQ$358,W$7-INPUTS!$C$215),0)+SUMIFS($E$47:$E$76,$C$47:$C$76,"Construction % complete",$F$47:$F$76,"&lt;"&amp;W$7)*IF(W$7-INPUTS!$C$215&gt;=1,INDEX($D$357:$AQ$357,W$7-INPUTS!$C$215),0)</f>
        <v>45</v>
      </c>
      <c r="X360" s="130" t="n">
        <f aca="false">SUMIFS($E$47:$E$76,$C$47:$C$76,"Construction % complete",$F$47:$F$76,X$7)*IF(X$7-INPUTS!$C$215&gt;=1,INDEX($D$358:$AQ$358,X$7-INPUTS!$C$215),0)+SUMIFS($E$47:$E$76,$C$47:$C$76,"Construction % complete",$F$47:$F$76,"&lt;"&amp;X$7)*IF(X$7-INPUTS!$C$215&gt;=1,INDEX($D$357:$AQ$357,X$7-INPUTS!$C$215),0)</f>
        <v>0</v>
      </c>
      <c r="Y360" s="130" t="n">
        <f aca="false">SUMIFS($E$47:$E$76,$C$47:$C$76,"Construction % complete",$F$47:$F$76,Y$7)*IF(Y$7-INPUTS!$C$215&gt;=1,INDEX($D$358:$AQ$358,Y$7-INPUTS!$C$215),0)+SUMIFS($E$47:$E$76,$C$47:$C$76,"Construction % complete",$F$47:$F$76,"&lt;"&amp;Y$7)*IF(Y$7-INPUTS!$C$215&gt;=1,INDEX($D$357:$AQ$357,Y$7-INPUTS!$C$215),0)</f>
        <v>0</v>
      </c>
      <c r="Z360" s="130" t="n">
        <f aca="false">SUMIFS($E$47:$E$76,$C$47:$C$76,"Construction % complete",$F$47:$F$76,Z$7)*IF(Z$7-INPUTS!$C$215&gt;=1,INDEX($D$358:$AQ$358,Z$7-INPUTS!$C$215),0)+SUMIFS($E$47:$E$76,$C$47:$C$76,"Construction % complete",$F$47:$F$76,"&lt;"&amp;Z$7)*IF(Z$7-INPUTS!$C$215&gt;=1,INDEX($D$357:$AQ$357,Z$7-INPUTS!$C$215),0)</f>
        <v>0</v>
      </c>
      <c r="AA360" s="130" t="n">
        <f aca="false">SUMIFS($E$47:$E$76,$C$47:$C$76,"Construction % complete",$F$47:$F$76,AA$7)*IF(AA$7-INPUTS!$C$215&gt;=1,INDEX($D$358:$AQ$358,AA$7-INPUTS!$C$215),0)+SUMIFS($E$47:$E$76,$C$47:$C$76,"Construction % complete",$F$47:$F$76,"&lt;"&amp;AA$7)*IF(AA$7-INPUTS!$C$215&gt;=1,INDEX($D$357:$AQ$357,AA$7-INPUTS!$C$215),0)</f>
        <v>0</v>
      </c>
      <c r="AB360" s="130" t="n">
        <f aca="false">SUMIFS($E$47:$E$76,$C$47:$C$76,"Construction % complete",$F$47:$F$76,AB$7)*IF(AB$7-INPUTS!$C$215&gt;=1,INDEX($D$358:$AQ$358,AB$7-INPUTS!$C$215),0)+SUMIFS($E$47:$E$76,$C$47:$C$76,"Construction % complete",$F$47:$F$76,"&lt;"&amp;AB$7)*IF(AB$7-INPUTS!$C$215&gt;=1,INDEX($D$357:$AQ$357,AB$7-INPUTS!$C$215),0)</f>
        <v>0</v>
      </c>
      <c r="AC360" s="130" t="n">
        <f aca="false">SUMIFS($E$47:$E$76,$C$47:$C$76,"Construction % complete",$F$47:$F$76,AC$7)*IF(AC$7-INPUTS!$C$215&gt;=1,INDEX($D$358:$AQ$358,AC$7-INPUTS!$C$215),0)+SUMIFS($E$47:$E$76,$C$47:$C$76,"Construction % complete",$F$47:$F$76,"&lt;"&amp;AC$7)*IF(AC$7-INPUTS!$C$215&gt;=1,INDEX($D$357:$AQ$357,AC$7-INPUTS!$C$215),0)</f>
        <v>0</v>
      </c>
      <c r="AD360" s="130" t="n">
        <f aca="false">SUMIFS($E$47:$E$76,$C$47:$C$76,"Construction % complete",$F$47:$F$76,AD$7)*IF(AD$7-INPUTS!$C$215&gt;=1,INDEX($D$358:$AQ$358,AD$7-INPUTS!$C$215),0)+SUMIFS($E$47:$E$76,$C$47:$C$76,"Construction % complete",$F$47:$F$76,"&lt;"&amp;AD$7)*IF(AD$7-INPUTS!$C$215&gt;=1,INDEX($D$357:$AQ$357,AD$7-INPUTS!$C$215),0)</f>
        <v>0</v>
      </c>
      <c r="AE360" s="130" t="n">
        <f aca="false">SUMIFS($E$47:$E$76,$C$47:$C$76,"Construction % complete",$F$47:$F$76,AE$7)*IF(AE$7-INPUTS!$C$215&gt;=1,INDEX($D$358:$AQ$358,AE$7-INPUTS!$C$215),0)+SUMIFS($E$47:$E$76,$C$47:$C$76,"Construction % complete",$F$47:$F$76,"&lt;"&amp;AE$7)*IF(AE$7-INPUTS!$C$215&gt;=1,INDEX($D$357:$AQ$357,AE$7-INPUTS!$C$215),0)</f>
        <v>0</v>
      </c>
      <c r="AF360" s="130" t="n">
        <f aca="false">SUMIFS($E$47:$E$76,$C$47:$C$76,"Construction % complete",$F$47:$F$76,AF$7)*IF(AF$7-INPUTS!$C$215&gt;=1,INDEX($D$358:$AQ$358,AF$7-INPUTS!$C$215),0)+SUMIFS($E$47:$E$76,$C$47:$C$76,"Construction % complete",$F$47:$F$76,"&lt;"&amp;AF$7)*IF(AF$7-INPUTS!$C$215&gt;=1,INDEX($D$357:$AQ$357,AF$7-INPUTS!$C$215),0)</f>
        <v>0</v>
      </c>
      <c r="AG360" s="130" t="n">
        <f aca="false">SUMIFS($E$47:$E$76,$C$47:$C$76,"Construction % complete",$F$47:$F$76,AG$7)*IF(AG$7-INPUTS!$C$215&gt;=1,INDEX($D$358:$AQ$358,AG$7-INPUTS!$C$215),0)+SUMIFS($E$47:$E$76,$C$47:$C$76,"Construction % complete",$F$47:$F$76,"&lt;"&amp;AG$7)*IF(AG$7-INPUTS!$C$215&gt;=1,INDEX($D$357:$AQ$357,AG$7-INPUTS!$C$215),0)</f>
        <v>0</v>
      </c>
      <c r="AH360" s="130" t="n">
        <f aca="false">SUMIFS($E$47:$E$76,$C$47:$C$76,"Construction % complete",$F$47:$F$76,AH$7)*IF(AH$7-INPUTS!$C$215&gt;=1,INDEX($D$358:$AQ$358,AH$7-INPUTS!$C$215),0)+SUMIFS($E$47:$E$76,$C$47:$C$76,"Construction % complete",$F$47:$F$76,"&lt;"&amp;AH$7)*IF(AH$7-INPUTS!$C$215&gt;=1,INDEX($D$357:$AQ$357,AH$7-INPUTS!$C$215),0)</f>
        <v>0</v>
      </c>
      <c r="AI360" s="130" t="n">
        <f aca="false">SUMIFS($E$47:$E$76,$C$47:$C$76,"Construction % complete",$F$47:$F$76,AI$7)*IF(AI$7-INPUTS!$C$215&gt;=1,INDEX($D$358:$AQ$358,AI$7-INPUTS!$C$215),0)+SUMIFS($E$47:$E$76,$C$47:$C$76,"Construction % complete",$F$47:$F$76,"&lt;"&amp;AI$7)*IF(AI$7-INPUTS!$C$215&gt;=1,INDEX($D$357:$AQ$357,AI$7-INPUTS!$C$215),0)</f>
        <v>0</v>
      </c>
      <c r="AJ360" s="130" t="n">
        <f aca="false">SUMIFS($E$47:$E$76,$C$47:$C$76,"Construction % complete",$F$47:$F$76,AJ$7)*IF(AJ$7-INPUTS!$C$215&gt;=1,INDEX($D$358:$AQ$358,AJ$7-INPUTS!$C$215),0)+SUMIFS($E$47:$E$76,$C$47:$C$76,"Construction % complete",$F$47:$F$76,"&lt;"&amp;AJ$7)*IF(AJ$7-INPUTS!$C$215&gt;=1,INDEX($D$357:$AQ$357,AJ$7-INPUTS!$C$215),0)</f>
        <v>0</v>
      </c>
      <c r="AK360" s="130" t="n">
        <f aca="false">SUMIFS($E$47:$E$76,$C$47:$C$76,"Construction % complete",$F$47:$F$76,AK$7)*IF(AK$7-INPUTS!$C$215&gt;=1,INDEX($D$358:$AQ$358,AK$7-INPUTS!$C$215),0)+SUMIFS($E$47:$E$76,$C$47:$C$76,"Construction % complete",$F$47:$F$76,"&lt;"&amp;AK$7)*IF(AK$7-INPUTS!$C$215&gt;=1,INDEX($D$357:$AQ$357,AK$7-INPUTS!$C$215),0)</f>
        <v>0</v>
      </c>
      <c r="AL360" s="130" t="n">
        <f aca="false">SUMIFS($E$47:$E$76,$C$47:$C$76,"Construction % complete",$F$47:$F$76,AL$7)*IF(AL$7-INPUTS!$C$215&gt;=1,INDEX($D$358:$AQ$358,AL$7-INPUTS!$C$215),0)+SUMIFS($E$47:$E$76,$C$47:$C$76,"Construction % complete",$F$47:$F$76,"&lt;"&amp;AL$7)*IF(AL$7-INPUTS!$C$215&gt;=1,INDEX($D$357:$AQ$357,AL$7-INPUTS!$C$215),0)</f>
        <v>0</v>
      </c>
      <c r="AM360" s="130" t="n">
        <f aca="false">SUMIFS($E$47:$E$76,$C$47:$C$76,"Construction % complete",$F$47:$F$76,AM$7)*IF(AM$7-INPUTS!$C$215&gt;=1,INDEX($D$358:$AQ$358,AM$7-INPUTS!$C$215),0)+SUMIFS($E$47:$E$76,$C$47:$C$76,"Construction % complete",$F$47:$F$76,"&lt;"&amp;AM$7)*IF(AM$7-INPUTS!$C$215&gt;=1,INDEX($D$357:$AQ$357,AM$7-INPUTS!$C$215),0)</f>
        <v>0</v>
      </c>
      <c r="AN360" s="130" t="n">
        <f aca="false">SUMIFS($E$47:$E$76,$C$47:$C$76,"Construction % complete",$F$47:$F$76,AN$7)*IF(AN$7-INPUTS!$C$215&gt;=1,INDEX($D$358:$AQ$358,AN$7-INPUTS!$C$215),0)+SUMIFS($E$47:$E$76,$C$47:$C$76,"Construction % complete",$F$47:$F$76,"&lt;"&amp;AN$7)*IF(AN$7-INPUTS!$C$215&gt;=1,INDEX($D$357:$AQ$357,AN$7-INPUTS!$C$215),0)</f>
        <v>0</v>
      </c>
      <c r="AO360" s="130" t="n">
        <f aca="false">SUMIFS($E$47:$E$76,$C$47:$C$76,"Construction % complete",$F$47:$F$76,AO$7)*IF(AO$7-INPUTS!$C$215&gt;=1,INDEX($D$358:$AQ$358,AO$7-INPUTS!$C$215),0)+SUMIFS($E$47:$E$76,$C$47:$C$76,"Construction % complete",$F$47:$F$76,"&lt;"&amp;AO$7)*IF(AO$7-INPUTS!$C$215&gt;=1,INDEX($D$357:$AQ$357,AO$7-INPUTS!$C$215),0)</f>
        <v>0</v>
      </c>
      <c r="AP360" s="130" t="n">
        <f aca="false">SUMIFS($E$47:$E$76,$C$47:$C$76,"Construction % complete",$F$47:$F$76,AP$7)*IF(AP$7-INPUTS!$C$215&gt;=1,INDEX($D$358:$AQ$358,AP$7-INPUTS!$C$215),0)+SUMIFS($E$47:$E$76,$C$47:$C$76,"Construction % complete",$F$47:$F$76,"&lt;"&amp;AP$7)*IF(AP$7-INPUTS!$C$215&gt;=1,INDEX($D$357:$AQ$357,AP$7-INPUTS!$C$215),0)</f>
        <v>0</v>
      </c>
      <c r="AQ360" s="130" t="n">
        <f aca="false">SUMIFS($E$47:$E$76,$C$47:$C$76,"Construction % complete",$F$47:$F$76,AQ$7)*IF(AQ$7-INPUTS!$C$215&gt;=1,INDEX($D$358:$AQ$358,AQ$7-INPUTS!$C$215),0)+SUMIFS($E$47:$E$76,$C$47:$C$76,"Construction % complete",$F$47:$F$76,"&lt;"&amp;AQ$7)*IF(AQ$7-INPUTS!$C$215&gt;=1,INDEX($D$357:$AQ$357,AQ$7-INPUTS!$C$215),0)</f>
        <v>0</v>
      </c>
    </row>
    <row r="361" customFormat="false" ht="15" hidden="false" customHeight="false" outlineLevel="0" collapsed="false">
      <c r="B361" s="2" t="s">
        <v>716</v>
      </c>
      <c r="C361" s="129" t="n">
        <f aca="false">SUM(D361:AQ361)</f>
        <v>450</v>
      </c>
      <c r="D361" s="130" t="n">
        <f aca="false">D359+D360</f>
        <v>0</v>
      </c>
      <c r="E361" s="130" t="n">
        <f aca="false">E359+E360</f>
        <v>0</v>
      </c>
      <c r="F361" s="130" t="n">
        <f aca="false">F359+F360</f>
        <v>0</v>
      </c>
      <c r="G361" s="130" t="n">
        <f aca="false">G359+G360</f>
        <v>3.75</v>
      </c>
      <c r="H361" s="130" t="n">
        <f aca="false">H359+H360</f>
        <v>7.5</v>
      </c>
      <c r="I361" s="130" t="n">
        <f aca="false">I359+I360</f>
        <v>7.5</v>
      </c>
      <c r="J361" s="130" t="n">
        <f aca="false">J359+J360</f>
        <v>7.5</v>
      </c>
      <c r="K361" s="130" t="n">
        <f aca="false">K359+K360</f>
        <v>22.5</v>
      </c>
      <c r="L361" s="130" t="n">
        <f aca="false">L359+L360</f>
        <v>30</v>
      </c>
      <c r="M361" s="130" t="n">
        <f aca="false">M359+M360</f>
        <v>15</v>
      </c>
      <c r="N361" s="130" t="n">
        <f aca="false">N359+N360</f>
        <v>41.25</v>
      </c>
      <c r="O361" s="130" t="n">
        <f aca="false">O359+O360</f>
        <v>48.75</v>
      </c>
      <c r="P361" s="130" t="n">
        <f aca="false">P359+P360</f>
        <v>22.5</v>
      </c>
      <c r="Q361" s="130" t="n">
        <f aca="false">Q359+Q360</f>
        <v>60</v>
      </c>
      <c r="R361" s="130" t="n">
        <f aca="false">R359+R360</f>
        <v>26.25</v>
      </c>
      <c r="S361" s="130" t="n">
        <f aca="false">S359+S360</f>
        <v>67.5</v>
      </c>
      <c r="T361" s="130" t="n">
        <f aca="false">T359+T360</f>
        <v>22.5</v>
      </c>
      <c r="U361" s="130" t="n">
        <f aca="false">U359+U360</f>
        <v>22.5</v>
      </c>
      <c r="V361" s="130" t="n">
        <f aca="false">V359+V360</f>
        <v>0</v>
      </c>
      <c r="W361" s="130" t="n">
        <f aca="false">W359+W360</f>
        <v>45</v>
      </c>
      <c r="X361" s="130" t="n">
        <f aca="false">X359+X360</f>
        <v>0</v>
      </c>
      <c r="Y361" s="130" t="n">
        <f aca="false">Y359+Y360</f>
        <v>0</v>
      </c>
      <c r="Z361" s="130" t="n">
        <f aca="false">Z359+Z360</f>
        <v>0</v>
      </c>
      <c r="AA361" s="130" t="n">
        <f aca="false">AA359+AA360</f>
        <v>0</v>
      </c>
      <c r="AB361" s="130" t="n">
        <f aca="false">AB359+AB360</f>
        <v>0</v>
      </c>
      <c r="AC361" s="130" t="n">
        <f aca="false">AC359+AC360</f>
        <v>0</v>
      </c>
      <c r="AD361" s="130" t="n">
        <f aca="false">AD359+AD360</f>
        <v>0</v>
      </c>
      <c r="AE361" s="130" t="n">
        <f aca="false">AE359+AE360</f>
        <v>0</v>
      </c>
      <c r="AF361" s="130" t="n">
        <f aca="false">AF359+AF360</f>
        <v>0</v>
      </c>
      <c r="AG361" s="130" t="n">
        <f aca="false">AG359+AG360</f>
        <v>0</v>
      </c>
      <c r="AH361" s="130" t="n">
        <f aca="false">AH359+AH360</f>
        <v>0</v>
      </c>
      <c r="AI361" s="130" t="n">
        <f aca="false">AI359+AI360</f>
        <v>0</v>
      </c>
      <c r="AJ361" s="130" t="n">
        <f aca="false">AJ359+AJ360</f>
        <v>0</v>
      </c>
      <c r="AK361" s="130" t="n">
        <f aca="false">AK359+AK360</f>
        <v>0</v>
      </c>
      <c r="AL361" s="130" t="n">
        <f aca="false">AL359+AL360</f>
        <v>0</v>
      </c>
      <c r="AM361" s="130" t="n">
        <f aca="false">AM359+AM360</f>
        <v>0</v>
      </c>
      <c r="AN361" s="130" t="n">
        <f aca="false">AN359+AN360</f>
        <v>0</v>
      </c>
      <c r="AO361" s="130" t="n">
        <f aca="false">AO359+AO360</f>
        <v>0</v>
      </c>
      <c r="AP361" s="130" t="n">
        <f aca="false">AP359+AP360</f>
        <v>0</v>
      </c>
      <c r="AQ361" s="130" t="n">
        <f aca="false">AQ359+AQ360</f>
        <v>0</v>
      </c>
    </row>
    <row r="362" customFormat="false" ht="15" hidden="false" customHeight="false" outlineLevel="0" collapsed="false">
      <c r="B362" s="3" t="s">
        <v>717</v>
      </c>
      <c r="D362" s="130" t="n">
        <f aca="false">SUM($D361:D361)</f>
        <v>0</v>
      </c>
      <c r="E362" s="130" t="n">
        <f aca="false">SUM($D361:E361)</f>
        <v>0</v>
      </c>
      <c r="F362" s="130" t="n">
        <f aca="false">SUM($D361:F361)</f>
        <v>0</v>
      </c>
      <c r="G362" s="130" t="n">
        <f aca="false">SUM($D361:G361)</f>
        <v>3.75</v>
      </c>
      <c r="H362" s="130" t="n">
        <f aca="false">SUM($D361:H361)</f>
        <v>11.25</v>
      </c>
      <c r="I362" s="130" t="n">
        <f aca="false">SUM($D361:I361)</f>
        <v>18.75</v>
      </c>
      <c r="J362" s="130" t="n">
        <f aca="false">SUM($D361:J361)</f>
        <v>26.25</v>
      </c>
      <c r="K362" s="130" t="n">
        <f aca="false">SUM($D361:K361)</f>
        <v>48.75</v>
      </c>
      <c r="L362" s="130" t="n">
        <f aca="false">SUM($D361:L361)</f>
        <v>78.75</v>
      </c>
      <c r="M362" s="130" t="n">
        <f aca="false">SUM($D361:M361)</f>
        <v>93.75</v>
      </c>
      <c r="N362" s="130" t="n">
        <f aca="false">SUM($D361:N361)</f>
        <v>135</v>
      </c>
      <c r="O362" s="130" t="n">
        <f aca="false">SUM($D361:O361)</f>
        <v>183.75</v>
      </c>
      <c r="P362" s="130" t="n">
        <f aca="false">SUM($D361:P361)</f>
        <v>206.25</v>
      </c>
      <c r="Q362" s="130" t="n">
        <f aca="false">SUM($D361:Q361)</f>
        <v>266.25</v>
      </c>
      <c r="R362" s="130" t="n">
        <f aca="false">SUM($D361:R361)</f>
        <v>292.5</v>
      </c>
      <c r="S362" s="130" t="n">
        <f aca="false">SUM($D361:S361)</f>
        <v>360</v>
      </c>
      <c r="T362" s="130" t="n">
        <f aca="false">SUM($D361:T361)</f>
        <v>382.5</v>
      </c>
      <c r="U362" s="130" t="n">
        <f aca="false">SUM($D361:U361)</f>
        <v>405</v>
      </c>
      <c r="V362" s="130" t="n">
        <f aca="false">SUM($D361:V361)</f>
        <v>405</v>
      </c>
      <c r="W362" s="130" t="n">
        <f aca="false">SUM($D361:W361)</f>
        <v>450</v>
      </c>
      <c r="X362" s="130" t="n">
        <f aca="false">SUM($D361:X361)</f>
        <v>450</v>
      </c>
      <c r="Y362" s="130" t="n">
        <f aca="false">SUM($D361:Y361)</f>
        <v>450</v>
      </c>
      <c r="Z362" s="130" t="n">
        <f aca="false">SUM($D361:Z361)</f>
        <v>450</v>
      </c>
      <c r="AA362" s="130" t="n">
        <f aca="false">SUM($D361:AA361)</f>
        <v>450</v>
      </c>
      <c r="AB362" s="130" t="n">
        <f aca="false">SUM($D361:AB361)</f>
        <v>450</v>
      </c>
      <c r="AC362" s="130" t="n">
        <f aca="false">SUM($D361:AC361)</f>
        <v>450</v>
      </c>
      <c r="AD362" s="130" t="n">
        <f aca="false">SUM($D361:AD361)</f>
        <v>450</v>
      </c>
      <c r="AE362" s="130" t="n">
        <f aca="false">SUM($D361:AE361)</f>
        <v>450</v>
      </c>
      <c r="AF362" s="130" t="n">
        <f aca="false">SUM($D361:AF361)</f>
        <v>450</v>
      </c>
      <c r="AG362" s="130" t="n">
        <f aca="false">SUM($D361:AG361)</f>
        <v>450</v>
      </c>
      <c r="AH362" s="130" t="n">
        <f aca="false">SUM($D361:AH361)</f>
        <v>450</v>
      </c>
      <c r="AI362" s="130" t="n">
        <f aca="false">SUM($D361:AI361)</f>
        <v>450</v>
      </c>
      <c r="AJ362" s="130" t="n">
        <f aca="false">SUM($D361:AJ361)</f>
        <v>450</v>
      </c>
      <c r="AK362" s="130" t="n">
        <f aca="false">SUM($D361:AK361)</f>
        <v>450</v>
      </c>
      <c r="AL362" s="130" t="n">
        <f aca="false">SUM($D361:AL361)</f>
        <v>450</v>
      </c>
      <c r="AM362" s="130" t="n">
        <f aca="false">SUM($D361:AM361)</f>
        <v>450</v>
      </c>
      <c r="AN362" s="130" t="n">
        <f aca="false">SUM($D361:AN361)</f>
        <v>450</v>
      </c>
      <c r="AO362" s="130" t="n">
        <f aca="false">SUM($D361:AO361)</f>
        <v>450</v>
      </c>
      <c r="AP362" s="130" t="n">
        <f aca="false">SUM($D361:AP361)</f>
        <v>450</v>
      </c>
      <c r="AQ362" s="130" t="n">
        <f aca="false">SUM($D361:AQ361)</f>
        <v>450</v>
      </c>
    </row>
    <row r="363" customFormat="false" ht="15" hidden="false" customHeight="false" outlineLevel="0" collapsed="false">
      <c r="B363" s="3" t="s">
        <v>718</v>
      </c>
      <c r="D363" s="130" t="n">
        <f aca="false">D358-D362</f>
        <v>0</v>
      </c>
      <c r="E363" s="130" t="n">
        <f aca="false">E358-E362</f>
        <v>0</v>
      </c>
      <c r="F363" s="130" t="n">
        <f aca="false">F358-F362</f>
        <v>0</v>
      </c>
      <c r="G363" s="130" t="n">
        <f aca="false">G358-G362</f>
        <v>33.75</v>
      </c>
      <c r="H363" s="130" t="n">
        <f aca="false">H358-H362</f>
        <v>63.75</v>
      </c>
      <c r="I363" s="130" t="n">
        <f aca="false">I358-I362</f>
        <v>93.75</v>
      </c>
      <c r="J363" s="130" t="n">
        <f aca="false">J358-J362</f>
        <v>123.75</v>
      </c>
      <c r="K363" s="130" t="n">
        <f aca="false">K358-K362</f>
        <v>138.75</v>
      </c>
      <c r="L363" s="130" t="n">
        <f aca="false">L358-L362</f>
        <v>146.25</v>
      </c>
      <c r="M363" s="130" t="n">
        <f aca="false">M358-M362</f>
        <v>168.75</v>
      </c>
      <c r="N363" s="130" t="n">
        <f aca="false">N358-N362</f>
        <v>165</v>
      </c>
      <c r="O363" s="130" t="n">
        <f aca="false">O358-O362</f>
        <v>153.75</v>
      </c>
      <c r="P363" s="130" t="n">
        <f aca="false">P358-P362</f>
        <v>168.75</v>
      </c>
      <c r="Q363" s="130" t="n">
        <f aca="false">Q358-Q362</f>
        <v>146.25</v>
      </c>
      <c r="R363" s="130" t="n">
        <f aca="false">R358-R362</f>
        <v>157.5</v>
      </c>
      <c r="S363" s="130" t="n">
        <f aca="false">S358-S362</f>
        <v>90</v>
      </c>
      <c r="T363" s="130" t="n">
        <f aca="false">T358-T362</f>
        <v>67.5</v>
      </c>
      <c r="U363" s="130" t="n">
        <f aca="false">U358-U362</f>
        <v>45</v>
      </c>
      <c r="V363" s="130" t="n">
        <f aca="false">V358-V362</f>
        <v>45</v>
      </c>
      <c r="W363" s="130" t="n">
        <f aca="false">W358-W362</f>
        <v>0</v>
      </c>
      <c r="X363" s="130" t="n">
        <f aca="false">X358-X362</f>
        <v>0</v>
      </c>
      <c r="Y363" s="130" t="n">
        <f aca="false">Y358-Y362</f>
        <v>0</v>
      </c>
      <c r="Z363" s="130" t="n">
        <f aca="false">Z358-Z362</f>
        <v>0</v>
      </c>
      <c r="AA363" s="130" t="n">
        <f aca="false">AA358-AA362</f>
        <v>0</v>
      </c>
      <c r="AB363" s="130" t="n">
        <f aca="false">AB358-AB362</f>
        <v>0</v>
      </c>
      <c r="AC363" s="130" t="n">
        <f aca="false">AC358-AC362</f>
        <v>0</v>
      </c>
      <c r="AD363" s="130" t="n">
        <f aca="false">AD358-AD362</f>
        <v>0</v>
      </c>
      <c r="AE363" s="130" t="n">
        <f aca="false">AE358-AE362</f>
        <v>0</v>
      </c>
      <c r="AF363" s="130" t="n">
        <f aca="false">AF358-AF362</f>
        <v>0</v>
      </c>
      <c r="AG363" s="130" t="n">
        <f aca="false">AG358-AG362</f>
        <v>0</v>
      </c>
      <c r="AH363" s="130" t="n">
        <f aca="false">AH358-AH362</f>
        <v>0</v>
      </c>
      <c r="AI363" s="130" t="n">
        <f aca="false">AI358-AI362</f>
        <v>0</v>
      </c>
      <c r="AJ363" s="130" t="n">
        <f aca="false">AJ358-AJ362</f>
        <v>0</v>
      </c>
      <c r="AK363" s="130" t="n">
        <f aca="false">AK358-AK362</f>
        <v>0</v>
      </c>
      <c r="AL363" s="130" t="n">
        <f aca="false">AL358-AL362</f>
        <v>0</v>
      </c>
      <c r="AM363" s="130" t="n">
        <f aca="false">AM358-AM362</f>
        <v>0</v>
      </c>
      <c r="AN363" s="130" t="n">
        <f aca="false">AN358-AN362</f>
        <v>0</v>
      </c>
      <c r="AO363" s="130" t="n">
        <f aca="false">AO358-AO362</f>
        <v>0</v>
      </c>
      <c r="AP363" s="130" t="n">
        <f aca="false">AP358-AP362</f>
        <v>0</v>
      </c>
      <c r="AQ363" s="130" t="n">
        <f aca="false">AQ358-AQ362</f>
        <v>0</v>
      </c>
    </row>
    <row r="364" customFormat="false" ht="15" hidden="false" customHeight="false" outlineLevel="0" collapsed="false">
      <c r="B364" s="3" t="s">
        <v>719</v>
      </c>
      <c r="D364" s="132" t="n">
        <f aca="false">IF(INPUTS!$T$89&gt;0,D362/INPUTS!$T$89,0)</f>
        <v>0</v>
      </c>
      <c r="E364" s="132" t="n">
        <f aca="false">IF(INPUTS!$T$89&gt;0,E362/INPUTS!$T$89,0)</f>
        <v>0</v>
      </c>
      <c r="F364" s="132" t="n">
        <f aca="false">IF(INPUTS!$T$89&gt;0,F362/INPUTS!$T$89,0)</f>
        <v>0</v>
      </c>
      <c r="G364" s="132" t="n">
        <f aca="false">IF(INPUTS!$T$89&gt;0,G362/INPUTS!$T$89,0)</f>
        <v>0.00833333333333333</v>
      </c>
      <c r="H364" s="132" t="n">
        <f aca="false">IF(INPUTS!$T$89&gt;0,H362/INPUTS!$T$89,0)</f>
        <v>0.025</v>
      </c>
      <c r="I364" s="132" t="n">
        <f aca="false">IF(INPUTS!$T$89&gt;0,I362/INPUTS!$T$89,0)</f>
        <v>0.0416666666666667</v>
      </c>
      <c r="J364" s="132" t="n">
        <f aca="false">IF(INPUTS!$T$89&gt;0,J362/INPUTS!$T$89,0)</f>
        <v>0.0583333333333333</v>
      </c>
      <c r="K364" s="132" t="n">
        <f aca="false">IF(INPUTS!$T$89&gt;0,K362/INPUTS!$T$89,0)</f>
        <v>0.108333333333333</v>
      </c>
      <c r="L364" s="132" t="n">
        <f aca="false">IF(INPUTS!$T$89&gt;0,L362/INPUTS!$T$89,0)</f>
        <v>0.175</v>
      </c>
      <c r="M364" s="132" t="n">
        <f aca="false">IF(INPUTS!$T$89&gt;0,M362/INPUTS!$T$89,0)</f>
        <v>0.208333333333333</v>
      </c>
      <c r="N364" s="132" t="n">
        <f aca="false">IF(INPUTS!$T$89&gt;0,N362/INPUTS!$T$89,0)</f>
        <v>0.3</v>
      </c>
      <c r="O364" s="132" t="n">
        <f aca="false">IF(INPUTS!$T$89&gt;0,O362/INPUTS!$T$89,0)</f>
        <v>0.408333333333333</v>
      </c>
      <c r="P364" s="132" t="n">
        <f aca="false">IF(INPUTS!$T$89&gt;0,P362/INPUTS!$T$89,0)</f>
        <v>0.458333333333333</v>
      </c>
      <c r="Q364" s="132" t="n">
        <f aca="false">IF(INPUTS!$T$89&gt;0,Q362/INPUTS!$T$89,0)</f>
        <v>0.591666666666667</v>
      </c>
      <c r="R364" s="132" t="n">
        <f aca="false">IF(INPUTS!$T$89&gt;0,R362/INPUTS!$T$89,0)</f>
        <v>0.65</v>
      </c>
      <c r="S364" s="132" t="n">
        <f aca="false">IF(INPUTS!$T$89&gt;0,S362/INPUTS!$T$89,0)</f>
        <v>0.8</v>
      </c>
      <c r="T364" s="132" t="n">
        <f aca="false">IF(INPUTS!$T$89&gt;0,T362/INPUTS!$T$89,0)</f>
        <v>0.85</v>
      </c>
      <c r="U364" s="132" t="n">
        <f aca="false">IF(INPUTS!$T$89&gt;0,U362/INPUTS!$T$89,0)</f>
        <v>0.9</v>
      </c>
      <c r="V364" s="132" t="n">
        <f aca="false">IF(INPUTS!$T$89&gt;0,V362/INPUTS!$T$89,0)</f>
        <v>0.9</v>
      </c>
      <c r="W364" s="132" t="n">
        <f aca="false">IF(INPUTS!$T$89&gt;0,W362/INPUTS!$T$89,0)</f>
        <v>1</v>
      </c>
      <c r="X364" s="132" t="n">
        <f aca="false">IF(INPUTS!$T$89&gt;0,X362/INPUTS!$T$89,0)</f>
        <v>1</v>
      </c>
      <c r="Y364" s="132" t="n">
        <f aca="false">IF(INPUTS!$T$89&gt;0,Y362/INPUTS!$T$89,0)</f>
        <v>1</v>
      </c>
      <c r="Z364" s="132" t="n">
        <f aca="false">IF(INPUTS!$T$89&gt;0,Z362/INPUTS!$T$89,0)</f>
        <v>1</v>
      </c>
      <c r="AA364" s="132" t="n">
        <f aca="false">IF(INPUTS!$T$89&gt;0,AA362/INPUTS!$T$89,0)</f>
        <v>1</v>
      </c>
      <c r="AB364" s="132" t="n">
        <f aca="false">IF(INPUTS!$T$89&gt;0,AB362/INPUTS!$T$89,0)</f>
        <v>1</v>
      </c>
      <c r="AC364" s="132" t="n">
        <f aca="false">IF(INPUTS!$T$89&gt;0,AC362/INPUTS!$T$89,0)</f>
        <v>1</v>
      </c>
      <c r="AD364" s="132" t="n">
        <f aca="false">IF(INPUTS!$T$89&gt;0,AD362/INPUTS!$T$89,0)</f>
        <v>1</v>
      </c>
      <c r="AE364" s="132" t="n">
        <f aca="false">IF(INPUTS!$T$89&gt;0,AE362/INPUTS!$T$89,0)</f>
        <v>1</v>
      </c>
      <c r="AF364" s="132" t="n">
        <f aca="false">IF(INPUTS!$T$89&gt;0,AF362/INPUTS!$T$89,0)</f>
        <v>1</v>
      </c>
      <c r="AG364" s="132" t="n">
        <f aca="false">IF(INPUTS!$T$89&gt;0,AG362/INPUTS!$T$89,0)</f>
        <v>1</v>
      </c>
      <c r="AH364" s="132" t="n">
        <f aca="false">IF(INPUTS!$T$89&gt;0,AH362/INPUTS!$T$89,0)</f>
        <v>1</v>
      </c>
      <c r="AI364" s="132" t="n">
        <f aca="false">IF(INPUTS!$T$89&gt;0,AI362/INPUTS!$T$89,0)</f>
        <v>1</v>
      </c>
      <c r="AJ364" s="132" t="n">
        <f aca="false">IF(INPUTS!$T$89&gt;0,AJ362/INPUTS!$T$89,0)</f>
        <v>1</v>
      </c>
      <c r="AK364" s="132" t="n">
        <f aca="false">IF(INPUTS!$T$89&gt;0,AK362/INPUTS!$T$89,0)</f>
        <v>1</v>
      </c>
      <c r="AL364" s="132" t="n">
        <f aca="false">IF(INPUTS!$T$89&gt;0,AL362/INPUTS!$T$89,0)</f>
        <v>1</v>
      </c>
      <c r="AM364" s="132" t="n">
        <f aca="false">IF(INPUTS!$T$89&gt;0,AM362/INPUTS!$T$89,0)</f>
        <v>1</v>
      </c>
      <c r="AN364" s="132" t="n">
        <f aca="false">IF(INPUTS!$T$89&gt;0,AN362/INPUTS!$T$89,0)</f>
        <v>1</v>
      </c>
      <c r="AO364" s="132" t="n">
        <f aca="false">IF(INPUTS!$T$89&gt;0,AO362/INPUTS!$T$89,0)</f>
        <v>1</v>
      </c>
      <c r="AP364" s="132" t="n">
        <f aca="false">IF(INPUTS!$T$89&gt;0,AP362/INPUTS!$T$89,0)</f>
        <v>1</v>
      </c>
      <c r="AQ364" s="132" t="n">
        <f aca="false">IF(INPUTS!$T$89&gt;0,AQ362/INPUTS!$T$89,0)</f>
        <v>1</v>
      </c>
    </row>
    <row r="365" customFormat="false" ht="15" hidden="false" customHeight="false" outlineLevel="0" collapsed="false">
      <c r="B365" s="17" t="s">
        <v>689</v>
      </c>
      <c r="C365" s="105" t="str">
        <f aca="false">IF(INPUTS!$E$89&lt;&gt;"Yes","Off",IF(AND(ABS(C357-INPUTS!$T$89)&lt;0.000001,ABS(C361-INPUTS!$T$89)&lt;0.000001,MIN(D363:AQ363)&gt;-0.000001),"OK","ERROR"))</f>
        <v>OK</v>
      </c>
    </row>
    <row r="366" customFormat="false" ht="15" hidden="false" customHeight="false" outlineLevel="0" collapsed="false">
      <c r="B366" s="110" t="str">
        <f aca="false">IF(INPUTS!$E$90="Yes",INPUTS!$B$90,"Product row 3 (off)")</f>
        <v>Studios</v>
      </c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</row>
    <row r="367" customFormat="false" ht="15" hidden="false" customHeight="false" outlineLevel="0" collapsed="false">
      <c r="B367" s="2" t="s">
        <v>712</v>
      </c>
      <c r="C367" s="129" t="n">
        <f aca="false">SUM(D367:AQ367)</f>
        <v>36</v>
      </c>
      <c r="D367" s="130" t="n">
        <f aca="false">INPUTS!$T$90*CURVES!D50</f>
        <v>0</v>
      </c>
      <c r="E367" s="130" t="n">
        <f aca="false">INPUTS!$T$90*CURVES!E50</f>
        <v>0</v>
      </c>
      <c r="F367" s="130" t="n">
        <f aca="false">INPUTS!$T$90*CURVES!F50</f>
        <v>0</v>
      </c>
      <c r="G367" s="130" t="n">
        <f aca="false">INPUTS!$T$90*CURVES!G50</f>
        <v>0</v>
      </c>
      <c r="H367" s="130" t="n">
        <f aca="false">INPUTS!$T$90*CURVES!H50</f>
        <v>0</v>
      </c>
      <c r="I367" s="130" t="n">
        <f aca="false">INPUTS!$T$90*CURVES!I50</f>
        <v>4.5</v>
      </c>
      <c r="J367" s="130" t="n">
        <f aca="false">INPUTS!$T$90*CURVES!J50</f>
        <v>4.5</v>
      </c>
      <c r="K367" s="130" t="n">
        <f aca="false">INPUTS!$T$90*CURVES!K50</f>
        <v>4.5</v>
      </c>
      <c r="L367" s="130" t="n">
        <f aca="false">INPUTS!$T$90*CURVES!L50</f>
        <v>4.5</v>
      </c>
      <c r="M367" s="130" t="n">
        <f aca="false">INPUTS!$T$90*CURVES!M50</f>
        <v>4.5</v>
      </c>
      <c r="N367" s="130" t="n">
        <f aca="false">INPUTS!$T$90*CURVES!N50</f>
        <v>4.5</v>
      </c>
      <c r="O367" s="130" t="n">
        <f aca="false">INPUTS!$T$90*CURVES!O50</f>
        <v>4.5</v>
      </c>
      <c r="P367" s="130" t="n">
        <f aca="false">INPUTS!$T$90*CURVES!P50</f>
        <v>4.5</v>
      </c>
      <c r="Q367" s="130" t="n">
        <f aca="false">INPUTS!$T$90*CURVES!Q50</f>
        <v>0</v>
      </c>
      <c r="R367" s="130" t="n">
        <f aca="false">INPUTS!$T$90*CURVES!R50</f>
        <v>0</v>
      </c>
      <c r="S367" s="130" t="n">
        <f aca="false">INPUTS!$T$90*CURVES!S50</f>
        <v>0</v>
      </c>
      <c r="T367" s="130" t="n">
        <f aca="false">INPUTS!$T$90*CURVES!T50</f>
        <v>0</v>
      </c>
      <c r="U367" s="130" t="n">
        <f aca="false">INPUTS!$T$90*CURVES!U50</f>
        <v>0</v>
      </c>
      <c r="V367" s="130" t="n">
        <f aca="false">INPUTS!$T$90*CURVES!V50</f>
        <v>0</v>
      </c>
      <c r="W367" s="130" t="n">
        <f aca="false">INPUTS!$T$90*CURVES!W50</f>
        <v>0</v>
      </c>
      <c r="X367" s="130" t="n">
        <f aca="false">INPUTS!$T$90*CURVES!X50</f>
        <v>0</v>
      </c>
      <c r="Y367" s="130" t="n">
        <f aca="false">INPUTS!$T$90*CURVES!Y50</f>
        <v>0</v>
      </c>
      <c r="Z367" s="130" t="n">
        <f aca="false">INPUTS!$T$90*CURVES!Z50</f>
        <v>0</v>
      </c>
      <c r="AA367" s="130" t="n">
        <f aca="false">INPUTS!$T$90*CURVES!AA50</f>
        <v>0</v>
      </c>
      <c r="AB367" s="130" t="n">
        <f aca="false">INPUTS!$T$90*CURVES!AB50</f>
        <v>0</v>
      </c>
      <c r="AC367" s="130" t="n">
        <f aca="false">INPUTS!$T$90*CURVES!AC50</f>
        <v>0</v>
      </c>
      <c r="AD367" s="130" t="n">
        <f aca="false">INPUTS!$T$90*CURVES!AD50</f>
        <v>0</v>
      </c>
      <c r="AE367" s="130" t="n">
        <f aca="false">INPUTS!$T$90*CURVES!AE50</f>
        <v>0</v>
      </c>
      <c r="AF367" s="130" t="n">
        <f aca="false">INPUTS!$T$90*CURVES!AF50</f>
        <v>0</v>
      </c>
      <c r="AG367" s="130" t="n">
        <f aca="false">INPUTS!$T$90*CURVES!AG50</f>
        <v>0</v>
      </c>
      <c r="AH367" s="130" t="n">
        <f aca="false">INPUTS!$T$90*CURVES!AH50</f>
        <v>0</v>
      </c>
      <c r="AI367" s="130" t="n">
        <f aca="false">INPUTS!$T$90*CURVES!AI50</f>
        <v>0</v>
      </c>
      <c r="AJ367" s="130" t="n">
        <f aca="false">INPUTS!$T$90*CURVES!AJ50</f>
        <v>0</v>
      </c>
      <c r="AK367" s="130" t="n">
        <f aca="false">INPUTS!$T$90*CURVES!AK50</f>
        <v>0</v>
      </c>
      <c r="AL367" s="130" t="n">
        <f aca="false">INPUTS!$T$90*CURVES!AL50</f>
        <v>0</v>
      </c>
      <c r="AM367" s="130" t="n">
        <f aca="false">INPUTS!$T$90*CURVES!AM50</f>
        <v>0</v>
      </c>
      <c r="AN367" s="130" t="n">
        <f aca="false">INPUTS!$T$90*CURVES!AN50</f>
        <v>0</v>
      </c>
      <c r="AO367" s="130" t="n">
        <f aca="false">INPUTS!$T$90*CURVES!AO50</f>
        <v>0</v>
      </c>
      <c r="AP367" s="130" t="n">
        <f aca="false">INPUTS!$T$90*CURVES!AP50</f>
        <v>0</v>
      </c>
      <c r="AQ367" s="130" t="n">
        <f aca="false">INPUTS!$T$90*CURVES!AQ50</f>
        <v>0</v>
      </c>
    </row>
    <row r="368" customFormat="false" ht="15" hidden="false" customHeight="false" outlineLevel="0" collapsed="false">
      <c r="B368" s="3" t="s">
        <v>713</v>
      </c>
      <c r="D368" s="130" t="n">
        <f aca="false">SUM($D367:D367)</f>
        <v>0</v>
      </c>
      <c r="E368" s="130" t="n">
        <f aca="false">SUM($D367:E367)</f>
        <v>0</v>
      </c>
      <c r="F368" s="130" t="n">
        <f aca="false">SUM($D367:F367)</f>
        <v>0</v>
      </c>
      <c r="G368" s="130" t="n">
        <f aca="false">SUM($D367:G367)</f>
        <v>0</v>
      </c>
      <c r="H368" s="130" t="n">
        <f aca="false">SUM($D367:H367)</f>
        <v>0</v>
      </c>
      <c r="I368" s="130" t="n">
        <f aca="false">SUM($D367:I367)</f>
        <v>4.5</v>
      </c>
      <c r="J368" s="130" t="n">
        <f aca="false">SUM($D367:J367)</f>
        <v>9</v>
      </c>
      <c r="K368" s="130" t="n">
        <f aca="false">SUM($D367:K367)</f>
        <v>13.5</v>
      </c>
      <c r="L368" s="130" t="n">
        <f aca="false">SUM($D367:L367)</f>
        <v>18</v>
      </c>
      <c r="M368" s="130" t="n">
        <f aca="false">SUM($D367:M367)</f>
        <v>22.5</v>
      </c>
      <c r="N368" s="130" t="n">
        <f aca="false">SUM($D367:N367)</f>
        <v>27</v>
      </c>
      <c r="O368" s="130" t="n">
        <f aca="false">SUM($D367:O367)</f>
        <v>31.5</v>
      </c>
      <c r="P368" s="130" t="n">
        <f aca="false">SUM($D367:P367)</f>
        <v>36</v>
      </c>
      <c r="Q368" s="130" t="n">
        <f aca="false">SUM($D367:Q367)</f>
        <v>36</v>
      </c>
      <c r="R368" s="130" t="n">
        <f aca="false">SUM($D367:R367)</f>
        <v>36</v>
      </c>
      <c r="S368" s="130" t="n">
        <f aca="false">SUM($D367:S367)</f>
        <v>36</v>
      </c>
      <c r="T368" s="130" t="n">
        <f aca="false">SUM($D367:T367)</f>
        <v>36</v>
      </c>
      <c r="U368" s="130" t="n">
        <f aca="false">SUM($D367:U367)</f>
        <v>36</v>
      </c>
      <c r="V368" s="130" t="n">
        <f aca="false">SUM($D367:V367)</f>
        <v>36</v>
      </c>
      <c r="W368" s="130" t="n">
        <f aca="false">SUM($D367:W367)</f>
        <v>36</v>
      </c>
      <c r="X368" s="130" t="n">
        <f aca="false">SUM($D367:X367)</f>
        <v>36</v>
      </c>
      <c r="Y368" s="130" t="n">
        <f aca="false">SUM($D367:Y367)</f>
        <v>36</v>
      </c>
      <c r="Z368" s="130" t="n">
        <f aca="false">SUM($D367:Z367)</f>
        <v>36</v>
      </c>
      <c r="AA368" s="130" t="n">
        <f aca="false">SUM($D367:AA367)</f>
        <v>36</v>
      </c>
      <c r="AB368" s="130" t="n">
        <f aca="false">SUM($D367:AB367)</f>
        <v>36</v>
      </c>
      <c r="AC368" s="130" t="n">
        <f aca="false">SUM($D367:AC367)</f>
        <v>36</v>
      </c>
      <c r="AD368" s="130" t="n">
        <f aca="false">SUM($D367:AD367)</f>
        <v>36</v>
      </c>
      <c r="AE368" s="130" t="n">
        <f aca="false">SUM($D367:AE367)</f>
        <v>36</v>
      </c>
      <c r="AF368" s="130" t="n">
        <f aca="false">SUM($D367:AF367)</f>
        <v>36</v>
      </c>
      <c r="AG368" s="130" t="n">
        <f aca="false">SUM($D367:AG367)</f>
        <v>36</v>
      </c>
      <c r="AH368" s="130" t="n">
        <f aca="false">SUM($D367:AH367)</f>
        <v>36</v>
      </c>
      <c r="AI368" s="130" t="n">
        <f aca="false">SUM($D367:AI367)</f>
        <v>36</v>
      </c>
      <c r="AJ368" s="130" t="n">
        <f aca="false">SUM($D367:AJ367)</f>
        <v>36</v>
      </c>
      <c r="AK368" s="130" t="n">
        <f aca="false">SUM($D367:AK367)</f>
        <v>36</v>
      </c>
      <c r="AL368" s="130" t="n">
        <f aca="false">SUM($D367:AL367)</f>
        <v>36</v>
      </c>
      <c r="AM368" s="130" t="n">
        <f aca="false">SUM($D367:AM367)</f>
        <v>36</v>
      </c>
      <c r="AN368" s="130" t="n">
        <f aca="false">SUM($D367:AN367)</f>
        <v>36</v>
      </c>
      <c r="AO368" s="130" t="n">
        <f aca="false">SUM($D367:AO367)</f>
        <v>36</v>
      </c>
      <c r="AP368" s="130" t="n">
        <f aca="false">SUM($D367:AP367)</f>
        <v>36</v>
      </c>
      <c r="AQ368" s="130" t="n">
        <f aca="false">SUM($D367:AQ367)</f>
        <v>36</v>
      </c>
    </row>
    <row r="369" customFormat="false" ht="15" hidden="false" customHeight="false" outlineLevel="0" collapsed="false">
      <c r="B369" s="131" t="s">
        <v>714</v>
      </c>
      <c r="C369" s="129" t="n">
        <f aca="false">SUM(D369:AQ369)</f>
        <v>7.2</v>
      </c>
      <c r="D369" s="130" t="n">
        <f aca="false">$D$110*IF(D$7-0&gt;=1,INDEX($D$367:$AQ$367,D$7-0),0)+$E$110*IF(D$7-1&gt;=1,INDEX($D$367:$AQ$367,D$7-1),0)+$F$110*IF(D$7-2&gt;=1,INDEX($D$367:$AQ$367,D$7-2),0)+$G$110*IF(D$7-3&gt;=1,INDEX($D$367:$AQ$367,D$7-3),0)+$H$110*IF(D$7-4&gt;=1,INDEX($D$367:$AQ$367,D$7-4),0)+$I$110*IF(D$7-5&gt;=1,INDEX($D$367:$AQ$367,D$7-5),0)+$J$110*IF(D$7-6&gt;=1,INDEX($D$367:$AQ$367,D$7-6),0)+$K$110*IF(D$7-7&gt;=1,INDEX($D$367:$AQ$367,D$7-7),0)+$L$110*IF(D$7-8&gt;=1,INDEX($D$367:$AQ$367,D$7-8),0)+$M$110*IF(D$7-9&gt;=1,INDEX($D$367:$AQ$367,D$7-9),0)+$N$110*IF(D$7-10&gt;=1,INDEX($D$367:$AQ$367,D$7-10),0)+$O$110*IF(D$7-11&gt;=1,INDEX($D$367:$AQ$367,D$7-11),0)+$P$110*IF(D$7-12&gt;=1,INDEX($D$367:$AQ$367,D$7-12),0)</f>
        <v>0</v>
      </c>
      <c r="E369" s="130" t="n">
        <f aca="false">$D$110*IF(E$7-0&gt;=1,INDEX($D$367:$AQ$367,E$7-0),0)+$E$110*IF(E$7-1&gt;=1,INDEX($D$367:$AQ$367,E$7-1),0)+$F$110*IF(E$7-2&gt;=1,INDEX($D$367:$AQ$367,E$7-2),0)+$G$110*IF(E$7-3&gt;=1,INDEX($D$367:$AQ$367,E$7-3),0)+$H$110*IF(E$7-4&gt;=1,INDEX($D$367:$AQ$367,E$7-4),0)+$I$110*IF(E$7-5&gt;=1,INDEX($D$367:$AQ$367,E$7-5),0)+$J$110*IF(E$7-6&gt;=1,INDEX($D$367:$AQ$367,E$7-6),0)+$K$110*IF(E$7-7&gt;=1,INDEX($D$367:$AQ$367,E$7-7),0)+$L$110*IF(E$7-8&gt;=1,INDEX($D$367:$AQ$367,E$7-8),0)+$M$110*IF(E$7-9&gt;=1,INDEX($D$367:$AQ$367,E$7-9),0)+$N$110*IF(E$7-10&gt;=1,INDEX($D$367:$AQ$367,E$7-10),0)+$O$110*IF(E$7-11&gt;=1,INDEX($D$367:$AQ$367,E$7-11),0)+$P$110*IF(E$7-12&gt;=1,INDEX($D$367:$AQ$367,E$7-12),0)</f>
        <v>0</v>
      </c>
      <c r="F369" s="130" t="n">
        <f aca="false">$D$110*IF(F$7-0&gt;=1,INDEX($D$367:$AQ$367,F$7-0),0)+$E$110*IF(F$7-1&gt;=1,INDEX($D$367:$AQ$367,F$7-1),0)+$F$110*IF(F$7-2&gt;=1,INDEX($D$367:$AQ$367,F$7-2),0)+$G$110*IF(F$7-3&gt;=1,INDEX($D$367:$AQ$367,F$7-3),0)+$H$110*IF(F$7-4&gt;=1,INDEX($D$367:$AQ$367,F$7-4),0)+$I$110*IF(F$7-5&gt;=1,INDEX($D$367:$AQ$367,F$7-5),0)+$J$110*IF(F$7-6&gt;=1,INDEX($D$367:$AQ$367,F$7-6),0)+$K$110*IF(F$7-7&gt;=1,INDEX($D$367:$AQ$367,F$7-7),0)+$L$110*IF(F$7-8&gt;=1,INDEX($D$367:$AQ$367,F$7-8),0)+$M$110*IF(F$7-9&gt;=1,INDEX($D$367:$AQ$367,F$7-9),0)+$N$110*IF(F$7-10&gt;=1,INDEX($D$367:$AQ$367,F$7-10),0)+$O$110*IF(F$7-11&gt;=1,INDEX($D$367:$AQ$367,F$7-11),0)+$P$110*IF(F$7-12&gt;=1,INDEX($D$367:$AQ$367,F$7-12),0)</f>
        <v>0</v>
      </c>
      <c r="G369" s="130" t="n">
        <f aca="false">$D$110*IF(G$7-0&gt;=1,INDEX($D$367:$AQ$367,G$7-0),0)+$E$110*IF(G$7-1&gt;=1,INDEX($D$367:$AQ$367,G$7-1),0)+$F$110*IF(G$7-2&gt;=1,INDEX($D$367:$AQ$367,G$7-2),0)+$G$110*IF(G$7-3&gt;=1,INDEX($D$367:$AQ$367,G$7-3),0)+$H$110*IF(G$7-4&gt;=1,INDEX($D$367:$AQ$367,G$7-4),0)+$I$110*IF(G$7-5&gt;=1,INDEX($D$367:$AQ$367,G$7-5),0)+$J$110*IF(G$7-6&gt;=1,INDEX($D$367:$AQ$367,G$7-6),0)+$K$110*IF(G$7-7&gt;=1,INDEX($D$367:$AQ$367,G$7-7),0)+$L$110*IF(G$7-8&gt;=1,INDEX($D$367:$AQ$367,G$7-8),0)+$M$110*IF(G$7-9&gt;=1,INDEX($D$367:$AQ$367,G$7-9),0)+$N$110*IF(G$7-10&gt;=1,INDEX($D$367:$AQ$367,G$7-10),0)+$O$110*IF(G$7-11&gt;=1,INDEX($D$367:$AQ$367,G$7-11),0)+$P$110*IF(G$7-12&gt;=1,INDEX($D$367:$AQ$367,G$7-12),0)</f>
        <v>0</v>
      </c>
      <c r="H369" s="130" t="n">
        <f aca="false">$D$110*IF(H$7-0&gt;=1,INDEX($D$367:$AQ$367,H$7-0),0)+$E$110*IF(H$7-1&gt;=1,INDEX($D$367:$AQ$367,H$7-1),0)+$F$110*IF(H$7-2&gt;=1,INDEX($D$367:$AQ$367,H$7-2),0)+$G$110*IF(H$7-3&gt;=1,INDEX($D$367:$AQ$367,H$7-3),0)+$H$110*IF(H$7-4&gt;=1,INDEX($D$367:$AQ$367,H$7-4),0)+$I$110*IF(H$7-5&gt;=1,INDEX($D$367:$AQ$367,H$7-5),0)+$J$110*IF(H$7-6&gt;=1,INDEX($D$367:$AQ$367,H$7-6),0)+$K$110*IF(H$7-7&gt;=1,INDEX($D$367:$AQ$367,H$7-7),0)+$L$110*IF(H$7-8&gt;=1,INDEX($D$367:$AQ$367,H$7-8),0)+$M$110*IF(H$7-9&gt;=1,INDEX($D$367:$AQ$367,H$7-9),0)+$N$110*IF(H$7-10&gt;=1,INDEX($D$367:$AQ$367,H$7-10),0)+$O$110*IF(H$7-11&gt;=1,INDEX($D$367:$AQ$367,H$7-11),0)+$P$110*IF(H$7-12&gt;=1,INDEX($D$367:$AQ$367,H$7-12),0)</f>
        <v>0</v>
      </c>
      <c r="I369" s="130" t="n">
        <f aca="false">$D$110*IF(I$7-0&gt;=1,INDEX($D$367:$AQ$367,I$7-0),0)+$E$110*IF(I$7-1&gt;=1,INDEX($D$367:$AQ$367,I$7-1),0)+$F$110*IF(I$7-2&gt;=1,INDEX($D$367:$AQ$367,I$7-2),0)+$G$110*IF(I$7-3&gt;=1,INDEX($D$367:$AQ$367,I$7-3),0)+$H$110*IF(I$7-4&gt;=1,INDEX($D$367:$AQ$367,I$7-4),0)+$I$110*IF(I$7-5&gt;=1,INDEX($D$367:$AQ$367,I$7-5),0)+$J$110*IF(I$7-6&gt;=1,INDEX($D$367:$AQ$367,I$7-6),0)+$K$110*IF(I$7-7&gt;=1,INDEX($D$367:$AQ$367,I$7-7),0)+$L$110*IF(I$7-8&gt;=1,INDEX($D$367:$AQ$367,I$7-8),0)+$M$110*IF(I$7-9&gt;=1,INDEX($D$367:$AQ$367,I$7-9),0)+$N$110*IF(I$7-10&gt;=1,INDEX($D$367:$AQ$367,I$7-10),0)+$O$110*IF(I$7-11&gt;=1,INDEX($D$367:$AQ$367,I$7-11),0)+$P$110*IF(I$7-12&gt;=1,INDEX($D$367:$AQ$367,I$7-12),0)</f>
        <v>0.45</v>
      </c>
      <c r="J369" s="130" t="n">
        <f aca="false">$D$110*IF(J$7-0&gt;=1,INDEX($D$367:$AQ$367,J$7-0),0)+$E$110*IF(J$7-1&gt;=1,INDEX($D$367:$AQ$367,J$7-1),0)+$F$110*IF(J$7-2&gt;=1,INDEX($D$367:$AQ$367,J$7-2),0)+$G$110*IF(J$7-3&gt;=1,INDEX($D$367:$AQ$367,J$7-3),0)+$H$110*IF(J$7-4&gt;=1,INDEX($D$367:$AQ$367,J$7-4),0)+$I$110*IF(J$7-5&gt;=1,INDEX($D$367:$AQ$367,J$7-5),0)+$J$110*IF(J$7-6&gt;=1,INDEX($D$367:$AQ$367,J$7-6),0)+$K$110*IF(J$7-7&gt;=1,INDEX($D$367:$AQ$367,J$7-7),0)+$L$110*IF(J$7-8&gt;=1,INDEX($D$367:$AQ$367,J$7-8),0)+$M$110*IF(J$7-9&gt;=1,INDEX($D$367:$AQ$367,J$7-9),0)+$N$110*IF(J$7-10&gt;=1,INDEX($D$367:$AQ$367,J$7-10),0)+$O$110*IF(J$7-11&gt;=1,INDEX($D$367:$AQ$367,J$7-11),0)+$P$110*IF(J$7-12&gt;=1,INDEX($D$367:$AQ$367,J$7-12),0)</f>
        <v>0.9</v>
      </c>
      <c r="K369" s="130" t="n">
        <f aca="false">$D$110*IF(K$7-0&gt;=1,INDEX($D$367:$AQ$367,K$7-0),0)+$E$110*IF(K$7-1&gt;=1,INDEX($D$367:$AQ$367,K$7-1),0)+$F$110*IF(K$7-2&gt;=1,INDEX($D$367:$AQ$367,K$7-2),0)+$G$110*IF(K$7-3&gt;=1,INDEX($D$367:$AQ$367,K$7-3),0)+$H$110*IF(K$7-4&gt;=1,INDEX($D$367:$AQ$367,K$7-4),0)+$I$110*IF(K$7-5&gt;=1,INDEX($D$367:$AQ$367,K$7-5),0)+$J$110*IF(K$7-6&gt;=1,INDEX($D$367:$AQ$367,K$7-6),0)+$K$110*IF(K$7-7&gt;=1,INDEX($D$367:$AQ$367,K$7-7),0)+$L$110*IF(K$7-8&gt;=1,INDEX($D$367:$AQ$367,K$7-8),0)+$M$110*IF(K$7-9&gt;=1,INDEX($D$367:$AQ$367,K$7-9),0)+$N$110*IF(K$7-10&gt;=1,INDEX($D$367:$AQ$367,K$7-10),0)+$O$110*IF(K$7-11&gt;=1,INDEX($D$367:$AQ$367,K$7-11),0)+$P$110*IF(K$7-12&gt;=1,INDEX($D$367:$AQ$367,K$7-12),0)</f>
        <v>0.9</v>
      </c>
      <c r="L369" s="130" t="n">
        <f aca="false">$D$110*IF(L$7-0&gt;=1,INDEX($D$367:$AQ$367,L$7-0),0)+$E$110*IF(L$7-1&gt;=1,INDEX($D$367:$AQ$367,L$7-1),0)+$F$110*IF(L$7-2&gt;=1,INDEX($D$367:$AQ$367,L$7-2),0)+$G$110*IF(L$7-3&gt;=1,INDEX($D$367:$AQ$367,L$7-3),0)+$H$110*IF(L$7-4&gt;=1,INDEX($D$367:$AQ$367,L$7-4),0)+$I$110*IF(L$7-5&gt;=1,INDEX($D$367:$AQ$367,L$7-5),0)+$J$110*IF(L$7-6&gt;=1,INDEX($D$367:$AQ$367,L$7-6),0)+$K$110*IF(L$7-7&gt;=1,INDEX($D$367:$AQ$367,L$7-7),0)+$L$110*IF(L$7-8&gt;=1,INDEX($D$367:$AQ$367,L$7-8),0)+$M$110*IF(L$7-9&gt;=1,INDEX($D$367:$AQ$367,L$7-9),0)+$N$110*IF(L$7-10&gt;=1,INDEX($D$367:$AQ$367,L$7-10),0)+$O$110*IF(L$7-11&gt;=1,INDEX($D$367:$AQ$367,L$7-11),0)+$P$110*IF(L$7-12&gt;=1,INDEX($D$367:$AQ$367,L$7-12),0)</f>
        <v>0.9</v>
      </c>
      <c r="M369" s="130" t="n">
        <f aca="false">$D$110*IF(M$7-0&gt;=1,INDEX($D$367:$AQ$367,M$7-0),0)+$E$110*IF(M$7-1&gt;=1,INDEX($D$367:$AQ$367,M$7-1),0)+$F$110*IF(M$7-2&gt;=1,INDEX($D$367:$AQ$367,M$7-2),0)+$G$110*IF(M$7-3&gt;=1,INDEX($D$367:$AQ$367,M$7-3),0)+$H$110*IF(M$7-4&gt;=1,INDEX($D$367:$AQ$367,M$7-4),0)+$I$110*IF(M$7-5&gt;=1,INDEX($D$367:$AQ$367,M$7-5),0)+$J$110*IF(M$7-6&gt;=1,INDEX($D$367:$AQ$367,M$7-6),0)+$K$110*IF(M$7-7&gt;=1,INDEX($D$367:$AQ$367,M$7-7),0)+$L$110*IF(M$7-8&gt;=1,INDEX($D$367:$AQ$367,M$7-8),0)+$M$110*IF(M$7-9&gt;=1,INDEX($D$367:$AQ$367,M$7-9),0)+$N$110*IF(M$7-10&gt;=1,INDEX($D$367:$AQ$367,M$7-10),0)+$O$110*IF(M$7-11&gt;=1,INDEX($D$367:$AQ$367,M$7-11),0)+$P$110*IF(M$7-12&gt;=1,INDEX($D$367:$AQ$367,M$7-12),0)</f>
        <v>0.9</v>
      </c>
      <c r="N369" s="130" t="n">
        <f aca="false">$D$110*IF(N$7-0&gt;=1,INDEX($D$367:$AQ$367,N$7-0),0)+$E$110*IF(N$7-1&gt;=1,INDEX($D$367:$AQ$367,N$7-1),0)+$F$110*IF(N$7-2&gt;=1,INDEX($D$367:$AQ$367,N$7-2),0)+$G$110*IF(N$7-3&gt;=1,INDEX($D$367:$AQ$367,N$7-3),0)+$H$110*IF(N$7-4&gt;=1,INDEX($D$367:$AQ$367,N$7-4),0)+$I$110*IF(N$7-5&gt;=1,INDEX($D$367:$AQ$367,N$7-5),0)+$J$110*IF(N$7-6&gt;=1,INDEX($D$367:$AQ$367,N$7-6),0)+$K$110*IF(N$7-7&gt;=1,INDEX($D$367:$AQ$367,N$7-7),0)+$L$110*IF(N$7-8&gt;=1,INDEX($D$367:$AQ$367,N$7-8),0)+$M$110*IF(N$7-9&gt;=1,INDEX($D$367:$AQ$367,N$7-9),0)+$N$110*IF(N$7-10&gt;=1,INDEX($D$367:$AQ$367,N$7-10),0)+$O$110*IF(N$7-11&gt;=1,INDEX($D$367:$AQ$367,N$7-11),0)+$P$110*IF(N$7-12&gt;=1,INDEX($D$367:$AQ$367,N$7-12),0)</f>
        <v>0.9</v>
      </c>
      <c r="O369" s="130" t="n">
        <f aca="false">$D$110*IF(O$7-0&gt;=1,INDEX($D$367:$AQ$367,O$7-0),0)+$E$110*IF(O$7-1&gt;=1,INDEX($D$367:$AQ$367,O$7-1),0)+$F$110*IF(O$7-2&gt;=1,INDEX($D$367:$AQ$367,O$7-2),0)+$G$110*IF(O$7-3&gt;=1,INDEX($D$367:$AQ$367,O$7-3),0)+$H$110*IF(O$7-4&gt;=1,INDEX($D$367:$AQ$367,O$7-4),0)+$I$110*IF(O$7-5&gt;=1,INDEX($D$367:$AQ$367,O$7-5),0)+$J$110*IF(O$7-6&gt;=1,INDEX($D$367:$AQ$367,O$7-6),0)+$K$110*IF(O$7-7&gt;=1,INDEX($D$367:$AQ$367,O$7-7),0)+$L$110*IF(O$7-8&gt;=1,INDEX($D$367:$AQ$367,O$7-8),0)+$M$110*IF(O$7-9&gt;=1,INDEX($D$367:$AQ$367,O$7-9),0)+$N$110*IF(O$7-10&gt;=1,INDEX($D$367:$AQ$367,O$7-10),0)+$O$110*IF(O$7-11&gt;=1,INDEX($D$367:$AQ$367,O$7-11),0)+$P$110*IF(O$7-12&gt;=1,INDEX($D$367:$AQ$367,O$7-12),0)</f>
        <v>0.9</v>
      </c>
      <c r="P369" s="130" t="n">
        <f aca="false">$D$110*IF(P$7-0&gt;=1,INDEX($D$367:$AQ$367,P$7-0),0)+$E$110*IF(P$7-1&gt;=1,INDEX($D$367:$AQ$367,P$7-1),0)+$F$110*IF(P$7-2&gt;=1,INDEX($D$367:$AQ$367,P$7-2),0)+$G$110*IF(P$7-3&gt;=1,INDEX($D$367:$AQ$367,P$7-3),0)+$H$110*IF(P$7-4&gt;=1,INDEX($D$367:$AQ$367,P$7-4),0)+$I$110*IF(P$7-5&gt;=1,INDEX($D$367:$AQ$367,P$7-5),0)+$J$110*IF(P$7-6&gt;=1,INDEX($D$367:$AQ$367,P$7-6),0)+$K$110*IF(P$7-7&gt;=1,INDEX($D$367:$AQ$367,P$7-7),0)+$L$110*IF(P$7-8&gt;=1,INDEX($D$367:$AQ$367,P$7-8),0)+$M$110*IF(P$7-9&gt;=1,INDEX($D$367:$AQ$367,P$7-9),0)+$N$110*IF(P$7-10&gt;=1,INDEX($D$367:$AQ$367,P$7-10),0)+$O$110*IF(P$7-11&gt;=1,INDEX($D$367:$AQ$367,P$7-11),0)+$P$110*IF(P$7-12&gt;=1,INDEX($D$367:$AQ$367,P$7-12),0)</f>
        <v>0.9</v>
      </c>
      <c r="Q369" s="130" t="n">
        <f aca="false">$D$110*IF(Q$7-0&gt;=1,INDEX($D$367:$AQ$367,Q$7-0),0)+$E$110*IF(Q$7-1&gt;=1,INDEX($D$367:$AQ$367,Q$7-1),0)+$F$110*IF(Q$7-2&gt;=1,INDEX($D$367:$AQ$367,Q$7-2),0)+$G$110*IF(Q$7-3&gt;=1,INDEX($D$367:$AQ$367,Q$7-3),0)+$H$110*IF(Q$7-4&gt;=1,INDEX($D$367:$AQ$367,Q$7-4),0)+$I$110*IF(Q$7-5&gt;=1,INDEX($D$367:$AQ$367,Q$7-5),0)+$J$110*IF(Q$7-6&gt;=1,INDEX($D$367:$AQ$367,Q$7-6),0)+$K$110*IF(Q$7-7&gt;=1,INDEX($D$367:$AQ$367,Q$7-7),0)+$L$110*IF(Q$7-8&gt;=1,INDEX($D$367:$AQ$367,Q$7-8),0)+$M$110*IF(Q$7-9&gt;=1,INDEX($D$367:$AQ$367,Q$7-9),0)+$N$110*IF(Q$7-10&gt;=1,INDEX($D$367:$AQ$367,Q$7-10),0)+$O$110*IF(Q$7-11&gt;=1,INDEX($D$367:$AQ$367,Q$7-11),0)+$P$110*IF(Q$7-12&gt;=1,INDEX($D$367:$AQ$367,Q$7-12),0)</f>
        <v>0.45</v>
      </c>
      <c r="R369" s="130" t="n">
        <f aca="false">$D$110*IF(R$7-0&gt;=1,INDEX($D$367:$AQ$367,R$7-0),0)+$E$110*IF(R$7-1&gt;=1,INDEX($D$367:$AQ$367,R$7-1),0)+$F$110*IF(R$7-2&gt;=1,INDEX($D$367:$AQ$367,R$7-2),0)+$G$110*IF(R$7-3&gt;=1,INDEX($D$367:$AQ$367,R$7-3),0)+$H$110*IF(R$7-4&gt;=1,INDEX($D$367:$AQ$367,R$7-4),0)+$I$110*IF(R$7-5&gt;=1,INDEX($D$367:$AQ$367,R$7-5),0)+$J$110*IF(R$7-6&gt;=1,INDEX($D$367:$AQ$367,R$7-6),0)+$K$110*IF(R$7-7&gt;=1,INDEX($D$367:$AQ$367,R$7-7),0)+$L$110*IF(R$7-8&gt;=1,INDEX($D$367:$AQ$367,R$7-8),0)+$M$110*IF(R$7-9&gt;=1,INDEX($D$367:$AQ$367,R$7-9),0)+$N$110*IF(R$7-10&gt;=1,INDEX($D$367:$AQ$367,R$7-10),0)+$O$110*IF(R$7-11&gt;=1,INDEX($D$367:$AQ$367,R$7-11),0)+$P$110*IF(R$7-12&gt;=1,INDEX($D$367:$AQ$367,R$7-12),0)</f>
        <v>0</v>
      </c>
      <c r="S369" s="130" t="n">
        <f aca="false">$D$110*IF(S$7-0&gt;=1,INDEX($D$367:$AQ$367,S$7-0),0)+$E$110*IF(S$7-1&gt;=1,INDEX($D$367:$AQ$367,S$7-1),0)+$F$110*IF(S$7-2&gt;=1,INDEX($D$367:$AQ$367,S$7-2),0)+$G$110*IF(S$7-3&gt;=1,INDEX($D$367:$AQ$367,S$7-3),0)+$H$110*IF(S$7-4&gt;=1,INDEX($D$367:$AQ$367,S$7-4),0)+$I$110*IF(S$7-5&gt;=1,INDEX($D$367:$AQ$367,S$7-5),0)+$J$110*IF(S$7-6&gt;=1,INDEX($D$367:$AQ$367,S$7-6),0)+$K$110*IF(S$7-7&gt;=1,INDEX($D$367:$AQ$367,S$7-7),0)+$L$110*IF(S$7-8&gt;=1,INDEX($D$367:$AQ$367,S$7-8),0)+$M$110*IF(S$7-9&gt;=1,INDEX($D$367:$AQ$367,S$7-9),0)+$N$110*IF(S$7-10&gt;=1,INDEX($D$367:$AQ$367,S$7-10),0)+$O$110*IF(S$7-11&gt;=1,INDEX($D$367:$AQ$367,S$7-11),0)+$P$110*IF(S$7-12&gt;=1,INDEX($D$367:$AQ$367,S$7-12),0)</f>
        <v>0</v>
      </c>
      <c r="T369" s="130" t="n">
        <f aca="false">$D$110*IF(T$7-0&gt;=1,INDEX($D$367:$AQ$367,T$7-0),0)+$E$110*IF(T$7-1&gt;=1,INDEX($D$367:$AQ$367,T$7-1),0)+$F$110*IF(T$7-2&gt;=1,INDEX($D$367:$AQ$367,T$7-2),0)+$G$110*IF(T$7-3&gt;=1,INDEX($D$367:$AQ$367,T$7-3),0)+$H$110*IF(T$7-4&gt;=1,INDEX($D$367:$AQ$367,T$7-4),0)+$I$110*IF(T$7-5&gt;=1,INDEX($D$367:$AQ$367,T$7-5),0)+$J$110*IF(T$7-6&gt;=1,INDEX($D$367:$AQ$367,T$7-6),0)+$K$110*IF(T$7-7&gt;=1,INDEX($D$367:$AQ$367,T$7-7),0)+$L$110*IF(T$7-8&gt;=1,INDEX($D$367:$AQ$367,T$7-8),0)+$M$110*IF(T$7-9&gt;=1,INDEX($D$367:$AQ$367,T$7-9),0)+$N$110*IF(T$7-10&gt;=1,INDEX($D$367:$AQ$367,T$7-10),0)+$O$110*IF(T$7-11&gt;=1,INDEX($D$367:$AQ$367,T$7-11),0)+$P$110*IF(T$7-12&gt;=1,INDEX($D$367:$AQ$367,T$7-12),0)</f>
        <v>0</v>
      </c>
      <c r="U369" s="130" t="n">
        <f aca="false">$D$110*IF(U$7-0&gt;=1,INDEX($D$367:$AQ$367,U$7-0),0)+$E$110*IF(U$7-1&gt;=1,INDEX($D$367:$AQ$367,U$7-1),0)+$F$110*IF(U$7-2&gt;=1,INDEX($D$367:$AQ$367,U$7-2),0)+$G$110*IF(U$7-3&gt;=1,INDEX($D$367:$AQ$367,U$7-3),0)+$H$110*IF(U$7-4&gt;=1,INDEX($D$367:$AQ$367,U$7-4),0)+$I$110*IF(U$7-5&gt;=1,INDEX($D$367:$AQ$367,U$7-5),0)+$J$110*IF(U$7-6&gt;=1,INDEX($D$367:$AQ$367,U$7-6),0)+$K$110*IF(U$7-7&gt;=1,INDEX($D$367:$AQ$367,U$7-7),0)+$L$110*IF(U$7-8&gt;=1,INDEX($D$367:$AQ$367,U$7-8),0)+$M$110*IF(U$7-9&gt;=1,INDEX($D$367:$AQ$367,U$7-9),0)+$N$110*IF(U$7-10&gt;=1,INDEX($D$367:$AQ$367,U$7-10),0)+$O$110*IF(U$7-11&gt;=1,INDEX($D$367:$AQ$367,U$7-11),0)+$P$110*IF(U$7-12&gt;=1,INDEX($D$367:$AQ$367,U$7-12),0)</f>
        <v>0</v>
      </c>
      <c r="V369" s="130" t="n">
        <f aca="false">$D$110*IF(V$7-0&gt;=1,INDEX($D$367:$AQ$367,V$7-0),0)+$E$110*IF(V$7-1&gt;=1,INDEX($D$367:$AQ$367,V$7-1),0)+$F$110*IF(V$7-2&gt;=1,INDEX($D$367:$AQ$367,V$7-2),0)+$G$110*IF(V$7-3&gt;=1,INDEX($D$367:$AQ$367,V$7-3),0)+$H$110*IF(V$7-4&gt;=1,INDEX($D$367:$AQ$367,V$7-4),0)+$I$110*IF(V$7-5&gt;=1,INDEX($D$367:$AQ$367,V$7-5),0)+$J$110*IF(V$7-6&gt;=1,INDEX($D$367:$AQ$367,V$7-6),0)+$K$110*IF(V$7-7&gt;=1,INDEX($D$367:$AQ$367,V$7-7),0)+$L$110*IF(V$7-8&gt;=1,INDEX($D$367:$AQ$367,V$7-8),0)+$M$110*IF(V$7-9&gt;=1,INDEX($D$367:$AQ$367,V$7-9),0)+$N$110*IF(V$7-10&gt;=1,INDEX($D$367:$AQ$367,V$7-10),0)+$O$110*IF(V$7-11&gt;=1,INDEX($D$367:$AQ$367,V$7-11),0)+$P$110*IF(V$7-12&gt;=1,INDEX($D$367:$AQ$367,V$7-12),0)</f>
        <v>0</v>
      </c>
      <c r="W369" s="130" t="n">
        <f aca="false">$D$110*IF(W$7-0&gt;=1,INDEX($D$367:$AQ$367,W$7-0),0)+$E$110*IF(W$7-1&gt;=1,INDEX($D$367:$AQ$367,W$7-1),0)+$F$110*IF(W$7-2&gt;=1,INDEX($D$367:$AQ$367,W$7-2),0)+$G$110*IF(W$7-3&gt;=1,INDEX($D$367:$AQ$367,W$7-3),0)+$H$110*IF(W$7-4&gt;=1,INDEX($D$367:$AQ$367,W$7-4),0)+$I$110*IF(W$7-5&gt;=1,INDEX($D$367:$AQ$367,W$7-5),0)+$J$110*IF(W$7-6&gt;=1,INDEX($D$367:$AQ$367,W$7-6),0)+$K$110*IF(W$7-7&gt;=1,INDEX($D$367:$AQ$367,W$7-7),0)+$L$110*IF(W$7-8&gt;=1,INDEX($D$367:$AQ$367,W$7-8),0)+$M$110*IF(W$7-9&gt;=1,INDEX($D$367:$AQ$367,W$7-9),0)+$N$110*IF(W$7-10&gt;=1,INDEX($D$367:$AQ$367,W$7-10),0)+$O$110*IF(W$7-11&gt;=1,INDEX($D$367:$AQ$367,W$7-11),0)+$P$110*IF(W$7-12&gt;=1,INDEX($D$367:$AQ$367,W$7-12),0)</f>
        <v>0</v>
      </c>
      <c r="X369" s="130" t="n">
        <f aca="false">$D$110*IF(X$7-0&gt;=1,INDEX($D$367:$AQ$367,X$7-0),0)+$E$110*IF(X$7-1&gt;=1,INDEX($D$367:$AQ$367,X$7-1),0)+$F$110*IF(X$7-2&gt;=1,INDEX($D$367:$AQ$367,X$7-2),0)+$G$110*IF(X$7-3&gt;=1,INDEX($D$367:$AQ$367,X$7-3),0)+$H$110*IF(X$7-4&gt;=1,INDEX($D$367:$AQ$367,X$7-4),0)+$I$110*IF(X$7-5&gt;=1,INDEX($D$367:$AQ$367,X$7-5),0)+$J$110*IF(X$7-6&gt;=1,INDEX($D$367:$AQ$367,X$7-6),0)+$K$110*IF(X$7-7&gt;=1,INDEX($D$367:$AQ$367,X$7-7),0)+$L$110*IF(X$7-8&gt;=1,INDEX($D$367:$AQ$367,X$7-8),0)+$M$110*IF(X$7-9&gt;=1,INDEX($D$367:$AQ$367,X$7-9),0)+$N$110*IF(X$7-10&gt;=1,INDEX($D$367:$AQ$367,X$7-10),0)+$O$110*IF(X$7-11&gt;=1,INDEX($D$367:$AQ$367,X$7-11),0)+$P$110*IF(X$7-12&gt;=1,INDEX($D$367:$AQ$367,X$7-12),0)</f>
        <v>0</v>
      </c>
      <c r="Y369" s="130" t="n">
        <f aca="false">$D$110*IF(Y$7-0&gt;=1,INDEX($D$367:$AQ$367,Y$7-0),0)+$E$110*IF(Y$7-1&gt;=1,INDEX($D$367:$AQ$367,Y$7-1),0)+$F$110*IF(Y$7-2&gt;=1,INDEX($D$367:$AQ$367,Y$7-2),0)+$G$110*IF(Y$7-3&gt;=1,INDEX($D$367:$AQ$367,Y$7-3),0)+$H$110*IF(Y$7-4&gt;=1,INDEX($D$367:$AQ$367,Y$7-4),0)+$I$110*IF(Y$7-5&gt;=1,INDEX($D$367:$AQ$367,Y$7-5),0)+$J$110*IF(Y$7-6&gt;=1,INDEX($D$367:$AQ$367,Y$7-6),0)+$K$110*IF(Y$7-7&gt;=1,INDEX($D$367:$AQ$367,Y$7-7),0)+$L$110*IF(Y$7-8&gt;=1,INDEX($D$367:$AQ$367,Y$7-8),0)+$M$110*IF(Y$7-9&gt;=1,INDEX($D$367:$AQ$367,Y$7-9),0)+$N$110*IF(Y$7-10&gt;=1,INDEX($D$367:$AQ$367,Y$7-10),0)+$O$110*IF(Y$7-11&gt;=1,INDEX($D$367:$AQ$367,Y$7-11),0)+$P$110*IF(Y$7-12&gt;=1,INDEX($D$367:$AQ$367,Y$7-12),0)</f>
        <v>0</v>
      </c>
      <c r="Z369" s="130" t="n">
        <f aca="false">$D$110*IF(Z$7-0&gt;=1,INDEX($D$367:$AQ$367,Z$7-0),0)+$E$110*IF(Z$7-1&gt;=1,INDEX($D$367:$AQ$367,Z$7-1),0)+$F$110*IF(Z$7-2&gt;=1,INDEX($D$367:$AQ$367,Z$7-2),0)+$G$110*IF(Z$7-3&gt;=1,INDEX($D$367:$AQ$367,Z$7-3),0)+$H$110*IF(Z$7-4&gt;=1,INDEX($D$367:$AQ$367,Z$7-4),0)+$I$110*IF(Z$7-5&gt;=1,INDEX($D$367:$AQ$367,Z$7-5),0)+$J$110*IF(Z$7-6&gt;=1,INDEX($D$367:$AQ$367,Z$7-6),0)+$K$110*IF(Z$7-7&gt;=1,INDEX($D$367:$AQ$367,Z$7-7),0)+$L$110*IF(Z$7-8&gt;=1,INDEX($D$367:$AQ$367,Z$7-8),0)+$M$110*IF(Z$7-9&gt;=1,INDEX($D$367:$AQ$367,Z$7-9),0)+$N$110*IF(Z$7-10&gt;=1,INDEX($D$367:$AQ$367,Z$7-10),0)+$O$110*IF(Z$7-11&gt;=1,INDEX($D$367:$AQ$367,Z$7-11),0)+$P$110*IF(Z$7-12&gt;=1,INDEX($D$367:$AQ$367,Z$7-12),0)</f>
        <v>0</v>
      </c>
      <c r="AA369" s="130" t="n">
        <f aca="false">$D$110*IF(AA$7-0&gt;=1,INDEX($D$367:$AQ$367,AA$7-0),0)+$E$110*IF(AA$7-1&gt;=1,INDEX($D$367:$AQ$367,AA$7-1),0)+$F$110*IF(AA$7-2&gt;=1,INDEX($D$367:$AQ$367,AA$7-2),0)+$G$110*IF(AA$7-3&gt;=1,INDEX($D$367:$AQ$367,AA$7-3),0)+$H$110*IF(AA$7-4&gt;=1,INDEX($D$367:$AQ$367,AA$7-4),0)+$I$110*IF(AA$7-5&gt;=1,INDEX($D$367:$AQ$367,AA$7-5),0)+$J$110*IF(AA$7-6&gt;=1,INDEX($D$367:$AQ$367,AA$7-6),0)+$K$110*IF(AA$7-7&gt;=1,INDEX($D$367:$AQ$367,AA$7-7),0)+$L$110*IF(AA$7-8&gt;=1,INDEX($D$367:$AQ$367,AA$7-8),0)+$M$110*IF(AA$7-9&gt;=1,INDEX($D$367:$AQ$367,AA$7-9),0)+$N$110*IF(AA$7-10&gt;=1,INDEX($D$367:$AQ$367,AA$7-10),0)+$O$110*IF(AA$7-11&gt;=1,INDEX($D$367:$AQ$367,AA$7-11),0)+$P$110*IF(AA$7-12&gt;=1,INDEX($D$367:$AQ$367,AA$7-12),0)</f>
        <v>0</v>
      </c>
      <c r="AB369" s="130" t="n">
        <f aca="false">$D$110*IF(AB$7-0&gt;=1,INDEX($D$367:$AQ$367,AB$7-0),0)+$E$110*IF(AB$7-1&gt;=1,INDEX($D$367:$AQ$367,AB$7-1),0)+$F$110*IF(AB$7-2&gt;=1,INDEX($D$367:$AQ$367,AB$7-2),0)+$G$110*IF(AB$7-3&gt;=1,INDEX($D$367:$AQ$367,AB$7-3),0)+$H$110*IF(AB$7-4&gt;=1,INDEX($D$367:$AQ$367,AB$7-4),0)+$I$110*IF(AB$7-5&gt;=1,INDEX($D$367:$AQ$367,AB$7-5),0)+$J$110*IF(AB$7-6&gt;=1,INDEX($D$367:$AQ$367,AB$7-6),0)+$K$110*IF(AB$7-7&gt;=1,INDEX($D$367:$AQ$367,AB$7-7),0)+$L$110*IF(AB$7-8&gt;=1,INDEX($D$367:$AQ$367,AB$7-8),0)+$M$110*IF(AB$7-9&gt;=1,INDEX($D$367:$AQ$367,AB$7-9),0)+$N$110*IF(AB$7-10&gt;=1,INDEX($D$367:$AQ$367,AB$7-10),0)+$O$110*IF(AB$7-11&gt;=1,INDEX($D$367:$AQ$367,AB$7-11),0)+$P$110*IF(AB$7-12&gt;=1,INDEX($D$367:$AQ$367,AB$7-12),0)</f>
        <v>0</v>
      </c>
      <c r="AC369" s="130" t="n">
        <f aca="false">$D$110*IF(AC$7-0&gt;=1,INDEX($D$367:$AQ$367,AC$7-0),0)+$E$110*IF(AC$7-1&gt;=1,INDEX($D$367:$AQ$367,AC$7-1),0)+$F$110*IF(AC$7-2&gt;=1,INDEX($D$367:$AQ$367,AC$7-2),0)+$G$110*IF(AC$7-3&gt;=1,INDEX($D$367:$AQ$367,AC$7-3),0)+$H$110*IF(AC$7-4&gt;=1,INDEX($D$367:$AQ$367,AC$7-4),0)+$I$110*IF(AC$7-5&gt;=1,INDEX($D$367:$AQ$367,AC$7-5),0)+$J$110*IF(AC$7-6&gt;=1,INDEX($D$367:$AQ$367,AC$7-6),0)+$K$110*IF(AC$7-7&gt;=1,INDEX($D$367:$AQ$367,AC$7-7),0)+$L$110*IF(AC$7-8&gt;=1,INDEX($D$367:$AQ$367,AC$7-8),0)+$M$110*IF(AC$7-9&gt;=1,INDEX($D$367:$AQ$367,AC$7-9),0)+$N$110*IF(AC$7-10&gt;=1,INDEX($D$367:$AQ$367,AC$7-10),0)+$O$110*IF(AC$7-11&gt;=1,INDEX($D$367:$AQ$367,AC$7-11),0)+$P$110*IF(AC$7-12&gt;=1,INDEX($D$367:$AQ$367,AC$7-12),0)</f>
        <v>0</v>
      </c>
      <c r="AD369" s="130" t="n">
        <f aca="false">$D$110*IF(AD$7-0&gt;=1,INDEX($D$367:$AQ$367,AD$7-0),0)+$E$110*IF(AD$7-1&gt;=1,INDEX($D$367:$AQ$367,AD$7-1),0)+$F$110*IF(AD$7-2&gt;=1,INDEX($D$367:$AQ$367,AD$7-2),0)+$G$110*IF(AD$7-3&gt;=1,INDEX($D$367:$AQ$367,AD$7-3),0)+$H$110*IF(AD$7-4&gt;=1,INDEX($D$367:$AQ$367,AD$7-4),0)+$I$110*IF(AD$7-5&gt;=1,INDEX($D$367:$AQ$367,AD$7-5),0)+$J$110*IF(AD$7-6&gt;=1,INDEX($D$367:$AQ$367,AD$7-6),0)+$K$110*IF(AD$7-7&gt;=1,INDEX($D$367:$AQ$367,AD$7-7),0)+$L$110*IF(AD$7-8&gt;=1,INDEX($D$367:$AQ$367,AD$7-8),0)+$M$110*IF(AD$7-9&gt;=1,INDEX($D$367:$AQ$367,AD$7-9),0)+$N$110*IF(AD$7-10&gt;=1,INDEX($D$367:$AQ$367,AD$7-10),0)+$O$110*IF(AD$7-11&gt;=1,INDEX($D$367:$AQ$367,AD$7-11),0)+$P$110*IF(AD$7-12&gt;=1,INDEX($D$367:$AQ$367,AD$7-12),0)</f>
        <v>0</v>
      </c>
      <c r="AE369" s="130" t="n">
        <f aca="false">$D$110*IF(AE$7-0&gt;=1,INDEX($D$367:$AQ$367,AE$7-0),0)+$E$110*IF(AE$7-1&gt;=1,INDEX($D$367:$AQ$367,AE$7-1),0)+$F$110*IF(AE$7-2&gt;=1,INDEX($D$367:$AQ$367,AE$7-2),0)+$G$110*IF(AE$7-3&gt;=1,INDEX($D$367:$AQ$367,AE$7-3),0)+$H$110*IF(AE$7-4&gt;=1,INDEX($D$367:$AQ$367,AE$7-4),0)+$I$110*IF(AE$7-5&gt;=1,INDEX($D$367:$AQ$367,AE$7-5),0)+$J$110*IF(AE$7-6&gt;=1,INDEX($D$367:$AQ$367,AE$7-6),0)+$K$110*IF(AE$7-7&gt;=1,INDEX($D$367:$AQ$367,AE$7-7),0)+$L$110*IF(AE$7-8&gt;=1,INDEX($D$367:$AQ$367,AE$7-8),0)+$M$110*IF(AE$7-9&gt;=1,INDEX($D$367:$AQ$367,AE$7-9),0)+$N$110*IF(AE$7-10&gt;=1,INDEX($D$367:$AQ$367,AE$7-10),0)+$O$110*IF(AE$7-11&gt;=1,INDEX($D$367:$AQ$367,AE$7-11),0)+$P$110*IF(AE$7-12&gt;=1,INDEX($D$367:$AQ$367,AE$7-12),0)</f>
        <v>0</v>
      </c>
      <c r="AF369" s="130" t="n">
        <f aca="false">$D$110*IF(AF$7-0&gt;=1,INDEX($D$367:$AQ$367,AF$7-0),0)+$E$110*IF(AF$7-1&gt;=1,INDEX($D$367:$AQ$367,AF$7-1),0)+$F$110*IF(AF$7-2&gt;=1,INDEX($D$367:$AQ$367,AF$7-2),0)+$G$110*IF(AF$7-3&gt;=1,INDEX($D$367:$AQ$367,AF$7-3),0)+$H$110*IF(AF$7-4&gt;=1,INDEX($D$367:$AQ$367,AF$7-4),0)+$I$110*IF(AF$7-5&gt;=1,INDEX($D$367:$AQ$367,AF$7-5),0)+$J$110*IF(AF$7-6&gt;=1,INDEX($D$367:$AQ$367,AF$7-6),0)+$K$110*IF(AF$7-7&gt;=1,INDEX($D$367:$AQ$367,AF$7-7),0)+$L$110*IF(AF$7-8&gt;=1,INDEX($D$367:$AQ$367,AF$7-8),0)+$M$110*IF(AF$7-9&gt;=1,INDEX($D$367:$AQ$367,AF$7-9),0)+$N$110*IF(AF$7-10&gt;=1,INDEX($D$367:$AQ$367,AF$7-10),0)+$O$110*IF(AF$7-11&gt;=1,INDEX($D$367:$AQ$367,AF$7-11),0)+$P$110*IF(AF$7-12&gt;=1,INDEX($D$367:$AQ$367,AF$7-12),0)</f>
        <v>0</v>
      </c>
      <c r="AG369" s="130" t="n">
        <f aca="false">$D$110*IF(AG$7-0&gt;=1,INDEX($D$367:$AQ$367,AG$7-0),0)+$E$110*IF(AG$7-1&gt;=1,INDEX($D$367:$AQ$367,AG$7-1),0)+$F$110*IF(AG$7-2&gt;=1,INDEX($D$367:$AQ$367,AG$7-2),0)+$G$110*IF(AG$7-3&gt;=1,INDEX($D$367:$AQ$367,AG$7-3),0)+$H$110*IF(AG$7-4&gt;=1,INDEX($D$367:$AQ$367,AG$7-4),0)+$I$110*IF(AG$7-5&gt;=1,INDEX($D$367:$AQ$367,AG$7-5),0)+$J$110*IF(AG$7-6&gt;=1,INDEX($D$367:$AQ$367,AG$7-6),0)+$K$110*IF(AG$7-7&gt;=1,INDEX($D$367:$AQ$367,AG$7-7),0)+$L$110*IF(AG$7-8&gt;=1,INDEX($D$367:$AQ$367,AG$7-8),0)+$M$110*IF(AG$7-9&gt;=1,INDEX($D$367:$AQ$367,AG$7-9),0)+$N$110*IF(AG$7-10&gt;=1,INDEX($D$367:$AQ$367,AG$7-10),0)+$O$110*IF(AG$7-11&gt;=1,INDEX($D$367:$AQ$367,AG$7-11),0)+$P$110*IF(AG$7-12&gt;=1,INDEX($D$367:$AQ$367,AG$7-12),0)</f>
        <v>0</v>
      </c>
      <c r="AH369" s="130" t="n">
        <f aca="false">$D$110*IF(AH$7-0&gt;=1,INDEX($D$367:$AQ$367,AH$7-0),0)+$E$110*IF(AH$7-1&gt;=1,INDEX($D$367:$AQ$367,AH$7-1),0)+$F$110*IF(AH$7-2&gt;=1,INDEX($D$367:$AQ$367,AH$7-2),0)+$G$110*IF(AH$7-3&gt;=1,INDEX($D$367:$AQ$367,AH$7-3),0)+$H$110*IF(AH$7-4&gt;=1,INDEX($D$367:$AQ$367,AH$7-4),0)+$I$110*IF(AH$7-5&gt;=1,INDEX($D$367:$AQ$367,AH$7-5),0)+$J$110*IF(AH$7-6&gt;=1,INDEX($D$367:$AQ$367,AH$7-6),0)+$K$110*IF(AH$7-7&gt;=1,INDEX($D$367:$AQ$367,AH$7-7),0)+$L$110*IF(AH$7-8&gt;=1,INDEX($D$367:$AQ$367,AH$7-8),0)+$M$110*IF(AH$7-9&gt;=1,INDEX($D$367:$AQ$367,AH$7-9),0)+$N$110*IF(AH$7-10&gt;=1,INDEX($D$367:$AQ$367,AH$7-10),0)+$O$110*IF(AH$7-11&gt;=1,INDEX($D$367:$AQ$367,AH$7-11),0)+$P$110*IF(AH$7-12&gt;=1,INDEX($D$367:$AQ$367,AH$7-12),0)</f>
        <v>0</v>
      </c>
      <c r="AI369" s="130" t="n">
        <f aca="false">$D$110*IF(AI$7-0&gt;=1,INDEX($D$367:$AQ$367,AI$7-0),0)+$E$110*IF(AI$7-1&gt;=1,INDEX($D$367:$AQ$367,AI$7-1),0)+$F$110*IF(AI$7-2&gt;=1,INDEX($D$367:$AQ$367,AI$7-2),0)+$G$110*IF(AI$7-3&gt;=1,INDEX($D$367:$AQ$367,AI$7-3),0)+$H$110*IF(AI$7-4&gt;=1,INDEX($D$367:$AQ$367,AI$7-4),0)+$I$110*IF(AI$7-5&gt;=1,INDEX($D$367:$AQ$367,AI$7-5),0)+$J$110*IF(AI$7-6&gt;=1,INDEX($D$367:$AQ$367,AI$7-6),0)+$K$110*IF(AI$7-7&gt;=1,INDEX($D$367:$AQ$367,AI$7-7),0)+$L$110*IF(AI$7-8&gt;=1,INDEX($D$367:$AQ$367,AI$7-8),0)+$M$110*IF(AI$7-9&gt;=1,INDEX($D$367:$AQ$367,AI$7-9),0)+$N$110*IF(AI$7-10&gt;=1,INDEX($D$367:$AQ$367,AI$7-10),0)+$O$110*IF(AI$7-11&gt;=1,INDEX($D$367:$AQ$367,AI$7-11),0)+$P$110*IF(AI$7-12&gt;=1,INDEX($D$367:$AQ$367,AI$7-12),0)</f>
        <v>0</v>
      </c>
      <c r="AJ369" s="130" t="n">
        <f aca="false">$D$110*IF(AJ$7-0&gt;=1,INDEX($D$367:$AQ$367,AJ$7-0),0)+$E$110*IF(AJ$7-1&gt;=1,INDEX($D$367:$AQ$367,AJ$7-1),0)+$F$110*IF(AJ$7-2&gt;=1,INDEX($D$367:$AQ$367,AJ$7-2),0)+$G$110*IF(AJ$7-3&gt;=1,INDEX($D$367:$AQ$367,AJ$7-3),0)+$H$110*IF(AJ$7-4&gt;=1,INDEX($D$367:$AQ$367,AJ$7-4),0)+$I$110*IF(AJ$7-5&gt;=1,INDEX($D$367:$AQ$367,AJ$7-5),0)+$J$110*IF(AJ$7-6&gt;=1,INDEX($D$367:$AQ$367,AJ$7-6),0)+$K$110*IF(AJ$7-7&gt;=1,INDEX($D$367:$AQ$367,AJ$7-7),0)+$L$110*IF(AJ$7-8&gt;=1,INDEX($D$367:$AQ$367,AJ$7-8),0)+$M$110*IF(AJ$7-9&gt;=1,INDEX($D$367:$AQ$367,AJ$7-9),0)+$N$110*IF(AJ$7-10&gt;=1,INDEX($D$367:$AQ$367,AJ$7-10),0)+$O$110*IF(AJ$7-11&gt;=1,INDEX($D$367:$AQ$367,AJ$7-11),0)+$P$110*IF(AJ$7-12&gt;=1,INDEX($D$367:$AQ$367,AJ$7-12),0)</f>
        <v>0</v>
      </c>
      <c r="AK369" s="130" t="n">
        <f aca="false">$D$110*IF(AK$7-0&gt;=1,INDEX($D$367:$AQ$367,AK$7-0),0)+$E$110*IF(AK$7-1&gt;=1,INDEX($D$367:$AQ$367,AK$7-1),0)+$F$110*IF(AK$7-2&gt;=1,INDEX($D$367:$AQ$367,AK$7-2),0)+$G$110*IF(AK$7-3&gt;=1,INDEX($D$367:$AQ$367,AK$7-3),0)+$H$110*IF(AK$7-4&gt;=1,INDEX($D$367:$AQ$367,AK$7-4),0)+$I$110*IF(AK$7-5&gt;=1,INDEX($D$367:$AQ$367,AK$7-5),0)+$J$110*IF(AK$7-6&gt;=1,INDEX($D$367:$AQ$367,AK$7-6),0)+$K$110*IF(AK$7-7&gt;=1,INDEX($D$367:$AQ$367,AK$7-7),0)+$L$110*IF(AK$7-8&gt;=1,INDEX($D$367:$AQ$367,AK$7-8),0)+$M$110*IF(AK$7-9&gt;=1,INDEX($D$367:$AQ$367,AK$7-9),0)+$N$110*IF(AK$7-10&gt;=1,INDEX($D$367:$AQ$367,AK$7-10),0)+$O$110*IF(AK$7-11&gt;=1,INDEX($D$367:$AQ$367,AK$7-11),0)+$P$110*IF(AK$7-12&gt;=1,INDEX($D$367:$AQ$367,AK$7-12),0)</f>
        <v>0</v>
      </c>
      <c r="AL369" s="130" t="n">
        <f aca="false">$D$110*IF(AL$7-0&gt;=1,INDEX($D$367:$AQ$367,AL$7-0),0)+$E$110*IF(AL$7-1&gt;=1,INDEX($D$367:$AQ$367,AL$7-1),0)+$F$110*IF(AL$7-2&gt;=1,INDEX($D$367:$AQ$367,AL$7-2),0)+$G$110*IF(AL$7-3&gt;=1,INDEX($D$367:$AQ$367,AL$7-3),0)+$H$110*IF(AL$7-4&gt;=1,INDEX($D$367:$AQ$367,AL$7-4),0)+$I$110*IF(AL$7-5&gt;=1,INDEX($D$367:$AQ$367,AL$7-5),0)+$J$110*IF(AL$7-6&gt;=1,INDEX($D$367:$AQ$367,AL$7-6),0)+$K$110*IF(AL$7-7&gt;=1,INDEX($D$367:$AQ$367,AL$7-7),0)+$L$110*IF(AL$7-8&gt;=1,INDEX($D$367:$AQ$367,AL$7-8),0)+$M$110*IF(AL$7-9&gt;=1,INDEX($D$367:$AQ$367,AL$7-9),0)+$N$110*IF(AL$7-10&gt;=1,INDEX($D$367:$AQ$367,AL$7-10),0)+$O$110*IF(AL$7-11&gt;=1,INDEX($D$367:$AQ$367,AL$7-11),0)+$P$110*IF(AL$7-12&gt;=1,INDEX($D$367:$AQ$367,AL$7-12),0)</f>
        <v>0</v>
      </c>
      <c r="AM369" s="130" t="n">
        <f aca="false">$D$110*IF(AM$7-0&gt;=1,INDEX($D$367:$AQ$367,AM$7-0),0)+$E$110*IF(AM$7-1&gt;=1,INDEX($D$367:$AQ$367,AM$7-1),0)+$F$110*IF(AM$7-2&gt;=1,INDEX($D$367:$AQ$367,AM$7-2),0)+$G$110*IF(AM$7-3&gt;=1,INDEX($D$367:$AQ$367,AM$7-3),0)+$H$110*IF(AM$7-4&gt;=1,INDEX($D$367:$AQ$367,AM$7-4),0)+$I$110*IF(AM$7-5&gt;=1,INDEX($D$367:$AQ$367,AM$7-5),0)+$J$110*IF(AM$7-6&gt;=1,INDEX($D$367:$AQ$367,AM$7-6),0)+$K$110*IF(AM$7-7&gt;=1,INDEX($D$367:$AQ$367,AM$7-7),0)+$L$110*IF(AM$7-8&gt;=1,INDEX($D$367:$AQ$367,AM$7-8),0)+$M$110*IF(AM$7-9&gt;=1,INDEX($D$367:$AQ$367,AM$7-9),0)+$N$110*IF(AM$7-10&gt;=1,INDEX($D$367:$AQ$367,AM$7-10),0)+$O$110*IF(AM$7-11&gt;=1,INDEX($D$367:$AQ$367,AM$7-11),0)+$P$110*IF(AM$7-12&gt;=1,INDEX($D$367:$AQ$367,AM$7-12),0)</f>
        <v>0</v>
      </c>
      <c r="AN369" s="130" t="n">
        <f aca="false">$D$110*IF(AN$7-0&gt;=1,INDEX($D$367:$AQ$367,AN$7-0),0)+$E$110*IF(AN$7-1&gt;=1,INDEX($D$367:$AQ$367,AN$7-1),0)+$F$110*IF(AN$7-2&gt;=1,INDEX($D$367:$AQ$367,AN$7-2),0)+$G$110*IF(AN$7-3&gt;=1,INDEX($D$367:$AQ$367,AN$7-3),0)+$H$110*IF(AN$7-4&gt;=1,INDEX($D$367:$AQ$367,AN$7-4),0)+$I$110*IF(AN$7-5&gt;=1,INDEX($D$367:$AQ$367,AN$7-5),0)+$J$110*IF(AN$7-6&gt;=1,INDEX($D$367:$AQ$367,AN$7-6),0)+$K$110*IF(AN$7-7&gt;=1,INDEX($D$367:$AQ$367,AN$7-7),0)+$L$110*IF(AN$7-8&gt;=1,INDEX($D$367:$AQ$367,AN$7-8),0)+$M$110*IF(AN$7-9&gt;=1,INDEX($D$367:$AQ$367,AN$7-9),0)+$N$110*IF(AN$7-10&gt;=1,INDEX($D$367:$AQ$367,AN$7-10),0)+$O$110*IF(AN$7-11&gt;=1,INDEX($D$367:$AQ$367,AN$7-11),0)+$P$110*IF(AN$7-12&gt;=1,INDEX($D$367:$AQ$367,AN$7-12),0)</f>
        <v>0</v>
      </c>
      <c r="AO369" s="130" t="n">
        <f aca="false">$D$110*IF(AO$7-0&gt;=1,INDEX($D$367:$AQ$367,AO$7-0),0)+$E$110*IF(AO$7-1&gt;=1,INDEX($D$367:$AQ$367,AO$7-1),0)+$F$110*IF(AO$7-2&gt;=1,INDEX($D$367:$AQ$367,AO$7-2),0)+$G$110*IF(AO$7-3&gt;=1,INDEX($D$367:$AQ$367,AO$7-3),0)+$H$110*IF(AO$7-4&gt;=1,INDEX($D$367:$AQ$367,AO$7-4),0)+$I$110*IF(AO$7-5&gt;=1,INDEX($D$367:$AQ$367,AO$7-5),0)+$J$110*IF(AO$7-6&gt;=1,INDEX($D$367:$AQ$367,AO$7-6),0)+$K$110*IF(AO$7-7&gt;=1,INDEX($D$367:$AQ$367,AO$7-7),0)+$L$110*IF(AO$7-8&gt;=1,INDEX($D$367:$AQ$367,AO$7-8),0)+$M$110*IF(AO$7-9&gt;=1,INDEX($D$367:$AQ$367,AO$7-9),0)+$N$110*IF(AO$7-10&gt;=1,INDEX($D$367:$AQ$367,AO$7-10),0)+$O$110*IF(AO$7-11&gt;=1,INDEX($D$367:$AQ$367,AO$7-11),0)+$P$110*IF(AO$7-12&gt;=1,INDEX($D$367:$AQ$367,AO$7-12),0)</f>
        <v>0</v>
      </c>
      <c r="AP369" s="130" t="n">
        <f aca="false">$D$110*IF(AP$7-0&gt;=1,INDEX($D$367:$AQ$367,AP$7-0),0)+$E$110*IF(AP$7-1&gt;=1,INDEX($D$367:$AQ$367,AP$7-1),0)+$F$110*IF(AP$7-2&gt;=1,INDEX($D$367:$AQ$367,AP$7-2),0)+$G$110*IF(AP$7-3&gt;=1,INDEX($D$367:$AQ$367,AP$7-3),0)+$H$110*IF(AP$7-4&gt;=1,INDEX($D$367:$AQ$367,AP$7-4),0)+$I$110*IF(AP$7-5&gt;=1,INDEX($D$367:$AQ$367,AP$7-5),0)+$J$110*IF(AP$7-6&gt;=1,INDEX($D$367:$AQ$367,AP$7-6),0)+$K$110*IF(AP$7-7&gt;=1,INDEX($D$367:$AQ$367,AP$7-7),0)+$L$110*IF(AP$7-8&gt;=1,INDEX($D$367:$AQ$367,AP$7-8),0)+$M$110*IF(AP$7-9&gt;=1,INDEX($D$367:$AQ$367,AP$7-9),0)+$N$110*IF(AP$7-10&gt;=1,INDEX($D$367:$AQ$367,AP$7-10),0)+$O$110*IF(AP$7-11&gt;=1,INDEX($D$367:$AQ$367,AP$7-11),0)+$P$110*IF(AP$7-12&gt;=1,INDEX($D$367:$AQ$367,AP$7-12),0)</f>
        <v>0</v>
      </c>
      <c r="AQ369" s="130" t="n">
        <f aca="false">$D$110*IF(AQ$7-0&gt;=1,INDEX($D$367:$AQ$367,AQ$7-0),0)+$E$110*IF(AQ$7-1&gt;=1,INDEX($D$367:$AQ$367,AQ$7-1),0)+$F$110*IF(AQ$7-2&gt;=1,INDEX($D$367:$AQ$367,AQ$7-2),0)+$G$110*IF(AQ$7-3&gt;=1,INDEX($D$367:$AQ$367,AQ$7-3),0)+$H$110*IF(AQ$7-4&gt;=1,INDEX($D$367:$AQ$367,AQ$7-4),0)+$I$110*IF(AQ$7-5&gt;=1,INDEX($D$367:$AQ$367,AQ$7-5),0)+$J$110*IF(AQ$7-6&gt;=1,INDEX($D$367:$AQ$367,AQ$7-6),0)+$K$110*IF(AQ$7-7&gt;=1,INDEX($D$367:$AQ$367,AQ$7-7),0)+$L$110*IF(AQ$7-8&gt;=1,INDEX($D$367:$AQ$367,AQ$7-8),0)+$M$110*IF(AQ$7-9&gt;=1,INDEX($D$367:$AQ$367,AQ$7-9),0)+$N$110*IF(AQ$7-10&gt;=1,INDEX($D$367:$AQ$367,AQ$7-10),0)+$O$110*IF(AQ$7-11&gt;=1,INDEX($D$367:$AQ$367,AQ$7-11),0)+$P$110*IF(AQ$7-12&gt;=1,INDEX($D$367:$AQ$367,AQ$7-12),0)</f>
        <v>0</v>
      </c>
    </row>
    <row r="370" customFormat="false" ht="15" hidden="false" customHeight="false" outlineLevel="0" collapsed="false">
      <c r="B370" s="131" t="s">
        <v>715</v>
      </c>
      <c r="C370" s="129" t="n">
        <f aca="false">SUM(D370:AQ370)</f>
        <v>28.8</v>
      </c>
      <c r="D370" s="130" t="n">
        <f aca="false">SUMIFS($E$80:$E$109,$C$80:$C$109,"Construction % complete",$F$80:$F$109,D$7)*IF(D$7-INPUTS!$C$215&gt;=1,INDEX($D$368:$AQ$368,D$7-INPUTS!$C$215),0)+SUMIFS($E$80:$E$109,$C$80:$C$109,"Construction % complete",$F$80:$F$109,"&lt;"&amp;D$7)*IF(D$7-INPUTS!$C$215&gt;=1,INDEX($D$367:$AQ$367,D$7-INPUTS!$C$215),0)</f>
        <v>0</v>
      </c>
      <c r="E370" s="130" t="n">
        <f aca="false">SUMIFS($E$80:$E$109,$C$80:$C$109,"Construction % complete",$F$80:$F$109,E$7)*IF(E$7-INPUTS!$C$215&gt;=1,INDEX($D$368:$AQ$368,E$7-INPUTS!$C$215),0)+SUMIFS($E$80:$E$109,$C$80:$C$109,"Construction % complete",$F$80:$F$109,"&lt;"&amp;E$7)*IF(E$7-INPUTS!$C$215&gt;=1,INDEX($D$367:$AQ$367,E$7-INPUTS!$C$215),0)</f>
        <v>0</v>
      </c>
      <c r="F370" s="130" t="n">
        <f aca="false">SUMIFS($E$80:$E$109,$C$80:$C$109,"Construction % complete",$F$80:$F$109,F$7)*IF(F$7-INPUTS!$C$215&gt;=1,INDEX($D$368:$AQ$368,F$7-INPUTS!$C$215),0)+SUMIFS($E$80:$E$109,$C$80:$C$109,"Construction % complete",$F$80:$F$109,"&lt;"&amp;F$7)*IF(F$7-INPUTS!$C$215&gt;=1,INDEX($D$367:$AQ$367,F$7-INPUTS!$C$215),0)</f>
        <v>0</v>
      </c>
      <c r="G370" s="130" t="n">
        <f aca="false">SUMIFS($E$80:$E$109,$C$80:$C$109,"Construction % complete",$F$80:$F$109,G$7)*IF(G$7-INPUTS!$C$215&gt;=1,INDEX($D$368:$AQ$368,G$7-INPUTS!$C$215),0)+SUMIFS($E$80:$E$109,$C$80:$C$109,"Construction % complete",$F$80:$F$109,"&lt;"&amp;G$7)*IF(G$7-INPUTS!$C$215&gt;=1,INDEX($D$367:$AQ$367,G$7-INPUTS!$C$215),0)</f>
        <v>0</v>
      </c>
      <c r="H370" s="130" t="n">
        <f aca="false">SUMIFS($E$80:$E$109,$C$80:$C$109,"Construction % complete",$F$80:$F$109,H$7)*IF(H$7-INPUTS!$C$215&gt;=1,INDEX($D$368:$AQ$368,H$7-INPUTS!$C$215),0)+SUMIFS($E$80:$E$109,$C$80:$C$109,"Construction % complete",$F$80:$F$109,"&lt;"&amp;H$7)*IF(H$7-INPUTS!$C$215&gt;=1,INDEX($D$367:$AQ$367,H$7-INPUTS!$C$215),0)</f>
        <v>0</v>
      </c>
      <c r="I370" s="130" t="n">
        <f aca="false">SUMIFS($E$80:$E$109,$C$80:$C$109,"Construction % complete",$F$80:$F$109,I$7)*IF(I$7-INPUTS!$C$215&gt;=1,INDEX($D$368:$AQ$368,I$7-INPUTS!$C$215),0)+SUMIFS($E$80:$E$109,$C$80:$C$109,"Construction % complete",$F$80:$F$109,"&lt;"&amp;I$7)*IF(I$7-INPUTS!$C$215&gt;=1,INDEX($D$367:$AQ$367,I$7-INPUTS!$C$215),0)</f>
        <v>0</v>
      </c>
      <c r="J370" s="130" t="n">
        <f aca="false">SUMIFS($E$80:$E$109,$C$80:$C$109,"Construction % complete",$F$80:$F$109,J$7)*IF(J$7-INPUTS!$C$215&gt;=1,INDEX($D$368:$AQ$368,J$7-INPUTS!$C$215),0)+SUMIFS($E$80:$E$109,$C$80:$C$109,"Construction % complete",$F$80:$F$109,"&lt;"&amp;J$7)*IF(J$7-INPUTS!$C$215&gt;=1,INDEX($D$367:$AQ$367,J$7-INPUTS!$C$215),0)</f>
        <v>0</v>
      </c>
      <c r="K370" s="130" t="n">
        <f aca="false">SUMIFS($E$80:$E$109,$C$80:$C$109,"Construction % complete",$F$80:$F$109,K$7)*IF(K$7-INPUTS!$C$215&gt;=1,INDEX($D$368:$AQ$368,K$7-INPUTS!$C$215),0)+SUMIFS($E$80:$E$109,$C$80:$C$109,"Construction % complete",$F$80:$F$109,"&lt;"&amp;K$7)*IF(K$7-INPUTS!$C$215&gt;=1,INDEX($D$367:$AQ$367,K$7-INPUTS!$C$215),0)</f>
        <v>0.9</v>
      </c>
      <c r="L370" s="130" t="n">
        <f aca="false">SUMIFS($E$80:$E$109,$C$80:$C$109,"Construction % complete",$F$80:$F$109,L$7)*IF(L$7-INPUTS!$C$215&gt;=1,INDEX($D$368:$AQ$368,L$7-INPUTS!$C$215),0)+SUMIFS($E$80:$E$109,$C$80:$C$109,"Construction % complete",$F$80:$F$109,"&lt;"&amp;L$7)*IF(L$7-INPUTS!$C$215&gt;=1,INDEX($D$367:$AQ$367,L$7-INPUTS!$C$215),0)</f>
        <v>1.8</v>
      </c>
      <c r="M370" s="130" t="n">
        <f aca="false">SUMIFS($E$80:$E$109,$C$80:$C$109,"Construction % complete",$F$80:$F$109,M$7)*IF(M$7-INPUTS!$C$215&gt;=1,INDEX($D$368:$AQ$368,M$7-INPUTS!$C$215),0)+SUMIFS($E$80:$E$109,$C$80:$C$109,"Construction % complete",$F$80:$F$109,"&lt;"&amp;M$7)*IF(M$7-INPUTS!$C$215&gt;=1,INDEX($D$367:$AQ$367,M$7-INPUTS!$C$215),0)</f>
        <v>2.7</v>
      </c>
      <c r="N370" s="130" t="n">
        <f aca="false">SUMIFS($E$80:$E$109,$C$80:$C$109,"Construction % complete",$F$80:$F$109,N$7)*IF(N$7-INPUTS!$C$215&gt;=1,INDEX($D$368:$AQ$368,N$7-INPUTS!$C$215),0)+SUMIFS($E$80:$E$109,$C$80:$C$109,"Construction % complete",$F$80:$F$109,"&lt;"&amp;N$7)*IF(N$7-INPUTS!$C$215&gt;=1,INDEX($D$367:$AQ$367,N$7-INPUTS!$C$215),0)</f>
        <v>3.6</v>
      </c>
      <c r="O370" s="130" t="n">
        <f aca="false">SUMIFS($E$80:$E$109,$C$80:$C$109,"Construction % complete",$F$80:$F$109,O$7)*IF(O$7-INPUTS!$C$215&gt;=1,INDEX($D$368:$AQ$368,O$7-INPUTS!$C$215),0)+SUMIFS($E$80:$E$109,$C$80:$C$109,"Construction % complete",$F$80:$F$109,"&lt;"&amp;O$7)*IF(O$7-INPUTS!$C$215&gt;=1,INDEX($D$367:$AQ$367,O$7-INPUTS!$C$215),0)</f>
        <v>1.8</v>
      </c>
      <c r="P370" s="130" t="n">
        <f aca="false">SUMIFS($E$80:$E$109,$C$80:$C$109,"Construction % complete",$F$80:$F$109,P$7)*IF(P$7-INPUTS!$C$215&gt;=1,INDEX($D$368:$AQ$368,P$7-INPUTS!$C$215),0)+SUMIFS($E$80:$E$109,$C$80:$C$109,"Construction % complete",$F$80:$F$109,"&lt;"&amp;P$7)*IF(P$7-INPUTS!$C$215&gt;=1,INDEX($D$367:$AQ$367,P$7-INPUTS!$C$215),0)</f>
        <v>4.95</v>
      </c>
      <c r="Q370" s="130" t="n">
        <f aca="false">SUMIFS($E$80:$E$109,$C$80:$C$109,"Construction % complete",$F$80:$F$109,Q$7)*IF(Q$7-INPUTS!$C$215&gt;=1,INDEX($D$368:$AQ$368,Q$7-INPUTS!$C$215),0)+SUMIFS($E$80:$E$109,$C$80:$C$109,"Construction % complete",$F$80:$F$109,"&lt;"&amp;Q$7)*IF(Q$7-INPUTS!$C$215&gt;=1,INDEX($D$367:$AQ$367,Q$7-INPUTS!$C$215),0)</f>
        <v>5.85</v>
      </c>
      <c r="R370" s="130" t="n">
        <f aca="false">SUMIFS($E$80:$E$109,$C$80:$C$109,"Construction % complete",$F$80:$F$109,R$7)*IF(R$7-INPUTS!$C$215&gt;=1,INDEX($D$368:$AQ$368,R$7-INPUTS!$C$215),0)+SUMIFS($E$80:$E$109,$C$80:$C$109,"Construction % complete",$F$80:$F$109,"&lt;"&amp;R$7)*IF(R$7-INPUTS!$C$215&gt;=1,INDEX($D$367:$AQ$367,R$7-INPUTS!$C$215),0)</f>
        <v>1.8</v>
      </c>
      <c r="S370" s="130" t="n">
        <f aca="false">SUMIFS($E$80:$E$109,$C$80:$C$109,"Construction % complete",$F$80:$F$109,S$7)*IF(S$7-INPUTS!$C$215&gt;=1,INDEX($D$368:$AQ$368,S$7-INPUTS!$C$215),0)+SUMIFS($E$80:$E$109,$C$80:$C$109,"Construction % complete",$F$80:$F$109,"&lt;"&amp;S$7)*IF(S$7-INPUTS!$C$215&gt;=1,INDEX($D$367:$AQ$367,S$7-INPUTS!$C$215),0)</f>
        <v>1.8</v>
      </c>
      <c r="T370" s="130" t="n">
        <f aca="false">SUMIFS($E$80:$E$109,$C$80:$C$109,"Construction % complete",$F$80:$F$109,T$7)*IF(T$7-INPUTS!$C$215&gt;=1,INDEX($D$368:$AQ$368,T$7-INPUTS!$C$215),0)+SUMIFS($E$80:$E$109,$C$80:$C$109,"Construction % complete",$F$80:$F$109,"&lt;"&amp;T$7)*IF(T$7-INPUTS!$C$215&gt;=1,INDEX($D$367:$AQ$367,T$7-INPUTS!$C$215),0)</f>
        <v>3.6</v>
      </c>
      <c r="U370" s="130" t="n">
        <f aca="false">SUMIFS($E$80:$E$109,$C$80:$C$109,"Construction % complete",$F$80:$F$109,U$7)*IF(U$7-INPUTS!$C$215&gt;=1,INDEX($D$368:$AQ$368,U$7-INPUTS!$C$215),0)+SUMIFS($E$80:$E$109,$C$80:$C$109,"Construction % complete",$F$80:$F$109,"&lt;"&amp;U$7)*IF(U$7-INPUTS!$C$215&gt;=1,INDEX($D$367:$AQ$367,U$7-INPUTS!$C$215),0)</f>
        <v>0</v>
      </c>
      <c r="V370" s="130" t="n">
        <f aca="false">SUMIFS($E$80:$E$109,$C$80:$C$109,"Construction % complete",$F$80:$F$109,V$7)*IF(V$7-INPUTS!$C$215&gt;=1,INDEX($D$368:$AQ$368,V$7-INPUTS!$C$215),0)+SUMIFS($E$80:$E$109,$C$80:$C$109,"Construction % complete",$F$80:$F$109,"&lt;"&amp;V$7)*IF(V$7-INPUTS!$C$215&gt;=1,INDEX($D$367:$AQ$367,V$7-INPUTS!$C$215),0)</f>
        <v>0</v>
      </c>
      <c r="W370" s="130" t="n">
        <f aca="false">SUMIFS($E$80:$E$109,$C$80:$C$109,"Construction % complete",$F$80:$F$109,W$7)*IF(W$7-INPUTS!$C$215&gt;=1,INDEX($D$368:$AQ$368,W$7-INPUTS!$C$215),0)+SUMIFS($E$80:$E$109,$C$80:$C$109,"Construction % complete",$F$80:$F$109,"&lt;"&amp;W$7)*IF(W$7-INPUTS!$C$215&gt;=1,INDEX($D$367:$AQ$367,W$7-INPUTS!$C$215),0)</f>
        <v>0</v>
      </c>
      <c r="X370" s="130" t="n">
        <f aca="false">SUMIFS($E$80:$E$109,$C$80:$C$109,"Construction % complete",$F$80:$F$109,X$7)*IF(X$7-INPUTS!$C$215&gt;=1,INDEX($D$368:$AQ$368,X$7-INPUTS!$C$215),0)+SUMIFS($E$80:$E$109,$C$80:$C$109,"Construction % complete",$F$80:$F$109,"&lt;"&amp;X$7)*IF(X$7-INPUTS!$C$215&gt;=1,INDEX($D$367:$AQ$367,X$7-INPUTS!$C$215),0)</f>
        <v>0</v>
      </c>
      <c r="Y370" s="130" t="n">
        <f aca="false">SUMIFS($E$80:$E$109,$C$80:$C$109,"Construction % complete",$F$80:$F$109,Y$7)*IF(Y$7-INPUTS!$C$215&gt;=1,INDEX($D$368:$AQ$368,Y$7-INPUTS!$C$215),0)+SUMIFS($E$80:$E$109,$C$80:$C$109,"Construction % complete",$F$80:$F$109,"&lt;"&amp;Y$7)*IF(Y$7-INPUTS!$C$215&gt;=1,INDEX($D$367:$AQ$367,Y$7-INPUTS!$C$215),0)</f>
        <v>0</v>
      </c>
      <c r="Z370" s="130" t="n">
        <f aca="false">SUMIFS($E$80:$E$109,$C$80:$C$109,"Construction % complete",$F$80:$F$109,Z$7)*IF(Z$7-INPUTS!$C$215&gt;=1,INDEX($D$368:$AQ$368,Z$7-INPUTS!$C$215),0)+SUMIFS($E$80:$E$109,$C$80:$C$109,"Construction % complete",$F$80:$F$109,"&lt;"&amp;Z$7)*IF(Z$7-INPUTS!$C$215&gt;=1,INDEX($D$367:$AQ$367,Z$7-INPUTS!$C$215),0)</f>
        <v>0</v>
      </c>
      <c r="AA370" s="130" t="n">
        <f aca="false">SUMIFS($E$80:$E$109,$C$80:$C$109,"Construction % complete",$F$80:$F$109,AA$7)*IF(AA$7-INPUTS!$C$215&gt;=1,INDEX($D$368:$AQ$368,AA$7-INPUTS!$C$215),0)+SUMIFS($E$80:$E$109,$C$80:$C$109,"Construction % complete",$F$80:$F$109,"&lt;"&amp;AA$7)*IF(AA$7-INPUTS!$C$215&gt;=1,INDEX($D$367:$AQ$367,AA$7-INPUTS!$C$215),0)</f>
        <v>0</v>
      </c>
      <c r="AB370" s="130" t="n">
        <f aca="false">SUMIFS($E$80:$E$109,$C$80:$C$109,"Construction % complete",$F$80:$F$109,AB$7)*IF(AB$7-INPUTS!$C$215&gt;=1,INDEX($D$368:$AQ$368,AB$7-INPUTS!$C$215),0)+SUMIFS($E$80:$E$109,$C$80:$C$109,"Construction % complete",$F$80:$F$109,"&lt;"&amp;AB$7)*IF(AB$7-INPUTS!$C$215&gt;=1,INDEX($D$367:$AQ$367,AB$7-INPUTS!$C$215),0)</f>
        <v>0</v>
      </c>
      <c r="AC370" s="130" t="n">
        <f aca="false">SUMIFS($E$80:$E$109,$C$80:$C$109,"Construction % complete",$F$80:$F$109,AC$7)*IF(AC$7-INPUTS!$C$215&gt;=1,INDEX($D$368:$AQ$368,AC$7-INPUTS!$C$215),0)+SUMIFS($E$80:$E$109,$C$80:$C$109,"Construction % complete",$F$80:$F$109,"&lt;"&amp;AC$7)*IF(AC$7-INPUTS!$C$215&gt;=1,INDEX($D$367:$AQ$367,AC$7-INPUTS!$C$215),0)</f>
        <v>0</v>
      </c>
      <c r="AD370" s="130" t="n">
        <f aca="false">SUMIFS($E$80:$E$109,$C$80:$C$109,"Construction % complete",$F$80:$F$109,AD$7)*IF(AD$7-INPUTS!$C$215&gt;=1,INDEX($D$368:$AQ$368,AD$7-INPUTS!$C$215),0)+SUMIFS($E$80:$E$109,$C$80:$C$109,"Construction % complete",$F$80:$F$109,"&lt;"&amp;AD$7)*IF(AD$7-INPUTS!$C$215&gt;=1,INDEX($D$367:$AQ$367,AD$7-INPUTS!$C$215),0)</f>
        <v>0</v>
      </c>
      <c r="AE370" s="130" t="n">
        <f aca="false">SUMIFS($E$80:$E$109,$C$80:$C$109,"Construction % complete",$F$80:$F$109,AE$7)*IF(AE$7-INPUTS!$C$215&gt;=1,INDEX($D$368:$AQ$368,AE$7-INPUTS!$C$215),0)+SUMIFS($E$80:$E$109,$C$80:$C$109,"Construction % complete",$F$80:$F$109,"&lt;"&amp;AE$7)*IF(AE$7-INPUTS!$C$215&gt;=1,INDEX($D$367:$AQ$367,AE$7-INPUTS!$C$215),0)</f>
        <v>0</v>
      </c>
      <c r="AF370" s="130" t="n">
        <f aca="false">SUMIFS($E$80:$E$109,$C$80:$C$109,"Construction % complete",$F$80:$F$109,AF$7)*IF(AF$7-INPUTS!$C$215&gt;=1,INDEX($D$368:$AQ$368,AF$7-INPUTS!$C$215),0)+SUMIFS($E$80:$E$109,$C$80:$C$109,"Construction % complete",$F$80:$F$109,"&lt;"&amp;AF$7)*IF(AF$7-INPUTS!$C$215&gt;=1,INDEX($D$367:$AQ$367,AF$7-INPUTS!$C$215),0)</f>
        <v>0</v>
      </c>
      <c r="AG370" s="130" t="n">
        <f aca="false">SUMIFS($E$80:$E$109,$C$80:$C$109,"Construction % complete",$F$80:$F$109,AG$7)*IF(AG$7-INPUTS!$C$215&gt;=1,INDEX($D$368:$AQ$368,AG$7-INPUTS!$C$215),0)+SUMIFS($E$80:$E$109,$C$80:$C$109,"Construction % complete",$F$80:$F$109,"&lt;"&amp;AG$7)*IF(AG$7-INPUTS!$C$215&gt;=1,INDEX($D$367:$AQ$367,AG$7-INPUTS!$C$215),0)</f>
        <v>0</v>
      </c>
      <c r="AH370" s="130" t="n">
        <f aca="false">SUMIFS($E$80:$E$109,$C$80:$C$109,"Construction % complete",$F$80:$F$109,AH$7)*IF(AH$7-INPUTS!$C$215&gt;=1,INDEX($D$368:$AQ$368,AH$7-INPUTS!$C$215),0)+SUMIFS($E$80:$E$109,$C$80:$C$109,"Construction % complete",$F$80:$F$109,"&lt;"&amp;AH$7)*IF(AH$7-INPUTS!$C$215&gt;=1,INDEX($D$367:$AQ$367,AH$7-INPUTS!$C$215),0)</f>
        <v>0</v>
      </c>
      <c r="AI370" s="130" t="n">
        <f aca="false">SUMIFS($E$80:$E$109,$C$80:$C$109,"Construction % complete",$F$80:$F$109,AI$7)*IF(AI$7-INPUTS!$C$215&gt;=1,INDEX($D$368:$AQ$368,AI$7-INPUTS!$C$215),0)+SUMIFS($E$80:$E$109,$C$80:$C$109,"Construction % complete",$F$80:$F$109,"&lt;"&amp;AI$7)*IF(AI$7-INPUTS!$C$215&gt;=1,INDEX($D$367:$AQ$367,AI$7-INPUTS!$C$215),0)</f>
        <v>0</v>
      </c>
      <c r="AJ370" s="130" t="n">
        <f aca="false">SUMIFS($E$80:$E$109,$C$80:$C$109,"Construction % complete",$F$80:$F$109,AJ$7)*IF(AJ$7-INPUTS!$C$215&gt;=1,INDEX($D$368:$AQ$368,AJ$7-INPUTS!$C$215),0)+SUMIFS($E$80:$E$109,$C$80:$C$109,"Construction % complete",$F$80:$F$109,"&lt;"&amp;AJ$7)*IF(AJ$7-INPUTS!$C$215&gt;=1,INDEX($D$367:$AQ$367,AJ$7-INPUTS!$C$215),0)</f>
        <v>0</v>
      </c>
      <c r="AK370" s="130" t="n">
        <f aca="false">SUMIFS($E$80:$E$109,$C$80:$C$109,"Construction % complete",$F$80:$F$109,AK$7)*IF(AK$7-INPUTS!$C$215&gt;=1,INDEX($D$368:$AQ$368,AK$7-INPUTS!$C$215),0)+SUMIFS($E$80:$E$109,$C$80:$C$109,"Construction % complete",$F$80:$F$109,"&lt;"&amp;AK$7)*IF(AK$7-INPUTS!$C$215&gt;=1,INDEX($D$367:$AQ$367,AK$7-INPUTS!$C$215),0)</f>
        <v>0</v>
      </c>
      <c r="AL370" s="130" t="n">
        <f aca="false">SUMIFS($E$80:$E$109,$C$80:$C$109,"Construction % complete",$F$80:$F$109,AL$7)*IF(AL$7-INPUTS!$C$215&gt;=1,INDEX($D$368:$AQ$368,AL$7-INPUTS!$C$215),0)+SUMIFS($E$80:$E$109,$C$80:$C$109,"Construction % complete",$F$80:$F$109,"&lt;"&amp;AL$7)*IF(AL$7-INPUTS!$C$215&gt;=1,INDEX($D$367:$AQ$367,AL$7-INPUTS!$C$215),0)</f>
        <v>0</v>
      </c>
      <c r="AM370" s="130" t="n">
        <f aca="false">SUMIFS($E$80:$E$109,$C$80:$C$109,"Construction % complete",$F$80:$F$109,AM$7)*IF(AM$7-INPUTS!$C$215&gt;=1,INDEX($D$368:$AQ$368,AM$7-INPUTS!$C$215),0)+SUMIFS($E$80:$E$109,$C$80:$C$109,"Construction % complete",$F$80:$F$109,"&lt;"&amp;AM$7)*IF(AM$7-INPUTS!$C$215&gt;=1,INDEX($D$367:$AQ$367,AM$7-INPUTS!$C$215),0)</f>
        <v>0</v>
      </c>
      <c r="AN370" s="130" t="n">
        <f aca="false">SUMIFS($E$80:$E$109,$C$80:$C$109,"Construction % complete",$F$80:$F$109,AN$7)*IF(AN$7-INPUTS!$C$215&gt;=1,INDEX($D$368:$AQ$368,AN$7-INPUTS!$C$215),0)+SUMIFS($E$80:$E$109,$C$80:$C$109,"Construction % complete",$F$80:$F$109,"&lt;"&amp;AN$7)*IF(AN$7-INPUTS!$C$215&gt;=1,INDEX($D$367:$AQ$367,AN$7-INPUTS!$C$215),0)</f>
        <v>0</v>
      </c>
      <c r="AO370" s="130" t="n">
        <f aca="false">SUMIFS($E$80:$E$109,$C$80:$C$109,"Construction % complete",$F$80:$F$109,AO$7)*IF(AO$7-INPUTS!$C$215&gt;=1,INDEX($D$368:$AQ$368,AO$7-INPUTS!$C$215),0)+SUMIFS($E$80:$E$109,$C$80:$C$109,"Construction % complete",$F$80:$F$109,"&lt;"&amp;AO$7)*IF(AO$7-INPUTS!$C$215&gt;=1,INDEX($D$367:$AQ$367,AO$7-INPUTS!$C$215),0)</f>
        <v>0</v>
      </c>
      <c r="AP370" s="130" t="n">
        <f aca="false">SUMIFS($E$80:$E$109,$C$80:$C$109,"Construction % complete",$F$80:$F$109,AP$7)*IF(AP$7-INPUTS!$C$215&gt;=1,INDEX($D$368:$AQ$368,AP$7-INPUTS!$C$215),0)+SUMIFS($E$80:$E$109,$C$80:$C$109,"Construction % complete",$F$80:$F$109,"&lt;"&amp;AP$7)*IF(AP$7-INPUTS!$C$215&gt;=1,INDEX($D$367:$AQ$367,AP$7-INPUTS!$C$215),0)</f>
        <v>0</v>
      </c>
      <c r="AQ370" s="130" t="n">
        <f aca="false">SUMIFS($E$80:$E$109,$C$80:$C$109,"Construction % complete",$F$80:$F$109,AQ$7)*IF(AQ$7-INPUTS!$C$215&gt;=1,INDEX($D$368:$AQ$368,AQ$7-INPUTS!$C$215),0)+SUMIFS($E$80:$E$109,$C$80:$C$109,"Construction % complete",$F$80:$F$109,"&lt;"&amp;AQ$7)*IF(AQ$7-INPUTS!$C$215&gt;=1,INDEX($D$367:$AQ$367,AQ$7-INPUTS!$C$215),0)</f>
        <v>0</v>
      </c>
    </row>
    <row r="371" customFormat="false" ht="15" hidden="false" customHeight="false" outlineLevel="0" collapsed="false">
      <c r="B371" s="2" t="s">
        <v>716</v>
      </c>
      <c r="C371" s="129" t="n">
        <f aca="false">SUM(D371:AQ371)</f>
        <v>36</v>
      </c>
      <c r="D371" s="130" t="n">
        <f aca="false">D369+D370</f>
        <v>0</v>
      </c>
      <c r="E371" s="130" t="n">
        <f aca="false">E369+E370</f>
        <v>0</v>
      </c>
      <c r="F371" s="130" t="n">
        <f aca="false">F369+F370</f>
        <v>0</v>
      </c>
      <c r="G371" s="130" t="n">
        <f aca="false">G369+G370</f>
        <v>0</v>
      </c>
      <c r="H371" s="130" t="n">
        <f aca="false">H369+H370</f>
        <v>0</v>
      </c>
      <c r="I371" s="130" t="n">
        <f aca="false">I369+I370</f>
        <v>0.45</v>
      </c>
      <c r="J371" s="130" t="n">
        <f aca="false">J369+J370</f>
        <v>0.9</v>
      </c>
      <c r="K371" s="130" t="n">
        <f aca="false">K369+K370</f>
        <v>1.8</v>
      </c>
      <c r="L371" s="130" t="n">
        <f aca="false">L369+L370</f>
        <v>2.7</v>
      </c>
      <c r="M371" s="130" t="n">
        <f aca="false">M369+M370</f>
        <v>3.6</v>
      </c>
      <c r="N371" s="130" t="n">
        <f aca="false">N369+N370</f>
        <v>4.5</v>
      </c>
      <c r="O371" s="130" t="n">
        <f aca="false">O369+O370</f>
        <v>2.7</v>
      </c>
      <c r="P371" s="130" t="n">
        <f aca="false">P369+P370</f>
        <v>5.85</v>
      </c>
      <c r="Q371" s="130" t="n">
        <f aca="false">Q369+Q370</f>
        <v>6.3</v>
      </c>
      <c r="R371" s="130" t="n">
        <f aca="false">R369+R370</f>
        <v>1.8</v>
      </c>
      <c r="S371" s="130" t="n">
        <f aca="false">S369+S370</f>
        <v>1.8</v>
      </c>
      <c r="T371" s="130" t="n">
        <f aca="false">T369+T370</f>
        <v>3.6</v>
      </c>
      <c r="U371" s="130" t="n">
        <f aca="false">U369+U370</f>
        <v>0</v>
      </c>
      <c r="V371" s="130" t="n">
        <f aca="false">V369+V370</f>
        <v>0</v>
      </c>
      <c r="W371" s="130" t="n">
        <f aca="false">W369+W370</f>
        <v>0</v>
      </c>
      <c r="X371" s="130" t="n">
        <f aca="false">X369+X370</f>
        <v>0</v>
      </c>
      <c r="Y371" s="130" t="n">
        <f aca="false">Y369+Y370</f>
        <v>0</v>
      </c>
      <c r="Z371" s="130" t="n">
        <f aca="false">Z369+Z370</f>
        <v>0</v>
      </c>
      <c r="AA371" s="130" t="n">
        <f aca="false">AA369+AA370</f>
        <v>0</v>
      </c>
      <c r="AB371" s="130" t="n">
        <f aca="false">AB369+AB370</f>
        <v>0</v>
      </c>
      <c r="AC371" s="130" t="n">
        <f aca="false">AC369+AC370</f>
        <v>0</v>
      </c>
      <c r="AD371" s="130" t="n">
        <f aca="false">AD369+AD370</f>
        <v>0</v>
      </c>
      <c r="AE371" s="130" t="n">
        <f aca="false">AE369+AE370</f>
        <v>0</v>
      </c>
      <c r="AF371" s="130" t="n">
        <f aca="false">AF369+AF370</f>
        <v>0</v>
      </c>
      <c r="AG371" s="130" t="n">
        <f aca="false">AG369+AG370</f>
        <v>0</v>
      </c>
      <c r="AH371" s="130" t="n">
        <f aca="false">AH369+AH370</f>
        <v>0</v>
      </c>
      <c r="AI371" s="130" t="n">
        <f aca="false">AI369+AI370</f>
        <v>0</v>
      </c>
      <c r="AJ371" s="130" t="n">
        <f aca="false">AJ369+AJ370</f>
        <v>0</v>
      </c>
      <c r="AK371" s="130" t="n">
        <f aca="false">AK369+AK370</f>
        <v>0</v>
      </c>
      <c r="AL371" s="130" t="n">
        <f aca="false">AL369+AL370</f>
        <v>0</v>
      </c>
      <c r="AM371" s="130" t="n">
        <f aca="false">AM369+AM370</f>
        <v>0</v>
      </c>
      <c r="AN371" s="130" t="n">
        <f aca="false">AN369+AN370</f>
        <v>0</v>
      </c>
      <c r="AO371" s="130" t="n">
        <f aca="false">AO369+AO370</f>
        <v>0</v>
      </c>
      <c r="AP371" s="130" t="n">
        <f aca="false">AP369+AP370</f>
        <v>0</v>
      </c>
      <c r="AQ371" s="130" t="n">
        <f aca="false">AQ369+AQ370</f>
        <v>0</v>
      </c>
    </row>
    <row r="372" customFormat="false" ht="15" hidden="false" customHeight="false" outlineLevel="0" collapsed="false">
      <c r="B372" s="3" t="s">
        <v>717</v>
      </c>
      <c r="D372" s="130" t="n">
        <f aca="false">SUM($D371:D371)</f>
        <v>0</v>
      </c>
      <c r="E372" s="130" t="n">
        <f aca="false">SUM($D371:E371)</f>
        <v>0</v>
      </c>
      <c r="F372" s="130" t="n">
        <f aca="false">SUM($D371:F371)</f>
        <v>0</v>
      </c>
      <c r="G372" s="130" t="n">
        <f aca="false">SUM($D371:G371)</f>
        <v>0</v>
      </c>
      <c r="H372" s="130" t="n">
        <f aca="false">SUM($D371:H371)</f>
        <v>0</v>
      </c>
      <c r="I372" s="130" t="n">
        <f aca="false">SUM($D371:I371)</f>
        <v>0.45</v>
      </c>
      <c r="J372" s="130" t="n">
        <f aca="false">SUM($D371:J371)</f>
        <v>1.35</v>
      </c>
      <c r="K372" s="130" t="n">
        <f aca="false">SUM($D371:K371)</f>
        <v>3.15</v>
      </c>
      <c r="L372" s="130" t="n">
        <f aca="false">SUM($D371:L371)</f>
        <v>5.85</v>
      </c>
      <c r="M372" s="130" t="n">
        <f aca="false">SUM($D371:M371)</f>
        <v>9.45</v>
      </c>
      <c r="N372" s="130" t="n">
        <f aca="false">SUM($D371:N371)</f>
        <v>13.95</v>
      </c>
      <c r="O372" s="130" t="n">
        <f aca="false">SUM($D371:O371)</f>
        <v>16.65</v>
      </c>
      <c r="P372" s="130" t="n">
        <f aca="false">SUM($D371:P371)</f>
        <v>22.5</v>
      </c>
      <c r="Q372" s="130" t="n">
        <f aca="false">SUM($D371:Q371)</f>
        <v>28.8</v>
      </c>
      <c r="R372" s="130" t="n">
        <f aca="false">SUM($D371:R371)</f>
        <v>30.6</v>
      </c>
      <c r="S372" s="130" t="n">
        <f aca="false">SUM($D371:S371)</f>
        <v>32.4</v>
      </c>
      <c r="T372" s="130" t="n">
        <f aca="false">SUM($D371:T371)</f>
        <v>36</v>
      </c>
      <c r="U372" s="130" t="n">
        <f aca="false">SUM($D371:U371)</f>
        <v>36</v>
      </c>
      <c r="V372" s="130" t="n">
        <f aca="false">SUM($D371:V371)</f>
        <v>36</v>
      </c>
      <c r="W372" s="130" t="n">
        <f aca="false">SUM($D371:W371)</f>
        <v>36</v>
      </c>
      <c r="X372" s="130" t="n">
        <f aca="false">SUM($D371:X371)</f>
        <v>36</v>
      </c>
      <c r="Y372" s="130" t="n">
        <f aca="false">SUM($D371:Y371)</f>
        <v>36</v>
      </c>
      <c r="Z372" s="130" t="n">
        <f aca="false">SUM($D371:Z371)</f>
        <v>36</v>
      </c>
      <c r="AA372" s="130" t="n">
        <f aca="false">SUM($D371:AA371)</f>
        <v>36</v>
      </c>
      <c r="AB372" s="130" t="n">
        <f aca="false">SUM($D371:AB371)</f>
        <v>36</v>
      </c>
      <c r="AC372" s="130" t="n">
        <f aca="false">SUM($D371:AC371)</f>
        <v>36</v>
      </c>
      <c r="AD372" s="130" t="n">
        <f aca="false">SUM($D371:AD371)</f>
        <v>36</v>
      </c>
      <c r="AE372" s="130" t="n">
        <f aca="false">SUM($D371:AE371)</f>
        <v>36</v>
      </c>
      <c r="AF372" s="130" t="n">
        <f aca="false">SUM($D371:AF371)</f>
        <v>36</v>
      </c>
      <c r="AG372" s="130" t="n">
        <f aca="false">SUM($D371:AG371)</f>
        <v>36</v>
      </c>
      <c r="AH372" s="130" t="n">
        <f aca="false">SUM($D371:AH371)</f>
        <v>36</v>
      </c>
      <c r="AI372" s="130" t="n">
        <f aca="false">SUM($D371:AI371)</f>
        <v>36</v>
      </c>
      <c r="AJ372" s="130" t="n">
        <f aca="false">SUM($D371:AJ371)</f>
        <v>36</v>
      </c>
      <c r="AK372" s="130" t="n">
        <f aca="false">SUM($D371:AK371)</f>
        <v>36</v>
      </c>
      <c r="AL372" s="130" t="n">
        <f aca="false">SUM($D371:AL371)</f>
        <v>36</v>
      </c>
      <c r="AM372" s="130" t="n">
        <f aca="false">SUM($D371:AM371)</f>
        <v>36</v>
      </c>
      <c r="AN372" s="130" t="n">
        <f aca="false">SUM($D371:AN371)</f>
        <v>36</v>
      </c>
      <c r="AO372" s="130" t="n">
        <f aca="false">SUM($D371:AO371)</f>
        <v>36</v>
      </c>
      <c r="AP372" s="130" t="n">
        <f aca="false">SUM($D371:AP371)</f>
        <v>36</v>
      </c>
      <c r="AQ372" s="130" t="n">
        <f aca="false">SUM($D371:AQ371)</f>
        <v>36</v>
      </c>
    </row>
    <row r="373" customFormat="false" ht="15" hidden="false" customHeight="false" outlineLevel="0" collapsed="false">
      <c r="B373" s="3" t="s">
        <v>718</v>
      </c>
      <c r="D373" s="130" t="n">
        <f aca="false">D368-D372</f>
        <v>0</v>
      </c>
      <c r="E373" s="130" t="n">
        <f aca="false">E368-E372</f>
        <v>0</v>
      </c>
      <c r="F373" s="130" t="n">
        <f aca="false">F368-F372</f>
        <v>0</v>
      </c>
      <c r="G373" s="130" t="n">
        <f aca="false">G368-G372</f>
        <v>0</v>
      </c>
      <c r="H373" s="130" t="n">
        <f aca="false">H368-H372</f>
        <v>0</v>
      </c>
      <c r="I373" s="130" t="n">
        <f aca="false">I368-I372</f>
        <v>4.05</v>
      </c>
      <c r="J373" s="130" t="n">
        <f aca="false">J368-J372</f>
        <v>7.65</v>
      </c>
      <c r="K373" s="130" t="n">
        <f aca="false">K368-K372</f>
        <v>10.35</v>
      </c>
      <c r="L373" s="130" t="n">
        <f aca="false">L368-L372</f>
        <v>12.15</v>
      </c>
      <c r="M373" s="130" t="n">
        <f aca="false">M368-M372</f>
        <v>13.05</v>
      </c>
      <c r="N373" s="130" t="n">
        <f aca="false">N368-N372</f>
        <v>13.05</v>
      </c>
      <c r="O373" s="130" t="n">
        <f aca="false">O368-O372</f>
        <v>14.85</v>
      </c>
      <c r="P373" s="130" t="n">
        <f aca="false">P368-P372</f>
        <v>13.5</v>
      </c>
      <c r="Q373" s="130" t="n">
        <f aca="false">Q368-Q372</f>
        <v>7.2</v>
      </c>
      <c r="R373" s="130" t="n">
        <f aca="false">R368-R372</f>
        <v>5.4</v>
      </c>
      <c r="S373" s="130" t="n">
        <f aca="false">S368-S372</f>
        <v>3.6</v>
      </c>
      <c r="T373" s="130" t="n">
        <f aca="false">T368-T372</f>
        <v>0</v>
      </c>
      <c r="U373" s="130" t="n">
        <f aca="false">U368-U372</f>
        <v>0</v>
      </c>
      <c r="V373" s="130" t="n">
        <f aca="false">V368-V372</f>
        <v>0</v>
      </c>
      <c r="W373" s="130" t="n">
        <f aca="false">W368-W372</f>
        <v>0</v>
      </c>
      <c r="X373" s="130" t="n">
        <f aca="false">X368-X372</f>
        <v>0</v>
      </c>
      <c r="Y373" s="130" t="n">
        <f aca="false">Y368-Y372</f>
        <v>0</v>
      </c>
      <c r="Z373" s="130" t="n">
        <f aca="false">Z368-Z372</f>
        <v>0</v>
      </c>
      <c r="AA373" s="130" t="n">
        <f aca="false">AA368-AA372</f>
        <v>0</v>
      </c>
      <c r="AB373" s="130" t="n">
        <f aca="false">AB368-AB372</f>
        <v>0</v>
      </c>
      <c r="AC373" s="130" t="n">
        <f aca="false">AC368-AC372</f>
        <v>0</v>
      </c>
      <c r="AD373" s="130" t="n">
        <f aca="false">AD368-AD372</f>
        <v>0</v>
      </c>
      <c r="AE373" s="130" t="n">
        <f aca="false">AE368-AE372</f>
        <v>0</v>
      </c>
      <c r="AF373" s="130" t="n">
        <f aca="false">AF368-AF372</f>
        <v>0</v>
      </c>
      <c r="AG373" s="130" t="n">
        <f aca="false">AG368-AG372</f>
        <v>0</v>
      </c>
      <c r="AH373" s="130" t="n">
        <f aca="false">AH368-AH372</f>
        <v>0</v>
      </c>
      <c r="AI373" s="130" t="n">
        <f aca="false">AI368-AI372</f>
        <v>0</v>
      </c>
      <c r="AJ373" s="130" t="n">
        <f aca="false">AJ368-AJ372</f>
        <v>0</v>
      </c>
      <c r="AK373" s="130" t="n">
        <f aca="false">AK368-AK372</f>
        <v>0</v>
      </c>
      <c r="AL373" s="130" t="n">
        <f aca="false">AL368-AL372</f>
        <v>0</v>
      </c>
      <c r="AM373" s="130" t="n">
        <f aca="false">AM368-AM372</f>
        <v>0</v>
      </c>
      <c r="AN373" s="130" t="n">
        <f aca="false">AN368-AN372</f>
        <v>0</v>
      </c>
      <c r="AO373" s="130" t="n">
        <f aca="false">AO368-AO372</f>
        <v>0</v>
      </c>
      <c r="AP373" s="130" t="n">
        <f aca="false">AP368-AP372</f>
        <v>0</v>
      </c>
      <c r="AQ373" s="130" t="n">
        <f aca="false">AQ368-AQ372</f>
        <v>0</v>
      </c>
    </row>
    <row r="374" customFormat="false" ht="15" hidden="false" customHeight="false" outlineLevel="0" collapsed="false">
      <c r="B374" s="3" t="s">
        <v>719</v>
      </c>
      <c r="D374" s="132" t="n">
        <f aca="false">IF(INPUTS!$T$90&gt;0,D372/INPUTS!$T$90,0)</f>
        <v>0</v>
      </c>
      <c r="E374" s="132" t="n">
        <f aca="false">IF(INPUTS!$T$90&gt;0,E372/INPUTS!$T$90,0)</f>
        <v>0</v>
      </c>
      <c r="F374" s="132" t="n">
        <f aca="false">IF(INPUTS!$T$90&gt;0,F372/INPUTS!$T$90,0)</f>
        <v>0</v>
      </c>
      <c r="G374" s="132" t="n">
        <f aca="false">IF(INPUTS!$T$90&gt;0,G372/INPUTS!$T$90,0)</f>
        <v>0</v>
      </c>
      <c r="H374" s="132" t="n">
        <f aca="false">IF(INPUTS!$T$90&gt;0,H372/INPUTS!$T$90,0)</f>
        <v>0</v>
      </c>
      <c r="I374" s="132" t="n">
        <f aca="false">IF(INPUTS!$T$90&gt;0,I372/INPUTS!$T$90,0)</f>
        <v>0.0125</v>
      </c>
      <c r="J374" s="132" t="n">
        <f aca="false">IF(INPUTS!$T$90&gt;0,J372/INPUTS!$T$90,0)</f>
        <v>0.0375</v>
      </c>
      <c r="K374" s="132" t="n">
        <f aca="false">IF(INPUTS!$T$90&gt;0,K372/INPUTS!$T$90,0)</f>
        <v>0.0875</v>
      </c>
      <c r="L374" s="132" t="n">
        <f aca="false">IF(INPUTS!$T$90&gt;0,L372/INPUTS!$T$90,0)</f>
        <v>0.1625</v>
      </c>
      <c r="M374" s="132" t="n">
        <f aca="false">IF(INPUTS!$T$90&gt;0,M372/INPUTS!$T$90,0)</f>
        <v>0.2625</v>
      </c>
      <c r="N374" s="132" t="n">
        <f aca="false">IF(INPUTS!$T$90&gt;0,N372/INPUTS!$T$90,0)</f>
        <v>0.3875</v>
      </c>
      <c r="O374" s="132" t="n">
        <f aca="false">IF(INPUTS!$T$90&gt;0,O372/INPUTS!$T$90,0)</f>
        <v>0.4625</v>
      </c>
      <c r="P374" s="132" t="n">
        <f aca="false">IF(INPUTS!$T$90&gt;0,P372/INPUTS!$T$90,0)</f>
        <v>0.625</v>
      </c>
      <c r="Q374" s="132" t="n">
        <f aca="false">IF(INPUTS!$T$90&gt;0,Q372/INPUTS!$T$90,0)</f>
        <v>0.8</v>
      </c>
      <c r="R374" s="132" t="n">
        <f aca="false">IF(INPUTS!$T$90&gt;0,R372/INPUTS!$T$90,0)</f>
        <v>0.85</v>
      </c>
      <c r="S374" s="132" t="n">
        <f aca="false">IF(INPUTS!$T$90&gt;0,S372/INPUTS!$T$90,0)</f>
        <v>0.9</v>
      </c>
      <c r="T374" s="132" t="n">
        <f aca="false">IF(INPUTS!$T$90&gt;0,T372/INPUTS!$T$90,0)</f>
        <v>1</v>
      </c>
      <c r="U374" s="132" t="n">
        <f aca="false">IF(INPUTS!$T$90&gt;0,U372/INPUTS!$T$90,0)</f>
        <v>1</v>
      </c>
      <c r="V374" s="132" t="n">
        <f aca="false">IF(INPUTS!$T$90&gt;0,V372/INPUTS!$T$90,0)</f>
        <v>1</v>
      </c>
      <c r="W374" s="132" t="n">
        <f aca="false">IF(INPUTS!$T$90&gt;0,W372/INPUTS!$T$90,0)</f>
        <v>1</v>
      </c>
      <c r="X374" s="132" t="n">
        <f aca="false">IF(INPUTS!$T$90&gt;0,X372/INPUTS!$T$90,0)</f>
        <v>1</v>
      </c>
      <c r="Y374" s="132" t="n">
        <f aca="false">IF(INPUTS!$T$90&gt;0,Y372/INPUTS!$T$90,0)</f>
        <v>1</v>
      </c>
      <c r="Z374" s="132" t="n">
        <f aca="false">IF(INPUTS!$T$90&gt;0,Z372/INPUTS!$T$90,0)</f>
        <v>1</v>
      </c>
      <c r="AA374" s="132" t="n">
        <f aca="false">IF(INPUTS!$T$90&gt;0,AA372/INPUTS!$T$90,0)</f>
        <v>1</v>
      </c>
      <c r="AB374" s="132" t="n">
        <f aca="false">IF(INPUTS!$T$90&gt;0,AB372/INPUTS!$T$90,0)</f>
        <v>1</v>
      </c>
      <c r="AC374" s="132" t="n">
        <f aca="false">IF(INPUTS!$T$90&gt;0,AC372/INPUTS!$T$90,0)</f>
        <v>1</v>
      </c>
      <c r="AD374" s="132" t="n">
        <f aca="false">IF(INPUTS!$T$90&gt;0,AD372/INPUTS!$T$90,0)</f>
        <v>1</v>
      </c>
      <c r="AE374" s="132" t="n">
        <f aca="false">IF(INPUTS!$T$90&gt;0,AE372/INPUTS!$T$90,0)</f>
        <v>1</v>
      </c>
      <c r="AF374" s="132" t="n">
        <f aca="false">IF(INPUTS!$T$90&gt;0,AF372/INPUTS!$T$90,0)</f>
        <v>1</v>
      </c>
      <c r="AG374" s="132" t="n">
        <f aca="false">IF(INPUTS!$T$90&gt;0,AG372/INPUTS!$T$90,0)</f>
        <v>1</v>
      </c>
      <c r="AH374" s="132" t="n">
        <f aca="false">IF(INPUTS!$T$90&gt;0,AH372/INPUTS!$T$90,0)</f>
        <v>1</v>
      </c>
      <c r="AI374" s="132" t="n">
        <f aca="false">IF(INPUTS!$T$90&gt;0,AI372/INPUTS!$T$90,0)</f>
        <v>1</v>
      </c>
      <c r="AJ374" s="132" t="n">
        <f aca="false">IF(INPUTS!$T$90&gt;0,AJ372/INPUTS!$T$90,0)</f>
        <v>1</v>
      </c>
      <c r="AK374" s="132" t="n">
        <f aca="false">IF(INPUTS!$T$90&gt;0,AK372/INPUTS!$T$90,0)</f>
        <v>1</v>
      </c>
      <c r="AL374" s="132" t="n">
        <f aca="false">IF(INPUTS!$T$90&gt;0,AL372/INPUTS!$T$90,0)</f>
        <v>1</v>
      </c>
      <c r="AM374" s="132" t="n">
        <f aca="false">IF(INPUTS!$T$90&gt;0,AM372/INPUTS!$T$90,0)</f>
        <v>1</v>
      </c>
      <c r="AN374" s="132" t="n">
        <f aca="false">IF(INPUTS!$T$90&gt;0,AN372/INPUTS!$T$90,0)</f>
        <v>1</v>
      </c>
      <c r="AO374" s="132" t="n">
        <f aca="false">IF(INPUTS!$T$90&gt;0,AO372/INPUTS!$T$90,0)</f>
        <v>1</v>
      </c>
      <c r="AP374" s="132" t="n">
        <f aca="false">IF(INPUTS!$T$90&gt;0,AP372/INPUTS!$T$90,0)</f>
        <v>1</v>
      </c>
      <c r="AQ374" s="132" t="n">
        <f aca="false">IF(INPUTS!$T$90&gt;0,AQ372/INPUTS!$T$90,0)</f>
        <v>1</v>
      </c>
    </row>
    <row r="375" customFormat="false" ht="15" hidden="false" customHeight="false" outlineLevel="0" collapsed="false">
      <c r="B375" s="17" t="s">
        <v>689</v>
      </c>
      <c r="C375" s="105" t="str">
        <f aca="false">IF(INPUTS!$E$90&lt;&gt;"Yes","Off",IF(AND(ABS(C367-INPUTS!$T$90)&lt;0.000001,ABS(C371-INPUTS!$T$90)&lt;0.000001,MIN(D373:AQ373)&gt;-0.000001),"OK","ERROR"))</f>
        <v>OK</v>
      </c>
    </row>
    <row r="376" customFormat="false" ht="15" hidden="false" customHeight="false" outlineLevel="0" collapsed="false">
      <c r="B376" s="110" t="str">
        <f aca="false">IF(INPUTS!$E$91="Yes",INPUTS!$B$91,"Product row 4 (off)")</f>
        <v>High-street retail</v>
      </c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</row>
    <row r="377" customFormat="false" ht="15" hidden="false" customHeight="false" outlineLevel="0" collapsed="false">
      <c r="B377" s="2" t="s">
        <v>712</v>
      </c>
      <c r="C377" s="129" t="n">
        <f aca="false">SUM(D377:AQ377)</f>
        <v>42</v>
      </c>
      <c r="D377" s="130" t="n">
        <f aca="false">INPUTS!$T$91*CURVES!D56</f>
        <v>0</v>
      </c>
      <c r="E377" s="130" t="n">
        <f aca="false">INPUTS!$T$91*CURVES!E56</f>
        <v>0</v>
      </c>
      <c r="F377" s="130" t="n">
        <f aca="false">INPUTS!$T$91*CURVES!F56</f>
        <v>0</v>
      </c>
      <c r="G377" s="130" t="n">
        <f aca="false">INPUTS!$T$91*CURVES!G56</f>
        <v>0</v>
      </c>
      <c r="H377" s="130" t="n">
        <f aca="false">INPUTS!$T$91*CURVES!H56</f>
        <v>0</v>
      </c>
      <c r="I377" s="130" t="n">
        <f aca="false">INPUTS!$T$91*CURVES!I56</f>
        <v>0</v>
      </c>
      <c r="J377" s="130" t="n">
        <f aca="false">INPUTS!$T$91*CURVES!J56</f>
        <v>0</v>
      </c>
      <c r="K377" s="130" t="n">
        <f aca="false">INPUTS!$T$91*CURVES!K56</f>
        <v>1.16666666666667</v>
      </c>
      <c r="L377" s="130" t="n">
        <f aca="false">INPUTS!$T$91*CURVES!L56</f>
        <v>2.33333333333333</v>
      </c>
      <c r="M377" s="130" t="n">
        <f aca="false">INPUTS!$T$91*CURVES!M56</f>
        <v>3.5</v>
      </c>
      <c r="N377" s="130" t="n">
        <f aca="false">INPUTS!$T$91*CURVES!N56</f>
        <v>4.66666666666667</v>
      </c>
      <c r="O377" s="130" t="n">
        <f aca="false">INPUTS!$T$91*CURVES!O56</f>
        <v>5.83333333333333</v>
      </c>
      <c r="P377" s="130" t="n">
        <f aca="false">INPUTS!$T$91*CURVES!P56</f>
        <v>7</v>
      </c>
      <c r="Q377" s="130" t="n">
        <f aca="false">INPUTS!$T$91*CURVES!Q56</f>
        <v>8.16666666666667</v>
      </c>
      <c r="R377" s="130" t="n">
        <f aca="false">INPUTS!$T$91*CURVES!R56</f>
        <v>9.33333333333333</v>
      </c>
      <c r="S377" s="130" t="n">
        <f aca="false">INPUTS!$T$91*CURVES!S56</f>
        <v>0</v>
      </c>
      <c r="T377" s="130" t="n">
        <f aca="false">INPUTS!$T$91*CURVES!T56</f>
        <v>0</v>
      </c>
      <c r="U377" s="130" t="n">
        <f aca="false">INPUTS!$T$91*CURVES!U56</f>
        <v>0</v>
      </c>
      <c r="V377" s="130" t="n">
        <f aca="false">INPUTS!$T$91*CURVES!V56</f>
        <v>0</v>
      </c>
      <c r="W377" s="130" t="n">
        <f aca="false">INPUTS!$T$91*CURVES!W56</f>
        <v>0</v>
      </c>
      <c r="X377" s="130" t="n">
        <f aca="false">INPUTS!$T$91*CURVES!X56</f>
        <v>0</v>
      </c>
      <c r="Y377" s="130" t="n">
        <f aca="false">INPUTS!$T$91*CURVES!Y56</f>
        <v>0</v>
      </c>
      <c r="Z377" s="130" t="n">
        <f aca="false">INPUTS!$T$91*CURVES!Z56</f>
        <v>0</v>
      </c>
      <c r="AA377" s="130" t="n">
        <f aca="false">INPUTS!$T$91*CURVES!AA56</f>
        <v>0</v>
      </c>
      <c r="AB377" s="130" t="n">
        <f aca="false">INPUTS!$T$91*CURVES!AB56</f>
        <v>0</v>
      </c>
      <c r="AC377" s="130" t="n">
        <f aca="false">INPUTS!$T$91*CURVES!AC56</f>
        <v>0</v>
      </c>
      <c r="AD377" s="130" t="n">
        <f aca="false">INPUTS!$T$91*CURVES!AD56</f>
        <v>0</v>
      </c>
      <c r="AE377" s="130" t="n">
        <f aca="false">INPUTS!$T$91*CURVES!AE56</f>
        <v>0</v>
      </c>
      <c r="AF377" s="130" t="n">
        <f aca="false">INPUTS!$T$91*CURVES!AF56</f>
        <v>0</v>
      </c>
      <c r="AG377" s="130" t="n">
        <f aca="false">INPUTS!$T$91*CURVES!AG56</f>
        <v>0</v>
      </c>
      <c r="AH377" s="130" t="n">
        <f aca="false">INPUTS!$T$91*CURVES!AH56</f>
        <v>0</v>
      </c>
      <c r="AI377" s="130" t="n">
        <f aca="false">INPUTS!$T$91*CURVES!AI56</f>
        <v>0</v>
      </c>
      <c r="AJ377" s="130" t="n">
        <f aca="false">INPUTS!$T$91*CURVES!AJ56</f>
        <v>0</v>
      </c>
      <c r="AK377" s="130" t="n">
        <f aca="false">INPUTS!$T$91*CURVES!AK56</f>
        <v>0</v>
      </c>
      <c r="AL377" s="130" t="n">
        <f aca="false">INPUTS!$T$91*CURVES!AL56</f>
        <v>0</v>
      </c>
      <c r="AM377" s="130" t="n">
        <f aca="false">INPUTS!$T$91*CURVES!AM56</f>
        <v>0</v>
      </c>
      <c r="AN377" s="130" t="n">
        <f aca="false">INPUTS!$T$91*CURVES!AN56</f>
        <v>0</v>
      </c>
      <c r="AO377" s="130" t="n">
        <f aca="false">INPUTS!$T$91*CURVES!AO56</f>
        <v>0</v>
      </c>
      <c r="AP377" s="130" t="n">
        <f aca="false">INPUTS!$T$91*CURVES!AP56</f>
        <v>0</v>
      </c>
      <c r="AQ377" s="130" t="n">
        <f aca="false">INPUTS!$T$91*CURVES!AQ56</f>
        <v>0</v>
      </c>
    </row>
    <row r="378" customFormat="false" ht="15" hidden="false" customHeight="false" outlineLevel="0" collapsed="false">
      <c r="B378" s="3" t="s">
        <v>713</v>
      </c>
      <c r="D378" s="130" t="n">
        <f aca="false">SUM($D377:D377)</f>
        <v>0</v>
      </c>
      <c r="E378" s="130" t="n">
        <f aca="false">SUM($D377:E377)</f>
        <v>0</v>
      </c>
      <c r="F378" s="130" t="n">
        <f aca="false">SUM($D377:F377)</f>
        <v>0</v>
      </c>
      <c r="G378" s="130" t="n">
        <f aca="false">SUM($D377:G377)</f>
        <v>0</v>
      </c>
      <c r="H378" s="130" t="n">
        <f aca="false">SUM($D377:H377)</f>
        <v>0</v>
      </c>
      <c r="I378" s="130" t="n">
        <f aca="false">SUM($D377:I377)</f>
        <v>0</v>
      </c>
      <c r="J378" s="130" t="n">
        <f aca="false">SUM($D377:J377)</f>
        <v>0</v>
      </c>
      <c r="K378" s="130" t="n">
        <f aca="false">SUM($D377:K377)</f>
        <v>1.16666666666667</v>
      </c>
      <c r="L378" s="130" t="n">
        <f aca="false">SUM($D377:L377)</f>
        <v>3.5</v>
      </c>
      <c r="M378" s="130" t="n">
        <f aca="false">SUM($D377:M377)</f>
        <v>7</v>
      </c>
      <c r="N378" s="130" t="n">
        <f aca="false">SUM($D377:N377)</f>
        <v>11.6666666666667</v>
      </c>
      <c r="O378" s="130" t="n">
        <f aca="false">SUM($D377:O377)</f>
        <v>17.5</v>
      </c>
      <c r="P378" s="130" t="n">
        <f aca="false">SUM($D377:P377)</f>
        <v>24.5</v>
      </c>
      <c r="Q378" s="130" t="n">
        <f aca="false">SUM($D377:Q377)</f>
        <v>32.6666666666667</v>
      </c>
      <c r="R378" s="130" t="n">
        <f aca="false">SUM($D377:R377)</f>
        <v>42</v>
      </c>
      <c r="S378" s="130" t="n">
        <f aca="false">SUM($D377:S377)</f>
        <v>42</v>
      </c>
      <c r="T378" s="130" t="n">
        <f aca="false">SUM($D377:T377)</f>
        <v>42</v>
      </c>
      <c r="U378" s="130" t="n">
        <f aca="false">SUM($D377:U377)</f>
        <v>42</v>
      </c>
      <c r="V378" s="130" t="n">
        <f aca="false">SUM($D377:V377)</f>
        <v>42</v>
      </c>
      <c r="W378" s="130" t="n">
        <f aca="false">SUM($D377:W377)</f>
        <v>42</v>
      </c>
      <c r="X378" s="130" t="n">
        <f aca="false">SUM($D377:X377)</f>
        <v>42</v>
      </c>
      <c r="Y378" s="130" t="n">
        <f aca="false">SUM($D377:Y377)</f>
        <v>42</v>
      </c>
      <c r="Z378" s="130" t="n">
        <f aca="false">SUM($D377:Z377)</f>
        <v>42</v>
      </c>
      <c r="AA378" s="130" t="n">
        <f aca="false">SUM($D377:AA377)</f>
        <v>42</v>
      </c>
      <c r="AB378" s="130" t="n">
        <f aca="false">SUM($D377:AB377)</f>
        <v>42</v>
      </c>
      <c r="AC378" s="130" t="n">
        <f aca="false">SUM($D377:AC377)</f>
        <v>42</v>
      </c>
      <c r="AD378" s="130" t="n">
        <f aca="false">SUM($D377:AD377)</f>
        <v>42</v>
      </c>
      <c r="AE378" s="130" t="n">
        <f aca="false">SUM($D377:AE377)</f>
        <v>42</v>
      </c>
      <c r="AF378" s="130" t="n">
        <f aca="false">SUM($D377:AF377)</f>
        <v>42</v>
      </c>
      <c r="AG378" s="130" t="n">
        <f aca="false">SUM($D377:AG377)</f>
        <v>42</v>
      </c>
      <c r="AH378" s="130" t="n">
        <f aca="false">SUM($D377:AH377)</f>
        <v>42</v>
      </c>
      <c r="AI378" s="130" t="n">
        <f aca="false">SUM($D377:AI377)</f>
        <v>42</v>
      </c>
      <c r="AJ378" s="130" t="n">
        <f aca="false">SUM($D377:AJ377)</f>
        <v>42</v>
      </c>
      <c r="AK378" s="130" t="n">
        <f aca="false">SUM($D377:AK377)</f>
        <v>42</v>
      </c>
      <c r="AL378" s="130" t="n">
        <f aca="false">SUM($D377:AL377)</f>
        <v>42</v>
      </c>
      <c r="AM378" s="130" t="n">
        <f aca="false">SUM($D377:AM377)</f>
        <v>42</v>
      </c>
      <c r="AN378" s="130" t="n">
        <f aca="false">SUM($D377:AN377)</f>
        <v>42</v>
      </c>
      <c r="AO378" s="130" t="n">
        <f aca="false">SUM($D377:AO377)</f>
        <v>42</v>
      </c>
      <c r="AP378" s="130" t="n">
        <f aca="false">SUM($D377:AP377)</f>
        <v>42</v>
      </c>
      <c r="AQ378" s="130" t="n">
        <f aca="false">SUM($D377:AQ377)</f>
        <v>42</v>
      </c>
    </row>
    <row r="379" customFormat="false" ht="15" hidden="false" customHeight="false" outlineLevel="0" collapsed="false">
      <c r="B379" s="131" t="s">
        <v>714</v>
      </c>
      <c r="C379" s="129" t="n">
        <f aca="false">SUM(D379:AQ379)</f>
        <v>37.8</v>
      </c>
      <c r="D379" s="130" t="n">
        <f aca="false">$D$143*IF(D$7-0&gt;=1,INDEX($D$377:$AQ$377,D$7-0),0)+$E$143*IF(D$7-1&gt;=1,INDEX($D$377:$AQ$377,D$7-1),0)+$F$143*IF(D$7-2&gt;=1,INDEX($D$377:$AQ$377,D$7-2),0)+$G$143*IF(D$7-3&gt;=1,INDEX($D$377:$AQ$377,D$7-3),0)+$H$143*IF(D$7-4&gt;=1,INDEX($D$377:$AQ$377,D$7-4),0)+$I$143*IF(D$7-5&gt;=1,INDEX($D$377:$AQ$377,D$7-5),0)+$J$143*IF(D$7-6&gt;=1,INDEX($D$377:$AQ$377,D$7-6),0)+$K$143*IF(D$7-7&gt;=1,INDEX($D$377:$AQ$377,D$7-7),0)+$L$143*IF(D$7-8&gt;=1,INDEX($D$377:$AQ$377,D$7-8),0)+$M$143*IF(D$7-9&gt;=1,INDEX($D$377:$AQ$377,D$7-9),0)+$N$143*IF(D$7-10&gt;=1,INDEX($D$377:$AQ$377,D$7-10),0)+$O$143*IF(D$7-11&gt;=1,INDEX($D$377:$AQ$377,D$7-11),0)+$P$143*IF(D$7-12&gt;=1,INDEX($D$377:$AQ$377,D$7-12),0)</f>
        <v>0</v>
      </c>
      <c r="E379" s="130" t="n">
        <f aca="false">$D$143*IF(E$7-0&gt;=1,INDEX($D$377:$AQ$377,E$7-0),0)+$E$143*IF(E$7-1&gt;=1,INDEX($D$377:$AQ$377,E$7-1),0)+$F$143*IF(E$7-2&gt;=1,INDEX($D$377:$AQ$377,E$7-2),0)+$G$143*IF(E$7-3&gt;=1,INDEX($D$377:$AQ$377,E$7-3),0)+$H$143*IF(E$7-4&gt;=1,INDEX($D$377:$AQ$377,E$7-4),0)+$I$143*IF(E$7-5&gt;=1,INDEX($D$377:$AQ$377,E$7-5),0)+$J$143*IF(E$7-6&gt;=1,INDEX($D$377:$AQ$377,E$7-6),0)+$K$143*IF(E$7-7&gt;=1,INDEX($D$377:$AQ$377,E$7-7),0)+$L$143*IF(E$7-8&gt;=1,INDEX($D$377:$AQ$377,E$7-8),0)+$M$143*IF(E$7-9&gt;=1,INDEX($D$377:$AQ$377,E$7-9),0)+$N$143*IF(E$7-10&gt;=1,INDEX($D$377:$AQ$377,E$7-10),0)+$O$143*IF(E$7-11&gt;=1,INDEX($D$377:$AQ$377,E$7-11),0)+$P$143*IF(E$7-12&gt;=1,INDEX($D$377:$AQ$377,E$7-12),0)</f>
        <v>0</v>
      </c>
      <c r="F379" s="130" t="n">
        <f aca="false">$D$143*IF(F$7-0&gt;=1,INDEX($D$377:$AQ$377,F$7-0),0)+$E$143*IF(F$7-1&gt;=1,INDEX($D$377:$AQ$377,F$7-1),0)+$F$143*IF(F$7-2&gt;=1,INDEX($D$377:$AQ$377,F$7-2),0)+$G$143*IF(F$7-3&gt;=1,INDEX($D$377:$AQ$377,F$7-3),0)+$H$143*IF(F$7-4&gt;=1,INDEX($D$377:$AQ$377,F$7-4),0)+$I$143*IF(F$7-5&gt;=1,INDEX($D$377:$AQ$377,F$7-5),0)+$J$143*IF(F$7-6&gt;=1,INDEX($D$377:$AQ$377,F$7-6),0)+$K$143*IF(F$7-7&gt;=1,INDEX($D$377:$AQ$377,F$7-7),0)+$L$143*IF(F$7-8&gt;=1,INDEX($D$377:$AQ$377,F$7-8),0)+$M$143*IF(F$7-9&gt;=1,INDEX($D$377:$AQ$377,F$7-9),0)+$N$143*IF(F$7-10&gt;=1,INDEX($D$377:$AQ$377,F$7-10),0)+$O$143*IF(F$7-11&gt;=1,INDEX($D$377:$AQ$377,F$7-11),0)+$P$143*IF(F$7-12&gt;=1,INDEX($D$377:$AQ$377,F$7-12),0)</f>
        <v>0</v>
      </c>
      <c r="G379" s="130" t="n">
        <f aca="false">$D$143*IF(G$7-0&gt;=1,INDEX($D$377:$AQ$377,G$7-0),0)+$E$143*IF(G$7-1&gt;=1,INDEX($D$377:$AQ$377,G$7-1),0)+$F$143*IF(G$7-2&gt;=1,INDEX($D$377:$AQ$377,G$7-2),0)+$G$143*IF(G$7-3&gt;=1,INDEX($D$377:$AQ$377,G$7-3),0)+$H$143*IF(G$7-4&gt;=1,INDEX($D$377:$AQ$377,G$7-4),0)+$I$143*IF(G$7-5&gt;=1,INDEX($D$377:$AQ$377,G$7-5),0)+$J$143*IF(G$7-6&gt;=1,INDEX($D$377:$AQ$377,G$7-6),0)+$K$143*IF(G$7-7&gt;=1,INDEX($D$377:$AQ$377,G$7-7),0)+$L$143*IF(G$7-8&gt;=1,INDEX($D$377:$AQ$377,G$7-8),0)+$M$143*IF(G$7-9&gt;=1,INDEX($D$377:$AQ$377,G$7-9),0)+$N$143*IF(G$7-10&gt;=1,INDEX($D$377:$AQ$377,G$7-10),0)+$O$143*IF(G$7-11&gt;=1,INDEX($D$377:$AQ$377,G$7-11),0)+$P$143*IF(G$7-12&gt;=1,INDEX($D$377:$AQ$377,G$7-12),0)</f>
        <v>0</v>
      </c>
      <c r="H379" s="130" t="n">
        <f aca="false">$D$143*IF(H$7-0&gt;=1,INDEX($D$377:$AQ$377,H$7-0),0)+$E$143*IF(H$7-1&gt;=1,INDEX($D$377:$AQ$377,H$7-1),0)+$F$143*IF(H$7-2&gt;=1,INDEX($D$377:$AQ$377,H$7-2),0)+$G$143*IF(H$7-3&gt;=1,INDEX($D$377:$AQ$377,H$7-3),0)+$H$143*IF(H$7-4&gt;=1,INDEX($D$377:$AQ$377,H$7-4),0)+$I$143*IF(H$7-5&gt;=1,INDEX($D$377:$AQ$377,H$7-5),0)+$J$143*IF(H$7-6&gt;=1,INDEX($D$377:$AQ$377,H$7-6),0)+$K$143*IF(H$7-7&gt;=1,INDEX($D$377:$AQ$377,H$7-7),0)+$L$143*IF(H$7-8&gt;=1,INDEX($D$377:$AQ$377,H$7-8),0)+$M$143*IF(H$7-9&gt;=1,INDEX($D$377:$AQ$377,H$7-9),0)+$N$143*IF(H$7-10&gt;=1,INDEX($D$377:$AQ$377,H$7-10),0)+$O$143*IF(H$7-11&gt;=1,INDEX($D$377:$AQ$377,H$7-11),0)+$P$143*IF(H$7-12&gt;=1,INDEX($D$377:$AQ$377,H$7-12),0)</f>
        <v>0</v>
      </c>
      <c r="I379" s="130" t="n">
        <f aca="false">$D$143*IF(I$7-0&gt;=1,INDEX($D$377:$AQ$377,I$7-0),0)+$E$143*IF(I$7-1&gt;=1,INDEX($D$377:$AQ$377,I$7-1),0)+$F$143*IF(I$7-2&gt;=1,INDEX($D$377:$AQ$377,I$7-2),0)+$G$143*IF(I$7-3&gt;=1,INDEX($D$377:$AQ$377,I$7-3),0)+$H$143*IF(I$7-4&gt;=1,INDEX($D$377:$AQ$377,I$7-4),0)+$I$143*IF(I$7-5&gt;=1,INDEX($D$377:$AQ$377,I$7-5),0)+$J$143*IF(I$7-6&gt;=1,INDEX($D$377:$AQ$377,I$7-6),0)+$K$143*IF(I$7-7&gt;=1,INDEX($D$377:$AQ$377,I$7-7),0)+$L$143*IF(I$7-8&gt;=1,INDEX($D$377:$AQ$377,I$7-8),0)+$M$143*IF(I$7-9&gt;=1,INDEX($D$377:$AQ$377,I$7-9),0)+$N$143*IF(I$7-10&gt;=1,INDEX($D$377:$AQ$377,I$7-10),0)+$O$143*IF(I$7-11&gt;=1,INDEX($D$377:$AQ$377,I$7-11),0)+$P$143*IF(I$7-12&gt;=1,INDEX($D$377:$AQ$377,I$7-12),0)</f>
        <v>0</v>
      </c>
      <c r="J379" s="130" t="n">
        <f aca="false">$D$143*IF(J$7-0&gt;=1,INDEX($D$377:$AQ$377,J$7-0),0)+$E$143*IF(J$7-1&gt;=1,INDEX($D$377:$AQ$377,J$7-1),0)+$F$143*IF(J$7-2&gt;=1,INDEX($D$377:$AQ$377,J$7-2),0)+$G$143*IF(J$7-3&gt;=1,INDEX($D$377:$AQ$377,J$7-3),0)+$H$143*IF(J$7-4&gt;=1,INDEX($D$377:$AQ$377,J$7-4),0)+$I$143*IF(J$7-5&gt;=1,INDEX($D$377:$AQ$377,J$7-5),0)+$J$143*IF(J$7-6&gt;=1,INDEX($D$377:$AQ$377,J$7-6),0)+$K$143*IF(J$7-7&gt;=1,INDEX($D$377:$AQ$377,J$7-7),0)+$L$143*IF(J$7-8&gt;=1,INDEX($D$377:$AQ$377,J$7-8),0)+$M$143*IF(J$7-9&gt;=1,INDEX($D$377:$AQ$377,J$7-9),0)+$N$143*IF(J$7-10&gt;=1,INDEX($D$377:$AQ$377,J$7-10),0)+$O$143*IF(J$7-11&gt;=1,INDEX($D$377:$AQ$377,J$7-11),0)+$P$143*IF(J$7-12&gt;=1,INDEX($D$377:$AQ$377,J$7-12),0)</f>
        <v>0</v>
      </c>
      <c r="K379" s="130" t="n">
        <f aca="false">$D$143*IF(K$7-0&gt;=1,INDEX($D$377:$AQ$377,K$7-0),0)+$E$143*IF(K$7-1&gt;=1,INDEX($D$377:$AQ$377,K$7-1),0)+$F$143*IF(K$7-2&gt;=1,INDEX($D$377:$AQ$377,K$7-2),0)+$G$143*IF(K$7-3&gt;=1,INDEX($D$377:$AQ$377,K$7-3),0)+$H$143*IF(K$7-4&gt;=1,INDEX($D$377:$AQ$377,K$7-4),0)+$I$143*IF(K$7-5&gt;=1,INDEX($D$377:$AQ$377,K$7-5),0)+$J$143*IF(K$7-6&gt;=1,INDEX($D$377:$AQ$377,K$7-6),0)+$K$143*IF(K$7-7&gt;=1,INDEX($D$377:$AQ$377,K$7-7),0)+$L$143*IF(K$7-8&gt;=1,INDEX($D$377:$AQ$377,K$7-8),0)+$M$143*IF(K$7-9&gt;=1,INDEX($D$377:$AQ$377,K$7-9),0)+$N$143*IF(K$7-10&gt;=1,INDEX($D$377:$AQ$377,K$7-10),0)+$O$143*IF(K$7-11&gt;=1,INDEX($D$377:$AQ$377,K$7-11),0)+$P$143*IF(K$7-12&gt;=1,INDEX($D$377:$AQ$377,K$7-12),0)</f>
        <v>0.116666666666667</v>
      </c>
      <c r="L379" s="130" t="n">
        <f aca="false">$D$143*IF(L$7-0&gt;=1,INDEX($D$377:$AQ$377,L$7-0),0)+$E$143*IF(L$7-1&gt;=1,INDEX($D$377:$AQ$377,L$7-1),0)+$F$143*IF(L$7-2&gt;=1,INDEX($D$377:$AQ$377,L$7-2),0)+$G$143*IF(L$7-3&gt;=1,INDEX($D$377:$AQ$377,L$7-3),0)+$H$143*IF(L$7-4&gt;=1,INDEX($D$377:$AQ$377,L$7-4),0)+$I$143*IF(L$7-5&gt;=1,INDEX($D$377:$AQ$377,L$7-5),0)+$J$143*IF(L$7-6&gt;=1,INDEX($D$377:$AQ$377,L$7-6),0)+$K$143*IF(L$7-7&gt;=1,INDEX($D$377:$AQ$377,L$7-7),0)+$L$143*IF(L$7-8&gt;=1,INDEX($D$377:$AQ$377,L$7-8),0)+$M$143*IF(L$7-9&gt;=1,INDEX($D$377:$AQ$377,L$7-9),0)+$N$143*IF(L$7-10&gt;=1,INDEX($D$377:$AQ$377,L$7-10),0)+$O$143*IF(L$7-11&gt;=1,INDEX($D$377:$AQ$377,L$7-11),0)+$P$143*IF(L$7-12&gt;=1,INDEX($D$377:$AQ$377,L$7-12),0)</f>
        <v>1.16666666666667</v>
      </c>
      <c r="M379" s="130" t="n">
        <f aca="false">$D$143*IF(M$7-0&gt;=1,INDEX($D$377:$AQ$377,M$7-0),0)+$E$143*IF(M$7-1&gt;=1,INDEX($D$377:$AQ$377,M$7-1),0)+$F$143*IF(M$7-2&gt;=1,INDEX($D$377:$AQ$377,M$7-2),0)+$G$143*IF(M$7-3&gt;=1,INDEX($D$377:$AQ$377,M$7-3),0)+$H$143*IF(M$7-4&gt;=1,INDEX($D$377:$AQ$377,M$7-4),0)+$I$143*IF(M$7-5&gt;=1,INDEX($D$377:$AQ$377,M$7-5),0)+$J$143*IF(M$7-6&gt;=1,INDEX($D$377:$AQ$377,M$7-6),0)+$K$143*IF(M$7-7&gt;=1,INDEX($D$377:$AQ$377,M$7-7),0)+$L$143*IF(M$7-8&gt;=1,INDEX($D$377:$AQ$377,M$7-8),0)+$M$143*IF(M$7-9&gt;=1,INDEX($D$377:$AQ$377,M$7-9),0)+$N$143*IF(M$7-10&gt;=1,INDEX($D$377:$AQ$377,M$7-10),0)+$O$143*IF(M$7-11&gt;=1,INDEX($D$377:$AQ$377,M$7-11),0)+$P$143*IF(M$7-12&gt;=1,INDEX($D$377:$AQ$377,M$7-12),0)</f>
        <v>2.21666666666667</v>
      </c>
      <c r="N379" s="130" t="n">
        <f aca="false">$D$143*IF(N$7-0&gt;=1,INDEX($D$377:$AQ$377,N$7-0),0)+$E$143*IF(N$7-1&gt;=1,INDEX($D$377:$AQ$377,N$7-1),0)+$F$143*IF(N$7-2&gt;=1,INDEX($D$377:$AQ$377,N$7-2),0)+$G$143*IF(N$7-3&gt;=1,INDEX($D$377:$AQ$377,N$7-3),0)+$H$143*IF(N$7-4&gt;=1,INDEX($D$377:$AQ$377,N$7-4),0)+$I$143*IF(N$7-5&gt;=1,INDEX($D$377:$AQ$377,N$7-5),0)+$J$143*IF(N$7-6&gt;=1,INDEX($D$377:$AQ$377,N$7-6),0)+$K$143*IF(N$7-7&gt;=1,INDEX($D$377:$AQ$377,N$7-7),0)+$L$143*IF(N$7-8&gt;=1,INDEX($D$377:$AQ$377,N$7-8),0)+$M$143*IF(N$7-9&gt;=1,INDEX($D$377:$AQ$377,N$7-9),0)+$N$143*IF(N$7-10&gt;=1,INDEX($D$377:$AQ$377,N$7-10),0)+$O$143*IF(N$7-11&gt;=1,INDEX($D$377:$AQ$377,N$7-11),0)+$P$143*IF(N$7-12&gt;=1,INDEX($D$377:$AQ$377,N$7-12),0)</f>
        <v>3.26666666666667</v>
      </c>
      <c r="O379" s="130" t="n">
        <f aca="false">$D$143*IF(O$7-0&gt;=1,INDEX($D$377:$AQ$377,O$7-0),0)+$E$143*IF(O$7-1&gt;=1,INDEX($D$377:$AQ$377,O$7-1),0)+$F$143*IF(O$7-2&gt;=1,INDEX($D$377:$AQ$377,O$7-2),0)+$G$143*IF(O$7-3&gt;=1,INDEX($D$377:$AQ$377,O$7-3),0)+$H$143*IF(O$7-4&gt;=1,INDEX($D$377:$AQ$377,O$7-4),0)+$I$143*IF(O$7-5&gt;=1,INDEX($D$377:$AQ$377,O$7-5),0)+$J$143*IF(O$7-6&gt;=1,INDEX($D$377:$AQ$377,O$7-6),0)+$K$143*IF(O$7-7&gt;=1,INDEX($D$377:$AQ$377,O$7-7),0)+$L$143*IF(O$7-8&gt;=1,INDEX($D$377:$AQ$377,O$7-8),0)+$M$143*IF(O$7-9&gt;=1,INDEX($D$377:$AQ$377,O$7-9),0)+$N$143*IF(O$7-10&gt;=1,INDEX($D$377:$AQ$377,O$7-10),0)+$O$143*IF(O$7-11&gt;=1,INDEX($D$377:$AQ$377,O$7-11),0)+$P$143*IF(O$7-12&gt;=1,INDEX($D$377:$AQ$377,O$7-12),0)</f>
        <v>4.31666666666667</v>
      </c>
      <c r="P379" s="130" t="n">
        <f aca="false">$D$143*IF(P$7-0&gt;=1,INDEX($D$377:$AQ$377,P$7-0),0)+$E$143*IF(P$7-1&gt;=1,INDEX($D$377:$AQ$377,P$7-1),0)+$F$143*IF(P$7-2&gt;=1,INDEX($D$377:$AQ$377,P$7-2),0)+$G$143*IF(P$7-3&gt;=1,INDEX($D$377:$AQ$377,P$7-3),0)+$H$143*IF(P$7-4&gt;=1,INDEX($D$377:$AQ$377,P$7-4),0)+$I$143*IF(P$7-5&gt;=1,INDEX($D$377:$AQ$377,P$7-5),0)+$J$143*IF(P$7-6&gt;=1,INDEX($D$377:$AQ$377,P$7-6),0)+$K$143*IF(P$7-7&gt;=1,INDEX($D$377:$AQ$377,P$7-7),0)+$L$143*IF(P$7-8&gt;=1,INDEX($D$377:$AQ$377,P$7-8),0)+$M$143*IF(P$7-9&gt;=1,INDEX($D$377:$AQ$377,P$7-9),0)+$N$143*IF(P$7-10&gt;=1,INDEX($D$377:$AQ$377,P$7-10),0)+$O$143*IF(P$7-11&gt;=1,INDEX($D$377:$AQ$377,P$7-11),0)+$P$143*IF(P$7-12&gt;=1,INDEX($D$377:$AQ$377,P$7-12),0)</f>
        <v>5.36666666666667</v>
      </c>
      <c r="Q379" s="130" t="n">
        <f aca="false">$D$143*IF(Q$7-0&gt;=1,INDEX($D$377:$AQ$377,Q$7-0),0)+$E$143*IF(Q$7-1&gt;=1,INDEX($D$377:$AQ$377,Q$7-1),0)+$F$143*IF(Q$7-2&gt;=1,INDEX($D$377:$AQ$377,Q$7-2),0)+$G$143*IF(Q$7-3&gt;=1,INDEX($D$377:$AQ$377,Q$7-3),0)+$H$143*IF(Q$7-4&gt;=1,INDEX($D$377:$AQ$377,Q$7-4),0)+$I$143*IF(Q$7-5&gt;=1,INDEX($D$377:$AQ$377,Q$7-5),0)+$J$143*IF(Q$7-6&gt;=1,INDEX($D$377:$AQ$377,Q$7-6),0)+$K$143*IF(Q$7-7&gt;=1,INDEX($D$377:$AQ$377,Q$7-7),0)+$L$143*IF(Q$7-8&gt;=1,INDEX($D$377:$AQ$377,Q$7-8),0)+$M$143*IF(Q$7-9&gt;=1,INDEX($D$377:$AQ$377,Q$7-9),0)+$N$143*IF(Q$7-10&gt;=1,INDEX($D$377:$AQ$377,Q$7-10),0)+$O$143*IF(Q$7-11&gt;=1,INDEX($D$377:$AQ$377,Q$7-11),0)+$P$143*IF(Q$7-12&gt;=1,INDEX($D$377:$AQ$377,Q$7-12),0)</f>
        <v>6.41666666666667</v>
      </c>
      <c r="R379" s="130" t="n">
        <f aca="false">$D$143*IF(R$7-0&gt;=1,INDEX($D$377:$AQ$377,R$7-0),0)+$E$143*IF(R$7-1&gt;=1,INDEX($D$377:$AQ$377,R$7-1),0)+$F$143*IF(R$7-2&gt;=1,INDEX($D$377:$AQ$377,R$7-2),0)+$G$143*IF(R$7-3&gt;=1,INDEX($D$377:$AQ$377,R$7-3),0)+$H$143*IF(R$7-4&gt;=1,INDEX($D$377:$AQ$377,R$7-4),0)+$I$143*IF(R$7-5&gt;=1,INDEX($D$377:$AQ$377,R$7-5),0)+$J$143*IF(R$7-6&gt;=1,INDEX($D$377:$AQ$377,R$7-6),0)+$K$143*IF(R$7-7&gt;=1,INDEX($D$377:$AQ$377,R$7-7),0)+$L$143*IF(R$7-8&gt;=1,INDEX($D$377:$AQ$377,R$7-8),0)+$M$143*IF(R$7-9&gt;=1,INDEX($D$377:$AQ$377,R$7-9),0)+$N$143*IF(R$7-10&gt;=1,INDEX($D$377:$AQ$377,R$7-10),0)+$O$143*IF(R$7-11&gt;=1,INDEX($D$377:$AQ$377,R$7-11),0)+$P$143*IF(R$7-12&gt;=1,INDEX($D$377:$AQ$377,R$7-12),0)</f>
        <v>7.46666666666667</v>
      </c>
      <c r="S379" s="130" t="n">
        <f aca="false">$D$143*IF(S$7-0&gt;=1,INDEX($D$377:$AQ$377,S$7-0),0)+$E$143*IF(S$7-1&gt;=1,INDEX($D$377:$AQ$377,S$7-1),0)+$F$143*IF(S$7-2&gt;=1,INDEX($D$377:$AQ$377,S$7-2),0)+$G$143*IF(S$7-3&gt;=1,INDEX($D$377:$AQ$377,S$7-3),0)+$H$143*IF(S$7-4&gt;=1,INDEX($D$377:$AQ$377,S$7-4),0)+$I$143*IF(S$7-5&gt;=1,INDEX($D$377:$AQ$377,S$7-5),0)+$J$143*IF(S$7-6&gt;=1,INDEX($D$377:$AQ$377,S$7-6),0)+$K$143*IF(S$7-7&gt;=1,INDEX($D$377:$AQ$377,S$7-7),0)+$L$143*IF(S$7-8&gt;=1,INDEX($D$377:$AQ$377,S$7-8),0)+$M$143*IF(S$7-9&gt;=1,INDEX($D$377:$AQ$377,S$7-9),0)+$N$143*IF(S$7-10&gt;=1,INDEX($D$377:$AQ$377,S$7-10),0)+$O$143*IF(S$7-11&gt;=1,INDEX($D$377:$AQ$377,S$7-11),0)+$P$143*IF(S$7-12&gt;=1,INDEX($D$377:$AQ$377,S$7-12),0)</f>
        <v>7.46666666666667</v>
      </c>
      <c r="T379" s="130" t="n">
        <f aca="false">$D$143*IF(T$7-0&gt;=1,INDEX($D$377:$AQ$377,T$7-0),0)+$E$143*IF(T$7-1&gt;=1,INDEX($D$377:$AQ$377,T$7-1),0)+$F$143*IF(T$7-2&gt;=1,INDEX($D$377:$AQ$377,T$7-2),0)+$G$143*IF(T$7-3&gt;=1,INDEX($D$377:$AQ$377,T$7-3),0)+$H$143*IF(T$7-4&gt;=1,INDEX($D$377:$AQ$377,T$7-4),0)+$I$143*IF(T$7-5&gt;=1,INDEX($D$377:$AQ$377,T$7-5),0)+$J$143*IF(T$7-6&gt;=1,INDEX($D$377:$AQ$377,T$7-6),0)+$K$143*IF(T$7-7&gt;=1,INDEX($D$377:$AQ$377,T$7-7),0)+$L$143*IF(T$7-8&gt;=1,INDEX($D$377:$AQ$377,T$7-8),0)+$M$143*IF(T$7-9&gt;=1,INDEX($D$377:$AQ$377,T$7-9),0)+$N$143*IF(T$7-10&gt;=1,INDEX($D$377:$AQ$377,T$7-10),0)+$O$143*IF(T$7-11&gt;=1,INDEX($D$377:$AQ$377,T$7-11),0)+$P$143*IF(T$7-12&gt;=1,INDEX($D$377:$AQ$377,T$7-12),0)</f>
        <v>0</v>
      </c>
      <c r="U379" s="130" t="n">
        <f aca="false">$D$143*IF(U$7-0&gt;=1,INDEX($D$377:$AQ$377,U$7-0),0)+$E$143*IF(U$7-1&gt;=1,INDEX($D$377:$AQ$377,U$7-1),0)+$F$143*IF(U$7-2&gt;=1,INDEX($D$377:$AQ$377,U$7-2),0)+$G$143*IF(U$7-3&gt;=1,INDEX($D$377:$AQ$377,U$7-3),0)+$H$143*IF(U$7-4&gt;=1,INDEX($D$377:$AQ$377,U$7-4),0)+$I$143*IF(U$7-5&gt;=1,INDEX($D$377:$AQ$377,U$7-5),0)+$J$143*IF(U$7-6&gt;=1,INDEX($D$377:$AQ$377,U$7-6),0)+$K$143*IF(U$7-7&gt;=1,INDEX($D$377:$AQ$377,U$7-7),0)+$L$143*IF(U$7-8&gt;=1,INDEX($D$377:$AQ$377,U$7-8),0)+$M$143*IF(U$7-9&gt;=1,INDEX($D$377:$AQ$377,U$7-9),0)+$N$143*IF(U$7-10&gt;=1,INDEX($D$377:$AQ$377,U$7-10),0)+$O$143*IF(U$7-11&gt;=1,INDEX($D$377:$AQ$377,U$7-11),0)+$P$143*IF(U$7-12&gt;=1,INDEX($D$377:$AQ$377,U$7-12),0)</f>
        <v>0</v>
      </c>
      <c r="V379" s="130" t="n">
        <f aca="false">$D$143*IF(V$7-0&gt;=1,INDEX($D$377:$AQ$377,V$7-0),0)+$E$143*IF(V$7-1&gt;=1,INDEX($D$377:$AQ$377,V$7-1),0)+$F$143*IF(V$7-2&gt;=1,INDEX($D$377:$AQ$377,V$7-2),0)+$G$143*IF(V$7-3&gt;=1,INDEX($D$377:$AQ$377,V$7-3),0)+$H$143*IF(V$7-4&gt;=1,INDEX($D$377:$AQ$377,V$7-4),0)+$I$143*IF(V$7-5&gt;=1,INDEX($D$377:$AQ$377,V$7-5),0)+$J$143*IF(V$7-6&gt;=1,INDEX($D$377:$AQ$377,V$7-6),0)+$K$143*IF(V$7-7&gt;=1,INDEX($D$377:$AQ$377,V$7-7),0)+$L$143*IF(V$7-8&gt;=1,INDEX($D$377:$AQ$377,V$7-8),0)+$M$143*IF(V$7-9&gt;=1,INDEX($D$377:$AQ$377,V$7-9),0)+$N$143*IF(V$7-10&gt;=1,INDEX($D$377:$AQ$377,V$7-10),0)+$O$143*IF(V$7-11&gt;=1,INDEX($D$377:$AQ$377,V$7-11),0)+$P$143*IF(V$7-12&gt;=1,INDEX($D$377:$AQ$377,V$7-12),0)</f>
        <v>0</v>
      </c>
      <c r="W379" s="130" t="n">
        <f aca="false">$D$143*IF(W$7-0&gt;=1,INDEX($D$377:$AQ$377,W$7-0),0)+$E$143*IF(W$7-1&gt;=1,INDEX($D$377:$AQ$377,W$7-1),0)+$F$143*IF(W$7-2&gt;=1,INDEX($D$377:$AQ$377,W$7-2),0)+$G$143*IF(W$7-3&gt;=1,INDEX($D$377:$AQ$377,W$7-3),0)+$H$143*IF(W$7-4&gt;=1,INDEX($D$377:$AQ$377,W$7-4),0)+$I$143*IF(W$7-5&gt;=1,INDEX($D$377:$AQ$377,W$7-5),0)+$J$143*IF(W$7-6&gt;=1,INDEX($D$377:$AQ$377,W$7-6),0)+$K$143*IF(W$7-7&gt;=1,INDEX($D$377:$AQ$377,W$7-7),0)+$L$143*IF(W$7-8&gt;=1,INDEX($D$377:$AQ$377,W$7-8),0)+$M$143*IF(W$7-9&gt;=1,INDEX($D$377:$AQ$377,W$7-9),0)+$N$143*IF(W$7-10&gt;=1,INDEX($D$377:$AQ$377,W$7-10),0)+$O$143*IF(W$7-11&gt;=1,INDEX($D$377:$AQ$377,W$7-11),0)+$P$143*IF(W$7-12&gt;=1,INDEX($D$377:$AQ$377,W$7-12),0)</f>
        <v>0</v>
      </c>
      <c r="X379" s="130" t="n">
        <f aca="false">$D$143*IF(X$7-0&gt;=1,INDEX($D$377:$AQ$377,X$7-0),0)+$E$143*IF(X$7-1&gt;=1,INDEX($D$377:$AQ$377,X$7-1),0)+$F$143*IF(X$7-2&gt;=1,INDEX($D$377:$AQ$377,X$7-2),0)+$G$143*IF(X$7-3&gt;=1,INDEX($D$377:$AQ$377,X$7-3),0)+$H$143*IF(X$7-4&gt;=1,INDEX($D$377:$AQ$377,X$7-4),0)+$I$143*IF(X$7-5&gt;=1,INDEX($D$377:$AQ$377,X$7-5),0)+$J$143*IF(X$7-6&gt;=1,INDEX($D$377:$AQ$377,X$7-6),0)+$K$143*IF(X$7-7&gt;=1,INDEX($D$377:$AQ$377,X$7-7),0)+$L$143*IF(X$7-8&gt;=1,INDEX($D$377:$AQ$377,X$7-8),0)+$M$143*IF(X$7-9&gt;=1,INDEX($D$377:$AQ$377,X$7-9),0)+$N$143*IF(X$7-10&gt;=1,INDEX($D$377:$AQ$377,X$7-10),0)+$O$143*IF(X$7-11&gt;=1,INDEX($D$377:$AQ$377,X$7-11),0)+$P$143*IF(X$7-12&gt;=1,INDEX($D$377:$AQ$377,X$7-12),0)</f>
        <v>0</v>
      </c>
      <c r="Y379" s="130" t="n">
        <f aca="false">$D$143*IF(Y$7-0&gt;=1,INDEX($D$377:$AQ$377,Y$7-0),0)+$E$143*IF(Y$7-1&gt;=1,INDEX($D$377:$AQ$377,Y$7-1),0)+$F$143*IF(Y$7-2&gt;=1,INDEX($D$377:$AQ$377,Y$7-2),0)+$G$143*IF(Y$7-3&gt;=1,INDEX($D$377:$AQ$377,Y$7-3),0)+$H$143*IF(Y$7-4&gt;=1,INDEX($D$377:$AQ$377,Y$7-4),0)+$I$143*IF(Y$7-5&gt;=1,INDEX($D$377:$AQ$377,Y$7-5),0)+$J$143*IF(Y$7-6&gt;=1,INDEX($D$377:$AQ$377,Y$7-6),0)+$K$143*IF(Y$7-7&gt;=1,INDEX($D$377:$AQ$377,Y$7-7),0)+$L$143*IF(Y$7-8&gt;=1,INDEX($D$377:$AQ$377,Y$7-8),0)+$M$143*IF(Y$7-9&gt;=1,INDEX($D$377:$AQ$377,Y$7-9),0)+$N$143*IF(Y$7-10&gt;=1,INDEX($D$377:$AQ$377,Y$7-10),0)+$O$143*IF(Y$7-11&gt;=1,INDEX($D$377:$AQ$377,Y$7-11),0)+$P$143*IF(Y$7-12&gt;=1,INDEX($D$377:$AQ$377,Y$7-12),0)</f>
        <v>0</v>
      </c>
      <c r="Z379" s="130" t="n">
        <f aca="false">$D$143*IF(Z$7-0&gt;=1,INDEX($D$377:$AQ$377,Z$7-0),0)+$E$143*IF(Z$7-1&gt;=1,INDEX($D$377:$AQ$377,Z$7-1),0)+$F$143*IF(Z$7-2&gt;=1,INDEX($D$377:$AQ$377,Z$7-2),0)+$G$143*IF(Z$7-3&gt;=1,INDEX($D$377:$AQ$377,Z$7-3),0)+$H$143*IF(Z$7-4&gt;=1,INDEX($D$377:$AQ$377,Z$7-4),0)+$I$143*IF(Z$7-5&gt;=1,INDEX($D$377:$AQ$377,Z$7-5),0)+$J$143*IF(Z$7-6&gt;=1,INDEX($D$377:$AQ$377,Z$7-6),0)+$K$143*IF(Z$7-7&gt;=1,INDEX($D$377:$AQ$377,Z$7-7),0)+$L$143*IF(Z$7-8&gt;=1,INDEX($D$377:$AQ$377,Z$7-8),0)+$M$143*IF(Z$7-9&gt;=1,INDEX($D$377:$AQ$377,Z$7-9),0)+$N$143*IF(Z$7-10&gt;=1,INDEX($D$377:$AQ$377,Z$7-10),0)+$O$143*IF(Z$7-11&gt;=1,INDEX($D$377:$AQ$377,Z$7-11),0)+$P$143*IF(Z$7-12&gt;=1,INDEX($D$377:$AQ$377,Z$7-12),0)</f>
        <v>0</v>
      </c>
      <c r="AA379" s="130" t="n">
        <f aca="false">$D$143*IF(AA$7-0&gt;=1,INDEX($D$377:$AQ$377,AA$7-0),0)+$E$143*IF(AA$7-1&gt;=1,INDEX($D$377:$AQ$377,AA$7-1),0)+$F$143*IF(AA$7-2&gt;=1,INDEX($D$377:$AQ$377,AA$7-2),0)+$G$143*IF(AA$7-3&gt;=1,INDEX($D$377:$AQ$377,AA$7-3),0)+$H$143*IF(AA$7-4&gt;=1,INDEX($D$377:$AQ$377,AA$7-4),0)+$I$143*IF(AA$7-5&gt;=1,INDEX($D$377:$AQ$377,AA$7-5),0)+$J$143*IF(AA$7-6&gt;=1,INDEX($D$377:$AQ$377,AA$7-6),0)+$K$143*IF(AA$7-7&gt;=1,INDEX($D$377:$AQ$377,AA$7-7),0)+$L$143*IF(AA$7-8&gt;=1,INDEX($D$377:$AQ$377,AA$7-8),0)+$M$143*IF(AA$7-9&gt;=1,INDEX($D$377:$AQ$377,AA$7-9),0)+$N$143*IF(AA$7-10&gt;=1,INDEX($D$377:$AQ$377,AA$7-10),0)+$O$143*IF(AA$7-11&gt;=1,INDEX($D$377:$AQ$377,AA$7-11),0)+$P$143*IF(AA$7-12&gt;=1,INDEX($D$377:$AQ$377,AA$7-12),0)</f>
        <v>0</v>
      </c>
      <c r="AB379" s="130" t="n">
        <f aca="false">$D$143*IF(AB$7-0&gt;=1,INDEX($D$377:$AQ$377,AB$7-0),0)+$E$143*IF(AB$7-1&gt;=1,INDEX($D$377:$AQ$377,AB$7-1),0)+$F$143*IF(AB$7-2&gt;=1,INDEX($D$377:$AQ$377,AB$7-2),0)+$G$143*IF(AB$7-3&gt;=1,INDEX($D$377:$AQ$377,AB$7-3),0)+$H$143*IF(AB$7-4&gt;=1,INDEX($D$377:$AQ$377,AB$7-4),0)+$I$143*IF(AB$7-5&gt;=1,INDEX($D$377:$AQ$377,AB$7-5),0)+$J$143*IF(AB$7-6&gt;=1,INDEX($D$377:$AQ$377,AB$7-6),0)+$K$143*IF(AB$7-7&gt;=1,INDEX($D$377:$AQ$377,AB$7-7),0)+$L$143*IF(AB$7-8&gt;=1,INDEX($D$377:$AQ$377,AB$7-8),0)+$M$143*IF(AB$7-9&gt;=1,INDEX($D$377:$AQ$377,AB$7-9),0)+$N$143*IF(AB$7-10&gt;=1,INDEX($D$377:$AQ$377,AB$7-10),0)+$O$143*IF(AB$7-11&gt;=1,INDEX($D$377:$AQ$377,AB$7-11),0)+$P$143*IF(AB$7-12&gt;=1,INDEX($D$377:$AQ$377,AB$7-12),0)</f>
        <v>0</v>
      </c>
      <c r="AC379" s="130" t="n">
        <f aca="false">$D$143*IF(AC$7-0&gt;=1,INDEX($D$377:$AQ$377,AC$7-0),0)+$E$143*IF(AC$7-1&gt;=1,INDEX($D$377:$AQ$377,AC$7-1),0)+$F$143*IF(AC$7-2&gt;=1,INDEX($D$377:$AQ$377,AC$7-2),0)+$G$143*IF(AC$7-3&gt;=1,INDEX($D$377:$AQ$377,AC$7-3),0)+$H$143*IF(AC$7-4&gt;=1,INDEX($D$377:$AQ$377,AC$7-4),0)+$I$143*IF(AC$7-5&gt;=1,INDEX($D$377:$AQ$377,AC$7-5),0)+$J$143*IF(AC$7-6&gt;=1,INDEX($D$377:$AQ$377,AC$7-6),0)+$K$143*IF(AC$7-7&gt;=1,INDEX($D$377:$AQ$377,AC$7-7),0)+$L$143*IF(AC$7-8&gt;=1,INDEX($D$377:$AQ$377,AC$7-8),0)+$M$143*IF(AC$7-9&gt;=1,INDEX($D$377:$AQ$377,AC$7-9),0)+$N$143*IF(AC$7-10&gt;=1,INDEX($D$377:$AQ$377,AC$7-10),0)+$O$143*IF(AC$7-11&gt;=1,INDEX($D$377:$AQ$377,AC$7-11),0)+$P$143*IF(AC$7-12&gt;=1,INDEX($D$377:$AQ$377,AC$7-12),0)</f>
        <v>0</v>
      </c>
      <c r="AD379" s="130" t="n">
        <f aca="false">$D$143*IF(AD$7-0&gt;=1,INDEX($D$377:$AQ$377,AD$7-0),0)+$E$143*IF(AD$7-1&gt;=1,INDEX($D$377:$AQ$377,AD$7-1),0)+$F$143*IF(AD$7-2&gt;=1,INDEX($D$377:$AQ$377,AD$7-2),0)+$G$143*IF(AD$7-3&gt;=1,INDEX($D$377:$AQ$377,AD$7-3),0)+$H$143*IF(AD$7-4&gt;=1,INDEX($D$377:$AQ$377,AD$7-4),0)+$I$143*IF(AD$7-5&gt;=1,INDEX($D$377:$AQ$377,AD$7-5),0)+$J$143*IF(AD$7-6&gt;=1,INDEX($D$377:$AQ$377,AD$7-6),0)+$K$143*IF(AD$7-7&gt;=1,INDEX($D$377:$AQ$377,AD$7-7),0)+$L$143*IF(AD$7-8&gt;=1,INDEX($D$377:$AQ$377,AD$7-8),0)+$M$143*IF(AD$7-9&gt;=1,INDEX($D$377:$AQ$377,AD$7-9),0)+$N$143*IF(AD$7-10&gt;=1,INDEX($D$377:$AQ$377,AD$7-10),0)+$O$143*IF(AD$7-11&gt;=1,INDEX($D$377:$AQ$377,AD$7-11),0)+$P$143*IF(AD$7-12&gt;=1,INDEX($D$377:$AQ$377,AD$7-12),0)</f>
        <v>0</v>
      </c>
      <c r="AE379" s="130" t="n">
        <f aca="false">$D$143*IF(AE$7-0&gt;=1,INDEX($D$377:$AQ$377,AE$7-0),0)+$E$143*IF(AE$7-1&gt;=1,INDEX($D$377:$AQ$377,AE$7-1),0)+$F$143*IF(AE$7-2&gt;=1,INDEX($D$377:$AQ$377,AE$7-2),0)+$G$143*IF(AE$7-3&gt;=1,INDEX($D$377:$AQ$377,AE$7-3),0)+$H$143*IF(AE$7-4&gt;=1,INDEX($D$377:$AQ$377,AE$7-4),0)+$I$143*IF(AE$7-5&gt;=1,INDEX($D$377:$AQ$377,AE$7-5),0)+$J$143*IF(AE$7-6&gt;=1,INDEX($D$377:$AQ$377,AE$7-6),0)+$K$143*IF(AE$7-7&gt;=1,INDEX($D$377:$AQ$377,AE$7-7),0)+$L$143*IF(AE$7-8&gt;=1,INDEX($D$377:$AQ$377,AE$7-8),0)+$M$143*IF(AE$7-9&gt;=1,INDEX($D$377:$AQ$377,AE$7-9),0)+$N$143*IF(AE$7-10&gt;=1,INDEX($D$377:$AQ$377,AE$7-10),0)+$O$143*IF(AE$7-11&gt;=1,INDEX($D$377:$AQ$377,AE$7-11),0)+$P$143*IF(AE$7-12&gt;=1,INDEX($D$377:$AQ$377,AE$7-12),0)</f>
        <v>0</v>
      </c>
      <c r="AF379" s="130" t="n">
        <f aca="false">$D$143*IF(AF$7-0&gt;=1,INDEX($D$377:$AQ$377,AF$7-0),0)+$E$143*IF(AF$7-1&gt;=1,INDEX($D$377:$AQ$377,AF$7-1),0)+$F$143*IF(AF$7-2&gt;=1,INDEX($D$377:$AQ$377,AF$7-2),0)+$G$143*IF(AF$7-3&gt;=1,INDEX($D$377:$AQ$377,AF$7-3),0)+$H$143*IF(AF$7-4&gt;=1,INDEX($D$377:$AQ$377,AF$7-4),0)+$I$143*IF(AF$7-5&gt;=1,INDEX($D$377:$AQ$377,AF$7-5),0)+$J$143*IF(AF$7-6&gt;=1,INDEX($D$377:$AQ$377,AF$7-6),0)+$K$143*IF(AF$7-7&gt;=1,INDEX($D$377:$AQ$377,AF$7-7),0)+$L$143*IF(AF$7-8&gt;=1,INDEX($D$377:$AQ$377,AF$7-8),0)+$M$143*IF(AF$7-9&gt;=1,INDEX($D$377:$AQ$377,AF$7-9),0)+$N$143*IF(AF$7-10&gt;=1,INDEX($D$377:$AQ$377,AF$7-10),0)+$O$143*IF(AF$7-11&gt;=1,INDEX($D$377:$AQ$377,AF$7-11),0)+$P$143*IF(AF$7-12&gt;=1,INDEX($D$377:$AQ$377,AF$7-12),0)</f>
        <v>0</v>
      </c>
      <c r="AG379" s="130" t="n">
        <f aca="false">$D$143*IF(AG$7-0&gt;=1,INDEX($D$377:$AQ$377,AG$7-0),0)+$E$143*IF(AG$7-1&gt;=1,INDEX($D$377:$AQ$377,AG$7-1),0)+$F$143*IF(AG$7-2&gt;=1,INDEX($D$377:$AQ$377,AG$7-2),0)+$G$143*IF(AG$7-3&gt;=1,INDEX($D$377:$AQ$377,AG$7-3),0)+$H$143*IF(AG$7-4&gt;=1,INDEX($D$377:$AQ$377,AG$7-4),0)+$I$143*IF(AG$7-5&gt;=1,INDEX($D$377:$AQ$377,AG$7-5),0)+$J$143*IF(AG$7-6&gt;=1,INDEX($D$377:$AQ$377,AG$7-6),0)+$K$143*IF(AG$7-7&gt;=1,INDEX($D$377:$AQ$377,AG$7-7),0)+$L$143*IF(AG$7-8&gt;=1,INDEX($D$377:$AQ$377,AG$7-8),0)+$M$143*IF(AG$7-9&gt;=1,INDEX($D$377:$AQ$377,AG$7-9),0)+$N$143*IF(AG$7-10&gt;=1,INDEX($D$377:$AQ$377,AG$7-10),0)+$O$143*IF(AG$7-11&gt;=1,INDEX($D$377:$AQ$377,AG$7-11),0)+$P$143*IF(AG$7-12&gt;=1,INDEX($D$377:$AQ$377,AG$7-12),0)</f>
        <v>0</v>
      </c>
      <c r="AH379" s="130" t="n">
        <f aca="false">$D$143*IF(AH$7-0&gt;=1,INDEX($D$377:$AQ$377,AH$7-0),0)+$E$143*IF(AH$7-1&gt;=1,INDEX($D$377:$AQ$377,AH$7-1),0)+$F$143*IF(AH$7-2&gt;=1,INDEX($D$377:$AQ$377,AH$7-2),0)+$G$143*IF(AH$7-3&gt;=1,INDEX($D$377:$AQ$377,AH$7-3),0)+$H$143*IF(AH$7-4&gt;=1,INDEX($D$377:$AQ$377,AH$7-4),0)+$I$143*IF(AH$7-5&gt;=1,INDEX($D$377:$AQ$377,AH$7-5),0)+$J$143*IF(AH$7-6&gt;=1,INDEX($D$377:$AQ$377,AH$7-6),0)+$K$143*IF(AH$7-7&gt;=1,INDEX($D$377:$AQ$377,AH$7-7),0)+$L$143*IF(AH$7-8&gt;=1,INDEX($D$377:$AQ$377,AH$7-8),0)+$M$143*IF(AH$7-9&gt;=1,INDEX($D$377:$AQ$377,AH$7-9),0)+$N$143*IF(AH$7-10&gt;=1,INDEX($D$377:$AQ$377,AH$7-10),0)+$O$143*IF(AH$7-11&gt;=1,INDEX($D$377:$AQ$377,AH$7-11),0)+$P$143*IF(AH$7-12&gt;=1,INDEX($D$377:$AQ$377,AH$7-12),0)</f>
        <v>0</v>
      </c>
      <c r="AI379" s="130" t="n">
        <f aca="false">$D$143*IF(AI$7-0&gt;=1,INDEX($D$377:$AQ$377,AI$7-0),0)+$E$143*IF(AI$7-1&gt;=1,INDEX($D$377:$AQ$377,AI$7-1),0)+$F$143*IF(AI$7-2&gt;=1,INDEX($D$377:$AQ$377,AI$7-2),0)+$G$143*IF(AI$7-3&gt;=1,INDEX($D$377:$AQ$377,AI$7-3),0)+$H$143*IF(AI$7-4&gt;=1,INDEX($D$377:$AQ$377,AI$7-4),0)+$I$143*IF(AI$7-5&gt;=1,INDEX($D$377:$AQ$377,AI$7-5),0)+$J$143*IF(AI$7-6&gt;=1,INDEX($D$377:$AQ$377,AI$7-6),0)+$K$143*IF(AI$7-7&gt;=1,INDEX($D$377:$AQ$377,AI$7-7),0)+$L$143*IF(AI$7-8&gt;=1,INDEX($D$377:$AQ$377,AI$7-8),0)+$M$143*IF(AI$7-9&gt;=1,INDEX($D$377:$AQ$377,AI$7-9),0)+$N$143*IF(AI$7-10&gt;=1,INDEX($D$377:$AQ$377,AI$7-10),0)+$O$143*IF(AI$7-11&gt;=1,INDEX($D$377:$AQ$377,AI$7-11),0)+$P$143*IF(AI$7-12&gt;=1,INDEX($D$377:$AQ$377,AI$7-12),0)</f>
        <v>0</v>
      </c>
      <c r="AJ379" s="130" t="n">
        <f aca="false">$D$143*IF(AJ$7-0&gt;=1,INDEX($D$377:$AQ$377,AJ$7-0),0)+$E$143*IF(AJ$7-1&gt;=1,INDEX($D$377:$AQ$377,AJ$7-1),0)+$F$143*IF(AJ$7-2&gt;=1,INDEX($D$377:$AQ$377,AJ$7-2),0)+$G$143*IF(AJ$7-3&gt;=1,INDEX($D$377:$AQ$377,AJ$7-3),0)+$H$143*IF(AJ$7-4&gt;=1,INDEX($D$377:$AQ$377,AJ$7-4),0)+$I$143*IF(AJ$7-5&gt;=1,INDEX($D$377:$AQ$377,AJ$7-5),0)+$J$143*IF(AJ$7-6&gt;=1,INDEX($D$377:$AQ$377,AJ$7-6),0)+$K$143*IF(AJ$7-7&gt;=1,INDEX($D$377:$AQ$377,AJ$7-7),0)+$L$143*IF(AJ$7-8&gt;=1,INDEX($D$377:$AQ$377,AJ$7-8),0)+$M$143*IF(AJ$7-9&gt;=1,INDEX($D$377:$AQ$377,AJ$7-9),0)+$N$143*IF(AJ$7-10&gt;=1,INDEX($D$377:$AQ$377,AJ$7-10),0)+$O$143*IF(AJ$7-11&gt;=1,INDEX($D$377:$AQ$377,AJ$7-11),0)+$P$143*IF(AJ$7-12&gt;=1,INDEX($D$377:$AQ$377,AJ$7-12),0)</f>
        <v>0</v>
      </c>
      <c r="AK379" s="130" t="n">
        <f aca="false">$D$143*IF(AK$7-0&gt;=1,INDEX($D$377:$AQ$377,AK$7-0),0)+$E$143*IF(AK$7-1&gt;=1,INDEX($D$377:$AQ$377,AK$7-1),0)+$F$143*IF(AK$7-2&gt;=1,INDEX($D$377:$AQ$377,AK$7-2),0)+$G$143*IF(AK$7-3&gt;=1,INDEX($D$377:$AQ$377,AK$7-3),0)+$H$143*IF(AK$7-4&gt;=1,INDEX($D$377:$AQ$377,AK$7-4),0)+$I$143*IF(AK$7-5&gt;=1,INDEX($D$377:$AQ$377,AK$7-5),0)+$J$143*IF(AK$7-6&gt;=1,INDEX($D$377:$AQ$377,AK$7-6),0)+$K$143*IF(AK$7-7&gt;=1,INDEX($D$377:$AQ$377,AK$7-7),0)+$L$143*IF(AK$7-8&gt;=1,INDEX($D$377:$AQ$377,AK$7-8),0)+$M$143*IF(AK$7-9&gt;=1,INDEX($D$377:$AQ$377,AK$7-9),0)+$N$143*IF(AK$7-10&gt;=1,INDEX($D$377:$AQ$377,AK$7-10),0)+$O$143*IF(AK$7-11&gt;=1,INDEX($D$377:$AQ$377,AK$7-11),0)+$P$143*IF(AK$7-12&gt;=1,INDEX($D$377:$AQ$377,AK$7-12),0)</f>
        <v>0</v>
      </c>
      <c r="AL379" s="130" t="n">
        <f aca="false">$D$143*IF(AL$7-0&gt;=1,INDEX($D$377:$AQ$377,AL$7-0),0)+$E$143*IF(AL$7-1&gt;=1,INDEX($D$377:$AQ$377,AL$7-1),0)+$F$143*IF(AL$7-2&gt;=1,INDEX($D$377:$AQ$377,AL$7-2),0)+$G$143*IF(AL$7-3&gt;=1,INDEX($D$377:$AQ$377,AL$7-3),0)+$H$143*IF(AL$7-4&gt;=1,INDEX($D$377:$AQ$377,AL$7-4),0)+$I$143*IF(AL$7-5&gt;=1,INDEX($D$377:$AQ$377,AL$7-5),0)+$J$143*IF(AL$7-6&gt;=1,INDEX($D$377:$AQ$377,AL$7-6),0)+$K$143*IF(AL$7-7&gt;=1,INDEX($D$377:$AQ$377,AL$7-7),0)+$L$143*IF(AL$7-8&gt;=1,INDEX($D$377:$AQ$377,AL$7-8),0)+$M$143*IF(AL$7-9&gt;=1,INDEX($D$377:$AQ$377,AL$7-9),0)+$N$143*IF(AL$7-10&gt;=1,INDEX($D$377:$AQ$377,AL$7-10),0)+$O$143*IF(AL$7-11&gt;=1,INDEX($D$377:$AQ$377,AL$7-11),0)+$P$143*IF(AL$7-12&gt;=1,INDEX($D$377:$AQ$377,AL$7-12),0)</f>
        <v>0</v>
      </c>
      <c r="AM379" s="130" t="n">
        <f aca="false">$D$143*IF(AM$7-0&gt;=1,INDEX($D$377:$AQ$377,AM$7-0),0)+$E$143*IF(AM$7-1&gt;=1,INDEX($D$377:$AQ$377,AM$7-1),0)+$F$143*IF(AM$7-2&gt;=1,INDEX($D$377:$AQ$377,AM$7-2),0)+$G$143*IF(AM$7-3&gt;=1,INDEX($D$377:$AQ$377,AM$7-3),0)+$H$143*IF(AM$7-4&gt;=1,INDEX($D$377:$AQ$377,AM$7-4),0)+$I$143*IF(AM$7-5&gt;=1,INDEX($D$377:$AQ$377,AM$7-5),0)+$J$143*IF(AM$7-6&gt;=1,INDEX($D$377:$AQ$377,AM$7-6),0)+$K$143*IF(AM$7-7&gt;=1,INDEX($D$377:$AQ$377,AM$7-7),0)+$L$143*IF(AM$7-8&gt;=1,INDEX($D$377:$AQ$377,AM$7-8),0)+$M$143*IF(AM$7-9&gt;=1,INDEX($D$377:$AQ$377,AM$7-9),0)+$N$143*IF(AM$7-10&gt;=1,INDEX($D$377:$AQ$377,AM$7-10),0)+$O$143*IF(AM$7-11&gt;=1,INDEX($D$377:$AQ$377,AM$7-11),0)+$P$143*IF(AM$7-12&gt;=1,INDEX($D$377:$AQ$377,AM$7-12),0)</f>
        <v>0</v>
      </c>
      <c r="AN379" s="130" t="n">
        <f aca="false">$D$143*IF(AN$7-0&gt;=1,INDEX($D$377:$AQ$377,AN$7-0),0)+$E$143*IF(AN$7-1&gt;=1,INDEX($D$377:$AQ$377,AN$7-1),0)+$F$143*IF(AN$7-2&gt;=1,INDEX($D$377:$AQ$377,AN$7-2),0)+$G$143*IF(AN$7-3&gt;=1,INDEX($D$377:$AQ$377,AN$7-3),0)+$H$143*IF(AN$7-4&gt;=1,INDEX($D$377:$AQ$377,AN$7-4),0)+$I$143*IF(AN$7-5&gt;=1,INDEX($D$377:$AQ$377,AN$7-5),0)+$J$143*IF(AN$7-6&gt;=1,INDEX($D$377:$AQ$377,AN$7-6),0)+$K$143*IF(AN$7-7&gt;=1,INDEX($D$377:$AQ$377,AN$7-7),0)+$L$143*IF(AN$7-8&gt;=1,INDEX($D$377:$AQ$377,AN$7-8),0)+$M$143*IF(AN$7-9&gt;=1,INDEX($D$377:$AQ$377,AN$7-9),0)+$N$143*IF(AN$7-10&gt;=1,INDEX($D$377:$AQ$377,AN$7-10),0)+$O$143*IF(AN$7-11&gt;=1,INDEX($D$377:$AQ$377,AN$7-11),0)+$P$143*IF(AN$7-12&gt;=1,INDEX($D$377:$AQ$377,AN$7-12),0)</f>
        <v>0</v>
      </c>
      <c r="AO379" s="130" t="n">
        <f aca="false">$D$143*IF(AO$7-0&gt;=1,INDEX($D$377:$AQ$377,AO$7-0),0)+$E$143*IF(AO$7-1&gt;=1,INDEX($D$377:$AQ$377,AO$7-1),0)+$F$143*IF(AO$7-2&gt;=1,INDEX($D$377:$AQ$377,AO$7-2),0)+$G$143*IF(AO$7-3&gt;=1,INDEX($D$377:$AQ$377,AO$7-3),0)+$H$143*IF(AO$7-4&gt;=1,INDEX($D$377:$AQ$377,AO$7-4),0)+$I$143*IF(AO$7-5&gt;=1,INDEX($D$377:$AQ$377,AO$7-5),0)+$J$143*IF(AO$7-6&gt;=1,INDEX($D$377:$AQ$377,AO$7-6),0)+$K$143*IF(AO$7-7&gt;=1,INDEX($D$377:$AQ$377,AO$7-7),0)+$L$143*IF(AO$7-8&gt;=1,INDEX($D$377:$AQ$377,AO$7-8),0)+$M$143*IF(AO$7-9&gt;=1,INDEX($D$377:$AQ$377,AO$7-9),0)+$N$143*IF(AO$7-10&gt;=1,INDEX($D$377:$AQ$377,AO$7-10),0)+$O$143*IF(AO$7-11&gt;=1,INDEX($D$377:$AQ$377,AO$7-11),0)+$P$143*IF(AO$7-12&gt;=1,INDEX($D$377:$AQ$377,AO$7-12),0)</f>
        <v>0</v>
      </c>
      <c r="AP379" s="130" t="n">
        <f aca="false">$D$143*IF(AP$7-0&gt;=1,INDEX($D$377:$AQ$377,AP$7-0),0)+$E$143*IF(AP$7-1&gt;=1,INDEX($D$377:$AQ$377,AP$7-1),0)+$F$143*IF(AP$7-2&gt;=1,INDEX($D$377:$AQ$377,AP$7-2),0)+$G$143*IF(AP$7-3&gt;=1,INDEX($D$377:$AQ$377,AP$7-3),0)+$H$143*IF(AP$7-4&gt;=1,INDEX($D$377:$AQ$377,AP$7-4),0)+$I$143*IF(AP$7-5&gt;=1,INDEX($D$377:$AQ$377,AP$7-5),0)+$J$143*IF(AP$7-6&gt;=1,INDEX($D$377:$AQ$377,AP$7-6),0)+$K$143*IF(AP$7-7&gt;=1,INDEX($D$377:$AQ$377,AP$7-7),0)+$L$143*IF(AP$7-8&gt;=1,INDEX($D$377:$AQ$377,AP$7-8),0)+$M$143*IF(AP$7-9&gt;=1,INDEX($D$377:$AQ$377,AP$7-9),0)+$N$143*IF(AP$7-10&gt;=1,INDEX($D$377:$AQ$377,AP$7-10),0)+$O$143*IF(AP$7-11&gt;=1,INDEX($D$377:$AQ$377,AP$7-11),0)+$P$143*IF(AP$7-12&gt;=1,INDEX($D$377:$AQ$377,AP$7-12),0)</f>
        <v>0</v>
      </c>
      <c r="AQ379" s="130" t="n">
        <f aca="false">$D$143*IF(AQ$7-0&gt;=1,INDEX($D$377:$AQ$377,AQ$7-0),0)+$E$143*IF(AQ$7-1&gt;=1,INDEX($D$377:$AQ$377,AQ$7-1),0)+$F$143*IF(AQ$7-2&gt;=1,INDEX($D$377:$AQ$377,AQ$7-2),0)+$G$143*IF(AQ$7-3&gt;=1,INDEX($D$377:$AQ$377,AQ$7-3),0)+$H$143*IF(AQ$7-4&gt;=1,INDEX($D$377:$AQ$377,AQ$7-4),0)+$I$143*IF(AQ$7-5&gt;=1,INDEX($D$377:$AQ$377,AQ$7-5),0)+$J$143*IF(AQ$7-6&gt;=1,INDEX($D$377:$AQ$377,AQ$7-6),0)+$K$143*IF(AQ$7-7&gt;=1,INDEX($D$377:$AQ$377,AQ$7-7),0)+$L$143*IF(AQ$7-8&gt;=1,INDEX($D$377:$AQ$377,AQ$7-8),0)+$M$143*IF(AQ$7-9&gt;=1,INDEX($D$377:$AQ$377,AQ$7-9),0)+$N$143*IF(AQ$7-10&gt;=1,INDEX($D$377:$AQ$377,AQ$7-10),0)+$O$143*IF(AQ$7-11&gt;=1,INDEX($D$377:$AQ$377,AQ$7-11),0)+$P$143*IF(AQ$7-12&gt;=1,INDEX($D$377:$AQ$377,AQ$7-12),0)</f>
        <v>0</v>
      </c>
    </row>
    <row r="380" customFormat="false" ht="15" hidden="false" customHeight="false" outlineLevel="0" collapsed="false">
      <c r="B380" s="131" t="s">
        <v>715</v>
      </c>
      <c r="C380" s="129" t="n">
        <f aca="false">SUM(D380:AQ380)</f>
        <v>4.2</v>
      </c>
      <c r="D380" s="130" t="n">
        <f aca="false">SUMIFS($E$113:$E$142,$C$113:$C$142,"Construction % complete",$F$113:$F$142,D$7)*IF(D$7-INPUTS!$C$215&gt;=1,INDEX($D$378:$AQ$378,D$7-INPUTS!$C$215),0)+SUMIFS($E$113:$E$142,$C$113:$C$142,"Construction % complete",$F$113:$F$142,"&lt;"&amp;D$7)*IF(D$7-INPUTS!$C$215&gt;=1,INDEX($D$377:$AQ$377,D$7-INPUTS!$C$215),0)</f>
        <v>0</v>
      </c>
      <c r="E380" s="130" t="n">
        <f aca="false">SUMIFS($E$113:$E$142,$C$113:$C$142,"Construction % complete",$F$113:$F$142,E$7)*IF(E$7-INPUTS!$C$215&gt;=1,INDEX($D$378:$AQ$378,E$7-INPUTS!$C$215),0)+SUMIFS($E$113:$E$142,$C$113:$C$142,"Construction % complete",$F$113:$F$142,"&lt;"&amp;E$7)*IF(E$7-INPUTS!$C$215&gt;=1,INDEX($D$377:$AQ$377,E$7-INPUTS!$C$215),0)</f>
        <v>0</v>
      </c>
      <c r="F380" s="130" t="n">
        <f aca="false">SUMIFS($E$113:$E$142,$C$113:$C$142,"Construction % complete",$F$113:$F$142,F$7)*IF(F$7-INPUTS!$C$215&gt;=1,INDEX($D$378:$AQ$378,F$7-INPUTS!$C$215),0)+SUMIFS($E$113:$E$142,$C$113:$C$142,"Construction % complete",$F$113:$F$142,"&lt;"&amp;F$7)*IF(F$7-INPUTS!$C$215&gt;=1,INDEX($D$377:$AQ$377,F$7-INPUTS!$C$215),0)</f>
        <v>0</v>
      </c>
      <c r="G380" s="130" t="n">
        <f aca="false">SUMIFS($E$113:$E$142,$C$113:$C$142,"Construction % complete",$F$113:$F$142,G$7)*IF(G$7-INPUTS!$C$215&gt;=1,INDEX($D$378:$AQ$378,G$7-INPUTS!$C$215),0)+SUMIFS($E$113:$E$142,$C$113:$C$142,"Construction % complete",$F$113:$F$142,"&lt;"&amp;G$7)*IF(G$7-INPUTS!$C$215&gt;=1,INDEX($D$377:$AQ$377,G$7-INPUTS!$C$215),0)</f>
        <v>0</v>
      </c>
      <c r="H380" s="130" t="n">
        <f aca="false">SUMIFS($E$113:$E$142,$C$113:$C$142,"Construction % complete",$F$113:$F$142,H$7)*IF(H$7-INPUTS!$C$215&gt;=1,INDEX($D$378:$AQ$378,H$7-INPUTS!$C$215),0)+SUMIFS($E$113:$E$142,$C$113:$C$142,"Construction % complete",$F$113:$F$142,"&lt;"&amp;H$7)*IF(H$7-INPUTS!$C$215&gt;=1,INDEX($D$377:$AQ$377,H$7-INPUTS!$C$215),0)</f>
        <v>0</v>
      </c>
      <c r="I380" s="130" t="n">
        <f aca="false">SUMIFS($E$113:$E$142,$C$113:$C$142,"Construction % complete",$F$113:$F$142,I$7)*IF(I$7-INPUTS!$C$215&gt;=1,INDEX($D$378:$AQ$378,I$7-INPUTS!$C$215),0)+SUMIFS($E$113:$E$142,$C$113:$C$142,"Construction % complete",$F$113:$F$142,"&lt;"&amp;I$7)*IF(I$7-INPUTS!$C$215&gt;=1,INDEX($D$377:$AQ$377,I$7-INPUTS!$C$215),0)</f>
        <v>0</v>
      </c>
      <c r="J380" s="130" t="n">
        <f aca="false">SUMIFS($E$113:$E$142,$C$113:$C$142,"Construction % complete",$F$113:$F$142,J$7)*IF(J$7-INPUTS!$C$215&gt;=1,INDEX($D$378:$AQ$378,J$7-INPUTS!$C$215),0)+SUMIFS($E$113:$E$142,$C$113:$C$142,"Construction % complete",$F$113:$F$142,"&lt;"&amp;J$7)*IF(J$7-INPUTS!$C$215&gt;=1,INDEX($D$377:$AQ$377,J$7-INPUTS!$C$215),0)</f>
        <v>0</v>
      </c>
      <c r="K380" s="130" t="n">
        <f aca="false">SUMIFS($E$113:$E$142,$C$113:$C$142,"Construction % complete",$F$113:$F$142,K$7)*IF(K$7-INPUTS!$C$215&gt;=1,INDEX($D$378:$AQ$378,K$7-INPUTS!$C$215),0)+SUMIFS($E$113:$E$142,$C$113:$C$142,"Construction % complete",$F$113:$F$142,"&lt;"&amp;K$7)*IF(K$7-INPUTS!$C$215&gt;=1,INDEX($D$377:$AQ$377,K$7-INPUTS!$C$215),0)</f>
        <v>0</v>
      </c>
      <c r="L380" s="130" t="n">
        <f aca="false">SUMIFS($E$113:$E$142,$C$113:$C$142,"Construction % complete",$F$113:$F$142,L$7)*IF(L$7-INPUTS!$C$215&gt;=1,INDEX($D$378:$AQ$378,L$7-INPUTS!$C$215),0)+SUMIFS($E$113:$E$142,$C$113:$C$142,"Construction % complete",$F$113:$F$142,"&lt;"&amp;L$7)*IF(L$7-INPUTS!$C$215&gt;=1,INDEX($D$377:$AQ$377,L$7-INPUTS!$C$215),0)</f>
        <v>0</v>
      </c>
      <c r="M380" s="130" t="n">
        <f aca="false">SUMIFS($E$113:$E$142,$C$113:$C$142,"Construction % complete",$F$113:$F$142,M$7)*IF(M$7-INPUTS!$C$215&gt;=1,INDEX($D$378:$AQ$378,M$7-INPUTS!$C$215),0)+SUMIFS($E$113:$E$142,$C$113:$C$142,"Construction % complete",$F$113:$F$142,"&lt;"&amp;M$7)*IF(M$7-INPUTS!$C$215&gt;=1,INDEX($D$377:$AQ$377,M$7-INPUTS!$C$215),0)</f>
        <v>0</v>
      </c>
      <c r="N380" s="130" t="n">
        <f aca="false">SUMIFS($E$113:$E$142,$C$113:$C$142,"Construction % complete",$F$113:$F$142,N$7)*IF(N$7-INPUTS!$C$215&gt;=1,INDEX($D$378:$AQ$378,N$7-INPUTS!$C$215),0)+SUMIFS($E$113:$E$142,$C$113:$C$142,"Construction % complete",$F$113:$F$142,"&lt;"&amp;N$7)*IF(N$7-INPUTS!$C$215&gt;=1,INDEX($D$377:$AQ$377,N$7-INPUTS!$C$215),0)</f>
        <v>0</v>
      </c>
      <c r="O380" s="130" t="n">
        <f aca="false">SUMIFS($E$113:$E$142,$C$113:$C$142,"Construction % complete",$F$113:$F$142,O$7)*IF(O$7-INPUTS!$C$215&gt;=1,INDEX($D$378:$AQ$378,O$7-INPUTS!$C$215),0)+SUMIFS($E$113:$E$142,$C$113:$C$142,"Construction % complete",$F$113:$F$142,"&lt;"&amp;O$7)*IF(O$7-INPUTS!$C$215&gt;=1,INDEX($D$377:$AQ$377,O$7-INPUTS!$C$215),0)</f>
        <v>0</v>
      </c>
      <c r="P380" s="130" t="n">
        <f aca="false">SUMIFS($E$113:$E$142,$C$113:$C$142,"Construction % complete",$F$113:$F$142,P$7)*IF(P$7-INPUTS!$C$215&gt;=1,INDEX($D$378:$AQ$378,P$7-INPUTS!$C$215),0)+SUMIFS($E$113:$E$142,$C$113:$C$142,"Construction % complete",$F$113:$F$142,"&lt;"&amp;P$7)*IF(P$7-INPUTS!$C$215&gt;=1,INDEX($D$377:$AQ$377,P$7-INPUTS!$C$215),0)</f>
        <v>0</v>
      </c>
      <c r="Q380" s="130" t="n">
        <f aca="false">SUMIFS($E$113:$E$142,$C$113:$C$142,"Construction % complete",$F$113:$F$142,Q$7)*IF(Q$7-INPUTS!$C$215&gt;=1,INDEX($D$378:$AQ$378,Q$7-INPUTS!$C$215),0)+SUMIFS($E$113:$E$142,$C$113:$C$142,"Construction % complete",$F$113:$F$142,"&lt;"&amp;Q$7)*IF(Q$7-INPUTS!$C$215&gt;=1,INDEX($D$377:$AQ$377,Q$7-INPUTS!$C$215),0)</f>
        <v>0</v>
      </c>
      <c r="R380" s="130" t="n">
        <f aca="false">SUMIFS($E$113:$E$142,$C$113:$C$142,"Construction % complete",$F$113:$F$142,R$7)*IF(R$7-INPUTS!$C$215&gt;=1,INDEX($D$378:$AQ$378,R$7-INPUTS!$C$215),0)+SUMIFS($E$113:$E$142,$C$113:$C$142,"Construction % complete",$F$113:$F$142,"&lt;"&amp;R$7)*IF(R$7-INPUTS!$C$215&gt;=1,INDEX($D$377:$AQ$377,R$7-INPUTS!$C$215),0)</f>
        <v>0</v>
      </c>
      <c r="S380" s="130" t="n">
        <f aca="false">SUMIFS($E$113:$E$142,$C$113:$C$142,"Construction % complete",$F$113:$F$142,S$7)*IF(S$7-INPUTS!$C$215&gt;=1,INDEX($D$378:$AQ$378,S$7-INPUTS!$C$215),0)+SUMIFS($E$113:$E$142,$C$113:$C$142,"Construction % complete",$F$113:$F$142,"&lt;"&amp;S$7)*IF(S$7-INPUTS!$C$215&gt;=1,INDEX($D$377:$AQ$377,S$7-INPUTS!$C$215),0)</f>
        <v>0</v>
      </c>
      <c r="T380" s="130" t="n">
        <f aca="false">SUMIFS($E$113:$E$142,$C$113:$C$142,"Construction % complete",$F$113:$F$142,T$7)*IF(T$7-INPUTS!$C$215&gt;=1,INDEX($D$378:$AQ$378,T$7-INPUTS!$C$215),0)+SUMIFS($E$113:$E$142,$C$113:$C$142,"Construction % complete",$F$113:$F$142,"&lt;"&amp;T$7)*IF(T$7-INPUTS!$C$215&gt;=1,INDEX($D$377:$AQ$377,T$7-INPUTS!$C$215),0)</f>
        <v>4.2</v>
      </c>
      <c r="U380" s="130" t="n">
        <f aca="false">SUMIFS($E$113:$E$142,$C$113:$C$142,"Construction % complete",$F$113:$F$142,U$7)*IF(U$7-INPUTS!$C$215&gt;=1,INDEX($D$378:$AQ$378,U$7-INPUTS!$C$215),0)+SUMIFS($E$113:$E$142,$C$113:$C$142,"Construction % complete",$F$113:$F$142,"&lt;"&amp;U$7)*IF(U$7-INPUTS!$C$215&gt;=1,INDEX($D$377:$AQ$377,U$7-INPUTS!$C$215),0)</f>
        <v>0</v>
      </c>
      <c r="V380" s="130" t="n">
        <f aca="false">SUMIFS($E$113:$E$142,$C$113:$C$142,"Construction % complete",$F$113:$F$142,V$7)*IF(V$7-INPUTS!$C$215&gt;=1,INDEX($D$378:$AQ$378,V$7-INPUTS!$C$215),0)+SUMIFS($E$113:$E$142,$C$113:$C$142,"Construction % complete",$F$113:$F$142,"&lt;"&amp;V$7)*IF(V$7-INPUTS!$C$215&gt;=1,INDEX($D$377:$AQ$377,V$7-INPUTS!$C$215),0)</f>
        <v>0</v>
      </c>
      <c r="W380" s="130" t="n">
        <f aca="false">SUMIFS($E$113:$E$142,$C$113:$C$142,"Construction % complete",$F$113:$F$142,W$7)*IF(W$7-INPUTS!$C$215&gt;=1,INDEX($D$378:$AQ$378,W$7-INPUTS!$C$215),0)+SUMIFS($E$113:$E$142,$C$113:$C$142,"Construction % complete",$F$113:$F$142,"&lt;"&amp;W$7)*IF(W$7-INPUTS!$C$215&gt;=1,INDEX($D$377:$AQ$377,W$7-INPUTS!$C$215),0)</f>
        <v>0</v>
      </c>
      <c r="X380" s="130" t="n">
        <f aca="false">SUMIFS($E$113:$E$142,$C$113:$C$142,"Construction % complete",$F$113:$F$142,X$7)*IF(X$7-INPUTS!$C$215&gt;=1,INDEX($D$378:$AQ$378,X$7-INPUTS!$C$215),0)+SUMIFS($E$113:$E$142,$C$113:$C$142,"Construction % complete",$F$113:$F$142,"&lt;"&amp;X$7)*IF(X$7-INPUTS!$C$215&gt;=1,INDEX($D$377:$AQ$377,X$7-INPUTS!$C$215),0)</f>
        <v>0</v>
      </c>
      <c r="Y380" s="130" t="n">
        <f aca="false">SUMIFS($E$113:$E$142,$C$113:$C$142,"Construction % complete",$F$113:$F$142,Y$7)*IF(Y$7-INPUTS!$C$215&gt;=1,INDEX($D$378:$AQ$378,Y$7-INPUTS!$C$215),0)+SUMIFS($E$113:$E$142,$C$113:$C$142,"Construction % complete",$F$113:$F$142,"&lt;"&amp;Y$7)*IF(Y$7-INPUTS!$C$215&gt;=1,INDEX($D$377:$AQ$377,Y$7-INPUTS!$C$215),0)</f>
        <v>0</v>
      </c>
      <c r="Z380" s="130" t="n">
        <f aca="false">SUMIFS($E$113:$E$142,$C$113:$C$142,"Construction % complete",$F$113:$F$142,Z$7)*IF(Z$7-INPUTS!$C$215&gt;=1,INDEX($D$378:$AQ$378,Z$7-INPUTS!$C$215),0)+SUMIFS($E$113:$E$142,$C$113:$C$142,"Construction % complete",$F$113:$F$142,"&lt;"&amp;Z$7)*IF(Z$7-INPUTS!$C$215&gt;=1,INDEX($D$377:$AQ$377,Z$7-INPUTS!$C$215),0)</f>
        <v>0</v>
      </c>
      <c r="AA380" s="130" t="n">
        <f aca="false">SUMIFS($E$113:$E$142,$C$113:$C$142,"Construction % complete",$F$113:$F$142,AA$7)*IF(AA$7-INPUTS!$C$215&gt;=1,INDEX($D$378:$AQ$378,AA$7-INPUTS!$C$215),0)+SUMIFS($E$113:$E$142,$C$113:$C$142,"Construction % complete",$F$113:$F$142,"&lt;"&amp;AA$7)*IF(AA$7-INPUTS!$C$215&gt;=1,INDEX($D$377:$AQ$377,AA$7-INPUTS!$C$215),0)</f>
        <v>0</v>
      </c>
      <c r="AB380" s="130" t="n">
        <f aca="false">SUMIFS($E$113:$E$142,$C$113:$C$142,"Construction % complete",$F$113:$F$142,AB$7)*IF(AB$7-INPUTS!$C$215&gt;=1,INDEX($D$378:$AQ$378,AB$7-INPUTS!$C$215),0)+SUMIFS($E$113:$E$142,$C$113:$C$142,"Construction % complete",$F$113:$F$142,"&lt;"&amp;AB$7)*IF(AB$7-INPUTS!$C$215&gt;=1,INDEX($D$377:$AQ$377,AB$7-INPUTS!$C$215),0)</f>
        <v>0</v>
      </c>
      <c r="AC380" s="130" t="n">
        <f aca="false">SUMIFS($E$113:$E$142,$C$113:$C$142,"Construction % complete",$F$113:$F$142,AC$7)*IF(AC$7-INPUTS!$C$215&gt;=1,INDEX($D$378:$AQ$378,AC$7-INPUTS!$C$215),0)+SUMIFS($E$113:$E$142,$C$113:$C$142,"Construction % complete",$F$113:$F$142,"&lt;"&amp;AC$7)*IF(AC$7-INPUTS!$C$215&gt;=1,INDEX($D$377:$AQ$377,AC$7-INPUTS!$C$215),0)</f>
        <v>0</v>
      </c>
      <c r="AD380" s="130" t="n">
        <f aca="false">SUMIFS($E$113:$E$142,$C$113:$C$142,"Construction % complete",$F$113:$F$142,AD$7)*IF(AD$7-INPUTS!$C$215&gt;=1,INDEX($D$378:$AQ$378,AD$7-INPUTS!$C$215),0)+SUMIFS($E$113:$E$142,$C$113:$C$142,"Construction % complete",$F$113:$F$142,"&lt;"&amp;AD$7)*IF(AD$7-INPUTS!$C$215&gt;=1,INDEX($D$377:$AQ$377,AD$7-INPUTS!$C$215),0)</f>
        <v>0</v>
      </c>
      <c r="AE380" s="130" t="n">
        <f aca="false">SUMIFS($E$113:$E$142,$C$113:$C$142,"Construction % complete",$F$113:$F$142,AE$7)*IF(AE$7-INPUTS!$C$215&gt;=1,INDEX($D$378:$AQ$378,AE$7-INPUTS!$C$215),0)+SUMIFS($E$113:$E$142,$C$113:$C$142,"Construction % complete",$F$113:$F$142,"&lt;"&amp;AE$7)*IF(AE$7-INPUTS!$C$215&gt;=1,INDEX($D$377:$AQ$377,AE$7-INPUTS!$C$215),0)</f>
        <v>0</v>
      </c>
      <c r="AF380" s="130" t="n">
        <f aca="false">SUMIFS($E$113:$E$142,$C$113:$C$142,"Construction % complete",$F$113:$F$142,AF$7)*IF(AF$7-INPUTS!$C$215&gt;=1,INDEX($D$378:$AQ$378,AF$7-INPUTS!$C$215),0)+SUMIFS($E$113:$E$142,$C$113:$C$142,"Construction % complete",$F$113:$F$142,"&lt;"&amp;AF$7)*IF(AF$7-INPUTS!$C$215&gt;=1,INDEX($D$377:$AQ$377,AF$7-INPUTS!$C$215),0)</f>
        <v>0</v>
      </c>
      <c r="AG380" s="130" t="n">
        <f aca="false">SUMIFS($E$113:$E$142,$C$113:$C$142,"Construction % complete",$F$113:$F$142,AG$7)*IF(AG$7-INPUTS!$C$215&gt;=1,INDEX($D$378:$AQ$378,AG$7-INPUTS!$C$215),0)+SUMIFS($E$113:$E$142,$C$113:$C$142,"Construction % complete",$F$113:$F$142,"&lt;"&amp;AG$7)*IF(AG$7-INPUTS!$C$215&gt;=1,INDEX($D$377:$AQ$377,AG$7-INPUTS!$C$215),0)</f>
        <v>0</v>
      </c>
      <c r="AH380" s="130" t="n">
        <f aca="false">SUMIFS($E$113:$E$142,$C$113:$C$142,"Construction % complete",$F$113:$F$142,AH$7)*IF(AH$7-INPUTS!$C$215&gt;=1,INDEX($D$378:$AQ$378,AH$7-INPUTS!$C$215),0)+SUMIFS($E$113:$E$142,$C$113:$C$142,"Construction % complete",$F$113:$F$142,"&lt;"&amp;AH$7)*IF(AH$7-INPUTS!$C$215&gt;=1,INDEX($D$377:$AQ$377,AH$7-INPUTS!$C$215),0)</f>
        <v>0</v>
      </c>
      <c r="AI380" s="130" t="n">
        <f aca="false">SUMIFS($E$113:$E$142,$C$113:$C$142,"Construction % complete",$F$113:$F$142,AI$7)*IF(AI$7-INPUTS!$C$215&gt;=1,INDEX($D$378:$AQ$378,AI$7-INPUTS!$C$215),0)+SUMIFS($E$113:$E$142,$C$113:$C$142,"Construction % complete",$F$113:$F$142,"&lt;"&amp;AI$7)*IF(AI$7-INPUTS!$C$215&gt;=1,INDEX($D$377:$AQ$377,AI$7-INPUTS!$C$215),0)</f>
        <v>0</v>
      </c>
      <c r="AJ380" s="130" t="n">
        <f aca="false">SUMIFS($E$113:$E$142,$C$113:$C$142,"Construction % complete",$F$113:$F$142,AJ$7)*IF(AJ$7-INPUTS!$C$215&gt;=1,INDEX($D$378:$AQ$378,AJ$7-INPUTS!$C$215),0)+SUMIFS($E$113:$E$142,$C$113:$C$142,"Construction % complete",$F$113:$F$142,"&lt;"&amp;AJ$7)*IF(AJ$7-INPUTS!$C$215&gt;=1,INDEX($D$377:$AQ$377,AJ$7-INPUTS!$C$215),0)</f>
        <v>0</v>
      </c>
      <c r="AK380" s="130" t="n">
        <f aca="false">SUMIFS($E$113:$E$142,$C$113:$C$142,"Construction % complete",$F$113:$F$142,AK$7)*IF(AK$7-INPUTS!$C$215&gt;=1,INDEX($D$378:$AQ$378,AK$7-INPUTS!$C$215),0)+SUMIFS($E$113:$E$142,$C$113:$C$142,"Construction % complete",$F$113:$F$142,"&lt;"&amp;AK$7)*IF(AK$7-INPUTS!$C$215&gt;=1,INDEX($D$377:$AQ$377,AK$7-INPUTS!$C$215),0)</f>
        <v>0</v>
      </c>
      <c r="AL380" s="130" t="n">
        <f aca="false">SUMIFS($E$113:$E$142,$C$113:$C$142,"Construction % complete",$F$113:$F$142,AL$7)*IF(AL$7-INPUTS!$C$215&gt;=1,INDEX($D$378:$AQ$378,AL$7-INPUTS!$C$215),0)+SUMIFS($E$113:$E$142,$C$113:$C$142,"Construction % complete",$F$113:$F$142,"&lt;"&amp;AL$7)*IF(AL$7-INPUTS!$C$215&gt;=1,INDEX($D$377:$AQ$377,AL$7-INPUTS!$C$215),0)</f>
        <v>0</v>
      </c>
      <c r="AM380" s="130" t="n">
        <f aca="false">SUMIFS($E$113:$E$142,$C$113:$C$142,"Construction % complete",$F$113:$F$142,AM$7)*IF(AM$7-INPUTS!$C$215&gt;=1,INDEX($D$378:$AQ$378,AM$7-INPUTS!$C$215),0)+SUMIFS($E$113:$E$142,$C$113:$C$142,"Construction % complete",$F$113:$F$142,"&lt;"&amp;AM$7)*IF(AM$7-INPUTS!$C$215&gt;=1,INDEX($D$377:$AQ$377,AM$7-INPUTS!$C$215),0)</f>
        <v>0</v>
      </c>
      <c r="AN380" s="130" t="n">
        <f aca="false">SUMIFS($E$113:$E$142,$C$113:$C$142,"Construction % complete",$F$113:$F$142,AN$7)*IF(AN$7-INPUTS!$C$215&gt;=1,INDEX($D$378:$AQ$378,AN$7-INPUTS!$C$215),0)+SUMIFS($E$113:$E$142,$C$113:$C$142,"Construction % complete",$F$113:$F$142,"&lt;"&amp;AN$7)*IF(AN$7-INPUTS!$C$215&gt;=1,INDEX($D$377:$AQ$377,AN$7-INPUTS!$C$215),0)</f>
        <v>0</v>
      </c>
      <c r="AO380" s="130" t="n">
        <f aca="false">SUMIFS($E$113:$E$142,$C$113:$C$142,"Construction % complete",$F$113:$F$142,AO$7)*IF(AO$7-INPUTS!$C$215&gt;=1,INDEX($D$378:$AQ$378,AO$7-INPUTS!$C$215),0)+SUMIFS($E$113:$E$142,$C$113:$C$142,"Construction % complete",$F$113:$F$142,"&lt;"&amp;AO$7)*IF(AO$7-INPUTS!$C$215&gt;=1,INDEX($D$377:$AQ$377,AO$7-INPUTS!$C$215),0)</f>
        <v>0</v>
      </c>
      <c r="AP380" s="130" t="n">
        <f aca="false">SUMIFS($E$113:$E$142,$C$113:$C$142,"Construction % complete",$F$113:$F$142,AP$7)*IF(AP$7-INPUTS!$C$215&gt;=1,INDEX($D$378:$AQ$378,AP$7-INPUTS!$C$215),0)+SUMIFS($E$113:$E$142,$C$113:$C$142,"Construction % complete",$F$113:$F$142,"&lt;"&amp;AP$7)*IF(AP$7-INPUTS!$C$215&gt;=1,INDEX($D$377:$AQ$377,AP$7-INPUTS!$C$215),0)</f>
        <v>0</v>
      </c>
      <c r="AQ380" s="130" t="n">
        <f aca="false">SUMIFS($E$113:$E$142,$C$113:$C$142,"Construction % complete",$F$113:$F$142,AQ$7)*IF(AQ$7-INPUTS!$C$215&gt;=1,INDEX($D$378:$AQ$378,AQ$7-INPUTS!$C$215),0)+SUMIFS($E$113:$E$142,$C$113:$C$142,"Construction % complete",$F$113:$F$142,"&lt;"&amp;AQ$7)*IF(AQ$7-INPUTS!$C$215&gt;=1,INDEX($D$377:$AQ$377,AQ$7-INPUTS!$C$215),0)</f>
        <v>0</v>
      </c>
    </row>
    <row r="381" customFormat="false" ht="15" hidden="false" customHeight="false" outlineLevel="0" collapsed="false">
      <c r="B381" s="2" t="s">
        <v>716</v>
      </c>
      <c r="C381" s="129" t="n">
        <f aca="false">SUM(D381:AQ381)</f>
        <v>42</v>
      </c>
      <c r="D381" s="130" t="n">
        <f aca="false">D379+D380</f>
        <v>0</v>
      </c>
      <c r="E381" s="130" t="n">
        <f aca="false">E379+E380</f>
        <v>0</v>
      </c>
      <c r="F381" s="130" t="n">
        <f aca="false">F379+F380</f>
        <v>0</v>
      </c>
      <c r="G381" s="130" t="n">
        <f aca="false">G379+G380</f>
        <v>0</v>
      </c>
      <c r="H381" s="130" t="n">
        <f aca="false">H379+H380</f>
        <v>0</v>
      </c>
      <c r="I381" s="130" t="n">
        <f aca="false">I379+I380</f>
        <v>0</v>
      </c>
      <c r="J381" s="130" t="n">
        <f aca="false">J379+J380</f>
        <v>0</v>
      </c>
      <c r="K381" s="130" t="n">
        <f aca="false">K379+K380</f>
        <v>0.116666666666667</v>
      </c>
      <c r="L381" s="130" t="n">
        <f aca="false">L379+L380</f>
        <v>1.16666666666667</v>
      </c>
      <c r="M381" s="130" t="n">
        <f aca="false">M379+M380</f>
        <v>2.21666666666667</v>
      </c>
      <c r="N381" s="130" t="n">
        <f aca="false">N379+N380</f>
        <v>3.26666666666667</v>
      </c>
      <c r="O381" s="130" t="n">
        <f aca="false">O379+O380</f>
        <v>4.31666666666667</v>
      </c>
      <c r="P381" s="130" t="n">
        <f aca="false">P379+P380</f>
        <v>5.36666666666667</v>
      </c>
      <c r="Q381" s="130" t="n">
        <f aca="false">Q379+Q380</f>
        <v>6.41666666666667</v>
      </c>
      <c r="R381" s="130" t="n">
        <f aca="false">R379+R380</f>
        <v>7.46666666666667</v>
      </c>
      <c r="S381" s="130" t="n">
        <f aca="false">S379+S380</f>
        <v>7.46666666666667</v>
      </c>
      <c r="T381" s="130" t="n">
        <f aca="false">T379+T380</f>
        <v>4.2</v>
      </c>
      <c r="U381" s="130" t="n">
        <f aca="false">U379+U380</f>
        <v>0</v>
      </c>
      <c r="V381" s="130" t="n">
        <f aca="false">V379+V380</f>
        <v>0</v>
      </c>
      <c r="W381" s="130" t="n">
        <f aca="false">W379+W380</f>
        <v>0</v>
      </c>
      <c r="X381" s="130" t="n">
        <f aca="false">X379+X380</f>
        <v>0</v>
      </c>
      <c r="Y381" s="130" t="n">
        <f aca="false">Y379+Y380</f>
        <v>0</v>
      </c>
      <c r="Z381" s="130" t="n">
        <f aca="false">Z379+Z380</f>
        <v>0</v>
      </c>
      <c r="AA381" s="130" t="n">
        <f aca="false">AA379+AA380</f>
        <v>0</v>
      </c>
      <c r="AB381" s="130" t="n">
        <f aca="false">AB379+AB380</f>
        <v>0</v>
      </c>
      <c r="AC381" s="130" t="n">
        <f aca="false">AC379+AC380</f>
        <v>0</v>
      </c>
      <c r="AD381" s="130" t="n">
        <f aca="false">AD379+AD380</f>
        <v>0</v>
      </c>
      <c r="AE381" s="130" t="n">
        <f aca="false">AE379+AE380</f>
        <v>0</v>
      </c>
      <c r="AF381" s="130" t="n">
        <f aca="false">AF379+AF380</f>
        <v>0</v>
      </c>
      <c r="AG381" s="130" t="n">
        <f aca="false">AG379+AG380</f>
        <v>0</v>
      </c>
      <c r="AH381" s="130" t="n">
        <f aca="false">AH379+AH380</f>
        <v>0</v>
      </c>
      <c r="AI381" s="130" t="n">
        <f aca="false">AI379+AI380</f>
        <v>0</v>
      </c>
      <c r="AJ381" s="130" t="n">
        <f aca="false">AJ379+AJ380</f>
        <v>0</v>
      </c>
      <c r="AK381" s="130" t="n">
        <f aca="false">AK379+AK380</f>
        <v>0</v>
      </c>
      <c r="AL381" s="130" t="n">
        <f aca="false">AL379+AL380</f>
        <v>0</v>
      </c>
      <c r="AM381" s="130" t="n">
        <f aca="false">AM379+AM380</f>
        <v>0</v>
      </c>
      <c r="AN381" s="130" t="n">
        <f aca="false">AN379+AN380</f>
        <v>0</v>
      </c>
      <c r="AO381" s="130" t="n">
        <f aca="false">AO379+AO380</f>
        <v>0</v>
      </c>
      <c r="AP381" s="130" t="n">
        <f aca="false">AP379+AP380</f>
        <v>0</v>
      </c>
      <c r="AQ381" s="130" t="n">
        <f aca="false">AQ379+AQ380</f>
        <v>0</v>
      </c>
    </row>
    <row r="382" customFormat="false" ht="15" hidden="false" customHeight="false" outlineLevel="0" collapsed="false">
      <c r="B382" s="3" t="s">
        <v>717</v>
      </c>
      <c r="D382" s="130" t="n">
        <f aca="false">SUM($D381:D381)</f>
        <v>0</v>
      </c>
      <c r="E382" s="130" t="n">
        <f aca="false">SUM($D381:E381)</f>
        <v>0</v>
      </c>
      <c r="F382" s="130" t="n">
        <f aca="false">SUM($D381:F381)</f>
        <v>0</v>
      </c>
      <c r="G382" s="130" t="n">
        <f aca="false">SUM($D381:G381)</f>
        <v>0</v>
      </c>
      <c r="H382" s="130" t="n">
        <f aca="false">SUM($D381:H381)</f>
        <v>0</v>
      </c>
      <c r="I382" s="130" t="n">
        <f aca="false">SUM($D381:I381)</f>
        <v>0</v>
      </c>
      <c r="J382" s="130" t="n">
        <f aca="false">SUM($D381:J381)</f>
        <v>0</v>
      </c>
      <c r="K382" s="130" t="n">
        <f aca="false">SUM($D381:K381)</f>
        <v>0.116666666666667</v>
      </c>
      <c r="L382" s="130" t="n">
        <f aca="false">SUM($D381:L381)</f>
        <v>1.28333333333333</v>
      </c>
      <c r="M382" s="130" t="n">
        <f aca="false">SUM($D381:M381)</f>
        <v>3.5</v>
      </c>
      <c r="N382" s="130" t="n">
        <f aca="false">SUM($D381:N381)</f>
        <v>6.76666666666667</v>
      </c>
      <c r="O382" s="130" t="n">
        <f aca="false">SUM($D381:O381)</f>
        <v>11.0833333333333</v>
      </c>
      <c r="P382" s="130" t="n">
        <f aca="false">SUM($D381:P381)</f>
        <v>16.45</v>
      </c>
      <c r="Q382" s="130" t="n">
        <f aca="false">SUM($D381:Q381)</f>
        <v>22.8666666666667</v>
      </c>
      <c r="R382" s="130" t="n">
        <f aca="false">SUM($D381:R381)</f>
        <v>30.3333333333333</v>
      </c>
      <c r="S382" s="130" t="n">
        <f aca="false">SUM($D381:S381)</f>
        <v>37.8</v>
      </c>
      <c r="T382" s="130" t="n">
        <f aca="false">SUM($D381:T381)</f>
        <v>42</v>
      </c>
      <c r="U382" s="130" t="n">
        <f aca="false">SUM($D381:U381)</f>
        <v>42</v>
      </c>
      <c r="V382" s="130" t="n">
        <f aca="false">SUM($D381:V381)</f>
        <v>42</v>
      </c>
      <c r="W382" s="130" t="n">
        <f aca="false">SUM($D381:W381)</f>
        <v>42</v>
      </c>
      <c r="X382" s="130" t="n">
        <f aca="false">SUM($D381:X381)</f>
        <v>42</v>
      </c>
      <c r="Y382" s="130" t="n">
        <f aca="false">SUM($D381:Y381)</f>
        <v>42</v>
      </c>
      <c r="Z382" s="130" t="n">
        <f aca="false">SUM($D381:Z381)</f>
        <v>42</v>
      </c>
      <c r="AA382" s="130" t="n">
        <f aca="false">SUM($D381:AA381)</f>
        <v>42</v>
      </c>
      <c r="AB382" s="130" t="n">
        <f aca="false">SUM($D381:AB381)</f>
        <v>42</v>
      </c>
      <c r="AC382" s="130" t="n">
        <f aca="false">SUM($D381:AC381)</f>
        <v>42</v>
      </c>
      <c r="AD382" s="130" t="n">
        <f aca="false">SUM($D381:AD381)</f>
        <v>42</v>
      </c>
      <c r="AE382" s="130" t="n">
        <f aca="false">SUM($D381:AE381)</f>
        <v>42</v>
      </c>
      <c r="AF382" s="130" t="n">
        <f aca="false">SUM($D381:AF381)</f>
        <v>42</v>
      </c>
      <c r="AG382" s="130" t="n">
        <f aca="false">SUM($D381:AG381)</f>
        <v>42</v>
      </c>
      <c r="AH382" s="130" t="n">
        <f aca="false">SUM($D381:AH381)</f>
        <v>42</v>
      </c>
      <c r="AI382" s="130" t="n">
        <f aca="false">SUM($D381:AI381)</f>
        <v>42</v>
      </c>
      <c r="AJ382" s="130" t="n">
        <f aca="false">SUM($D381:AJ381)</f>
        <v>42</v>
      </c>
      <c r="AK382" s="130" t="n">
        <f aca="false">SUM($D381:AK381)</f>
        <v>42</v>
      </c>
      <c r="AL382" s="130" t="n">
        <f aca="false">SUM($D381:AL381)</f>
        <v>42</v>
      </c>
      <c r="AM382" s="130" t="n">
        <f aca="false">SUM($D381:AM381)</f>
        <v>42</v>
      </c>
      <c r="AN382" s="130" t="n">
        <f aca="false">SUM($D381:AN381)</f>
        <v>42</v>
      </c>
      <c r="AO382" s="130" t="n">
        <f aca="false">SUM($D381:AO381)</f>
        <v>42</v>
      </c>
      <c r="AP382" s="130" t="n">
        <f aca="false">SUM($D381:AP381)</f>
        <v>42</v>
      </c>
      <c r="AQ382" s="130" t="n">
        <f aca="false">SUM($D381:AQ381)</f>
        <v>42</v>
      </c>
    </row>
    <row r="383" customFormat="false" ht="15" hidden="false" customHeight="false" outlineLevel="0" collapsed="false">
      <c r="B383" s="3" t="s">
        <v>718</v>
      </c>
      <c r="D383" s="130" t="n">
        <f aca="false">D378-D382</f>
        <v>0</v>
      </c>
      <c r="E383" s="130" t="n">
        <f aca="false">E378-E382</f>
        <v>0</v>
      </c>
      <c r="F383" s="130" t="n">
        <f aca="false">F378-F382</f>
        <v>0</v>
      </c>
      <c r="G383" s="130" t="n">
        <f aca="false">G378-G382</f>
        <v>0</v>
      </c>
      <c r="H383" s="130" t="n">
        <f aca="false">H378-H382</f>
        <v>0</v>
      </c>
      <c r="I383" s="130" t="n">
        <f aca="false">I378-I382</f>
        <v>0</v>
      </c>
      <c r="J383" s="130" t="n">
        <f aca="false">J378-J382</f>
        <v>0</v>
      </c>
      <c r="K383" s="130" t="n">
        <f aca="false">K378-K382</f>
        <v>1.05</v>
      </c>
      <c r="L383" s="130" t="n">
        <f aca="false">L378-L382</f>
        <v>2.21666666666667</v>
      </c>
      <c r="M383" s="130" t="n">
        <f aca="false">M378-M382</f>
        <v>3.5</v>
      </c>
      <c r="N383" s="130" t="n">
        <f aca="false">N378-N382</f>
        <v>4.9</v>
      </c>
      <c r="O383" s="130" t="n">
        <f aca="false">O378-O382</f>
        <v>6.41666666666667</v>
      </c>
      <c r="P383" s="130" t="n">
        <f aca="false">P378-P382</f>
        <v>8.05</v>
      </c>
      <c r="Q383" s="130" t="n">
        <f aca="false">Q378-Q382</f>
        <v>9.8</v>
      </c>
      <c r="R383" s="130" t="n">
        <f aca="false">R378-R382</f>
        <v>11.6666666666667</v>
      </c>
      <c r="S383" s="130" t="n">
        <f aca="false">S378-S382</f>
        <v>4.2</v>
      </c>
      <c r="T383" s="130" t="n">
        <f aca="false">T378-T382</f>
        <v>0</v>
      </c>
      <c r="U383" s="130" t="n">
        <f aca="false">U378-U382</f>
        <v>0</v>
      </c>
      <c r="V383" s="130" t="n">
        <f aca="false">V378-V382</f>
        <v>0</v>
      </c>
      <c r="W383" s="130" t="n">
        <f aca="false">W378-W382</f>
        <v>0</v>
      </c>
      <c r="X383" s="130" t="n">
        <f aca="false">X378-X382</f>
        <v>0</v>
      </c>
      <c r="Y383" s="130" t="n">
        <f aca="false">Y378-Y382</f>
        <v>0</v>
      </c>
      <c r="Z383" s="130" t="n">
        <f aca="false">Z378-Z382</f>
        <v>0</v>
      </c>
      <c r="AA383" s="130" t="n">
        <f aca="false">AA378-AA382</f>
        <v>0</v>
      </c>
      <c r="AB383" s="130" t="n">
        <f aca="false">AB378-AB382</f>
        <v>0</v>
      </c>
      <c r="AC383" s="130" t="n">
        <f aca="false">AC378-AC382</f>
        <v>0</v>
      </c>
      <c r="AD383" s="130" t="n">
        <f aca="false">AD378-AD382</f>
        <v>0</v>
      </c>
      <c r="AE383" s="130" t="n">
        <f aca="false">AE378-AE382</f>
        <v>0</v>
      </c>
      <c r="AF383" s="130" t="n">
        <f aca="false">AF378-AF382</f>
        <v>0</v>
      </c>
      <c r="AG383" s="130" t="n">
        <f aca="false">AG378-AG382</f>
        <v>0</v>
      </c>
      <c r="AH383" s="130" t="n">
        <f aca="false">AH378-AH382</f>
        <v>0</v>
      </c>
      <c r="AI383" s="130" t="n">
        <f aca="false">AI378-AI382</f>
        <v>0</v>
      </c>
      <c r="AJ383" s="130" t="n">
        <f aca="false">AJ378-AJ382</f>
        <v>0</v>
      </c>
      <c r="AK383" s="130" t="n">
        <f aca="false">AK378-AK382</f>
        <v>0</v>
      </c>
      <c r="AL383" s="130" t="n">
        <f aca="false">AL378-AL382</f>
        <v>0</v>
      </c>
      <c r="AM383" s="130" t="n">
        <f aca="false">AM378-AM382</f>
        <v>0</v>
      </c>
      <c r="AN383" s="130" t="n">
        <f aca="false">AN378-AN382</f>
        <v>0</v>
      </c>
      <c r="AO383" s="130" t="n">
        <f aca="false">AO378-AO382</f>
        <v>0</v>
      </c>
      <c r="AP383" s="130" t="n">
        <f aca="false">AP378-AP382</f>
        <v>0</v>
      </c>
      <c r="AQ383" s="130" t="n">
        <f aca="false">AQ378-AQ382</f>
        <v>0</v>
      </c>
    </row>
    <row r="384" customFormat="false" ht="15" hidden="false" customHeight="false" outlineLevel="0" collapsed="false">
      <c r="B384" s="3" t="s">
        <v>719</v>
      </c>
      <c r="D384" s="132" t="n">
        <f aca="false">IF(INPUTS!$T$91&gt;0,D382/INPUTS!$T$91,0)</f>
        <v>0</v>
      </c>
      <c r="E384" s="132" t="n">
        <f aca="false">IF(INPUTS!$T$91&gt;0,E382/INPUTS!$T$91,0)</f>
        <v>0</v>
      </c>
      <c r="F384" s="132" t="n">
        <f aca="false">IF(INPUTS!$T$91&gt;0,F382/INPUTS!$T$91,0)</f>
        <v>0</v>
      </c>
      <c r="G384" s="132" t="n">
        <f aca="false">IF(INPUTS!$T$91&gt;0,G382/INPUTS!$T$91,0)</f>
        <v>0</v>
      </c>
      <c r="H384" s="132" t="n">
        <f aca="false">IF(INPUTS!$T$91&gt;0,H382/INPUTS!$T$91,0)</f>
        <v>0</v>
      </c>
      <c r="I384" s="132" t="n">
        <f aca="false">IF(INPUTS!$T$91&gt;0,I382/INPUTS!$T$91,0)</f>
        <v>0</v>
      </c>
      <c r="J384" s="132" t="n">
        <f aca="false">IF(INPUTS!$T$91&gt;0,J382/INPUTS!$T$91,0)</f>
        <v>0</v>
      </c>
      <c r="K384" s="132" t="n">
        <f aca="false">IF(INPUTS!$T$91&gt;0,K382/INPUTS!$T$91,0)</f>
        <v>0.00277777777777778</v>
      </c>
      <c r="L384" s="132" t="n">
        <f aca="false">IF(INPUTS!$T$91&gt;0,L382/INPUTS!$T$91,0)</f>
        <v>0.0305555555555556</v>
      </c>
      <c r="M384" s="132" t="n">
        <f aca="false">IF(INPUTS!$T$91&gt;0,M382/INPUTS!$T$91,0)</f>
        <v>0.0833333333333333</v>
      </c>
      <c r="N384" s="132" t="n">
        <f aca="false">IF(INPUTS!$T$91&gt;0,N382/INPUTS!$T$91,0)</f>
        <v>0.161111111111111</v>
      </c>
      <c r="O384" s="132" t="n">
        <f aca="false">IF(INPUTS!$T$91&gt;0,O382/INPUTS!$T$91,0)</f>
        <v>0.263888888888889</v>
      </c>
      <c r="P384" s="132" t="n">
        <f aca="false">IF(INPUTS!$T$91&gt;0,P382/INPUTS!$T$91,0)</f>
        <v>0.391666666666667</v>
      </c>
      <c r="Q384" s="132" t="n">
        <f aca="false">IF(INPUTS!$T$91&gt;0,Q382/INPUTS!$T$91,0)</f>
        <v>0.544444444444445</v>
      </c>
      <c r="R384" s="132" t="n">
        <f aca="false">IF(INPUTS!$T$91&gt;0,R382/INPUTS!$T$91,0)</f>
        <v>0.722222222222222</v>
      </c>
      <c r="S384" s="132" t="n">
        <f aca="false">IF(INPUTS!$T$91&gt;0,S382/INPUTS!$T$91,0)</f>
        <v>0.9</v>
      </c>
      <c r="T384" s="132" t="n">
        <f aca="false">IF(INPUTS!$T$91&gt;0,T382/INPUTS!$T$91,0)</f>
        <v>1</v>
      </c>
      <c r="U384" s="132" t="n">
        <f aca="false">IF(INPUTS!$T$91&gt;0,U382/INPUTS!$T$91,0)</f>
        <v>1</v>
      </c>
      <c r="V384" s="132" t="n">
        <f aca="false">IF(INPUTS!$T$91&gt;0,V382/INPUTS!$T$91,0)</f>
        <v>1</v>
      </c>
      <c r="W384" s="132" t="n">
        <f aca="false">IF(INPUTS!$T$91&gt;0,W382/INPUTS!$T$91,0)</f>
        <v>1</v>
      </c>
      <c r="X384" s="132" t="n">
        <f aca="false">IF(INPUTS!$T$91&gt;0,X382/INPUTS!$T$91,0)</f>
        <v>1</v>
      </c>
      <c r="Y384" s="132" t="n">
        <f aca="false">IF(INPUTS!$T$91&gt;0,Y382/INPUTS!$T$91,0)</f>
        <v>1</v>
      </c>
      <c r="Z384" s="132" t="n">
        <f aca="false">IF(INPUTS!$T$91&gt;0,Z382/INPUTS!$T$91,0)</f>
        <v>1</v>
      </c>
      <c r="AA384" s="132" t="n">
        <f aca="false">IF(INPUTS!$T$91&gt;0,AA382/INPUTS!$T$91,0)</f>
        <v>1</v>
      </c>
      <c r="AB384" s="132" t="n">
        <f aca="false">IF(INPUTS!$T$91&gt;0,AB382/INPUTS!$T$91,0)</f>
        <v>1</v>
      </c>
      <c r="AC384" s="132" t="n">
        <f aca="false">IF(INPUTS!$T$91&gt;0,AC382/INPUTS!$T$91,0)</f>
        <v>1</v>
      </c>
      <c r="AD384" s="132" t="n">
        <f aca="false">IF(INPUTS!$T$91&gt;0,AD382/INPUTS!$T$91,0)</f>
        <v>1</v>
      </c>
      <c r="AE384" s="132" t="n">
        <f aca="false">IF(INPUTS!$T$91&gt;0,AE382/INPUTS!$T$91,0)</f>
        <v>1</v>
      </c>
      <c r="AF384" s="132" t="n">
        <f aca="false">IF(INPUTS!$T$91&gt;0,AF382/INPUTS!$T$91,0)</f>
        <v>1</v>
      </c>
      <c r="AG384" s="132" t="n">
        <f aca="false">IF(INPUTS!$T$91&gt;0,AG382/INPUTS!$T$91,0)</f>
        <v>1</v>
      </c>
      <c r="AH384" s="132" t="n">
        <f aca="false">IF(INPUTS!$T$91&gt;0,AH382/INPUTS!$T$91,0)</f>
        <v>1</v>
      </c>
      <c r="AI384" s="132" t="n">
        <f aca="false">IF(INPUTS!$T$91&gt;0,AI382/INPUTS!$T$91,0)</f>
        <v>1</v>
      </c>
      <c r="AJ384" s="132" t="n">
        <f aca="false">IF(INPUTS!$T$91&gt;0,AJ382/INPUTS!$T$91,0)</f>
        <v>1</v>
      </c>
      <c r="AK384" s="132" t="n">
        <f aca="false">IF(INPUTS!$T$91&gt;0,AK382/INPUTS!$T$91,0)</f>
        <v>1</v>
      </c>
      <c r="AL384" s="132" t="n">
        <f aca="false">IF(INPUTS!$T$91&gt;0,AL382/INPUTS!$T$91,0)</f>
        <v>1</v>
      </c>
      <c r="AM384" s="132" t="n">
        <f aca="false">IF(INPUTS!$T$91&gt;0,AM382/INPUTS!$T$91,0)</f>
        <v>1</v>
      </c>
      <c r="AN384" s="132" t="n">
        <f aca="false">IF(INPUTS!$T$91&gt;0,AN382/INPUTS!$T$91,0)</f>
        <v>1</v>
      </c>
      <c r="AO384" s="132" t="n">
        <f aca="false">IF(INPUTS!$T$91&gt;0,AO382/INPUTS!$T$91,0)</f>
        <v>1</v>
      </c>
      <c r="AP384" s="132" t="n">
        <f aca="false">IF(INPUTS!$T$91&gt;0,AP382/INPUTS!$T$91,0)</f>
        <v>1</v>
      </c>
      <c r="AQ384" s="132" t="n">
        <f aca="false">IF(INPUTS!$T$91&gt;0,AQ382/INPUTS!$T$91,0)</f>
        <v>1</v>
      </c>
    </row>
    <row r="385" customFormat="false" ht="15" hidden="false" customHeight="false" outlineLevel="0" collapsed="false">
      <c r="B385" s="17" t="s">
        <v>689</v>
      </c>
      <c r="C385" s="105" t="str">
        <f aca="false">IF(INPUTS!$E$91&lt;&gt;"Yes","Off",IF(AND(ABS(C377-INPUTS!$T$91)&lt;0.000001,ABS(C381-INPUTS!$T$91)&lt;0.000001,MIN(D383:AQ383)&gt;-0.000001),"OK","ERROR"))</f>
        <v>OK</v>
      </c>
    </row>
    <row r="386" customFormat="false" ht="15" hidden="false" customHeight="false" outlineLevel="0" collapsed="false">
      <c r="B386" s="110" t="str">
        <f aca="false">IF(INPUTS!$E$92="Yes",INPUTS!$B$92,"Product row 5 (off)")</f>
        <v>Product row 5 (off)</v>
      </c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</row>
    <row r="387" customFormat="false" ht="15" hidden="false" customHeight="false" outlineLevel="0" collapsed="false">
      <c r="B387" s="2" t="s">
        <v>712</v>
      </c>
      <c r="C387" s="129" t="n">
        <f aca="false">SUM(D387:AQ387)</f>
        <v>0</v>
      </c>
      <c r="D387" s="130" t="n">
        <f aca="false">INPUTS!$T$92*CURVES!D62</f>
        <v>0</v>
      </c>
      <c r="E387" s="130" t="n">
        <f aca="false">INPUTS!$T$92*CURVES!E62</f>
        <v>0</v>
      </c>
      <c r="F387" s="130" t="n">
        <f aca="false">INPUTS!$T$92*CURVES!F62</f>
        <v>0</v>
      </c>
      <c r="G387" s="130" t="n">
        <f aca="false">INPUTS!$T$92*CURVES!G62</f>
        <v>0</v>
      </c>
      <c r="H387" s="130" t="n">
        <f aca="false">INPUTS!$T$92*CURVES!H62</f>
        <v>0</v>
      </c>
      <c r="I387" s="130" t="n">
        <f aca="false">INPUTS!$T$92*CURVES!I62</f>
        <v>0</v>
      </c>
      <c r="J387" s="130" t="n">
        <f aca="false">INPUTS!$T$92*CURVES!J62</f>
        <v>0</v>
      </c>
      <c r="K387" s="130" t="n">
        <f aca="false">INPUTS!$T$92*CURVES!K62</f>
        <v>0</v>
      </c>
      <c r="L387" s="130" t="n">
        <f aca="false">INPUTS!$T$92*CURVES!L62</f>
        <v>0</v>
      </c>
      <c r="M387" s="130" t="n">
        <f aca="false">INPUTS!$T$92*CURVES!M62</f>
        <v>0</v>
      </c>
      <c r="N387" s="130" t="n">
        <f aca="false">INPUTS!$T$92*CURVES!N62</f>
        <v>0</v>
      </c>
      <c r="O387" s="130" t="n">
        <f aca="false">INPUTS!$T$92*CURVES!O62</f>
        <v>0</v>
      </c>
      <c r="P387" s="130" t="n">
        <f aca="false">INPUTS!$T$92*CURVES!P62</f>
        <v>0</v>
      </c>
      <c r="Q387" s="130" t="n">
        <f aca="false">INPUTS!$T$92*CURVES!Q62</f>
        <v>0</v>
      </c>
      <c r="R387" s="130" t="n">
        <f aca="false">INPUTS!$T$92*CURVES!R62</f>
        <v>0</v>
      </c>
      <c r="S387" s="130" t="n">
        <f aca="false">INPUTS!$T$92*CURVES!S62</f>
        <v>0</v>
      </c>
      <c r="T387" s="130" t="n">
        <f aca="false">INPUTS!$T$92*CURVES!T62</f>
        <v>0</v>
      </c>
      <c r="U387" s="130" t="n">
        <f aca="false">INPUTS!$T$92*CURVES!U62</f>
        <v>0</v>
      </c>
      <c r="V387" s="130" t="n">
        <f aca="false">INPUTS!$T$92*CURVES!V62</f>
        <v>0</v>
      </c>
      <c r="W387" s="130" t="n">
        <f aca="false">INPUTS!$T$92*CURVES!W62</f>
        <v>0</v>
      </c>
      <c r="X387" s="130" t="n">
        <f aca="false">INPUTS!$T$92*CURVES!X62</f>
        <v>0</v>
      </c>
      <c r="Y387" s="130" t="n">
        <f aca="false">INPUTS!$T$92*CURVES!Y62</f>
        <v>0</v>
      </c>
      <c r="Z387" s="130" t="n">
        <f aca="false">INPUTS!$T$92*CURVES!Z62</f>
        <v>0</v>
      </c>
      <c r="AA387" s="130" t="n">
        <f aca="false">INPUTS!$T$92*CURVES!AA62</f>
        <v>0</v>
      </c>
      <c r="AB387" s="130" t="n">
        <f aca="false">INPUTS!$T$92*CURVES!AB62</f>
        <v>0</v>
      </c>
      <c r="AC387" s="130" t="n">
        <f aca="false">INPUTS!$T$92*CURVES!AC62</f>
        <v>0</v>
      </c>
      <c r="AD387" s="130" t="n">
        <f aca="false">INPUTS!$T$92*CURVES!AD62</f>
        <v>0</v>
      </c>
      <c r="AE387" s="130" t="n">
        <f aca="false">INPUTS!$T$92*CURVES!AE62</f>
        <v>0</v>
      </c>
      <c r="AF387" s="130" t="n">
        <f aca="false">INPUTS!$T$92*CURVES!AF62</f>
        <v>0</v>
      </c>
      <c r="AG387" s="130" t="n">
        <f aca="false">INPUTS!$T$92*CURVES!AG62</f>
        <v>0</v>
      </c>
      <c r="AH387" s="130" t="n">
        <f aca="false">INPUTS!$T$92*CURVES!AH62</f>
        <v>0</v>
      </c>
      <c r="AI387" s="130" t="n">
        <f aca="false">INPUTS!$T$92*CURVES!AI62</f>
        <v>0</v>
      </c>
      <c r="AJ387" s="130" t="n">
        <f aca="false">INPUTS!$T$92*CURVES!AJ62</f>
        <v>0</v>
      </c>
      <c r="AK387" s="130" t="n">
        <f aca="false">INPUTS!$T$92*CURVES!AK62</f>
        <v>0</v>
      </c>
      <c r="AL387" s="130" t="n">
        <f aca="false">INPUTS!$T$92*CURVES!AL62</f>
        <v>0</v>
      </c>
      <c r="AM387" s="130" t="n">
        <f aca="false">INPUTS!$T$92*CURVES!AM62</f>
        <v>0</v>
      </c>
      <c r="AN387" s="130" t="n">
        <f aca="false">INPUTS!$T$92*CURVES!AN62</f>
        <v>0</v>
      </c>
      <c r="AO387" s="130" t="n">
        <f aca="false">INPUTS!$T$92*CURVES!AO62</f>
        <v>0</v>
      </c>
      <c r="AP387" s="130" t="n">
        <f aca="false">INPUTS!$T$92*CURVES!AP62</f>
        <v>0</v>
      </c>
      <c r="AQ387" s="130" t="n">
        <f aca="false">INPUTS!$T$92*CURVES!AQ62</f>
        <v>0</v>
      </c>
    </row>
    <row r="388" customFormat="false" ht="15" hidden="false" customHeight="false" outlineLevel="0" collapsed="false">
      <c r="B388" s="3" t="s">
        <v>713</v>
      </c>
      <c r="D388" s="130" t="n">
        <f aca="false">SUM($D387:D387)</f>
        <v>0</v>
      </c>
      <c r="E388" s="130" t="n">
        <f aca="false">SUM($D387:E387)</f>
        <v>0</v>
      </c>
      <c r="F388" s="130" t="n">
        <f aca="false">SUM($D387:F387)</f>
        <v>0</v>
      </c>
      <c r="G388" s="130" t="n">
        <f aca="false">SUM($D387:G387)</f>
        <v>0</v>
      </c>
      <c r="H388" s="130" t="n">
        <f aca="false">SUM($D387:H387)</f>
        <v>0</v>
      </c>
      <c r="I388" s="130" t="n">
        <f aca="false">SUM($D387:I387)</f>
        <v>0</v>
      </c>
      <c r="J388" s="130" t="n">
        <f aca="false">SUM($D387:J387)</f>
        <v>0</v>
      </c>
      <c r="K388" s="130" t="n">
        <f aca="false">SUM($D387:K387)</f>
        <v>0</v>
      </c>
      <c r="L388" s="130" t="n">
        <f aca="false">SUM($D387:L387)</f>
        <v>0</v>
      </c>
      <c r="M388" s="130" t="n">
        <f aca="false">SUM($D387:M387)</f>
        <v>0</v>
      </c>
      <c r="N388" s="130" t="n">
        <f aca="false">SUM($D387:N387)</f>
        <v>0</v>
      </c>
      <c r="O388" s="130" t="n">
        <f aca="false">SUM($D387:O387)</f>
        <v>0</v>
      </c>
      <c r="P388" s="130" t="n">
        <f aca="false">SUM($D387:P387)</f>
        <v>0</v>
      </c>
      <c r="Q388" s="130" t="n">
        <f aca="false">SUM($D387:Q387)</f>
        <v>0</v>
      </c>
      <c r="R388" s="130" t="n">
        <f aca="false">SUM($D387:R387)</f>
        <v>0</v>
      </c>
      <c r="S388" s="130" t="n">
        <f aca="false">SUM($D387:S387)</f>
        <v>0</v>
      </c>
      <c r="T388" s="130" t="n">
        <f aca="false">SUM($D387:T387)</f>
        <v>0</v>
      </c>
      <c r="U388" s="130" t="n">
        <f aca="false">SUM($D387:U387)</f>
        <v>0</v>
      </c>
      <c r="V388" s="130" t="n">
        <f aca="false">SUM($D387:V387)</f>
        <v>0</v>
      </c>
      <c r="W388" s="130" t="n">
        <f aca="false">SUM($D387:W387)</f>
        <v>0</v>
      </c>
      <c r="X388" s="130" t="n">
        <f aca="false">SUM($D387:X387)</f>
        <v>0</v>
      </c>
      <c r="Y388" s="130" t="n">
        <f aca="false">SUM($D387:Y387)</f>
        <v>0</v>
      </c>
      <c r="Z388" s="130" t="n">
        <f aca="false">SUM($D387:Z387)</f>
        <v>0</v>
      </c>
      <c r="AA388" s="130" t="n">
        <f aca="false">SUM($D387:AA387)</f>
        <v>0</v>
      </c>
      <c r="AB388" s="130" t="n">
        <f aca="false">SUM($D387:AB387)</f>
        <v>0</v>
      </c>
      <c r="AC388" s="130" t="n">
        <f aca="false">SUM($D387:AC387)</f>
        <v>0</v>
      </c>
      <c r="AD388" s="130" t="n">
        <f aca="false">SUM($D387:AD387)</f>
        <v>0</v>
      </c>
      <c r="AE388" s="130" t="n">
        <f aca="false">SUM($D387:AE387)</f>
        <v>0</v>
      </c>
      <c r="AF388" s="130" t="n">
        <f aca="false">SUM($D387:AF387)</f>
        <v>0</v>
      </c>
      <c r="AG388" s="130" t="n">
        <f aca="false">SUM($D387:AG387)</f>
        <v>0</v>
      </c>
      <c r="AH388" s="130" t="n">
        <f aca="false">SUM($D387:AH387)</f>
        <v>0</v>
      </c>
      <c r="AI388" s="130" t="n">
        <f aca="false">SUM($D387:AI387)</f>
        <v>0</v>
      </c>
      <c r="AJ388" s="130" t="n">
        <f aca="false">SUM($D387:AJ387)</f>
        <v>0</v>
      </c>
      <c r="AK388" s="130" t="n">
        <f aca="false">SUM($D387:AK387)</f>
        <v>0</v>
      </c>
      <c r="AL388" s="130" t="n">
        <f aca="false">SUM($D387:AL387)</f>
        <v>0</v>
      </c>
      <c r="AM388" s="130" t="n">
        <f aca="false">SUM($D387:AM387)</f>
        <v>0</v>
      </c>
      <c r="AN388" s="130" t="n">
        <f aca="false">SUM($D387:AN387)</f>
        <v>0</v>
      </c>
      <c r="AO388" s="130" t="n">
        <f aca="false">SUM($D387:AO387)</f>
        <v>0</v>
      </c>
      <c r="AP388" s="130" t="n">
        <f aca="false">SUM($D387:AP387)</f>
        <v>0</v>
      </c>
      <c r="AQ388" s="130" t="n">
        <f aca="false">SUM($D387:AQ387)</f>
        <v>0</v>
      </c>
    </row>
    <row r="389" customFormat="false" ht="15" hidden="false" customHeight="false" outlineLevel="0" collapsed="false">
      <c r="B389" s="131" t="s">
        <v>714</v>
      </c>
      <c r="C389" s="129" t="n">
        <f aca="false">SUM(D389:AQ389)</f>
        <v>0</v>
      </c>
      <c r="D389" s="130" t="n">
        <f aca="false">$D$176*IF(D$7-0&gt;=1,INDEX($D$387:$AQ$387,D$7-0),0)+$E$176*IF(D$7-1&gt;=1,INDEX($D$387:$AQ$387,D$7-1),0)+$F$176*IF(D$7-2&gt;=1,INDEX($D$387:$AQ$387,D$7-2),0)+$G$176*IF(D$7-3&gt;=1,INDEX($D$387:$AQ$387,D$7-3),0)+$H$176*IF(D$7-4&gt;=1,INDEX($D$387:$AQ$387,D$7-4),0)+$I$176*IF(D$7-5&gt;=1,INDEX($D$387:$AQ$387,D$7-5),0)+$J$176*IF(D$7-6&gt;=1,INDEX($D$387:$AQ$387,D$7-6),0)+$K$176*IF(D$7-7&gt;=1,INDEX($D$387:$AQ$387,D$7-7),0)+$L$176*IF(D$7-8&gt;=1,INDEX($D$387:$AQ$387,D$7-8),0)+$M$176*IF(D$7-9&gt;=1,INDEX($D$387:$AQ$387,D$7-9),0)+$N$176*IF(D$7-10&gt;=1,INDEX($D$387:$AQ$387,D$7-10),0)+$O$176*IF(D$7-11&gt;=1,INDEX($D$387:$AQ$387,D$7-11),0)+$P$176*IF(D$7-12&gt;=1,INDEX($D$387:$AQ$387,D$7-12),0)</f>
        <v>0</v>
      </c>
      <c r="E389" s="130" t="n">
        <f aca="false">$D$176*IF(E$7-0&gt;=1,INDEX($D$387:$AQ$387,E$7-0),0)+$E$176*IF(E$7-1&gt;=1,INDEX($D$387:$AQ$387,E$7-1),0)+$F$176*IF(E$7-2&gt;=1,INDEX($D$387:$AQ$387,E$7-2),0)+$G$176*IF(E$7-3&gt;=1,INDEX($D$387:$AQ$387,E$7-3),0)+$H$176*IF(E$7-4&gt;=1,INDEX($D$387:$AQ$387,E$7-4),0)+$I$176*IF(E$7-5&gt;=1,INDEX($D$387:$AQ$387,E$7-5),0)+$J$176*IF(E$7-6&gt;=1,INDEX($D$387:$AQ$387,E$7-6),0)+$K$176*IF(E$7-7&gt;=1,INDEX($D$387:$AQ$387,E$7-7),0)+$L$176*IF(E$7-8&gt;=1,INDEX($D$387:$AQ$387,E$7-8),0)+$M$176*IF(E$7-9&gt;=1,INDEX($D$387:$AQ$387,E$7-9),0)+$N$176*IF(E$7-10&gt;=1,INDEX($D$387:$AQ$387,E$7-10),0)+$O$176*IF(E$7-11&gt;=1,INDEX($D$387:$AQ$387,E$7-11),0)+$P$176*IF(E$7-12&gt;=1,INDEX($D$387:$AQ$387,E$7-12),0)</f>
        <v>0</v>
      </c>
      <c r="F389" s="130" t="n">
        <f aca="false">$D$176*IF(F$7-0&gt;=1,INDEX($D$387:$AQ$387,F$7-0),0)+$E$176*IF(F$7-1&gt;=1,INDEX($D$387:$AQ$387,F$7-1),0)+$F$176*IF(F$7-2&gt;=1,INDEX($D$387:$AQ$387,F$7-2),0)+$G$176*IF(F$7-3&gt;=1,INDEX($D$387:$AQ$387,F$7-3),0)+$H$176*IF(F$7-4&gt;=1,INDEX($D$387:$AQ$387,F$7-4),0)+$I$176*IF(F$7-5&gt;=1,INDEX($D$387:$AQ$387,F$7-5),0)+$J$176*IF(F$7-6&gt;=1,INDEX($D$387:$AQ$387,F$7-6),0)+$K$176*IF(F$7-7&gt;=1,INDEX($D$387:$AQ$387,F$7-7),0)+$L$176*IF(F$7-8&gt;=1,INDEX($D$387:$AQ$387,F$7-8),0)+$M$176*IF(F$7-9&gt;=1,INDEX($D$387:$AQ$387,F$7-9),0)+$N$176*IF(F$7-10&gt;=1,INDEX($D$387:$AQ$387,F$7-10),0)+$O$176*IF(F$7-11&gt;=1,INDEX($D$387:$AQ$387,F$7-11),0)+$P$176*IF(F$7-12&gt;=1,INDEX($D$387:$AQ$387,F$7-12),0)</f>
        <v>0</v>
      </c>
      <c r="G389" s="130" t="n">
        <f aca="false">$D$176*IF(G$7-0&gt;=1,INDEX($D$387:$AQ$387,G$7-0),0)+$E$176*IF(G$7-1&gt;=1,INDEX($D$387:$AQ$387,G$7-1),0)+$F$176*IF(G$7-2&gt;=1,INDEX($D$387:$AQ$387,G$7-2),0)+$G$176*IF(G$7-3&gt;=1,INDEX($D$387:$AQ$387,G$7-3),0)+$H$176*IF(G$7-4&gt;=1,INDEX($D$387:$AQ$387,G$7-4),0)+$I$176*IF(G$7-5&gt;=1,INDEX($D$387:$AQ$387,G$7-5),0)+$J$176*IF(G$7-6&gt;=1,INDEX($D$387:$AQ$387,G$7-6),0)+$K$176*IF(G$7-7&gt;=1,INDEX($D$387:$AQ$387,G$7-7),0)+$L$176*IF(G$7-8&gt;=1,INDEX($D$387:$AQ$387,G$7-8),0)+$M$176*IF(G$7-9&gt;=1,INDEX($D$387:$AQ$387,G$7-9),0)+$N$176*IF(G$7-10&gt;=1,INDEX($D$387:$AQ$387,G$7-10),0)+$O$176*IF(G$7-11&gt;=1,INDEX($D$387:$AQ$387,G$7-11),0)+$P$176*IF(G$7-12&gt;=1,INDEX($D$387:$AQ$387,G$7-12),0)</f>
        <v>0</v>
      </c>
      <c r="H389" s="130" t="n">
        <f aca="false">$D$176*IF(H$7-0&gt;=1,INDEX($D$387:$AQ$387,H$7-0),0)+$E$176*IF(H$7-1&gt;=1,INDEX($D$387:$AQ$387,H$7-1),0)+$F$176*IF(H$7-2&gt;=1,INDEX($D$387:$AQ$387,H$7-2),0)+$G$176*IF(H$7-3&gt;=1,INDEX($D$387:$AQ$387,H$7-3),0)+$H$176*IF(H$7-4&gt;=1,INDEX($D$387:$AQ$387,H$7-4),0)+$I$176*IF(H$7-5&gt;=1,INDEX($D$387:$AQ$387,H$7-5),0)+$J$176*IF(H$7-6&gt;=1,INDEX($D$387:$AQ$387,H$7-6),0)+$K$176*IF(H$7-7&gt;=1,INDEX($D$387:$AQ$387,H$7-7),0)+$L$176*IF(H$7-8&gt;=1,INDEX($D$387:$AQ$387,H$7-8),0)+$M$176*IF(H$7-9&gt;=1,INDEX($D$387:$AQ$387,H$7-9),0)+$N$176*IF(H$7-10&gt;=1,INDEX($D$387:$AQ$387,H$7-10),0)+$O$176*IF(H$7-11&gt;=1,INDEX($D$387:$AQ$387,H$7-11),0)+$P$176*IF(H$7-12&gt;=1,INDEX($D$387:$AQ$387,H$7-12),0)</f>
        <v>0</v>
      </c>
      <c r="I389" s="130" t="n">
        <f aca="false">$D$176*IF(I$7-0&gt;=1,INDEX($D$387:$AQ$387,I$7-0),0)+$E$176*IF(I$7-1&gt;=1,INDEX($D$387:$AQ$387,I$7-1),0)+$F$176*IF(I$7-2&gt;=1,INDEX($D$387:$AQ$387,I$7-2),0)+$G$176*IF(I$7-3&gt;=1,INDEX($D$387:$AQ$387,I$7-3),0)+$H$176*IF(I$7-4&gt;=1,INDEX($D$387:$AQ$387,I$7-4),0)+$I$176*IF(I$7-5&gt;=1,INDEX($D$387:$AQ$387,I$7-5),0)+$J$176*IF(I$7-6&gt;=1,INDEX($D$387:$AQ$387,I$7-6),0)+$K$176*IF(I$7-7&gt;=1,INDEX($D$387:$AQ$387,I$7-7),0)+$L$176*IF(I$7-8&gt;=1,INDEX($D$387:$AQ$387,I$7-8),0)+$M$176*IF(I$7-9&gt;=1,INDEX($D$387:$AQ$387,I$7-9),0)+$N$176*IF(I$7-10&gt;=1,INDEX($D$387:$AQ$387,I$7-10),0)+$O$176*IF(I$7-11&gt;=1,INDEX($D$387:$AQ$387,I$7-11),0)+$P$176*IF(I$7-12&gt;=1,INDEX($D$387:$AQ$387,I$7-12),0)</f>
        <v>0</v>
      </c>
      <c r="J389" s="130" t="n">
        <f aca="false">$D$176*IF(J$7-0&gt;=1,INDEX($D$387:$AQ$387,J$7-0),0)+$E$176*IF(J$7-1&gt;=1,INDEX($D$387:$AQ$387,J$7-1),0)+$F$176*IF(J$7-2&gt;=1,INDEX($D$387:$AQ$387,J$7-2),0)+$G$176*IF(J$7-3&gt;=1,INDEX($D$387:$AQ$387,J$7-3),0)+$H$176*IF(J$7-4&gt;=1,INDEX($D$387:$AQ$387,J$7-4),0)+$I$176*IF(J$7-5&gt;=1,INDEX($D$387:$AQ$387,J$7-5),0)+$J$176*IF(J$7-6&gt;=1,INDEX($D$387:$AQ$387,J$7-6),0)+$K$176*IF(J$7-7&gt;=1,INDEX($D$387:$AQ$387,J$7-7),0)+$L$176*IF(J$7-8&gt;=1,INDEX($D$387:$AQ$387,J$7-8),0)+$M$176*IF(J$7-9&gt;=1,INDEX($D$387:$AQ$387,J$7-9),0)+$N$176*IF(J$7-10&gt;=1,INDEX($D$387:$AQ$387,J$7-10),0)+$O$176*IF(J$7-11&gt;=1,INDEX($D$387:$AQ$387,J$7-11),0)+$P$176*IF(J$7-12&gt;=1,INDEX($D$387:$AQ$387,J$7-12),0)</f>
        <v>0</v>
      </c>
      <c r="K389" s="130" t="n">
        <f aca="false">$D$176*IF(K$7-0&gt;=1,INDEX($D$387:$AQ$387,K$7-0),0)+$E$176*IF(K$7-1&gt;=1,INDEX($D$387:$AQ$387,K$7-1),0)+$F$176*IF(K$7-2&gt;=1,INDEX($D$387:$AQ$387,K$7-2),0)+$G$176*IF(K$7-3&gt;=1,INDEX($D$387:$AQ$387,K$7-3),0)+$H$176*IF(K$7-4&gt;=1,INDEX($D$387:$AQ$387,K$7-4),0)+$I$176*IF(K$7-5&gt;=1,INDEX($D$387:$AQ$387,K$7-5),0)+$J$176*IF(K$7-6&gt;=1,INDEX($D$387:$AQ$387,K$7-6),0)+$K$176*IF(K$7-7&gt;=1,INDEX($D$387:$AQ$387,K$7-7),0)+$L$176*IF(K$7-8&gt;=1,INDEX($D$387:$AQ$387,K$7-8),0)+$M$176*IF(K$7-9&gt;=1,INDEX($D$387:$AQ$387,K$7-9),0)+$N$176*IF(K$7-10&gt;=1,INDEX($D$387:$AQ$387,K$7-10),0)+$O$176*IF(K$7-11&gt;=1,INDEX($D$387:$AQ$387,K$7-11),0)+$P$176*IF(K$7-12&gt;=1,INDEX($D$387:$AQ$387,K$7-12),0)</f>
        <v>0</v>
      </c>
      <c r="L389" s="130" t="n">
        <f aca="false">$D$176*IF(L$7-0&gt;=1,INDEX($D$387:$AQ$387,L$7-0),0)+$E$176*IF(L$7-1&gt;=1,INDEX($D$387:$AQ$387,L$7-1),0)+$F$176*IF(L$7-2&gt;=1,INDEX($D$387:$AQ$387,L$7-2),0)+$G$176*IF(L$7-3&gt;=1,INDEX($D$387:$AQ$387,L$7-3),0)+$H$176*IF(L$7-4&gt;=1,INDEX($D$387:$AQ$387,L$7-4),0)+$I$176*IF(L$7-5&gt;=1,INDEX($D$387:$AQ$387,L$7-5),0)+$J$176*IF(L$7-6&gt;=1,INDEX($D$387:$AQ$387,L$7-6),0)+$K$176*IF(L$7-7&gt;=1,INDEX($D$387:$AQ$387,L$7-7),0)+$L$176*IF(L$7-8&gt;=1,INDEX($D$387:$AQ$387,L$7-8),0)+$M$176*IF(L$7-9&gt;=1,INDEX($D$387:$AQ$387,L$7-9),0)+$N$176*IF(L$7-10&gt;=1,INDEX($D$387:$AQ$387,L$7-10),0)+$O$176*IF(L$7-11&gt;=1,INDEX($D$387:$AQ$387,L$7-11),0)+$P$176*IF(L$7-12&gt;=1,INDEX($D$387:$AQ$387,L$7-12),0)</f>
        <v>0</v>
      </c>
      <c r="M389" s="130" t="n">
        <f aca="false">$D$176*IF(M$7-0&gt;=1,INDEX($D$387:$AQ$387,M$7-0),0)+$E$176*IF(M$7-1&gt;=1,INDEX($D$387:$AQ$387,M$7-1),0)+$F$176*IF(M$7-2&gt;=1,INDEX($D$387:$AQ$387,M$7-2),0)+$G$176*IF(M$7-3&gt;=1,INDEX($D$387:$AQ$387,M$7-3),0)+$H$176*IF(M$7-4&gt;=1,INDEX($D$387:$AQ$387,M$7-4),0)+$I$176*IF(M$7-5&gt;=1,INDEX($D$387:$AQ$387,M$7-5),0)+$J$176*IF(M$7-6&gt;=1,INDEX($D$387:$AQ$387,M$7-6),0)+$K$176*IF(M$7-7&gt;=1,INDEX($D$387:$AQ$387,M$7-7),0)+$L$176*IF(M$7-8&gt;=1,INDEX($D$387:$AQ$387,M$7-8),0)+$M$176*IF(M$7-9&gt;=1,INDEX($D$387:$AQ$387,M$7-9),0)+$N$176*IF(M$7-10&gt;=1,INDEX($D$387:$AQ$387,M$7-10),0)+$O$176*IF(M$7-11&gt;=1,INDEX($D$387:$AQ$387,M$7-11),0)+$P$176*IF(M$7-12&gt;=1,INDEX($D$387:$AQ$387,M$7-12),0)</f>
        <v>0</v>
      </c>
      <c r="N389" s="130" t="n">
        <f aca="false">$D$176*IF(N$7-0&gt;=1,INDEX($D$387:$AQ$387,N$7-0),0)+$E$176*IF(N$7-1&gt;=1,INDEX($D$387:$AQ$387,N$7-1),0)+$F$176*IF(N$7-2&gt;=1,INDEX($D$387:$AQ$387,N$7-2),0)+$G$176*IF(N$7-3&gt;=1,INDEX($D$387:$AQ$387,N$7-3),0)+$H$176*IF(N$7-4&gt;=1,INDEX($D$387:$AQ$387,N$7-4),0)+$I$176*IF(N$7-5&gt;=1,INDEX($D$387:$AQ$387,N$7-5),0)+$J$176*IF(N$7-6&gt;=1,INDEX($D$387:$AQ$387,N$7-6),0)+$K$176*IF(N$7-7&gt;=1,INDEX($D$387:$AQ$387,N$7-7),0)+$L$176*IF(N$7-8&gt;=1,INDEX($D$387:$AQ$387,N$7-8),0)+$M$176*IF(N$7-9&gt;=1,INDEX($D$387:$AQ$387,N$7-9),0)+$N$176*IF(N$7-10&gt;=1,INDEX($D$387:$AQ$387,N$7-10),0)+$O$176*IF(N$7-11&gt;=1,INDEX($D$387:$AQ$387,N$7-11),0)+$P$176*IF(N$7-12&gt;=1,INDEX($D$387:$AQ$387,N$7-12),0)</f>
        <v>0</v>
      </c>
      <c r="O389" s="130" t="n">
        <f aca="false">$D$176*IF(O$7-0&gt;=1,INDEX($D$387:$AQ$387,O$7-0),0)+$E$176*IF(O$7-1&gt;=1,INDEX($D$387:$AQ$387,O$7-1),0)+$F$176*IF(O$7-2&gt;=1,INDEX($D$387:$AQ$387,O$7-2),0)+$G$176*IF(O$7-3&gt;=1,INDEX($D$387:$AQ$387,O$7-3),0)+$H$176*IF(O$7-4&gt;=1,INDEX($D$387:$AQ$387,O$7-4),0)+$I$176*IF(O$7-5&gt;=1,INDEX($D$387:$AQ$387,O$7-5),0)+$J$176*IF(O$7-6&gt;=1,INDEX($D$387:$AQ$387,O$7-6),0)+$K$176*IF(O$7-7&gt;=1,INDEX($D$387:$AQ$387,O$7-7),0)+$L$176*IF(O$7-8&gt;=1,INDEX($D$387:$AQ$387,O$7-8),0)+$M$176*IF(O$7-9&gt;=1,INDEX($D$387:$AQ$387,O$7-9),0)+$N$176*IF(O$7-10&gt;=1,INDEX($D$387:$AQ$387,O$7-10),0)+$O$176*IF(O$7-11&gt;=1,INDEX($D$387:$AQ$387,O$7-11),0)+$P$176*IF(O$7-12&gt;=1,INDEX($D$387:$AQ$387,O$7-12),0)</f>
        <v>0</v>
      </c>
      <c r="P389" s="130" t="n">
        <f aca="false">$D$176*IF(P$7-0&gt;=1,INDEX($D$387:$AQ$387,P$7-0),0)+$E$176*IF(P$7-1&gt;=1,INDEX($D$387:$AQ$387,P$7-1),0)+$F$176*IF(P$7-2&gt;=1,INDEX($D$387:$AQ$387,P$7-2),0)+$G$176*IF(P$7-3&gt;=1,INDEX($D$387:$AQ$387,P$7-3),0)+$H$176*IF(P$7-4&gt;=1,INDEX($D$387:$AQ$387,P$7-4),0)+$I$176*IF(P$7-5&gt;=1,INDEX($D$387:$AQ$387,P$7-5),0)+$J$176*IF(P$7-6&gt;=1,INDEX($D$387:$AQ$387,P$7-6),0)+$K$176*IF(P$7-7&gt;=1,INDEX($D$387:$AQ$387,P$7-7),0)+$L$176*IF(P$7-8&gt;=1,INDEX($D$387:$AQ$387,P$7-8),0)+$M$176*IF(P$7-9&gt;=1,INDEX($D$387:$AQ$387,P$7-9),0)+$N$176*IF(P$7-10&gt;=1,INDEX($D$387:$AQ$387,P$7-10),0)+$O$176*IF(P$7-11&gt;=1,INDEX($D$387:$AQ$387,P$7-11),0)+$P$176*IF(P$7-12&gt;=1,INDEX($D$387:$AQ$387,P$7-12),0)</f>
        <v>0</v>
      </c>
      <c r="Q389" s="130" t="n">
        <f aca="false">$D$176*IF(Q$7-0&gt;=1,INDEX($D$387:$AQ$387,Q$7-0),0)+$E$176*IF(Q$7-1&gt;=1,INDEX($D$387:$AQ$387,Q$7-1),0)+$F$176*IF(Q$7-2&gt;=1,INDEX($D$387:$AQ$387,Q$7-2),0)+$G$176*IF(Q$7-3&gt;=1,INDEX($D$387:$AQ$387,Q$7-3),0)+$H$176*IF(Q$7-4&gt;=1,INDEX($D$387:$AQ$387,Q$7-4),0)+$I$176*IF(Q$7-5&gt;=1,INDEX($D$387:$AQ$387,Q$7-5),0)+$J$176*IF(Q$7-6&gt;=1,INDEX($D$387:$AQ$387,Q$7-6),0)+$K$176*IF(Q$7-7&gt;=1,INDEX($D$387:$AQ$387,Q$7-7),0)+$L$176*IF(Q$7-8&gt;=1,INDEX($D$387:$AQ$387,Q$7-8),0)+$M$176*IF(Q$7-9&gt;=1,INDEX($D$387:$AQ$387,Q$7-9),0)+$N$176*IF(Q$7-10&gt;=1,INDEX($D$387:$AQ$387,Q$7-10),0)+$O$176*IF(Q$7-11&gt;=1,INDEX($D$387:$AQ$387,Q$7-11),0)+$P$176*IF(Q$7-12&gt;=1,INDEX($D$387:$AQ$387,Q$7-12),0)</f>
        <v>0</v>
      </c>
      <c r="R389" s="130" t="n">
        <f aca="false">$D$176*IF(R$7-0&gt;=1,INDEX($D$387:$AQ$387,R$7-0),0)+$E$176*IF(R$7-1&gt;=1,INDEX($D$387:$AQ$387,R$7-1),0)+$F$176*IF(R$7-2&gt;=1,INDEX($D$387:$AQ$387,R$7-2),0)+$G$176*IF(R$7-3&gt;=1,INDEX($D$387:$AQ$387,R$7-3),0)+$H$176*IF(R$7-4&gt;=1,INDEX($D$387:$AQ$387,R$7-4),0)+$I$176*IF(R$7-5&gt;=1,INDEX($D$387:$AQ$387,R$7-5),0)+$J$176*IF(R$7-6&gt;=1,INDEX($D$387:$AQ$387,R$7-6),0)+$K$176*IF(R$7-7&gt;=1,INDEX($D$387:$AQ$387,R$7-7),0)+$L$176*IF(R$7-8&gt;=1,INDEX($D$387:$AQ$387,R$7-8),0)+$M$176*IF(R$7-9&gt;=1,INDEX($D$387:$AQ$387,R$7-9),0)+$N$176*IF(R$7-10&gt;=1,INDEX($D$387:$AQ$387,R$7-10),0)+$O$176*IF(R$7-11&gt;=1,INDEX($D$387:$AQ$387,R$7-11),0)+$P$176*IF(R$7-12&gt;=1,INDEX($D$387:$AQ$387,R$7-12),0)</f>
        <v>0</v>
      </c>
      <c r="S389" s="130" t="n">
        <f aca="false">$D$176*IF(S$7-0&gt;=1,INDEX($D$387:$AQ$387,S$7-0),0)+$E$176*IF(S$7-1&gt;=1,INDEX($D$387:$AQ$387,S$7-1),0)+$F$176*IF(S$7-2&gt;=1,INDEX($D$387:$AQ$387,S$7-2),0)+$G$176*IF(S$7-3&gt;=1,INDEX($D$387:$AQ$387,S$7-3),0)+$H$176*IF(S$7-4&gt;=1,INDEX($D$387:$AQ$387,S$7-4),0)+$I$176*IF(S$7-5&gt;=1,INDEX($D$387:$AQ$387,S$7-5),0)+$J$176*IF(S$7-6&gt;=1,INDEX($D$387:$AQ$387,S$7-6),0)+$K$176*IF(S$7-7&gt;=1,INDEX($D$387:$AQ$387,S$7-7),0)+$L$176*IF(S$7-8&gt;=1,INDEX($D$387:$AQ$387,S$7-8),0)+$M$176*IF(S$7-9&gt;=1,INDEX($D$387:$AQ$387,S$7-9),0)+$N$176*IF(S$7-10&gt;=1,INDEX($D$387:$AQ$387,S$7-10),0)+$O$176*IF(S$7-11&gt;=1,INDEX($D$387:$AQ$387,S$7-11),0)+$P$176*IF(S$7-12&gt;=1,INDEX($D$387:$AQ$387,S$7-12),0)</f>
        <v>0</v>
      </c>
      <c r="T389" s="130" t="n">
        <f aca="false">$D$176*IF(T$7-0&gt;=1,INDEX($D$387:$AQ$387,T$7-0),0)+$E$176*IF(T$7-1&gt;=1,INDEX($D$387:$AQ$387,T$7-1),0)+$F$176*IF(T$7-2&gt;=1,INDEX($D$387:$AQ$387,T$7-2),0)+$G$176*IF(T$7-3&gt;=1,INDEX($D$387:$AQ$387,T$7-3),0)+$H$176*IF(T$7-4&gt;=1,INDEX($D$387:$AQ$387,T$7-4),0)+$I$176*IF(T$7-5&gt;=1,INDEX($D$387:$AQ$387,T$7-5),0)+$J$176*IF(T$7-6&gt;=1,INDEX($D$387:$AQ$387,T$7-6),0)+$K$176*IF(T$7-7&gt;=1,INDEX($D$387:$AQ$387,T$7-7),0)+$L$176*IF(T$7-8&gt;=1,INDEX($D$387:$AQ$387,T$7-8),0)+$M$176*IF(T$7-9&gt;=1,INDEX($D$387:$AQ$387,T$7-9),0)+$N$176*IF(T$7-10&gt;=1,INDEX($D$387:$AQ$387,T$7-10),0)+$O$176*IF(T$7-11&gt;=1,INDEX($D$387:$AQ$387,T$7-11),0)+$P$176*IF(T$7-12&gt;=1,INDEX($D$387:$AQ$387,T$7-12),0)</f>
        <v>0</v>
      </c>
      <c r="U389" s="130" t="n">
        <f aca="false">$D$176*IF(U$7-0&gt;=1,INDEX($D$387:$AQ$387,U$7-0),0)+$E$176*IF(U$7-1&gt;=1,INDEX($D$387:$AQ$387,U$7-1),0)+$F$176*IF(U$7-2&gt;=1,INDEX($D$387:$AQ$387,U$7-2),0)+$G$176*IF(U$7-3&gt;=1,INDEX($D$387:$AQ$387,U$7-3),0)+$H$176*IF(U$7-4&gt;=1,INDEX($D$387:$AQ$387,U$7-4),0)+$I$176*IF(U$7-5&gt;=1,INDEX($D$387:$AQ$387,U$7-5),0)+$J$176*IF(U$7-6&gt;=1,INDEX($D$387:$AQ$387,U$7-6),0)+$K$176*IF(U$7-7&gt;=1,INDEX($D$387:$AQ$387,U$7-7),0)+$L$176*IF(U$7-8&gt;=1,INDEX($D$387:$AQ$387,U$7-8),0)+$M$176*IF(U$7-9&gt;=1,INDEX($D$387:$AQ$387,U$7-9),0)+$N$176*IF(U$7-10&gt;=1,INDEX($D$387:$AQ$387,U$7-10),0)+$O$176*IF(U$7-11&gt;=1,INDEX($D$387:$AQ$387,U$7-11),0)+$P$176*IF(U$7-12&gt;=1,INDEX($D$387:$AQ$387,U$7-12),0)</f>
        <v>0</v>
      </c>
      <c r="V389" s="130" t="n">
        <f aca="false">$D$176*IF(V$7-0&gt;=1,INDEX($D$387:$AQ$387,V$7-0),0)+$E$176*IF(V$7-1&gt;=1,INDEX($D$387:$AQ$387,V$7-1),0)+$F$176*IF(V$7-2&gt;=1,INDEX($D$387:$AQ$387,V$7-2),0)+$G$176*IF(V$7-3&gt;=1,INDEX($D$387:$AQ$387,V$7-3),0)+$H$176*IF(V$7-4&gt;=1,INDEX($D$387:$AQ$387,V$7-4),0)+$I$176*IF(V$7-5&gt;=1,INDEX($D$387:$AQ$387,V$7-5),0)+$J$176*IF(V$7-6&gt;=1,INDEX($D$387:$AQ$387,V$7-6),0)+$K$176*IF(V$7-7&gt;=1,INDEX($D$387:$AQ$387,V$7-7),0)+$L$176*IF(V$7-8&gt;=1,INDEX($D$387:$AQ$387,V$7-8),0)+$M$176*IF(V$7-9&gt;=1,INDEX($D$387:$AQ$387,V$7-9),0)+$N$176*IF(V$7-10&gt;=1,INDEX($D$387:$AQ$387,V$7-10),0)+$O$176*IF(V$7-11&gt;=1,INDEX($D$387:$AQ$387,V$7-11),0)+$P$176*IF(V$7-12&gt;=1,INDEX($D$387:$AQ$387,V$7-12),0)</f>
        <v>0</v>
      </c>
      <c r="W389" s="130" t="n">
        <f aca="false">$D$176*IF(W$7-0&gt;=1,INDEX($D$387:$AQ$387,W$7-0),0)+$E$176*IF(W$7-1&gt;=1,INDEX($D$387:$AQ$387,W$7-1),0)+$F$176*IF(W$7-2&gt;=1,INDEX($D$387:$AQ$387,W$7-2),0)+$G$176*IF(W$7-3&gt;=1,INDEX($D$387:$AQ$387,W$7-3),0)+$H$176*IF(W$7-4&gt;=1,INDEX($D$387:$AQ$387,W$7-4),0)+$I$176*IF(W$7-5&gt;=1,INDEX($D$387:$AQ$387,W$7-5),0)+$J$176*IF(W$7-6&gt;=1,INDEX($D$387:$AQ$387,W$7-6),0)+$K$176*IF(W$7-7&gt;=1,INDEX($D$387:$AQ$387,W$7-7),0)+$L$176*IF(W$7-8&gt;=1,INDEX($D$387:$AQ$387,W$7-8),0)+$M$176*IF(W$7-9&gt;=1,INDEX($D$387:$AQ$387,W$7-9),0)+$N$176*IF(W$7-10&gt;=1,INDEX($D$387:$AQ$387,W$7-10),0)+$O$176*IF(W$7-11&gt;=1,INDEX($D$387:$AQ$387,W$7-11),0)+$P$176*IF(W$7-12&gt;=1,INDEX($D$387:$AQ$387,W$7-12),0)</f>
        <v>0</v>
      </c>
      <c r="X389" s="130" t="n">
        <f aca="false">$D$176*IF(X$7-0&gt;=1,INDEX($D$387:$AQ$387,X$7-0),0)+$E$176*IF(X$7-1&gt;=1,INDEX($D$387:$AQ$387,X$7-1),0)+$F$176*IF(X$7-2&gt;=1,INDEX($D$387:$AQ$387,X$7-2),0)+$G$176*IF(X$7-3&gt;=1,INDEX($D$387:$AQ$387,X$7-3),0)+$H$176*IF(X$7-4&gt;=1,INDEX($D$387:$AQ$387,X$7-4),0)+$I$176*IF(X$7-5&gt;=1,INDEX($D$387:$AQ$387,X$7-5),0)+$J$176*IF(X$7-6&gt;=1,INDEX($D$387:$AQ$387,X$7-6),0)+$K$176*IF(X$7-7&gt;=1,INDEX($D$387:$AQ$387,X$7-7),0)+$L$176*IF(X$7-8&gt;=1,INDEX($D$387:$AQ$387,X$7-8),0)+$M$176*IF(X$7-9&gt;=1,INDEX($D$387:$AQ$387,X$7-9),0)+$N$176*IF(X$7-10&gt;=1,INDEX($D$387:$AQ$387,X$7-10),0)+$O$176*IF(X$7-11&gt;=1,INDEX($D$387:$AQ$387,X$7-11),0)+$P$176*IF(X$7-12&gt;=1,INDEX($D$387:$AQ$387,X$7-12),0)</f>
        <v>0</v>
      </c>
      <c r="Y389" s="130" t="n">
        <f aca="false">$D$176*IF(Y$7-0&gt;=1,INDEX($D$387:$AQ$387,Y$7-0),0)+$E$176*IF(Y$7-1&gt;=1,INDEX($D$387:$AQ$387,Y$7-1),0)+$F$176*IF(Y$7-2&gt;=1,INDEX($D$387:$AQ$387,Y$7-2),0)+$G$176*IF(Y$7-3&gt;=1,INDEX($D$387:$AQ$387,Y$7-3),0)+$H$176*IF(Y$7-4&gt;=1,INDEX($D$387:$AQ$387,Y$7-4),0)+$I$176*IF(Y$7-5&gt;=1,INDEX($D$387:$AQ$387,Y$7-5),0)+$J$176*IF(Y$7-6&gt;=1,INDEX($D$387:$AQ$387,Y$7-6),0)+$K$176*IF(Y$7-7&gt;=1,INDEX($D$387:$AQ$387,Y$7-7),0)+$L$176*IF(Y$7-8&gt;=1,INDEX($D$387:$AQ$387,Y$7-8),0)+$M$176*IF(Y$7-9&gt;=1,INDEX($D$387:$AQ$387,Y$7-9),0)+$N$176*IF(Y$7-10&gt;=1,INDEX($D$387:$AQ$387,Y$7-10),0)+$O$176*IF(Y$7-11&gt;=1,INDEX($D$387:$AQ$387,Y$7-11),0)+$P$176*IF(Y$7-12&gt;=1,INDEX($D$387:$AQ$387,Y$7-12),0)</f>
        <v>0</v>
      </c>
      <c r="Z389" s="130" t="n">
        <f aca="false">$D$176*IF(Z$7-0&gt;=1,INDEX($D$387:$AQ$387,Z$7-0),0)+$E$176*IF(Z$7-1&gt;=1,INDEX($D$387:$AQ$387,Z$7-1),0)+$F$176*IF(Z$7-2&gt;=1,INDEX($D$387:$AQ$387,Z$7-2),0)+$G$176*IF(Z$7-3&gt;=1,INDEX($D$387:$AQ$387,Z$7-3),0)+$H$176*IF(Z$7-4&gt;=1,INDEX($D$387:$AQ$387,Z$7-4),0)+$I$176*IF(Z$7-5&gt;=1,INDEX($D$387:$AQ$387,Z$7-5),0)+$J$176*IF(Z$7-6&gt;=1,INDEX($D$387:$AQ$387,Z$7-6),0)+$K$176*IF(Z$7-7&gt;=1,INDEX($D$387:$AQ$387,Z$7-7),0)+$L$176*IF(Z$7-8&gt;=1,INDEX($D$387:$AQ$387,Z$7-8),0)+$M$176*IF(Z$7-9&gt;=1,INDEX($D$387:$AQ$387,Z$7-9),0)+$N$176*IF(Z$7-10&gt;=1,INDEX($D$387:$AQ$387,Z$7-10),0)+$O$176*IF(Z$7-11&gt;=1,INDEX($D$387:$AQ$387,Z$7-11),0)+$P$176*IF(Z$7-12&gt;=1,INDEX($D$387:$AQ$387,Z$7-12),0)</f>
        <v>0</v>
      </c>
      <c r="AA389" s="130" t="n">
        <f aca="false">$D$176*IF(AA$7-0&gt;=1,INDEX($D$387:$AQ$387,AA$7-0),0)+$E$176*IF(AA$7-1&gt;=1,INDEX($D$387:$AQ$387,AA$7-1),0)+$F$176*IF(AA$7-2&gt;=1,INDEX($D$387:$AQ$387,AA$7-2),0)+$G$176*IF(AA$7-3&gt;=1,INDEX($D$387:$AQ$387,AA$7-3),0)+$H$176*IF(AA$7-4&gt;=1,INDEX($D$387:$AQ$387,AA$7-4),0)+$I$176*IF(AA$7-5&gt;=1,INDEX($D$387:$AQ$387,AA$7-5),0)+$J$176*IF(AA$7-6&gt;=1,INDEX($D$387:$AQ$387,AA$7-6),0)+$K$176*IF(AA$7-7&gt;=1,INDEX($D$387:$AQ$387,AA$7-7),0)+$L$176*IF(AA$7-8&gt;=1,INDEX($D$387:$AQ$387,AA$7-8),0)+$M$176*IF(AA$7-9&gt;=1,INDEX($D$387:$AQ$387,AA$7-9),0)+$N$176*IF(AA$7-10&gt;=1,INDEX($D$387:$AQ$387,AA$7-10),0)+$O$176*IF(AA$7-11&gt;=1,INDEX($D$387:$AQ$387,AA$7-11),0)+$P$176*IF(AA$7-12&gt;=1,INDEX($D$387:$AQ$387,AA$7-12),0)</f>
        <v>0</v>
      </c>
      <c r="AB389" s="130" t="n">
        <f aca="false">$D$176*IF(AB$7-0&gt;=1,INDEX($D$387:$AQ$387,AB$7-0),0)+$E$176*IF(AB$7-1&gt;=1,INDEX($D$387:$AQ$387,AB$7-1),0)+$F$176*IF(AB$7-2&gt;=1,INDEX($D$387:$AQ$387,AB$7-2),0)+$G$176*IF(AB$7-3&gt;=1,INDEX($D$387:$AQ$387,AB$7-3),0)+$H$176*IF(AB$7-4&gt;=1,INDEX($D$387:$AQ$387,AB$7-4),0)+$I$176*IF(AB$7-5&gt;=1,INDEX($D$387:$AQ$387,AB$7-5),0)+$J$176*IF(AB$7-6&gt;=1,INDEX($D$387:$AQ$387,AB$7-6),0)+$K$176*IF(AB$7-7&gt;=1,INDEX($D$387:$AQ$387,AB$7-7),0)+$L$176*IF(AB$7-8&gt;=1,INDEX($D$387:$AQ$387,AB$7-8),0)+$M$176*IF(AB$7-9&gt;=1,INDEX($D$387:$AQ$387,AB$7-9),0)+$N$176*IF(AB$7-10&gt;=1,INDEX($D$387:$AQ$387,AB$7-10),0)+$O$176*IF(AB$7-11&gt;=1,INDEX($D$387:$AQ$387,AB$7-11),0)+$P$176*IF(AB$7-12&gt;=1,INDEX($D$387:$AQ$387,AB$7-12),0)</f>
        <v>0</v>
      </c>
      <c r="AC389" s="130" t="n">
        <f aca="false">$D$176*IF(AC$7-0&gt;=1,INDEX($D$387:$AQ$387,AC$7-0),0)+$E$176*IF(AC$7-1&gt;=1,INDEX($D$387:$AQ$387,AC$7-1),0)+$F$176*IF(AC$7-2&gt;=1,INDEX($D$387:$AQ$387,AC$7-2),0)+$G$176*IF(AC$7-3&gt;=1,INDEX($D$387:$AQ$387,AC$7-3),0)+$H$176*IF(AC$7-4&gt;=1,INDEX($D$387:$AQ$387,AC$7-4),0)+$I$176*IF(AC$7-5&gt;=1,INDEX($D$387:$AQ$387,AC$7-5),0)+$J$176*IF(AC$7-6&gt;=1,INDEX($D$387:$AQ$387,AC$7-6),0)+$K$176*IF(AC$7-7&gt;=1,INDEX($D$387:$AQ$387,AC$7-7),0)+$L$176*IF(AC$7-8&gt;=1,INDEX($D$387:$AQ$387,AC$7-8),0)+$M$176*IF(AC$7-9&gt;=1,INDEX($D$387:$AQ$387,AC$7-9),0)+$N$176*IF(AC$7-10&gt;=1,INDEX($D$387:$AQ$387,AC$7-10),0)+$O$176*IF(AC$7-11&gt;=1,INDEX($D$387:$AQ$387,AC$7-11),0)+$P$176*IF(AC$7-12&gt;=1,INDEX($D$387:$AQ$387,AC$7-12),0)</f>
        <v>0</v>
      </c>
      <c r="AD389" s="130" t="n">
        <f aca="false">$D$176*IF(AD$7-0&gt;=1,INDEX($D$387:$AQ$387,AD$7-0),0)+$E$176*IF(AD$7-1&gt;=1,INDEX($D$387:$AQ$387,AD$7-1),0)+$F$176*IF(AD$7-2&gt;=1,INDEX($D$387:$AQ$387,AD$7-2),0)+$G$176*IF(AD$7-3&gt;=1,INDEX($D$387:$AQ$387,AD$7-3),0)+$H$176*IF(AD$7-4&gt;=1,INDEX($D$387:$AQ$387,AD$7-4),0)+$I$176*IF(AD$7-5&gt;=1,INDEX($D$387:$AQ$387,AD$7-5),0)+$J$176*IF(AD$7-6&gt;=1,INDEX($D$387:$AQ$387,AD$7-6),0)+$K$176*IF(AD$7-7&gt;=1,INDEX($D$387:$AQ$387,AD$7-7),0)+$L$176*IF(AD$7-8&gt;=1,INDEX($D$387:$AQ$387,AD$7-8),0)+$M$176*IF(AD$7-9&gt;=1,INDEX($D$387:$AQ$387,AD$7-9),0)+$N$176*IF(AD$7-10&gt;=1,INDEX($D$387:$AQ$387,AD$7-10),0)+$O$176*IF(AD$7-11&gt;=1,INDEX($D$387:$AQ$387,AD$7-11),0)+$P$176*IF(AD$7-12&gt;=1,INDEX($D$387:$AQ$387,AD$7-12),0)</f>
        <v>0</v>
      </c>
      <c r="AE389" s="130" t="n">
        <f aca="false">$D$176*IF(AE$7-0&gt;=1,INDEX($D$387:$AQ$387,AE$7-0),0)+$E$176*IF(AE$7-1&gt;=1,INDEX($D$387:$AQ$387,AE$7-1),0)+$F$176*IF(AE$7-2&gt;=1,INDEX($D$387:$AQ$387,AE$7-2),0)+$G$176*IF(AE$7-3&gt;=1,INDEX($D$387:$AQ$387,AE$7-3),0)+$H$176*IF(AE$7-4&gt;=1,INDEX($D$387:$AQ$387,AE$7-4),0)+$I$176*IF(AE$7-5&gt;=1,INDEX($D$387:$AQ$387,AE$7-5),0)+$J$176*IF(AE$7-6&gt;=1,INDEX($D$387:$AQ$387,AE$7-6),0)+$K$176*IF(AE$7-7&gt;=1,INDEX($D$387:$AQ$387,AE$7-7),0)+$L$176*IF(AE$7-8&gt;=1,INDEX($D$387:$AQ$387,AE$7-8),0)+$M$176*IF(AE$7-9&gt;=1,INDEX($D$387:$AQ$387,AE$7-9),0)+$N$176*IF(AE$7-10&gt;=1,INDEX($D$387:$AQ$387,AE$7-10),0)+$O$176*IF(AE$7-11&gt;=1,INDEX($D$387:$AQ$387,AE$7-11),0)+$P$176*IF(AE$7-12&gt;=1,INDEX($D$387:$AQ$387,AE$7-12),0)</f>
        <v>0</v>
      </c>
      <c r="AF389" s="130" t="n">
        <f aca="false">$D$176*IF(AF$7-0&gt;=1,INDEX($D$387:$AQ$387,AF$7-0),0)+$E$176*IF(AF$7-1&gt;=1,INDEX($D$387:$AQ$387,AF$7-1),0)+$F$176*IF(AF$7-2&gt;=1,INDEX($D$387:$AQ$387,AF$7-2),0)+$G$176*IF(AF$7-3&gt;=1,INDEX($D$387:$AQ$387,AF$7-3),0)+$H$176*IF(AF$7-4&gt;=1,INDEX($D$387:$AQ$387,AF$7-4),0)+$I$176*IF(AF$7-5&gt;=1,INDEX($D$387:$AQ$387,AF$7-5),0)+$J$176*IF(AF$7-6&gt;=1,INDEX($D$387:$AQ$387,AF$7-6),0)+$K$176*IF(AF$7-7&gt;=1,INDEX($D$387:$AQ$387,AF$7-7),0)+$L$176*IF(AF$7-8&gt;=1,INDEX($D$387:$AQ$387,AF$7-8),0)+$M$176*IF(AF$7-9&gt;=1,INDEX($D$387:$AQ$387,AF$7-9),0)+$N$176*IF(AF$7-10&gt;=1,INDEX($D$387:$AQ$387,AF$7-10),0)+$O$176*IF(AF$7-11&gt;=1,INDEX($D$387:$AQ$387,AF$7-11),0)+$P$176*IF(AF$7-12&gt;=1,INDEX($D$387:$AQ$387,AF$7-12),0)</f>
        <v>0</v>
      </c>
      <c r="AG389" s="130" t="n">
        <f aca="false">$D$176*IF(AG$7-0&gt;=1,INDEX($D$387:$AQ$387,AG$7-0),0)+$E$176*IF(AG$7-1&gt;=1,INDEX($D$387:$AQ$387,AG$7-1),0)+$F$176*IF(AG$7-2&gt;=1,INDEX($D$387:$AQ$387,AG$7-2),0)+$G$176*IF(AG$7-3&gt;=1,INDEX($D$387:$AQ$387,AG$7-3),0)+$H$176*IF(AG$7-4&gt;=1,INDEX($D$387:$AQ$387,AG$7-4),0)+$I$176*IF(AG$7-5&gt;=1,INDEX($D$387:$AQ$387,AG$7-5),0)+$J$176*IF(AG$7-6&gt;=1,INDEX($D$387:$AQ$387,AG$7-6),0)+$K$176*IF(AG$7-7&gt;=1,INDEX($D$387:$AQ$387,AG$7-7),0)+$L$176*IF(AG$7-8&gt;=1,INDEX($D$387:$AQ$387,AG$7-8),0)+$M$176*IF(AG$7-9&gt;=1,INDEX($D$387:$AQ$387,AG$7-9),0)+$N$176*IF(AG$7-10&gt;=1,INDEX($D$387:$AQ$387,AG$7-10),0)+$O$176*IF(AG$7-11&gt;=1,INDEX($D$387:$AQ$387,AG$7-11),0)+$P$176*IF(AG$7-12&gt;=1,INDEX($D$387:$AQ$387,AG$7-12),0)</f>
        <v>0</v>
      </c>
      <c r="AH389" s="130" t="n">
        <f aca="false">$D$176*IF(AH$7-0&gt;=1,INDEX($D$387:$AQ$387,AH$7-0),0)+$E$176*IF(AH$7-1&gt;=1,INDEX($D$387:$AQ$387,AH$7-1),0)+$F$176*IF(AH$7-2&gt;=1,INDEX($D$387:$AQ$387,AH$7-2),0)+$G$176*IF(AH$7-3&gt;=1,INDEX($D$387:$AQ$387,AH$7-3),0)+$H$176*IF(AH$7-4&gt;=1,INDEX($D$387:$AQ$387,AH$7-4),0)+$I$176*IF(AH$7-5&gt;=1,INDEX($D$387:$AQ$387,AH$7-5),0)+$J$176*IF(AH$7-6&gt;=1,INDEX($D$387:$AQ$387,AH$7-6),0)+$K$176*IF(AH$7-7&gt;=1,INDEX($D$387:$AQ$387,AH$7-7),0)+$L$176*IF(AH$7-8&gt;=1,INDEX($D$387:$AQ$387,AH$7-8),0)+$M$176*IF(AH$7-9&gt;=1,INDEX($D$387:$AQ$387,AH$7-9),0)+$N$176*IF(AH$7-10&gt;=1,INDEX($D$387:$AQ$387,AH$7-10),0)+$O$176*IF(AH$7-11&gt;=1,INDEX($D$387:$AQ$387,AH$7-11),0)+$P$176*IF(AH$7-12&gt;=1,INDEX($D$387:$AQ$387,AH$7-12),0)</f>
        <v>0</v>
      </c>
      <c r="AI389" s="130" t="n">
        <f aca="false">$D$176*IF(AI$7-0&gt;=1,INDEX($D$387:$AQ$387,AI$7-0),0)+$E$176*IF(AI$7-1&gt;=1,INDEX($D$387:$AQ$387,AI$7-1),0)+$F$176*IF(AI$7-2&gt;=1,INDEX($D$387:$AQ$387,AI$7-2),0)+$G$176*IF(AI$7-3&gt;=1,INDEX($D$387:$AQ$387,AI$7-3),0)+$H$176*IF(AI$7-4&gt;=1,INDEX($D$387:$AQ$387,AI$7-4),0)+$I$176*IF(AI$7-5&gt;=1,INDEX($D$387:$AQ$387,AI$7-5),0)+$J$176*IF(AI$7-6&gt;=1,INDEX($D$387:$AQ$387,AI$7-6),0)+$K$176*IF(AI$7-7&gt;=1,INDEX($D$387:$AQ$387,AI$7-7),0)+$L$176*IF(AI$7-8&gt;=1,INDEX($D$387:$AQ$387,AI$7-8),0)+$M$176*IF(AI$7-9&gt;=1,INDEX($D$387:$AQ$387,AI$7-9),0)+$N$176*IF(AI$7-10&gt;=1,INDEX($D$387:$AQ$387,AI$7-10),0)+$O$176*IF(AI$7-11&gt;=1,INDEX($D$387:$AQ$387,AI$7-11),0)+$P$176*IF(AI$7-12&gt;=1,INDEX($D$387:$AQ$387,AI$7-12),0)</f>
        <v>0</v>
      </c>
      <c r="AJ389" s="130" t="n">
        <f aca="false">$D$176*IF(AJ$7-0&gt;=1,INDEX($D$387:$AQ$387,AJ$7-0),0)+$E$176*IF(AJ$7-1&gt;=1,INDEX($D$387:$AQ$387,AJ$7-1),0)+$F$176*IF(AJ$7-2&gt;=1,INDEX($D$387:$AQ$387,AJ$7-2),0)+$G$176*IF(AJ$7-3&gt;=1,INDEX($D$387:$AQ$387,AJ$7-3),0)+$H$176*IF(AJ$7-4&gt;=1,INDEX($D$387:$AQ$387,AJ$7-4),0)+$I$176*IF(AJ$7-5&gt;=1,INDEX($D$387:$AQ$387,AJ$7-5),0)+$J$176*IF(AJ$7-6&gt;=1,INDEX($D$387:$AQ$387,AJ$7-6),0)+$K$176*IF(AJ$7-7&gt;=1,INDEX($D$387:$AQ$387,AJ$7-7),0)+$L$176*IF(AJ$7-8&gt;=1,INDEX($D$387:$AQ$387,AJ$7-8),0)+$M$176*IF(AJ$7-9&gt;=1,INDEX($D$387:$AQ$387,AJ$7-9),0)+$N$176*IF(AJ$7-10&gt;=1,INDEX($D$387:$AQ$387,AJ$7-10),0)+$O$176*IF(AJ$7-11&gt;=1,INDEX($D$387:$AQ$387,AJ$7-11),0)+$P$176*IF(AJ$7-12&gt;=1,INDEX($D$387:$AQ$387,AJ$7-12),0)</f>
        <v>0</v>
      </c>
      <c r="AK389" s="130" t="n">
        <f aca="false">$D$176*IF(AK$7-0&gt;=1,INDEX($D$387:$AQ$387,AK$7-0),0)+$E$176*IF(AK$7-1&gt;=1,INDEX($D$387:$AQ$387,AK$7-1),0)+$F$176*IF(AK$7-2&gt;=1,INDEX($D$387:$AQ$387,AK$7-2),0)+$G$176*IF(AK$7-3&gt;=1,INDEX($D$387:$AQ$387,AK$7-3),0)+$H$176*IF(AK$7-4&gt;=1,INDEX($D$387:$AQ$387,AK$7-4),0)+$I$176*IF(AK$7-5&gt;=1,INDEX($D$387:$AQ$387,AK$7-5),0)+$J$176*IF(AK$7-6&gt;=1,INDEX($D$387:$AQ$387,AK$7-6),0)+$K$176*IF(AK$7-7&gt;=1,INDEX($D$387:$AQ$387,AK$7-7),0)+$L$176*IF(AK$7-8&gt;=1,INDEX($D$387:$AQ$387,AK$7-8),0)+$M$176*IF(AK$7-9&gt;=1,INDEX($D$387:$AQ$387,AK$7-9),0)+$N$176*IF(AK$7-10&gt;=1,INDEX($D$387:$AQ$387,AK$7-10),0)+$O$176*IF(AK$7-11&gt;=1,INDEX($D$387:$AQ$387,AK$7-11),0)+$P$176*IF(AK$7-12&gt;=1,INDEX($D$387:$AQ$387,AK$7-12),0)</f>
        <v>0</v>
      </c>
      <c r="AL389" s="130" t="n">
        <f aca="false">$D$176*IF(AL$7-0&gt;=1,INDEX($D$387:$AQ$387,AL$7-0),0)+$E$176*IF(AL$7-1&gt;=1,INDEX($D$387:$AQ$387,AL$7-1),0)+$F$176*IF(AL$7-2&gt;=1,INDEX($D$387:$AQ$387,AL$7-2),0)+$G$176*IF(AL$7-3&gt;=1,INDEX($D$387:$AQ$387,AL$7-3),0)+$H$176*IF(AL$7-4&gt;=1,INDEX($D$387:$AQ$387,AL$7-4),0)+$I$176*IF(AL$7-5&gt;=1,INDEX($D$387:$AQ$387,AL$7-5),0)+$J$176*IF(AL$7-6&gt;=1,INDEX($D$387:$AQ$387,AL$7-6),0)+$K$176*IF(AL$7-7&gt;=1,INDEX($D$387:$AQ$387,AL$7-7),0)+$L$176*IF(AL$7-8&gt;=1,INDEX($D$387:$AQ$387,AL$7-8),0)+$M$176*IF(AL$7-9&gt;=1,INDEX($D$387:$AQ$387,AL$7-9),0)+$N$176*IF(AL$7-10&gt;=1,INDEX($D$387:$AQ$387,AL$7-10),0)+$O$176*IF(AL$7-11&gt;=1,INDEX($D$387:$AQ$387,AL$7-11),0)+$P$176*IF(AL$7-12&gt;=1,INDEX($D$387:$AQ$387,AL$7-12),0)</f>
        <v>0</v>
      </c>
      <c r="AM389" s="130" t="n">
        <f aca="false">$D$176*IF(AM$7-0&gt;=1,INDEX($D$387:$AQ$387,AM$7-0),0)+$E$176*IF(AM$7-1&gt;=1,INDEX($D$387:$AQ$387,AM$7-1),0)+$F$176*IF(AM$7-2&gt;=1,INDEX($D$387:$AQ$387,AM$7-2),0)+$G$176*IF(AM$7-3&gt;=1,INDEX($D$387:$AQ$387,AM$7-3),0)+$H$176*IF(AM$7-4&gt;=1,INDEX($D$387:$AQ$387,AM$7-4),0)+$I$176*IF(AM$7-5&gt;=1,INDEX($D$387:$AQ$387,AM$7-5),0)+$J$176*IF(AM$7-6&gt;=1,INDEX($D$387:$AQ$387,AM$7-6),0)+$K$176*IF(AM$7-7&gt;=1,INDEX($D$387:$AQ$387,AM$7-7),0)+$L$176*IF(AM$7-8&gt;=1,INDEX($D$387:$AQ$387,AM$7-8),0)+$M$176*IF(AM$7-9&gt;=1,INDEX($D$387:$AQ$387,AM$7-9),0)+$N$176*IF(AM$7-10&gt;=1,INDEX($D$387:$AQ$387,AM$7-10),0)+$O$176*IF(AM$7-11&gt;=1,INDEX($D$387:$AQ$387,AM$7-11),0)+$P$176*IF(AM$7-12&gt;=1,INDEX($D$387:$AQ$387,AM$7-12),0)</f>
        <v>0</v>
      </c>
      <c r="AN389" s="130" t="n">
        <f aca="false">$D$176*IF(AN$7-0&gt;=1,INDEX($D$387:$AQ$387,AN$7-0),0)+$E$176*IF(AN$7-1&gt;=1,INDEX($D$387:$AQ$387,AN$7-1),0)+$F$176*IF(AN$7-2&gt;=1,INDEX($D$387:$AQ$387,AN$7-2),0)+$G$176*IF(AN$7-3&gt;=1,INDEX($D$387:$AQ$387,AN$7-3),0)+$H$176*IF(AN$7-4&gt;=1,INDEX($D$387:$AQ$387,AN$7-4),0)+$I$176*IF(AN$7-5&gt;=1,INDEX($D$387:$AQ$387,AN$7-5),0)+$J$176*IF(AN$7-6&gt;=1,INDEX($D$387:$AQ$387,AN$7-6),0)+$K$176*IF(AN$7-7&gt;=1,INDEX($D$387:$AQ$387,AN$7-7),0)+$L$176*IF(AN$7-8&gt;=1,INDEX($D$387:$AQ$387,AN$7-8),0)+$M$176*IF(AN$7-9&gt;=1,INDEX($D$387:$AQ$387,AN$7-9),0)+$N$176*IF(AN$7-10&gt;=1,INDEX($D$387:$AQ$387,AN$7-10),0)+$O$176*IF(AN$7-11&gt;=1,INDEX($D$387:$AQ$387,AN$7-11),0)+$P$176*IF(AN$7-12&gt;=1,INDEX($D$387:$AQ$387,AN$7-12),0)</f>
        <v>0</v>
      </c>
      <c r="AO389" s="130" t="n">
        <f aca="false">$D$176*IF(AO$7-0&gt;=1,INDEX($D$387:$AQ$387,AO$7-0),0)+$E$176*IF(AO$7-1&gt;=1,INDEX($D$387:$AQ$387,AO$7-1),0)+$F$176*IF(AO$7-2&gt;=1,INDEX($D$387:$AQ$387,AO$7-2),0)+$G$176*IF(AO$7-3&gt;=1,INDEX($D$387:$AQ$387,AO$7-3),0)+$H$176*IF(AO$7-4&gt;=1,INDEX($D$387:$AQ$387,AO$7-4),0)+$I$176*IF(AO$7-5&gt;=1,INDEX($D$387:$AQ$387,AO$7-5),0)+$J$176*IF(AO$7-6&gt;=1,INDEX($D$387:$AQ$387,AO$7-6),0)+$K$176*IF(AO$7-7&gt;=1,INDEX($D$387:$AQ$387,AO$7-7),0)+$L$176*IF(AO$7-8&gt;=1,INDEX($D$387:$AQ$387,AO$7-8),0)+$M$176*IF(AO$7-9&gt;=1,INDEX($D$387:$AQ$387,AO$7-9),0)+$N$176*IF(AO$7-10&gt;=1,INDEX($D$387:$AQ$387,AO$7-10),0)+$O$176*IF(AO$7-11&gt;=1,INDEX($D$387:$AQ$387,AO$7-11),0)+$P$176*IF(AO$7-12&gt;=1,INDEX($D$387:$AQ$387,AO$7-12),0)</f>
        <v>0</v>
      </c>
      <c r="AP389" s="130" t="n">
        <f aca="false">$D$176*IF(AP$7-0&gt;=1,INDEX($D$387:$AQ$387,AP$7-0),0)+$E$176*IF(AP$7-1&gt;=1,INDEX($D$387:$AQ$387,AP$7-1),0)+$F$176*IF(AP$7-2&gt;=1,INDEX($D$387:$AQ$387,AP$7-2),0)+$G$176*IF(AP$7-3&gt;=1,INDEX($D$387:$AQ$387,AP$7-3),0)+$H$176*IF(AP$7-4&gt;=1,INDEX($D$387:$AQ$387,AP$7-4),0)+$I$176*IF(AP$7-5&gt;=1,INDEX($D$387:$AQ$387,AP$7-5),0)+$J$176*IF(AP$7-6&gt;=1,INDEX($D$387:$AQ$387,AP$7-6),0)+$K$176*IF(AP$7-7&gt;=1,INDEX($D$387:$AQ$387,AP$7-7),0)+$L$176*IF(AP$7-8&gt;=1,INDEX($D$387:$AQ$387,AP$7-8),0)+$M$176*IF(AP$7-9&gt;=1,INDEX($D$387:$AQ$387,AP$7-9),0)+$N$176*IF(AP$7-10&gt;=1,INDEX($D$387:$AQ$387,AP$7-10),0)+$O$176*IF(AP$7-11&gt;=1,INDEX($D$387:$AQ$387,AP$7-11),0)+$P$176*IF(AP$7-12&gt;=1,INDEX($D$387:$AQ$387,AP$7-12),0)</f>
        <v>0</v>
      </c>
      <c r="AQ389" s="130" t="n">
        <f aca="false">$D$176*IF(AQ$7-0&gt;=1,INDEX($D$387:$AQ$387,AQ$7-0),0)+$E$176*IF(AQ$7-1&gt;=1,INDEX($D$387:$AQ$387,AQ$7-1),0)+$F$176*IF(AQ$7-2&gt;=1,INDEX($D$387:$AQ$387,AQ$7-2),0)+$G$176*IF(AQ$7-3&gt;=1,INDEX($D$387:$AQ$387,AQ$7-3),0)+$H$176*IF(AQ$7-4&gt;=1,INDEX($D$387:$AQ$387,AQ$7-4),0)+$I$176*IF(AQ$7-5&gt;=1,INDEX($D$387:$AQ$387,AQ$7-5),0)+$J$176*IF(AQ$7-6&gt;=1,INDEX($D$387:$AQ$387,AQ$7-6),0)+$K$176*IF(AQ$7-7&gt;=1,INDEX($D$387:$AQ$387,AQ$7-7),0)+$L$176*IF(AQ$7-8&gt;=1,INDEX($D$387:$AQ$387,AQ$7-8),0)+$M$176*IF(AQ$7-9&gt;=1,INDEX($D$387:$AQ$387,AQ$7-9),0)+$N$176*IF(AQ$7-10&gt;=1,INDEX($D$387:$AQ$387,AQ$7-10),0)+$O$176*IF(AQ$7-11&gt;=1,INDEX($D$387:$AQ$387,AQ$7-11),0)+$P$176*IF(AQ$7-12&gt;=1,INDEX($D$387:$AQ$387,AQ$7-12),0)</f>
        <v>0</v>
      </c>
    </row>
    <row r="390" customFormat="false" ht="15" hidden="false" customHeight="false" outlineLevel="0" collapsed="false">
      <c r="B390" s="131" t="s">
        <v>715</v>
      </c>
      <c r="C390" s="129" t="n">
        <f aca="false">SUM(D390:AQ390)</f>
        <v>0</v>
      </c>
      <c r="D390" s="130" t="n">
        <f aca="false">SUMIFS($E$146:$E$175,$C$146:$C$175,"Construction % complete",$F$146:$F$175,D$7)*IF(D$7-INPUTS!$C$215&gt;=1,INDEX($D$388:$AQ$388,D$7-INPUTS!$C$215),0)+SUMIFS($E$146:$E$175,$C$146:$C$175,"Construction % complete",$F$146:$F$175,"&lt;"&amp;D$7)*IF(D$7-INPUTS!$C$215&gt;=1,INDEX($D$387:$AQ$387,D$7-INPUTS!$C$215),0)</f>
        <v>0</v>
      </c>
      <c r="E390" s="130" t="n">
        <f aca="false">SUMIFS($E$146:$E$175,$C$146:$C$175,"Construction % complete",$F$146:$F$175,E$7)*IF(E$7-INPUTS!$C$215&gt;=1,INDEX($D$388:$AQ$388,E$7-INPUTS!$C$215),0)+SUMIFS($E$146:$E$175,$C$146:$C$175,"Construction % complete",$F$146:$F$175,"&lt;"&amp;E$7)*IF(E$7-INPUTS!$C$215&gt;=1,INDEX($D$387:$AQ$387,E$7-INPUTS!$C$215),0)</f>
        <v>0</v>
      </c>
      <c r="F390" s="130" t="n">
        <f aca="false">SUMIFS($E$146:$E$175,$C$146:$C$175,"Construction % complete",$F$146:$F$175,F$7)*IF(F$7-INPUTS!$C$215&gt;=1,INDEX($D$388:$AQ$388,F$7-INPUTS!$C$215),0)+SUMIFS($E$146:$E$175,$C$146:$C$175,"Construction % complete",$F$146:$F$175,"&lt;"&amp;F$7)*IF(F$7-INPUTS!$C$215&gt;=1,INDEX($D$387:$AQ$387,F$7-INPUTS!$C$215),0)</f>
        <v>0</v>
      </c>
      <c r="G390" s="130" t="n">
        <f aca="false">SUMIFS($E$146:$E$175,$C$146:$C$175,"Construction % complete",$F$146:$F$175,G$7)*IF(G$7-INPUTS!$C$215&gt;=1,INDEX($D$388:$AQ$388,G$7-INPUTS!$C$215),0)+SUMIFS($E$146:$E$175,$C$146:$C$175,"Construction % complete",$F$146:$F$175,"&lt;"&amp;G$7)*IF(G$7-INPUTS!$C$215&gt;=1,INDEX($D$387:$AQ$387,G$7-INPUTS!$C$215),0)</f>
        <v>0</v>
      </c>
      <c r="H390" s="130" t="n">
        <f aca="false">SUMIFS($E$146:$E$175,$C$146:$C$175,"Construction % complete",$F$146:$F$175,H$7)*IF(H$7-INPUTS!$C$215&gt;=1,INDEX($D$388:$AQ$388,H$7-INPUTS!$C$215),0)+SUMIFS($E$146:$E$175,$C$146:$C$175,"Construction % complete",$F$146:$F$175,"&lt;"&amp;H$7)*IF(H$7-INPUTS!$C$215&gt;=1,INDEX($D$387:$AQ$387,H$7-INPUTS!$C$215),0)</f>
        <v>0</v>
      </c>
      <c r="I390" s="130" t="n">
        <f aca="false">SUMIFS($E$146:$E$175,$C$146:$C$175,"Construction % complete",$F$146:$F$175,I$7)*IF(I$7-INPUTS!$C$215&gt;=1,INDEX($D$388:$AQ$388,I$7-INPUTS!$C$215),0)+SUMIFS($E$146:$E$175,$C$146:$C$175,"Construction % complete",$F$146:$F$175,"&lt;"&amp;I$7)*IF(I$7-INPUTS!$C$215&gt;=1,INDEX($D$387:$AQ$387,I$7-INPUTS!$C$215),0)</f>
        <v>0</v>
      </c>
      <c r="J390" s="130" t="n">
        <f aca="false">SUMIFS($E$146:$E$175,$C$146:$C$175,"Construction % complete",$F$146:$F$175,J$7)*IF(J$7-INPUTS!$C$215&gt;=1,INDEX($D$388:$AQ$388,J$7-INPUTS!$C$215),0)+SUMIFS($E$146:$E$175,$C$146:$C$175,"Construction % complete",$F$146:$F$175,"&lt;"&amp;J$7)*IF(J$7-INPUTS!$C$215&gt;=1,INDEX($D$387:$AQ$387,J$7-INPUTS!$C$215),0)</f>
        <v>0</v>
      </c>
      <c r="K390" s="130" t="n">
        <f aca="false">SUMIFS($E$146:$E$175,$C$146:$C$175,"Construction % complete",$F$146:$F$175,K$7)*IF(K$7-INPUTS!$C$215&gt;=1,INDEX($D$388:$AQ$388,K$7-INPUTS!$C$215),0)+SUMIFS($E$146:$E$175,$C$146:$C$175,"Construction % complete",$F$146:$F$175,"&lt;"&amp;K$7)*IF(K$7-INPUTS!$C$215&gt;=1,INDEX($D$387:$AQ$387,K$7-INPUTS!$C$215),0)</f>
        <v>0</v>
      </c>
      <c r="L390" s="130" t="n">
        <f aca="false">SUMIFS($E$146:$E$175,$C$146:$C$175,"Construction % complete",$F$146:$F$175,L$7)*IF(L$7-INPUTS!$C$215&gt;=1,INDEX($D$388:$AQ$388,L$7-INPUTS!$C$215),0)+SUMIFS($E$146:$E$175,$C$146:$C$175,"Construction % complete",$F$146:$F$175,"&lt;"&amp;L$7)*IF(L$7-INPUTS!$C$215&gt;=1,INDEX($D$387:$AQ$387,L$7-INPUTS!$C$215),0)</f>
        <v>0</v>
      </c>
      <c r="M390" s="130" t="n">
        <f aca="false">SUMIFS($E$146:$E$175,$C$146:$C$175,"Construction % complete",$F$146:$F$175,M$7)*IF(M$7-INPUTS!$C$215&gt;=1,INDEX($D$388:$AQ$388,M$7-INPUTS!$C$215),0)+SUMIFS($E$146:$E$175,$C$146:$C$175,"Construction % complete",$F$146:$F$175,"&lt;"&amp;M$7)*IF(M$7-INPUTS!$C$215&gt;=1,INDEX($D$387:$AQ$387,M$7-INPUTS!$C$215),0)</f>
        <v>0</v>
      </c>
      <c r="N390" s="130" t="n">
        <f aca="false">SUMIFS($E$146:$E$175,$C$146:$C$175,"Construction % complete",$F$146:$F$175,N$7)*IF(N$7-INPUTS!$C$215&gt;=1,INDEX($D$388:$AQ$388,N$7-INPUTS!$C$215),0)+SUMIFS($E$146:$E$175,$C$146:$C$175,"Construction % complete",$F$146:$F$175,"&lt;"&amp;N$7)*IF(N$7-INPUTS!$C$215&gt;=1,INDEX($D$387:$AQ$387,N$7-INPUTS!$C$215),0)</f>
        <v>0</v>
      </c>
      <c r="O390" s="130" t="n">
        <f aca="false">SUMIFS($E$146:$E$175,$C$146:$C$175,"Construction % complete",$F$146:$F$175,O$7)*IF(O$7-INPUTS!$C$215&gt;=1,INDEX($D$388:$AQ$388,O$7-INPUTS!$C$215),0)+SUMIFS($E$146:$E$175,$C$146:$C$175,"Construction % complete",$F$146:$F$175,"&lt;"&amp;O$7)*IF(O$7-INPUTS!$C$215&gt;=1,INDEX($D$387:$AQ$387,O$7-INPUTS!$C$215),0)</f>
        <v>0</v>
      </c>
      <c r="P390" s="130" t="n">
        <f aca="false">SUMIFS($E$146:$E$175,$C$146:$C$175,"Construction % complete",$F$146:$F$175,P$7)*IF(P$7-INPUTS!$C$215&gt;=1,INDEX($D$388:$AQ$388,P$7-INPUTS!$C$215),0)+SUMIFS($E$146:$E$175,$C$146:$C$175,"Construction % complete",$F$146:$F$175,"&lt;"&amp;P$7)*IF(P$7-INPUTS!$C$215&gt;=1,INDEX($D$387:$AQ$387,P$7-INPUTS!$C$215),0)</f>
        <v>0</v>
      </c>
      <c r="Q390" s="130" t="n">
        <f aca="false">SUMIFS($E$146:$E$175,$C$146:$C$175,"Construction % complete",$F$146:$F$175,Q$7)*IF(Q$7-INPUTS!$C$215&gt;=1,INDEX($D$388:$AQ$388,Q$7-INPUTS!$C$215),0)+SUMIFS($E$146:$E$175,$C$146:$C$175,"Construction % complete",$F$146:$F$175,"&lt;"&amp;Q$7)*IF(Q$7-INPUTS!$C$215&gt;=1,INDEX($D$387:$AQ$387,Q$7-INPUTS!$C$215),0)</f>
        <v>0</v>
      </c>
      <c r="R390" s="130" t="n">
        <f aca="false">SUMIFS($E$146:$E$175,$C$146:$C$175,"Construction % complete",$F$146:$F$175,R$7)*IF(R$7-INPUTS!$C$215&gt;=1,INDEX($D$388:$AQ$388,R$7-INPUTS!$C$215),0)+SUMIFS($E$146:$E$175,$C$146:$C$175,"Construction % complete",$F$146:$F$175,"&lt;"&amp;R$7)*IF(R$7-INPUTS!$C$215&gt;=1,INDEX($D$387:$AQ$387,R$7-INPUTS!$C$215),0)</f>
        <v>0</v>
      </c>
      <c r="S390" s="130" t="n">
        <f aca="false">SUMIFS($E$146:$E$175,$C$146:$C$175,"Construction % complete",$F$146:$F$175,S$7)*IF(S$7-INPUTS!$C$215&gt;=1,INDEX($D$388:$AQ$388,S$7-INPUTS!$C$215),0)+SUMIFS($E$146:$E$175,$C$146:$C$175,"Construction % complete",$F$146:$F$175,"&lt;"&amp;S$7)*IF(S$7-INPUTS!$C$215&gt;=1,INDEX($D$387:$AQ$387,S$7-INPUTS!$C$215),0)</f>
        <v>0</v>
      </c>
      <c r="T390" s="130" t="n">
        <f aca="false">SUMIFS($E$146:$E$175,$C$146:$C$175,"Construction % complete",$F$146:$F$175,T$7)*IF(T$7-INPUTS!$C$215&gt;=1,INDEX($D$388:$AQ$388,T$7-INPUTS!$C$215),0)+SUMIFS($E$146:$E$175,$C$146:$C$175,"Construction % complete",$F$146:$F$175,"&lt;"&amp;T$7)*IF(T$7-INPUTS!$C$215&gt;=1,INDEX($D$387:$AQ$387,T$7-INPUTS!$C$215),0)</f>
        <v>0</v>
      </c>
      <c r="U390" s="130" t="n">
        <f aca="false">SUMIFS($E$146:$E$175,$C$146:$C$175,"Construction % complete",$F$146:$F$175,U$7)*IF(U$7-INPUTS!$C$215&gt;=1,INDEX($D$388:$AQ$388,U$7-INPUTS!$C$215),0)+SUMIFS($E$146:$E$175,$C$146:$C$175,"Construction % complete",$F$146:$F$175,"&lt;"&amp;U$7)*IF(U$7-INPUTS!$C$215&gt;=1,INDEX($D$387:$AQ$387,U$7-INPUTS!$C$215),0)</f>
        <v>0</v>
      </c>
      <c r="V390" s="130" t="n">
        <f aca="false">SUMIFS($E$146:$E$175,$C$146:$C$175,"Construction % complete",$F$146:$F$175,V$7)*IF(V$7-INPUTS!$C$215&gt;=1,INDEX($D$388:$AQ$388,V$7-INPUTS!$C$215),0)+SUMIFS($E$146:$E$175,$C$146:$C$175,"Construction % complete",$F$146:$F$175,"&lt;"&amp;V$7)*IF(V$7-INPUTS!$C$215&gt;=1,INDEX($D$387:$AQ$387,V$7-INPUTS!$C$215),0)</f>
        <v>0</v>
      </c>
      <c r="W390" s="130" t="n">
        <f aca="false">SUMIFS($E$146:$E$175,$C$146:$C$175,"Construction % complete",$F$146:$F$175,W$7)*IF(W$7-INPUTS!$C$215&gt;=1,INDEX($D$388:$AQ$388,W$7-INPUTS!$C$215),0)+SUMIFS($E$146:$E$175,$C$146:$C$175,"Construction % complete",$F$146:$F$175,"&lt;"&amp;W$7)*IF(W$7-INPUTS!$C$215&gt;=1,INDEX($D$387:$AQ$387,W$7-INPUTS!$C$215),0)</f>
        <v>0</v>
      </c>
      <c r="X390" s="130" t="n">
        <f aca="false">SUMIFS($E$146:$E$175,$C$146:$C$175,"Construction % complete",$F$146:$F$175,X$7)*IF(X$7-INPUTS!$C$215&gt;=1,INDEX($D$388:$AQ$388,X$7-INPUTS!$C$215),0)+SUMIFS($E$146:$E$175,$C$146:$C$175,"Construction % complete",$F$146:$F$175,"&lt;"&amp;X$7)*IF(X$7-INPUTS!$C$215&gt;=1,INDEX($D$387:$AQ$387,X$7-INPUTS!$C$215),0)</f>
        <v>0</v>
      </c>
      <c r="Y390" s="130" t="n">
        <f aca="false">SUMIFS($E$146:$E$175,$C$146:$C$175,"Construction % complete",$F$146:$F$175,Y$7)*IF(Y$7-INPUTS!$C$215&gt;=1,INDEX($D$388:$AQ$388,Y$7-INPUTS!$C$215),0)+SUMIFS($E$146:$E$175,$C$146:$C$175,"Construction % complete",$F$146:$F$175,"&lt;"&amp;Y$7)*IF(Y$7-INPUTS!$C$215&gt;=1,INDEX($D$387:$AQ$387,Y$7-INPUTS!$C$215),0)</f>
        <v>0</v>
      </c>
      <c r="Z390" s="130" t="n">
        <f aca="false">SUMIFS($E$146:$E$175,$C$146:$C$175,"Construction % complete",$F$146:$F$175,Z$7)*IF(Z$7-INPUTS!$C$215&gt;=1,INDEX($D$388:$AQ$388,Z$7-INPUTS!$C$215),0)+SUMIFS($E$146:$E$175,$C$146:$C$175,"Construction % complete",$F$146:$F$175,"&lt;"&amp;Z$7)*IF(Z$7-INPUTS!$C$215&gt;=1,INDEX($D$387:$AQ$387,Z$7-INPUTS!$C$215),0)</f>
        <v>0</v>
      </c>
      <c r="AA390" s="130" t="n">
        <f aca="false">SUMIFS($E$146:$E$175,$C$146:$C$175,"Construction % complete",$F$146:$F$175,AA$7)*IF(AA$7-INPUTS!$C$215&gt;=1,INDEX($D$388:$AQ$388,AA$7-INPUTS!$C$215),0)+SUMIFS($E$146:$E$175,$C$146:$C$175,"Construction % complete",$F$146:$F$175,"&lt;"&amp;AA$7)*IF(AA$7-INPUTS!$C$215&gt;=1,INDEX($D$387:$AQ$387,AA$7-INPUTS!$C$215),0)</f>
        <v>0</v>
      </c>
      <c r="AB390" s="130" t="n">
        <f aca="false">SUMIFS($E$146:$E$175,$C$146:$C$175,"Construction % complete",$F$146:$F$175,AB$7)*IF(AB$7-INPUTS!$C$215&gt;=1,INDEX($D$388:$AQ$388,AB$7-INPUTS!$C$215),0)+SUMIFS($E$146:$E$175,$C$146:$C$175,"Construction % complete",$F$146:$F$175,"&lt;"&amp;AB$7)*IF(AB$7-INPUTS!$C$215&gt;=1,INDEX($D$387:$AQ$387,AB$7-INPUTS!$C$215),0)</f>
        <v>0</v>
      </c>
      <c r="AC390" s="130" t="n">
        <f aca="false">SUMIFS($E$146:$E$175,$C$146:$C$175,"Construction % complete",$F$146:$F$175,AC$7)*IF(AC$7-INPUTS!$C$215&gt;=1,INDEX($D$388:$AQ$388,AC$7-INPUTS!$C$215),0)+SUMIFS($E$146:$E$175,$C$146:$C$175,"Construction % complete",$F$146:$F$175,"&lt;"&amp;AC$7)*IF(AC$7-INPUTS!$C$215&gt;=1,INDEX($D$387:$AQ$387,AC$7-INPUTS!$C$215),0)</f>
        <v>0</v>
      </c>
      <c r="AD390" s="130" t="n">
        <f aca="false">SUMIFS($E$146:$E$175,$C$146:$C$175,"Construction % complete",$F$146:$F$175,AD$7)*IF(AD$7-INPUTS!$C$215&gt;=1,INDEX($D$388:$AQ$388,AD$7-INPUTS!$C$215),0)+SUMIFS($E$146:$E$175,$C$146:$C$175,"Construction % complete",$F$146:$F$175,"&lt;"&amp;AD$7)*IF(AD$7-INPUTS!$C$215&gt;=1,INDEX($D$387:$AQ$387,AD$7-INPUTS!$C$215),0)</f>
        <v>0</v>
      </c>
      <c r="AE390" s="130" t="n">
        <f aca="false">SUMIFS($E$146:$E$175,$C$146:$C$175,"Construction % complete",$F$146:$F$175,AE$7)*IF(AE$7-INPUTS!$C$215&gt;=1,INDEX($D$388:$AQ$388,AE$7-INPUTS!$C$215),0)+SUMIFS($E$146:$E$175,$C$146:$C$175,"Construction % complete",$F$146:$F$175,"&lt;"&amp;AE$7)*IF(AE$7-INPUTS!$C$215&gt;=1,INDEX($D$387:$AQ$387,AE$7-INPUTS!$C$215),0)</f>
        <v>0</v>
      </c>
      <c r="AF390" s="130" t="n">
        <f aca="false">SUMIFS($E$146:$E$175,$C$146:$C$175,"Construction % complete",$F$146:$F$175,AF$7)*IF(AF$7-INPUTS!$C$215&gt;=1,INDEX($D$388:$AQ$388,AF$7-INPUTS!$C$215),0)+SUMIFS($E$146:$E$175,$C$146:$C$175,"Construction % complete",$F$146:$F$175,"&lt;"&amp;AF$7)*IF(AF$7-INPUTS!$C$215&gt;=1,INDEX($D$387:$AQ$387,AF$7-INPUTS!$C$215),0)</f>
        <v>0</v>
      </c>
      <c r="AG390" s="130" t="n">
        <f aca="false">SUMIFS($E$146:$E$175,$C$146:$C$175,"Construction % complete",$F$146:$F$175,AG$7)*IF(AG$7-INPUTS!$C$215&gt;=1,INDEX($D$388:$AQ$388,AG$7-INPUTS!$C$215),0)+SUMIFS($E$146:$E$175,$C$146:$C$175,"Construction % complete",$F$146:$F$175,"&lt;"&amp;AG$7)*IF(AG$7-INPUTS!$C$215&gt;=1,INDEX($D$387:$AQ$387,AG$7-INPUTS!$C$215),0)</f>
        <v>0</v>
      </c>
      <c r="AH390" s="130" t="n">
        <f aca="false">SUMIFS($E$146:$E$175,$C$146:$C$175,"Construction % complete",$F$146:$F$175,AH$7)*IF(AH$7-INPUTS!$C$215&gt;=1,INDEX($D$388:$AQ$388,AH$7-INPUTS!$C$215),0)+SUMIFS($E$146:$E$175,$C$146:$C$175,"Construction % complete",$F$146:$F$175,"&lt;"&amp;AH$7)*IF(AH$7-INPUTS!$C$215&gt;=1,INDEX($D$387:$AQ$387,AH$7-INPUTS!$C$215),0)</f>
        <v>0</v>
      </c>
      <c r="AI390" s="130" t="n">
        <f aca="false">SUMIFS($E$146:$E$175,$C$146:$C$175,"Construction % complete",$F$146:$F$175,AI$7)*IF(AI$7-INPUTS!$C$215&gt;=1,INDEX($D$388:$AQ$388,AI$7-INPUTS!$C$215),0)+SUMIFS($E$146:$E$175,$C$146:$C$175,"Construction % complete",$F$146:$F$175,"&lt;"&amp;AI$7)*IF(AI$7-INPUTS!$C$215&gt;=1,INDEX($D$387:$AQ$387,AI$7-INPUTS!$C$215),0)</f>
        <v>0</v>
      </c>
      <c r="AJ390" s="130" t="n">
        <f aca="false">SUMIFS($E$146:$E$175,$C$146:$C$175,"Construction % complete",$F$146:$F$175,AJ$7)*IF(AJ$7-INPUTS!$C$215&gt;=1,INDEX($D$388:$AQ$388,AJ$7-INPUTS!$C$215),0)+SUMIFS($E$146:$E$175,$C$146:$C$175,"Construction % complete",$F$146:$F$175,"&lt;"&amp;AJ$7)*IF(AJ$7-INPUTS!$C$215&gt;=1,INDEX($D$387:$AQ$387,AJ$7-INPUTS!$C$215),0)</f>
        <v>0</v>
      </c>
      <c r="AK390" s="130" t="n">
        <f aca="false">SUMIFS($E$146:$E$175,$C$146:$C$175,"Construction % complete",$F$146:$F$175,AK$7)*IF(AK$7-INPUTS!$C$215&gt;=1,INDEX($D$388:$AQ$388,AK$7-INPUTS!$C$215),0)+SUMIFS($E$146:$E$175,$C$146:$C$175,"Construction % complete",$F$146:$F$175,"&lt;"&amp;AK$7)*IF(AK$7-INPUTS!$C$215&gt;=1,INDEX($D$387:$AQ$387,AK$7-INPUTS!$C$215),0)</f>
        <v>0</v>
      </c>
      <c r="AL390" s="130" t="n">
        <f aca="false">SUMIFS($E$146:$E$175,$C$146:$C$175,"Construction % complete",$F$146:$F$175,AL$7)*IF(AL$7-INPUTS!$C$215&gt;=1,INDEX($D$388:$AQ$388,AL$7-INPUTS!$C$215),0)+SUMIFS($E$146:$E$175,$C$146:$C$175,"Construction % complete",$F$146:$F$175,"&lt;"&amp;AL$7)*IF(AL$7-INPUTS!$C$215&gt;=1,INDEX($D$387:$AQ$387,AL$7-INPUTS!$C$215),0)</f>
        <v>0</v>
      </c>
      <c r="AM390" s="130" t="n">
        <f aca="false">SUMIFS($E$146:$E$175,$C$146:$C$175,"Construction % complete",$F$146:$F$175,AM$7)*IF(AM$7-INPUTS!$C$215&gt;=1,INDEX($D$388:$AQ$388,AM$7-INPUTS!$C$215),0)+SUMIFS($E$146:$E$175,$C$146:$C$175,"Construction % complete",$F$146:$F$175,"&lt;"&amp;AM$7)*IF(AM$7-INPUTS!$C$215&gt;=1,INDEX($D$387:$AQ$387,AM$7-INPUTS!$C$215),0)</f>
        <v>0</v>
      </c>
      <c r="AN390" s="130" t="n">
        <f aca="false">SUMIFS($E$146:$E$175,$C$146:$C$175,"Construction % complete",$F$146:$F$175,AN$7)*IF(AN$7-INPUTS!$C$215&gt;=1,INDEX($D$388:$AQ$388,AN$7-INPUTS!$C$215),0)+SUMIFS($E$146:$E$175,$C$146:$C$175,"Construction % complete",$F$146:$F$175,"&lt;"&amp;AN$7)*IF(AN$7-INPUTS!$C$215&gt;=1,INDEX($D$387:$AQ$387,AN$7-INPUTS!$C$215),0)</f>
        <v>0</v>
      </c>
      <c r="AO390" s="130" t="n">
        <f aca="false">SUMIFS($E$146:$E$175,$C$146:$C$175,"Construction % complete",$F$146:$F$175,AO$7)*IF(AO$7-INPUTS!$C$215&gt;=1,INDEX($D$388:$AQ$388,AO$7-INPUTS!$C$215),0)+SUMIFS($E$146:$E$175,$C$146:$C$175,"Construction % complete",$F$146:$F$175,"&lt;"&amp;AO$7)*IF(AO$7-INPUTS!$C$215&gt;=1,INDEX($D$387:$AQ$387,AO$7-INPUTS!$C$215),0)</f>
        <v>0</v>
      </c>
      <c r="AP390" s="130" t="n">
        <f aca="false">SUMIFS($E$146:$E$175,$C$146:$C$175,"Construction % complete",$F$146:$F$175,AP$7)*IF(AP$7-INPUTS!$C$215&gt;=1,INDEX($D$388:$AQ$388,AP$7-INPUTS!$C$215),0)+SUMIFS($E$146:$E$175,$C$146:$C$175,"Construction % complete",$F$146:$F$175,"&lt;"&amp;AP$7)*IF(AP$7-INPUTS!$C$215&gt;=1,INDEX($D$387:$AQ$387,AP$7-INPUTS!$C$215),0)</f>
        <v>0</v>
      </c>
      <c r="AQ390" s="130" t="n">
        <f aca="false">SUMIFS($E$146:$E$175,$C$146:$C$175,"Construction % complete",$F$146:$F$175,AQ$7)*IF(AQ$7-INPUTS!$C$215&gt;=1,INDEX($D$388:$AQ$388,AQ$7-INPUTS!$C$215),0)+SUMIFS($E$146:$E$175,$C$146:$C$175,"Construction % complete",$F$146:$F$175,"&lt;"&amp;AQ$7)*IF(AQ$7-INPUTS!$C$215&gt;=1,INDEX($D$387:$AQ$387,AQ$7-INPUTS!$C$215),0)</f>
        <v>0</v>
      </c>
    </row>
    <row r="391" customFormat="false" ht="15" hidden="false" customHeight="false" outlineLevel="0" collapsed="false">
      <c r="B391" s="2" t="s">
        <v>716</v>
      </c>
      <c r="C391" s="129" t="n">
        <f aca="false">SUM(D391:AQ391)</f>
        <v>0</v>
      </c>
      <c r="D391" s="130" t="n">
        <f aca="false">D389+D390</f>
        <v>0</v>
      </c>
      <c r="E391" s="130" t="n">
        <f aca="false">E389+E390</f>
        <v>0</v>
      </c>
      <c r="F391" s="130" t="n">
        <f aca="false">F389+F390</f>
        <v>0</v>
      </c>
      <c r="G391" s="130" t="n">
        <f aca="false">G389+G390</f>
        <v>0</v>
      </c>
      <c r="H391" s="130" t="n">
        <f aca="false">H389+H390</f>
        <v>0</v>
      </c>
      <c r="I391" s="130" t="n">
        <f aca="false">I389+I390</f>
        <v>0</v>
      </c>
      <c r="J391" s="130" t="n">
        <f aca="false">J389+J390</f>
        <v>0</v>
      </c>
      <c r="K391" s="130" t="n">
        <f aca="false">K389+K390</f>
        <v>0</v>
      </c>
      <c r="L391" s="130" t="n">
        <f aca="false">L389+L390</f>
        <v>0</v>
      </c>
      <c r="M391" s="130" t="n">
        <f aca="false">M389+M390</f>
        <v>0</v>
      </c>
      <c r="N391" s="130" t="n">
        <f aca="false">N389+N390</f>
        <v>0</v>
      </c>
      <c r="O391" s="130" t="n">
        <f aca="false">O389+O390</f>
        <v>0</v>
      </c>
      <c r="P391" s="130" t="n">
        <f aca="false">P389+P390</f>
        <v>0</v>
      </c>
      <c r="Q391" s="130" t="n">
        <f aca="false">Q389+Q390</f>
        <v>0</v>
      </c>
      <c r="R391" s="130" t="n">
        <f aca="false">R389+R390</f>
        <v>0</v>
      </c>
      <c r="S391" s="130" t="n">
        <f aca="false">S389+S390</f>
        <v>0</v>
      </c>
      <c r="T391" s="130" t="n">
        <f aca="false">T389+T390</f>
        <v>0</v>
      </c>
      <c r="U391" s="130" t="n">
        <f aca="false">U389+U390</f>
        <v>0</v>
      </c>
      <c r="V391" s="130" t="n">
        <f aca="false">V389+V390</f>
        <v>0</v>
      </c>
      <c r="W391" s="130" t="n">
        <f aca="false">W389+W390</f>
        <v>0</v>
      </c>
      <c r="X391" s="130" t="n">
        <f aca="false">X389+X390</f>
        <v>0</v>
      </c>
      <c r="Y391" s="130" t="n">
        <f aca="false">Y389+Y390</f>
        <v>0</v>
      </c>
      <c r="Z391" s="130" t="n">
        <f aca="false">Z389+Z390</f>
        <v>0</v>
      </c>
      <c r="AA391" s="130" t="n">
        <f aca="false">AA389+AA390</f>
        <v>0</v>
      </c>
      <c r="AB391" s="130" t="n">
        <f aca="false">AB389+AB390</f>
        <v>0</v>
      </c>
      <c r="AC391" s="130" t="n">
        <f aca="false">AC389+AC390</f>
        <v>0</v>
      </c>
      <c r="AD391" s="130" t="n">
        <f aca="false">AD389+AD390</f>
        <v>0</v>
      </c>
      <c r="AE391" s="130" t="n">
        <f aca="false">AE389+AE390</f>
        <v>0</v>
      </c>
      <c r="AF391" s="130" t="n">
        <f aca="false">AF389+AF390</f>
        <v>0</v>
      </c>
      <c r="AG391" s="130" t="n">
        <f aca="false">AG389+AG390</f>
        <v>0</v>
      </c>
      <c r="AH391" s="130" t="n">
        <f aca="false">AH389+AH390</f>
        <v>0</v>
      </c>
      <c r="AI391" s="130" t="n">
        <f aca="false">AI389+AI390</f>
        <v>0</v>
      </c>
      <c r="AJ391" s="130" t="n">
        <f aca="false">AJ389+AJ390</f>
        <v>0</v>
      </c>
      <c r="AK391" s="130" t="n">
        <f aca="false">AK389+AK390</f>
        <v>0</v>
      </c>
      <c r="AL391" s="130" t="n">
        <f aca="false">AL389+AL390</f>
        <v>0</v>
      </c>
      <c r="AM391" s="130" t="n">
        <f aca="false">AM389+AM390</f>
        <v>0</v>
      </c>
      <c r="AN391" s="130" t="n">
        <f aca="false">AN389+AN390</f>
        <v>0</v>
      </c>
      <c r="AO391" s="130" t="n">
        <f aca="false">AO389+AO390</f>
        <v>0</v>
      </c>
      <c r="AP391" s="130" t="n">
        <f aca="false">AP389+AP390</f>
        <v>0</v>
      </c>
      <c r="AQ391" s="130" t="n">
        <f aca="false">AQ389+AQ390</f>
        <v>0</v>
      </c>
    </row>
    <row r="392" customFormat="false" ht="15" hidden="false" customHeight="false" outlineLevel="0" collapsed="false">
      <c r="B392" s="3" t="s">
        <v>717</v>
      </c>
      <c r="D392" s="130" t="n">
        <f aca="false">SUM($D391:D391)</f>
        <v>0</v>
      </c>
      <c r="E392" s="130" t="n">
        <f aca="false">SUM($D391:E391)</f>
        <v>0</v>
      </c>
      <c r="F392" s="130" t="n">
        <f aca="false">SUM($D391:F391)</f>
        <v>0</v>
      </c>
      <c r="G392" s="130" t="n">
        <f aca="false">SUM($D391:G391)</f>
        <v>0</v>
      </c>
      <c r="H392" s="130" t="n">
        <f aca="false">SUM($D391:H391)</f>
        <v>0</v>
      </c>
      <c r="I392" s="130" t="n">
        <f aca="false">SUM($D391:I391)</f>
        <v>0</v>
      </c>
      <c r="J392" s="130" t="n">
        <f aca="false">SUM($D391:J391)</f>
        <v>0</v>
      </c>
      <c r="K392" s="130" t="n">
        <f aca="false">SUM($D391:K391)</f>
        <v>0</v>
      </c>
      <c r="L392" s="130" t="n">
        <f aca="false">SUM($D391:L391)</f>
        <v>0</v>
      </c>
      <c r="M392" s="130" t="n">
        <f aca="false">SUM($D391:M391)</f>
        <v>0</v>
      </c>
      <c r="N392" s="130" t="n">
        <f aca="false">SUM($D391:N391)</f>
        <v>0</v>
      </c>
      <c r="O392" s="130" t="n">
        <f aca="false">SUM($D391:O391)</f>
        <v>0</v>
      </c>
      <c r="P392" s="130" t="n">
        <f aca="false">SUM($D391:P391)</f>
        <v>0</v>
      </c>
      <c r="Q392" s="130" t="n">
        <f aca="false">SUM($D391:Q391)</f>
        <v>0</v>
      </c>
      <c r="R392" s="130" t="n">
        <f aca="false">SUM($D391:R391)</f>
        <v>0</v>
      </c>
      <c r="S392" s="130" t="n">
        <f aca="false">SUM($D391:S391)</f>
        <v>0</v>
      </c>
      <c r="T392" s="130" t="n">
        <f aca="false">SUM($D391:T391)</f>
        <v>0</v>
      </c>
      <c r="U392" s="130" t="n">
        <f aca="false">SUM($D391:U391)</f>
        <v>0</v>
      </c>
      <c r="V392" s="130" t="n">
        <f aca="false">SUM($D391:V391)</f>
        <v>0</v>
      </c>
      <c r="W392" s="130" t="n">
        <f aca="false">SUM($D391:W391)</f>
        <v>0</v>
      </c>
      <c r="X392" s="130" t="n">
        <f aca="false">SUM($D391:X391)</f>
        <v>0</v>
      </c>
      <c r="Y392" s="130" t="n">
        <f aca="false">SUM($D391:Y391)</f>
        <v>0</v>
      </c>
      <c r="Z392" s="130" t="n">
        <f aca="false">SUM($D391:Z391)</f>
        <v>0</v>
      </c>
      <c r="AA392" s="130" t="n">
        <f aca="false">SUM($D391:AA391)</f>
        <v>0</v>
      </c>
      <c r="AB392" s="130" t="n">
        <f aca="false">SUM($D391:AB391)</f>
        <v>0</v>
      </c>
      <c r="AC392" s="130" t="n">
        <f aca="false">SUM($D391:AC391)</f>
        <v>0</v>
      </c>
      <c r="AD392" s="130" t="n">
        <f aca="false">SUM($D391:AD391)</f>
        <v>0</v>
      </c>
      <c r="AE392" s="130" t="n">
        <f aca="false">SUM($D391:AE391)</f>
        <v>0</v>
      </c>
      <c r="AF392" s="130" t="n">
        <f aca="false">SUM($D391:AF391)</f>
        <v>0</v>
      </c>
      <c r="AG392" s="130" t="n">
        <f aca="false">SUM($D391:AG391)</f>
        <v>0</v>
      </c>
      <c r="AH392" s="130" t="n">
        <f aca="false">SUM($D391:AH391)</f>
        <v>0</v>
      </c>
      <c r="AI392" s="130" t="n">
        <f aca="false">SUM($D391:AI391)</f>
        <v>0</v>
      </c>
      <c r="AJ392" s="130" t="n">
        <f aca="false">SUM($D391:AJ391)</f>
        <v>0</v>
      </c>
      <c r="AK392" s="130" t="n">
        <f aca="false">SUM($D391:AK391)</f>
        <v>0</v>
      </c>
      <c r="AL392" s="130" t="n">
        <f aca="false">SUM($D391:AL391)</f>
        <v>0</v>
      </c>
      <c r="AM392" s="130" t="n">
        <f aca="false">SUM($D391:AM391)</f>
        <v>0</v>
      </c>
      <c r="AN392" s="130" t="n">
        <f aca="false">SUM($D391:AN391)</f>
        <v>0</v>
      </c>
      <c r="AO392" s="130" t="n">
        <f aca="false">SUM($D391:AO391)</f>
        <v>0</v>
      </c>
      <c r="AP392" s="130" t="n">
        <f aca="false">SUM($D391:AP391)</f>
        <v>0</v>
      </c>
      <c r="AQ392" s="130" t="n">
        <f aca="false">SUM($D391:AQ391)</f>
        <v>0</v>
      </c>
    </row>
    <row r="393" customFormat="false" ht="15" hidden="false" customHeight="false" outlineLevel="0" collapsed="false">
      <c r="B393" s="3" t="s">
        <v>718</v>
      </c>
      <c r="D393" s="130" t="n">
        <f aca="false">D388-D392</f>
        <v>0</v>
      </c>
      <c r="E393" s="130" t="n">
        <f aca="false">E388-E392</f>
        <v>0</v>
      </c>
      <c r="F393" s="130" t="n">
        <f aca="false">F388-F392</f>
        <v>0</v>
      </c>
      <c r="G393" s="130" t="n">
        <f aca="false">G388-G392</f>
        <v>0</v>
      </c>
      <c r="H393" s="130" t="n">
        <f aca="false">H388-H392</f>
        <v>0</v>
      </c>
      <c r="I393" s="130" t="n">
        <f aca="false">I388-I392</f>
        <v>0</v>
      </c>
      <c r="J393" s="130" t="n">
        <f aca="false">J388-J392</f>
        <v>0</v>
      </c>
      <c r="K393" s="130" t="n">
        <f aca="false">K388-K392</f>
        <v>0</v>
      </c>
      <c r="L393" s="130" t="n">
        <f aca="false">L388-L392</f>
        <v>0</v>
      </c>
      <c r="M393" s="130" t="n">
        <f aca="false">M388-M392</f>
        <v>0</v>
      </c>
      <c r="N393" s="130" t="n">
        <f aca="false">N388-N392</f>
        <v>0</v>
      </c>
      <c r="O393" s="130" t="n">
        <f aca="false">O388-O392</f>
        <v>0</v>
      </c>
      <c r="P393" s="130" t="n">
        <f aca="false">P388-P392</f>
        <v>0</v>
      </c>
      <c r="Q393" s="130" t="n">
        <f aca="false">Q388-Q392</f>
        <v>0</v>
      </c>
      <c r="R393" s="130" t="n">
        <f aca="false">R388-R392</f>
        <v>0</v>
      </c>
      <c r="S393" s="130" t="n">
        <f aca="false">S388-S392</f>
        <v>0</v>
      </c>
      <c r="T393" s="130" t="n">
        <f aca="false">T388-T392</f>
        <v>0</v>
      </c>
      <c r="U393" s="130" t="n">
        <f aca="false">U388-U392</f>
        <v>0</v>
      </c>
      <c r="V393" s="130" t="n">
        <f aca="false">V388-V392</f>
        <v>0</v>
      </c>
      <c r="W393" s="130" t="n">
        <f aca="false">W388-W392</f>
        <v>0</v>
      </c>
      <c r="X393" s="130" t="n">
        <f aca="false">X388-X392</f>
        <v>0</v>
      </c>
      <c r="Y393" s="130" t="n">
        <f aca="false">Y388-Y392</f>
        <v>0</v>
      </c>
      <c r="Z393" s="130" t="n">
        <f aca="false">Z388-Z392</f>
        <v>0</v>
      </c>
      <c r="AA393" s="130" t="n">
        <f aca="false">AA388-AA392</f>
        <v>0</v>
      </c>
      <c r="AB393" s="130" t="n">
        <f aca="false">AB388-AB392</f>
        <v>0</v>
      </c>
      <c r="AC393" s="130" t="n">
        <f aca="false">AC388-AC392</f>
        <v>0</v>
      </c>
      <c r="AD393" s="130" t="n">
        <f aca="false">AD388-AD392</f>
        <v>0</v>
      </c>
      <c r="AE393" s="130" t="n">
        <f aca="false">AE388-AE392</f>
        <v>0</v>
      </c>
      <c r="AF393" s="130" t="n">
        <f aca="false">AF388-AF392</f>
        <v>0</v>
      </c>
      <c r="AG393" s="130" t="n">
        <f aca="false">AG388-AG392</f>
        <v>0</v>
      </c>
      <c r="AH393" s="130" t="n">
        <f aca="false">AH388-AH392</f>
        <v>0</v>
      </c>
      <c r="AI393" s="130" t="n">
        <f aca="false">AI388-AI392</f>
        <v>0</v>
      </c>
      <c r="AJ393" s="130" t="n">
        <f aca="false">AJ388-AJ392</f>
        <v>0</v>
      </c>
      <c r="AK393" s="130" t="n">
        <f aca="false">AK388-AK392</f>
        <v>0</v>
      </c>
      <c r="AL393" s="130" t="n">
        <f aca="false">AL388-AL392</f>
        <v>0</v>
      </c>
      <c r="AM393" s="130" t="n">
        <f aca="false">AM388-AM392</f>
        <v>0</v>
      </c>
      <c r="AN393" s="130" t="n">
        <f aca="false">AN388-AN392</f>
        <v>0</v>
      </c>
      <c r="AO393" s="130" t="n">
        <f aca="false">AO388-AO392</f>
        <v>0</v>
      </c>
      <c r="AP393" s="130" t="n">
        <f aca="false">AP388-AP392</f>
        <v>0</v>
      </c>
      <c r="AQ393" s="130" t="n">
        <f aca="false">AQ388-AQ392</f>
        <v>0</v>
      </c>
    </row>
    <row r="394" customFormat="false" ht="15" hidden="false" customHeight="false" outlineLevel="0" collapsed="false">
      <c r="B394" s="3" t="s">
        <v>719</v>
      </c>
      <c r="D394" s="132" t="n">
        <f aca="false">IF(INPUTS!$T$92&gt;0,D392/INPUTS!$T$92,0)</f>
        <v>0</v>
      </c>
      <c r="E394" s="132" t="n">
        <f aca="false">IF(INPUTS!$T$92&gt;0,E392/INPUTS!$T$92,0)</f>
        <v>0</v>
      </c>
      <c r="F394" s="132" t="n">
        <f aca="false">IF(INPUTS!$T$92&gt;0,F392/INPUTS!$T$92,0)</f>
        <v>0</v>
      </c>
      <c r="G394" s="132" t="n">
        <f aca="false">IF(INPUTS!$T$92&gt;0,G392/INPUTS!$T$92,0)</f>
        <v>0</v>
      </c>
      <c r="H394" s="132" t="n">
        <f aca="false">IF(INPUTS!$T$92&gt;0,H392/INPUTS!$T$92,0)</f>
        <v>0</v>
      </c>
      <c r="I394" s="132" t="n">
        <f aca="false">IF(INPUTS!$T$92&gt;0,I392/INPUTS!$T$92,0)</f>
        <v>0</v>
      </c>
      <c r="J394" s="132" t="n">
        <f aca="false">IF(INPUTS!$T$92&gt;0,J392/INPUTS!$T$92,0)</f>
        <v>0</v>
      </c>
      <c r="K394" s="132" t="n">
        <f aca="false">IF(INPUTS!$T$92&gt;0,K392/INPUTS!$T$92,0)</f>
        <v>0</v>
      </c>
      <c r="L394" s="132" t="n">
        <f aca="false">IF(INPUTS!$T$92&gt;0,L392/INPUTS!$T$92,0)</f>
        <v>0</v>
      </c>
      <c r="M394" s="132" t="n">
        <f aca="false">IF(INPUTS!$T$92&gt;0,M392/INPUTS!$T$92,0)</f>
        <v>0</v>
      </c>
      <c r="N394" s="132" t="n">
        <f aca="false">IF(INPUTS!$T$92&gt;0,N392/INPUTS!$T$92,0)</f>
        <v>0</v>
      </c>
      <c r="O394" s="132" t="n">
        <f aca="false">IF(INPUTS!$T$92&gt;0,O392/INPUTS!$T$92,0)</f>
        <v>0</v>
      </c>
      <c r="P394" s="132" t="n">
        <f aca="false">IF(INPUTS!$T$92&gt;0,P392/INPUTS!$T$92,0)</f>
        <v>0</v>
      </c>
      <c r="Q394" s="132" t="n">
        <f aca="false">IF(INPUTS!$T$92&gt;0,Q392/INPUTS!$T$92,0)</f>
        <v>0</v>
      </c>
      <c r="R394" s="132" t="n">
        <f aca="false">IF(INPUTS!$T$92&gt;0,R392/INPUTS!$T$92,0)</f>
        <v>0</v>
      </c>
      <c r="S394" s="132" t="n">
        <f aca="false">IF(INPUTS!$T$92&gt;0,S392/INPUTS!$T$92,0)</f>
        <v>0</v>
      </c>
      <c r="T394" s="132" t="n">
        <f aca="false">IF(INPUTS!$T$92&gt;0,T392/INPUTS!$T$92,0)</f>
        <v>0</v>
      </c>
      <c r="U394" s="132" t="n">
        <f aca="false">IF(INPUTS!$T$92&gt;0,U392/INPUTS!$T$92,0)</f>
        <v>0</v>
      </c>
      <c r="V394" s="132" t="n">
        <f aca="false">IF(INPUTS!$T$92&gt;0,V392/INPUTS!$T$92,0)</f>
        <v>0</v>
      </c>
      <c r="W394" s="132" t="n">
        <f aca="false">IF(INPUTS!$T$92&gt;0,W392/INPUTS!$T$92,0)</f>
        <v>0</v>
      </c>
      <c r="X394" s="132" t="n">
        <f aca="false">IF(INPUTS!$T$92&gt;0,X392/INPUTS!$T$92,0)</f>
        <v>0</v>
      </c>
      <c r="Y394" s="132" t="n">
        <f aca="false">IF(INPUTS!$T$92&gt;0,Y392/INPUTS!$T$92,0)</f>
        <v>0</v>
      </c>
      <c r="Z394" s="132" t="n">
        <f aca="false">IF(INPUTS!$T$92&gt;0,Z392/INPUTS!$T$92,0)</f>
        <v>0</v>
      </c>
      <c r="AA394" s="132" t="n">
        <f aca="false">IF(INPUTS!$T$92&gt;0,AA392/INPUTS!$T$92,0)</f>
        <v>0</v>
      </c>
      <c r="AB394" s="132" t="n">
        <f aca="false">IF(INPUTS!$T$92&gt;0,AB392/INPUTS!$T$92,0)</f>
        <v>0</v>
      </c>
      <c r="AC394" s="132" t="n">
        <f aca="false">IF(INPUTS!$T$92&gt;0,AC392/INPUTS!$T$92,0)</f>
        <v>0</v>
      </c>
      <c r="AD394" s="132" t="n">
        <f aca="false">IF(INPUTS!$T$92&gt;0,AD392/INPUTS!$T$92,0)</f>
        <v>0</v>
      </c>
      <c r="AE394" s="132" t="n">
        <f aca="false">IF(INPUTS!$T$92&gt;0,AE392/INPUTS!$T$92,0)</f>
        <v>0</v>
      </c>
      <c r="AF394" s="132" t="n">
        <f aca="false">IF(INPUTS!$T$92&gt;0,AF392/INPUTS!$T$92,0)</f>
        <v>0</v>
      </c>
      <c r="AG394" s="132" t="n">
        <f aca="false">IF(INPUTS!$T$92&gt;0,AG392/INPUTS!$T$92,0)</f>
        <v>0</v>
      </c>
      <c r="AH394" s="132" t="n">
        <f aca="false">IF(INPUTS!$T$92&gt;0,AH392/INPUTS!$T$92,0)</f>
        <v>0</v>
      </c>
      <c r="AI394" s="132" t="n">
        <f aca="false">IF(INPUTS!$T$92&gt;0,AI392/INPUTS!$T$92,0)</f>
        <v>0</v>
      </c>
      <c r="AJ394" s="132" t="n">
        <f aca="false">IF(INPUTS!$T$92&gt;0,AJ392/INPUTS!$T$92,0)</f>
        <v>0</v>
      </c>
      <c r="AK394" s="132" t="n">
        <f aca="false">IF(INPUTS!$T$92&gt;0,AK392/INPUTS!$T$92,0)</f>
        <v>0</v>
      </c>
      <c r="AL394" s="132" t="n">
        <f aca="false">IF(INPUTS!$T$92&gt;0,AL392/INPUTS!$T$92,0)</f>
        <v>0</v>
      </c>
      <c r="AM394" s="132" t="n">
        <f aca="false">IF(INPUTS!$T$92&gt;0,AM392/INPUTS!$T$92,0)</f>
        <v>0</v>
      </c>
      <c r="AN394" s="132" t="n">
        <f aca="false">IF(INPUTS!$T$92&gt;0,AN392/INPUTS!$T$92,0)</f>
        <v>0</v>
      </c>
      <c r="AO394" s="132" t="n">
        <f aca="false">IF(INPUTS!$T$92&gt;0,AO392/INPUTS!$T$92,0)</f>
        <v>0</v>
      </c>
      <c r="AP394" s="132" t="n">
        <f aca="false">IF(INPUTS!$T$92&gt;0,AP392/INPUTS!$T$92,0)</f>
        <v>0</v>
      </c>
      <c r="AQ394" s="132" t="n">
        <f aca="false">IF(INPUTS!$T$92&gt;0,AQ392/INPUTS!$T$92,0)</f>
        <v>0</v>
      </c>
    </row>
    <row r="395" customFormat="false" ht="15" hidden="false" customHeight="false" outlineLevel="0" collapsed="false">
      <c r="B395" s="17" t="s">
        <v>689</v>
      </c>
      <c r="C395" s="105" t="str">
        <f aca="false">IF(INPUTS!$E$92&lt;&gt;"Yes","Off",IF(AND(ABS(C387-INPUTS!$T$92)&lt;0.000001,ABS(C391-INPUTS!$T$92)&lt;0.000001,MIN(D393:AQ393)&gt;-0.000001),"OK","ERROR"))</f>
        <v>Off</v>
      </c>
    </row>
    <row r="396" customFormat="false" ht="15" hidden="false" customHeight="false" outlineLevel="0" collapsed="false">
      <c r="B396" s="110" t="str">
        <f aca="false">IF(INPUTS!$E$93="Yes",INPUTS!$B$93,"Product row 6 (off)")</f>
        <v>Product row 6 (off)</v>
      </c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</row>
    <row r="397" customFormat="false" ht="15" hidden="false" customHeight="false" outlineLevel="0" collapsed="false">
      <c r="B397" s="2" t="s">
        <v>712</v>
      </c>
      <c r="C397" s="129" t="n">
        <f aca="false">SUM(D397:AQ397)</f>
        <v>0</v>
      </c>
      <c r="D397" s="130" t="n">
        <f aca="false">INPUTS!$T$93*CURVES!D68</f>
        <v>0</v>
      </c>
      <c r="E397" s="130" t="n">
        <f aca="false">INPUTS!$T$93*CURVES!E68</f>
        <v>0</v>
      </c>
      <c r="F397" s="130" t="n">
        <f aca="false">INPUTS!$T$93*CURVES!F68</f>
        <v>0</v>
      </c>
      <c r="G397" s="130" t="n">
        <f aca="false">INPUTS!$T$93*CURVES!G68</f>
        <v>0</v>
      </c>
      <c r="H397" s="130" t="n">
        <f aca="false">INPUTS!$T$93*CURVES!H68</f>
        <v>0</v>
      </c>
      <c r="I397" s="130" t="n">
        <f aca="false">INPUTS!$T$93*CURVES!I68</f>
        <v>0</v>
      </c>
      <c r="J397" s="130" t="n">
        <f aca="false">INPUTS!$T$93*CURVES!J68</f>
        <v>0</v>
      </c>
      <c r="K397" s="130" t="n">
        <f aca="false">INPUTS!$T$93*CURVES!K68</f>
        <v>0</v>
      </c>
      <c r="L397" s="130" t="n">
        <f aca="false">INPUTS!$T$93*CURVES!L68</f>
        <v>0</v>
      </c>
      <c r="M397" s="130" t="n">
        <f aca="false">INPUTS!$T$93*CURVES!M68</f>
        <v>0</v>
      </c>
      <c r="N397" s="130" t="n">
        <f aca="false">INPUTS!$T$93*CURVES!N68</f>
        <v>0</v>
      </c>
      <c r="O397" s="130" t="n">
        <f aca="false">INPUTS!$T$93*CURVES!O68</f>
        <v>0</v>
      </c>
      <c r="P397" s="130" t="n">
        <f aca="false">INPUTS!$T$93*CURVES!P68</f>
        <v>0</v>
      </c>
      <c r="Q397" s="130" t="n">
        <f aca="false">INPUTS!$T$93*CURVES!Q68</f>
        <v>0</v>
      </c>
      <c r="R397" s="130" t="n">
        <f aca="false">INPUTS!$T$93*CURVES!R68</f>
        <v>0</v>
      </c>
      <c r="S397" s="130" t="n">
        <f aca="false">INPUTS!$T$93*CURVES!S68</f>
        <v>0</v>
      </c>
      <c r="T397" s="130" t="n">
        <f aca="false">INPUTS!$T$93*CURVES!T68</f>
        <v>0</v>
      </c>
      <c r="U397" s="130" t="n">
        <f aca="false">INPUTS!$T$93*CURVES!U68</f>
        <v>0</v>
      </c>
      <c r="V397" s="130" t="n">
        <f aca="false">INPUTS!$T$93*CURVES!V68</f>
        <v>0</v>
      </c>
      <c r="W397" s="130" t="n">
        <f aca="false">INPUTS!$T$93*CURVES!W68</f>
        <v>0</v>
      </c>
      <c r="X397" s="130" t="n">
        <f aca="false">INPUTS!$T$93*CURVES!X68</f>
        <v>0</v>
      </c>
      <c r="Y397" s="130" t="n">
        <f aca="false">INPUTS!$T$93*CURVES!Y68</f>
        <v>0</v>
      </c>
      <c r="Z397" s="130" t="n">
        <f aca="false">INPUTS!$T$93*CURVES!Z68</f>
        <v>0</v>
      </c>
      <c r="AA397" s="130" t="n">
        <f aca="false">INPUTS!$T$93*CURVES!AA68</f>
        <v>0</v>
      </c>
      <c r="AB397" s="130" t="n">
        <f aca="false">INPUTS!$T$93*CURVES!AB68</f>
        <v>0</v>
      </c>
      <c r="AC397" s="130" t="n">
        <f aca="false">INPUTS!$T$93*CURVES!AC68</f>
        <v>0</v>
      </c>
      <c r="AD397" s="130" t="n">
        <f aca="false">INPUTS!$T$93*CURVES!AD68</f>
        <v>0</v>
      </c>
      <c r="AE397" s="130" t="n">
        <f aca="false">INPUTS!$T$93*CURVES!AE68</f>
        <v>0</v>
      </c>
      <c r="AF397" s="130" t="n">
        <f aca="false">INPUTS!$T$93*CURVES!AF68</f>
        <v>0</v>
      </c>
      <c r="AG397" s="130" t="n">
        <f aca="false">INPUTS!$T$93*CURVES!AG68</f>
        <v>0</v>
      </c>
      <c r="AH397" s="130" t="n">
        <f aca="false">INPUTS!$T$93*CURVES!AH68</f>
        <v>0</v>
      </c>
      <c r="AI397" s="130" t="n">
        <f aca="false">INPUTS!$T$93*CURVES!AI68</f>
        <v>0</v>
      </c>
      <c r="AJ397" s="130" t="n">
        <f aca="false">INPUTS!$T$93*CURVES!AJ68</f>
        <v>0</v>
      </c>
      <c r="AK397" s="130" t="n">
        <f aca="false">INPUTS!$T$93*CURVES!AK68</f>
        <v>0</v>
      </c>
      <c r="AL397" s="130" t="n">
        <f aca="false">INPUTS!$T$93*CURVES!AL68</f>
        <v>0</v>
      </c>
      <c r="AM397" s="130" t="n">
        <f aca="false">INPUTS!$T$93*CURVES!AM68</f>
        <v>0</v>
      </c>
      <c r="AN397" s="130" t="n">
        <f aca="false">INPUTS!$T$93*CURVES!AN68</f>
        <v>0</v>
      </c>
      <c r="AO397" s="130" t="n">
        <f aca="false">INPUTS!$T$93*CURVES!AO68</f>
        <v>0</v>
      </c>
      <c r="AP397" s="130" t="n">
        <f aca="false">INPUTS!$T$93*CURVES!AP68</f>
        <v>0</v>
      </c>
      <c r="AQ397" s="130" t="n">
        <f aca="false">INPUTS!$T$93*CURVES!AQ68</f>
        <v>0</v>
      </c>
    </row>
    <row r="398" customFormat="false" ht="15" hidden="false" customHeight="false" outlineLevel="0" collapsed="false">
      <c r="B398" s="3" t="s">
        <v>713</v>
      </c>
      <c r="D398" s="130" t="n">
        <f aca="false">SUM($D397:D397)</f>
        <v>0</v>
      </c>
      <c r="E398" s="130" t="n">
        <f aca="false">SUM($D397:E397)</f>
        <v>0</v>
      </c>
      <c r="F398" s="130" t="n">
        <f aca="false">SUM($D397:F397)</f>
        <v>0</v>
      </c>
      <c r="G398" s="130" t="n">
        <f aca="false">SUM($D397:G397)</f>
        <v>0</v>
      </c>
      <c r="H398" s="130" t="n">
        <f aca="false">SUM($D397:H397)</f>
        <v>0</v>
      </c>
      <c r="I398" s="130" t="n">
        <f aca="false">SUM($D397:I397)</f>
        <v>0</v>
      </c>
      <c r="J398" s="130" t="n">
        <f aca="false">SUM($D397:J397)</f>
        <v>0</v>
      </c>
      <c r="K398" s="130" t="n">
        <f aca="false">SUM($D397:K397)</f>
        <v>0</v>
      </c>
      <c r="L398" s="130" t="n">
        <f aca="false">SUM($D397:L397)</f>
        <v>0</v>
      </c>
      <c r="M398" s="130" t="n">
        <f aca="false">SUM($D397:M397)</f>
        <v>0</v>
      </c>
      <c r="N398" s="130" t="n">
        <f aca="false">SUM($D397:N397)</f>
        <v>0</v>
      </c>
      <c r="O398" s="130" t="n">
        <f aca="false">SUM($D397:O397)</f>
        <v>0</v>
      </c>
      <c r="P398" s="130" t="n">
        <f aca="false">SUM($D397:P397)</f>
        <v>0</v>
      </c>
      <c r="Q398" s="130" t="n">
        <f aca="false">SUM($D397:Q397)</f>
        <v>0</v>
      </c>
      <c r="R398" s="130" t="n">
        <f aca="false">SUM($D397:R397)</f>
        <v>0</v>
      </c>
      <c r="S398" s="130" t="n">
        <f aca="false">SUM($D397:S397)</f>
        <v>0</v>
      </c>
      <c r="T398" s="130" t="n">
        <f aca="false">SUM($D397:T397)</f>
        <v>0</v>
      </c>
      <c r="U398" s="130" t="n">
        <f aca="false">SUM($D397:U397)</f>
        <v>0</v>
      </c>
      <c r="V398" s="130" t="n">
        <f aca="false">SUM($D397:V397)</f>
        <v>0</v>
      </c>
      <c r="W398" s="130" t="n">
        <f aca="false">SUM($D397:W397)</f>
        <v>0</v>
      </c>
      <c r="X398" s="130" t="n">
        <f aca="false">SUM($D397:X397)</f>
        <v>0</v>
      </c>
      <c r="Y398" s="130" t="n">
        <f aca="false">SUM($D397:Y397)</f>
        <v>0</v>
      </c>
      <c r="Z398" s="130" t="n">
        <f aca="false">SUM($D397:Z397)</f>
        <v>0</v>
      </c>
      <c r="AA398" s="130" t="n">
        <f aca="false">SUM($D397:AA397)</f>
        <v>0</v>
      </c>
      <c r="AB398" s="130" t="n">
        <f aca="false">SUM($D397:AB397)</f>
        <v>0</v>
      </c>
      <c r="AC398" s="130" t="n">
        <f aca="false">SUM($D397:AC397)</f>
        <v>0</v>
      </c>
      <c r="AD398" s="130" t="n">
        <f aca="false">SUM($D397:AD397)</f>
        <v>0</v>
      </c>
      <c r="AE398" s="130" t="n">
        <f aca="false">SUM($D397:AE397)</f>
        <v>0</v>
      </c>
      <c r="AF398" s="130" t="n">
        <f aca="false">SUM($D397:AF397)</f>
        <v>0</v>
      </c>
      <c r="AG398" s="130" t="n">
        <f aca="false">SUM($D397:AG397)</f>
        <v>0</v>
      </c>
      <c r="AH398" s="130" t="n">
        <f aca="false">SUM($D397:AH397)</f>
        <v>0</v>
      </c>
      <c r="AI398" s="130" t="n">
        <f aca="false">SUM($D397:AI397)</f>
        <v>0</v>
      </c>
      <c r="AJ398" s="130" t="n">
        <f aca="false">SUM($D397:AJ397)</f>
        <v>0</v>
      </c>
      <c r="AK398" s="130" t="n">
        <f aca="false">SUM($D397:AK397)</f>
        <v>0</v>
      </c>
      <c r="AL398" s="130" t="n">
        <f aca="false">SUM($D397:AL397)</f>
        <v>0</v>
      </c>
      <c r="AM398" s="130" t="n">
        <f aca="false">SUM($D397:AM397)</f>
        <v>0</v>
      </c>
      <c r="AN398" s="130" t="n">
        <f aca="false">SUM($D397:AN397)</f>
        <v>0</v>
      </c>
      <c r="AO398" s="130" t="n">
        <f aca="false">SUM($D397:AO397)</f>
        <v>0</v>
      </c>
      <c r="AP398" s="130" t="n">
        <f aca="false">SUM($D397:AP397)</f>
        <v>0</v>
      </c>
      <c r="AQ398" s="130" t="n">
        <f aca="false">SUM($D397:AQ397)</f>
        <v>0</v>
      </c>
    </row>
    <row r="399" customFormat="false" ht="15" hidden="false" customHeight="false" outlineLevel="0" collapsed="false">
      <c r="B399" s="131" t="s">
        <v>714</v>
      </c>
      <c r="C399" s="129" t="n">
        <f aca="false">SUM(D399:AQ399)</f>
        <v>0</v>
      </c>
      <c r="D399" s="130" t="n">
        <f aca="false">$D$209*IF(D$7-0&gt;=1,INDEX($D$397:$AQ$397,D$7-0),0)+$E$209*IF(D$7-1&gt;=1,INDEX($D$397:$AQ$397,D$7-1),0)+$F$209*IF(D$7-2&gt;=1,INDEX($D$397:$AQ$397,D$7-2),0)+$G$209*IF(D$7-3&gt;=1,INDEX($D$397:$AQ$397,D$7-3),0)+$H$209*IF(D$7-4&gt;=1,INDEX($D$397:$AQ$397,D$7-4),0)+$I$209*IF(D$7-5&gt;=1,INDEX($D$397:$AQ$397,D$7-5),0)+$J$209*IF(D$7-6&gt;=1,INDEX($D$397:$AQ$397,D$7-6),0)+$K$209*IF(D$7-7&gt;=1,INDEX($D$397:$AQ$397,D$7-7),0)+$L$209*IF(D$7-8&gt;=1,INDEX($D$397:$AQ$397,D$7-8),0)+$M$209*IF(D$7-9&gt;=1,INDEX($D$397:$AQ$397,D$7-9),0)+$N$209*IF(D$7-10&gt;=1,INDEX($D$397:$AQ$397,D$7-10),0)+$O$209*IF(D$7-11&gt;=1,INDEX($D$397:$AQ$397,D$7-11),0)+$P$209*IF(D$7-12&gt;=1,INDEX($D$397:$AQ$397,D$7-12),0)</f>
        <v>0</v>
      </c>
      <c r="E399" s="130" t="n">
        <f aca="false">$D$209*IF(E$7-0&gt;=1,INDEX($D$397:$AQ$397,E$7-0),0)+$E$209*IF(E$7-1&gt;=1,INDEX($D$397:$AQ$397,E$7-1),0)+$F$209*IF(E$7-2&gt;=1,INDEX($D$397:$AQ$397,E$7-2),0)+$G$209*IF(E$7-3&gt;=1,INDEX($D$397:$AQ$397,E$7-3),0)+$H$209*IF(E$7-4&gt;=1,INDEX($D$397:$AQ$397,E$7-4),0)+$I$209*IF(E$7-5&gt;=1,INDEX($D$397:$AQ$397,E$7-5),0)+$J$209*IF(E$7-6&gt;=1,INDEX($D$397:$AQ$397,E$7-6),0)+$K$209*IF(E$7-7&gt;=1,INDEX($D$397:$AQ$397,E$7-7),0)+$L$209*IF(E$7-8&gt;=1,INDEX($D$397:$AQ$397,E$7-8),0)+$M$209*IF(E$7-9&gt;=1,INDEX($D$397:$AQ$397,E$7-9),0)+$N$209*IF(E$7-10&gt;=1,INDEX($D$397:$AQ$397,E$7-10),0)+$O$209*IF(E$7-11&gt;=1,INDEX($D$397:$AQ$397,E$7-11),0)+$P$209*IF(E$7-12&gt;=1,INDEX($D$397:$AQ$397,E$7-12),0)</f>
        <v>0</v>
      </c>
      <c r="F399" s="130" t="n">
        <f aca="false">$D$209*IF(F$7-0&gt;=1,INDEX($D$397:$AQ$397,F$7-0),0)+$E$209*IF(F$7-1&gt;=1,INDEX($D$397:$AQ$397,F$7-1),0)+$F$209*IF(F$7-2&gt;=1,INDEX($D$397:$AQ$397,F$7-2),0)+$G$209*IF(F$7-3&gt;=1,INDEX($D$397:$AQ$397,F$7-3),0)+$H$209*IF(F$7-4&gt;=1,INDEX($D$397:$AQ$397,F$7-4),0)+$I$209*IF(F$7-5&gt;=1,INDEX($D$397:$AQ$397,F$7-5),0)+$J$209*IF(F$7-6&gt;=1,INDEX($D$397:$AQ$397,F$7-6),0)+$K$209*IF(F$7-7&gt;=1,INDEX($D$397:$AQ$397,F$7-7),0)+$L$209*IF(F$7-8&gt;=1,INDEX($D$397:$AQ$397,F$7-8),0)+$M$209*IF(F$7-9&gt;=1,INDEX($D$397:$AQ$397,F$7-9),0)+$N$209*IF(F$7-10&gt;=1,INDEX($D$397:$AQ$397,F$7-10),0)+$O$209*IF(F$7-11&gt;=1,INDEX($D$397:$AQ$397,F$7-11),0)+$P$209*IF(F$7-12&gt;=1,INDEX($D$397:$AQ$397,F$7-12),0)</f>
        <v>0</v>
      </c>
      <c r="G399" s="130" t="n">
        <f aca="false">$D$209*IF(G$7-0&gt;=1,INDEX($D$397:$AQ$397,G$7-0),0)+$E$209*IF(G$7-1&gt;=1,INDEX($D$397:$AQ$397,G$7-1),0)+$F$209*IF(G$7-2&gt;=1,INDEX($D$397:$AQ$397,G$7-2),0)+$G$209*IF(G$7-3&gt;=1,INDEX($D$397:$AQ$397,G$7-3),0)+$H$209*IF(G$7-4&gt;=1,INDEX($D$397:$AQ$397,G$7-4),0)+$I$209*IF(G$7-5&gt;=1,INDEX($D$397:$AQ$397,G$7-5),0)+$J$209*IF(G$7-6&gt;=1,INDEX($D$397:$AQ$397,G$7-6),0)+$K$209*IF(G$7-7&gt;=1,INDEX($D$397:$AQ$397,G$7-7),0)+$L$209*IF(G$7-8&gt;=1,INDEX($D$397:$AQ$397,G$7-8),0)+$M$209*IF(G$7-9&gt;=1,INDEX($D$397:$AQ$397,G$7-9),0)+$N$209*IF(G$7-10&gt;=1,INDEX($D$397:$AQ$397,G$7-10),0)+$O$209*IF(G$7-11&gt;=1,INDEX($D$397:$AQ$397,G$7-11),0)+$P$209*IF(G$7-12&gt;=1,INDEX($D$397:$AQ$397,G$7-12),0)</f>
        <v>0</v>
      </c>
      <c r="H399" s="130" t="n">
        <f aca="false">$D$209*IF(H$7-0&gt;=1,INDEX($D$397:$AQ$397,H$7-0),0)+$E$209*IF(H$7-1&gt;=1,INDEX($D$397:$AQ$397,H$7-1),0)+$F$209*IF(H$7-2&gt;=1,INDEX($D$397:$AQ$397,H$7-2),0)+$G$209*IF(H$7-3&gt;=1,INDEX($D$397:$AQ$397,H$7-3),0)+$H$209*IF(H$7-4&gt;=1,INDEX($D$397:$AQ$397,H$7-4),0)+$I$209*IF(H$7-5&gt;=1,INDEX($D$397:$AQ$397,H$7-5),0)+$J$209*IF(H$7-6&gt;=1,INDEX($D$397:$AQ$397,H$7-6),0)+$K$209*IF(H$7-7&gt;=1,INDEX($D$397:$AQ$397,H$7-7),0)+$L$209*IF(H$7-8&gt;=1,INDEX($D$397:$AQ$397,H$7-8),0)+$M$209*IF(H$7-9&gt;=1,INDEX($D$397:$AQ$397,H$7-9),0)+$N$209*IF(H$7-10&gt;=1,INDEX($D$397:$AQ$397,H$7-10),0)+$O$209*IF(H$7-11&gt;=1,INDEX($D$397:$AQ$397,H$7-11),0)+$P$209*IF(H$7-12&gt;=1,INDEX($D$397:$AQ$397,H$7-12),0)</f>
        <v>0</v>
      </c>
      <c r="I399" s="130" t="n">
        <f aca="false">$D$209*IF(I$7-0&gt;=1,INDEX($D$397:$AQ$397,I$7-0),0)+$E$209*IF(I$7-1&gt;=1,INDEX($D$397:$AQ$397,I$7-1),0)+$F$209*IF(I$7-2&gt;=1,INDEX($D$397:$AQ$397,I$7-2),0)+$G$209*IF(I$7-3&gt;=1,INDEX($D$397:$AQ$397,I$7-3),0)+$H$209*IF(I$7-4&gt;=1,INDEX($D$397:$AQ$397,I$7-4),0)+$I$209*IF(I$7-5&gt;=1,INDEX($D$397:$AQ$397,I$7-5),0)+$J$209*IF(I$7-6&gt;=1,INDEX($D$397:$AQ$397,I$7-6),0)+$K$209*IF(I$7-7&gt;=1,INDEX($D$397:$AQ$397,I$7-7),0)+$L$209*IF(I$7-8&gt;=1,INDEX($D$397:$AQ$397,I$7-8),0)+$M$209*IF(I$7-9&gt;=1,INDEX($D$397:$AQ$397,I$7-9),0)+$N$209*IF(I$7-10&gt;=1,INDEX($D$397:$AQ$397,I$7-10),0)+$O$209*IF(I$7-11&gt;=1,INDEX($D$397:$AQ$397,I$7-11),0)+$P$209*IF(I$7-12&gt;=1,INDEX($D$397:$AQ$397,I$7-12),0)</f>
        <v>0</v>
      </c>
      <c r="J399" s="130" t="n">
        <f aca="false">$D$209*IF(J$7-0&gt;=1,INDEX($D$397:$AQ$397,J$7-0),0)+$E$209*IF(J$7-1&gt;=1,INDEX($D$397:$AQ$397,J$7-1),0)+$F$209*IF(J$7-2&gt;=1,INDEX($D$397:$AQ$397,J$7-2),0)+$G$209*IF(J$7-3&gt;=1,INDEX($D$397:$AQ$397,J$7-3),0)+$H$209*IF(J$7-4&gt;=1,INDEX($D$397:$AQ$397,J$7-4),0)+$I$209*IF(J$7-5&gt;=1,INDEX($D$397:$AQ$397,J$7-5),0)+$J$209*IF(J$7-6&gt;=1,INDEX($D$397:$AQ$397,J$7-6),0)+$K$209*IF(J$7-7&gt;=1,INDEX($D$397:$AQ$397,J$7-7),0)+$L$209*IF(J$7-8&gt;=1,INDEX($D$397:$AQ$397,J$7-8),0)+$M$209*IF(J$7-9&gt;=1,INDEX($D$397:$AQ$397,J$7-9),0)+$N$209*IF(J$7-10&gt;=1,INDEX($D$397:$AQ$397,J$7-10),0)+$O$209*IF(J$7-11&gt;=1,INDEX($D$397:$AQ$397,J$7-11),0)+$P$209*IF(J$7-12&gt;=1,INDEX($D$397:$AQ$397,J$7-12),0)</f>
        <v>0</v>
      </c>
      <c r="K399" s="130" t="n">
        <f aca="false">$D$209*IF(K$7-0&gt;=1,INDEX($D$397:$AQ$397,K$7-0),0)+$E$209*IF(K$7-1&gt;=1,INDEX($D$397:$AQ$397,K$7-1),0)+$F$209*IF(K$7-2&gt;=1,INDEX($D$397:$AQ$397,K$7-2),0)+$G$209*IF(K$7-3&gt;=1,INDEX($D$397:$AQ$397,K$7-3),0)+$H$209*IF(K$7-4&gt;=1,INDEX($D$397:$AQ$397,K$7-4),0)+$I$209*IF(K$7-5&gt;=1,INDEX($D$397:$AQ$397,K$7-5),0)+$J$209*IF(K$7-6&gt;=1,INDEX($D$397:$AQ$397,K$7-6),0)+$K$209*IF(K$7-7&gt;=1,INDEX($D$397:$AQ$397,K$7-7),0)+$L$209*IF(K$7-8&gt;=1,INDEX($D$397:$AQ$397,K$7-8),0)+$M$209*IF(K$7-9&gt;=1,INDEX($D$397:$AQ$397,K$7-9),0)+$N$209*IF(K$7-10&gt;=1,INDEX($D$397:$AQ$397,K$7-10),0)+$O$209*IF(K$7-11&gt;=1,INDEX($D$397:$AQ$397,K$7-11),0)+$P$209*IF(K$7-12&gt;=1,INDEX($D$397:$AQ$397,K$7-12),0)</f>
        <v>0</v>
      </c>
      <c r="L399" s="130" t="n">
        <f aca="false">$D$209*IF(L$7-0&gt;=1,INDEX($D$397:$AQ$397,L$7-0),0)+$E$209*IF(L$7-1&gt;=1,INDEX($D$397:$AQ$397,L$7-1),0)+$F$209*IF(L$7-2&gt;=1,INDEX($D$397:$AQ$397,L$7-2),0)+$G$209*IF(L$7-3&gt;=1,INDEX($D$397:$AQ$397,L$7-3),0)+$H$209*IF(L$7-4&gt;=1,INDEX($D$397:$AQ$397,L$7-4),0)+$I$209*IF(L$7-5&gt;=1,INDEX($D$397:$AQ$397,L$7-5),0)+$J$209*IF(L$7-6&gt;=1,INDEX($D$397:$AQ$397,L$7-6),0)+$K$209*IF(L$7-7&gt;=1,INDEX($D$397:$AQ$397,L$7-7),0)+$L$209*IF(L$7-8&gt;=1,INDEX($D$397:$AQ$397,L$7-8),0)+$M$209*IF(L$7-9&gt;=1,INDEX($D$397:$AQ$397,L$7-9),0)+$N$209*IF(L$7-10&gt;=1,INDEX($D$397:$AQ$397,L$7-10),0)+$O$209*IF(L$7-11&gt;=1,INDEX($D$397:$AQ$397,L$7-11),0)+$P$209*IF(L$7-12&gt;=1,INDEX($D$397:$AQ$397,L$7-12),0)</f>
        <v>0</v>
      </c>
      <c r="M399" s="130" t="n">
        <f aca="false">$D$209*IF(M$7-0&gt;=1,INDEX($D$397:$AQ$397,M$7-0),0)+$E$209*IF(M$7-1&gt;=1,INDEX($D$397:$AQ$397,M$7-1),0)+$F$209*IF(M$7-2&gt;=1,INDEX($D$397:$AQ$397,M$7-2),0)+$G$209*IF(M$7-3&gt;=1,INDEX($D$397:$AQ$397,M$7-3),0)+$H$209*IF(M$7-4&gt;=1,INDEX($D$397:$AQ$397,M$7-4),0)+$I$209*IF(M$7-5&gt;=1,INDEX($D$397:$AQ$397,M$7-5),0)+$J$209*IF(M$7-6&gt;=1,INDEX($D$397:$AQ$397,M$7-6),0)+$K$209*IF(M$7-7&gt;=1,INDEX($D$397:$AQ$397,M$7-7),0)+$L$209*IF(M$7-8&gt;=1,INDEX($D$397:$AQ$397,M$7-8),0)+$M$209*IF(M$7-9&gt;=1,INDEX($D$397:$AQ$397,M$7-9),0)+$N$209*IF(M$7-10&gt;=1,INDEX($D$397:$AQ$397,M$7-10),0)+$O$209*IF(M$7-11&gt;=1,INDEX($D$397:$AQ$397,M$7-11),0)+$P$209*IF(M$7-12&gt;=1,INDEX($D$397:$AQ$397,M$7-12),0)</f>
        <v>0</v>
      </c>
      <c r="N399" s="130" t="n">
        <f aca="false">$D$209*IF(N$7-0&gt;=1,INDEX($D$397:$AQ$397,N$7-0),0)+$E$209*IF(N$7-1&gt;=1,INDEX($D$397:$AQ$397,N$7-1),0)+$F$209*IF(N$7-2&gt;=1,INDEX($D$397:$AQ$397,N$7-2),0)+$G$209*IF(N$7-3&gt;=1,INDEX($D$397:$AQ$397,N$7-3),0)+$H$209*IF(N$7-4&gt;=1,INDEX($D$397:$AQ$397,N$7-4),0)+$I$209*IF(N$7-5&gt;=1,INDEX($D$397:$AQ$397,N$7-5),0)+$J$209*IF(N$7-6&gt;=1,INDEX($D$397:$AQ$397,N$7-6),0)+$K$209*IF(N$7-7&gt;=1,INDEX($D$397:$AQ$397,N$7-7),0)+$L$209*IF(N$7-8&gt;=1,INDEX($D$397:$AQ$397,N$7-8),0)+$M$209*IF(N$7-9&gt;=1,INDEX($D$397:$AQ$397,N$7-9),0)+$N$209*IF(N$7-10&gt;=1,INDEX($D$397:$AQ$397,N$7-10),0)+$O$209*IF(N$7-11&gt;=1,INDEX($D$397:$AQ$397,N$7-11),0)+$P$209*IF(N$7-12&gt;=1,INDEX($D$397:$AQ$397,N$7-12),0)</f>
        <v>0</v>
      </c>
      <c r="O399" s="130" t="n">
        <f aca="false">$D$209*IF(O$7-0&gt;=1,INDEX($D$397:$AQ$397,O$7-0),0)+$E$209*IF(O$7-1&gt;=1,INDEX($D$397:$AQ$397,O$7-1),0)+$F$209*IF(O$7-2&gt;=1,INDEX($D$397:$AQ$397,O$7-2),0)+$G$209*IF(O$7-3&gt;=1,INDEX($D$397:$AQ$397,O$7-3),0)+$H$209*IF(O$7-4&gt;=1,INDEX($D$397:$AQ$397,O$7-4),0)+$I$209*IF(O$7-5&gt;=1,INDEX($D$397:$AQ$397,O$7-5),0)+$J$209*IF(O$7-6&gt;=1,INDEX($D$397:$AQ$397,O$7-6),0)+$K$209*IF(O$7-7&gt;=1,INDEX($D$397:$AQ$397,O$7-7),0)+$L$209*IF(O$7-8&gt;=1,INDEX($D$397:$AQ$397,O$7-8),0)+$M$209*IF(O$7-9&gt;=1,INDEX($D$397:$AQ$397,O$7-9),0)+$N$209*IF(O$7-10&gt;=1,INDEX($D$397:$AQ$397,O$7-10),0)+$O$209*IF(O$7-11&gt;=1,INDEX($D$397:$AQ$397,O$7-11),0)+$P$209*IF(O$7-12&gt;=1,INDEX($D$397:$AQ$397,O$7-12),0)</f>
        <v>0</v>
      </c>
      <c r="P399" s="130" t="n">
        <f aca="false">$D$209*IF(P$7-0&gt;=1,INDEX($D$397:$AQ$397,P$7-0),0)+$E$209*IF(P$7-1&gt;=1,INDEX($D$397:$AQ$397,P$7-1),0)+$F$209*IF(P$7-2&gt;=1,INDEX($D$397:$AQ$397,P$7-2),0)+$G$209*IF(P$7-3&gt;=1,INDEX($D$397:$AQ$397,P$7-3),0)+$H$209*IF(P$7-4&gt;=1,INDEX($D$397:$AQ$397,P$7-4),0)+$I$209*IF(P$7-5&gt;=1,INDEX($D$397:$AQ$397,P$7-5),0)+$J$209*IF(P$7-6&gt;=1,INDEX($D$397:$AQ$397,P$7-6),0)+$K$209*IF(P$7-7&gt;=1,INDEX($D$397:$AQ$397,P$7-7),0)+$L$209*IF(P$7-8&gt;=1,INDEX($D$397:$AQ$397,P$7-8),0)+$M$209*IF(P$7-9&gt;=1,INDEX($D$397:$AQ$397,P$7-9),0)+$N$209*IF(P$7-10&gt;=1,INDEX($D$397:$AQ$397,P$7-10),0)+$O$209*IF(P$7-11&gt;=1,INDEX($D$397:$AQ$397,P$7-11),0)+$P$209*IF(P$7-12&gt;=1,INDEX($D$397:$AQ$397,P$7-12),0)</f>
        <v>0</v>
      </c>
      <c r="Q399" s="130" t="n">
        <f aca="false">$D$209*IF(Q$7-0&gt;=1,INDEX($D$397:$AQ$397,Q$7-0),0)+$E$209*IF(Q$7-1&gt;=1,INDEX($D$397:$AQ$397,Q$7-1),0)+$F$209*IF(Q$7-2&gt;=1,INDEX($D$397:$AQ$397,Q$7-2),0)+$G$209*IF(Q$7-3&gt;=1,INDEX($D$397:$AQ$397,Q$7-3),0)+$H$209*IF(Q$7-4&gt;=1,INDEX($D$397:$AQ$397,Q$7-4),0)+$I$209*IF(Q$7-5&gt;=1,INDEX($D$397:$AQ$397,Q$7-5),0)+$J$209*IF(Q$7-6&gt;=1,INDEX($D$397:$AQ$397,Q$7-6),0)+$K$209*IF(Q$7-7&gt;=1,INDEX($D$397:$AQ$397,Q$7-7),0)+$L$209*IF(Q$7-8&gt;=1,INDEX($D$397:$AQ$397,Q$7-8),0)+$M$209*IF(Q$7-9&gt;=1,INDEX($D$397:$AQ$397,Q$7-9),0)+$N$209*IF(Q$7-10&gt;=1,INDEX($D$397:$AQ$397,Q$7-10),0)+$O$209*IF(Q$7-11&gt;=1,INDEX($D$397:$AQ$397,Q$7-11),0)+$P$209*IF(Q$7-12&gt;=1,INDEX($D$397:$AQ$397,Q$7-12),0)</f>
        <v>0</v>
      </c>
      <c r="R399" s="130" t="n">
        <f aca="false">$D$209*IF(R$7-0&gt;=1,INDEX($D$397:$AQ$397,R$7-0),0)+$E$209*IF(R$7-1&gt;=1,INDEX($D$397:$AQ$397,R$7-1),0)+$F$209*IF(R$7-2&gt;=1,INDEX($D$397:$AQ$397,R$7-2),0)+$G$209*IF(R$7-3&gt;=1,INDEX($D$397:$AQ$397,R$7-3),0)+$H$209*IF(R$7-4&gt;=1,INDEX($D$397:$AQ$397,R$7-4),0)+$I$209*IF(R$7-5&gt;=1,INDEX($D$397:$AQ$397,R$7-5),0)+$J$209*IF(R$7-6&gt;=1,INDEX($D$397:$AQ$397,R$7-6),0)+$K$209*IF(R$7-7&gt;=1,INDEX($D$397:$AQ$397,R$7-7),0)+$L$209*IF(R$7-8&gt;=1,INDEX($D$397:$AQ$397,R$7-8),0)+$M$209*IF(R$7-9&gt;=1,INDEX($D$397:$AQ$397,R$7-9),0)+$N$209*IF(R$7-10&gt;=1,INDEX($D$397:$AQ$397,R$7-10),0)+$O$209*IF(R$7-11&gt;=1,INDEX($D$397:$AQ$397,R$7-11),0)+$P$209*IF(R$7-12&gt;=1,INDEX($D$397:$AQ$397,R$7-12),0)</f>
        <v>0</v>
      </c>
      <c r="S399" s="130" t="n">
        <f aca="false">$D$209*IF(S$7-0&gt;=1,INDEX($D$397:$AQ$397,S$7-0),0)+$E$209*IF(S$7-1&gt;=1,INDEX($D$397:$AQ$397,S$7-1),0)+$F$209*IF(S$7-2&gt;=1,INDEX($D$397:$AQ$397,S$7-2),0)+$G$209*IF(S$7-3&gt;=1,INDEX($D$397:$AQ$397,S$7-3),0)+$H$209*IF(S$7-4&gt;=1,INDEX($D$397:$AQ$397,S$7-4),0)+$I$209*IF(S$7-5&gt;=1,INDEX($D$397:$AQ$397,S$7-5),0)+$J$209*IF(S$7-6&gt;=1,INDEX($D$397:$AQ$397,S$7-6),0)+$K$209*IF(S$7-7&gt;=1,INDEX($D$397:$AQ$397,S$7-7),0)+$L$209*IF(S$7-8&gt;=1,INDEX($D$397:$AQ$397,S$7-8),0)+$M$209*IF(S$7-9&gt;=1,INDEX($D$397:$AQ$397,S$7-9),0)+$N$209*IF(S$7-10&gt;=1,INDEX($D$397:$AQ$397,S$7-10),0)+$O$209*IF(S$7-11&gt;=1,INDEX($D$397:$AQ$397,S$7-11),0)+$P$209*IF(S$7-12&gt;=1,INDEX($D$397:$AQ$397,S$7-12),0)</f>
        <v>0</v>
      </c>
      <c r="T399" s="130" t="n">
        <f aca="false">$D$209*IF(T$7-0&gt;=1,INDEX($D$397:$AQ$397,T$7-0),0)+$E$209*IF(T$7-1&gt;=1,INDEX($D$397:$AQ$397,T$7-1),0)+$F$209*IF(T$7-2&gt;=1,INDEX($D$397:$AQ$397,T$7-2),0)+$G$209*IF(T$7-3&gt;=1,INDEX($D$397:$AQ$397,T$7-3),0)+$H$209*IF(T$7-4&gt;=1,INDEX($D$397:$AQ$397,T$7-4),0)+$I$209*IF(T$7-5&gt;=1,INDEX($D$397:$AQ$397,T$7-5),0)+$J$209*IF(T$7-6&gt;=1,INDEX($D$397:$AQ$397,T$7-6),0)+$K$209*IF(T$7-7&gt;=1,INDEX($D$397:$AQ$397,T$7-7),0)+$L$209*IF(T$7-8&gt;=1,INDEX($D$397:$AQ$397,T$7-8),0)+$M$209*IF(T$7-9&gt;=1,INDEX($D$397:$AQ$397,T$7-9),0)+$N$209*IF(T$7-10&gt;=1,INDEX($D$397:$AQ$397,T$7-10),0)+$O$209*IF(T$7-11&gt;=1,INDEX($D$397:$AQ$397,T$7-11),0)+$P$209*IF(T$7-12&gt;=1,INDEX($D$397:$AQ$397,T$7-12),0)</f>
        <v>0</v>
      </c>
      <c r="U399" s="130" t="n">
        <f aca="false">$D$209*IF(U$7-0&gt;=1,INDEX($D$397:$AQ$397,U$7-0),0)+$E$209*IF(U$7-1&gt;=1,INDEX($D$397:$AQ$397,U$7-1),0)+$F$209*IF(U$7-2&gt;=1,INDEX($D$397:$AQ$397,U$7-2),0)+$G$209*IF(U$7-3&gt;=1,INDEX($D$397:$AQ$397,U$7-3),0)+$H$209*IF(U$7-4&gt;=1,INDEX($D$397:$AQ$397,U$7-4),0)+$I$209*IF(U$7-5&gt;=1,INDEX($D$397:$AQ$397,U$7-5),0)+$J$209*IF(U$7-6&gt;=1,INDEX($D$397:$AQ$397,U$7-6),0)+$K$209*IF(U$7-7&gt;=1,INDEX($D$397:$AQ$397,U$7-7),0)+$L$209*IF(U$7-8&gt;=1,INDEX($D$397:$AQ$397,U$7-8),0)+$M$209*IF(U$7-9&gt;=1,INDEX($D$397:$AQ$397,U$7-9),0)+$N$209*IF(U$7-10&gt;=1,INDEX($D$397:$AQ$397,U$7-10),0)+$O$209*IF(U$7-11&gt;=1,INDEX($D$397:$AQ$397,U$7-11),0)+$P$209*IF(U$7-12&gt;=1,INDEX($D$397:$AQ$397,U$7-12),0)</f>
        <v>0</v>
      </c>
      <c r="V399" s="130" t="n">
        <f aca="false">$D$209*IF(V$7-0&gt;=1,INDEX($D$397:$AQ$397,V$7-0),0)+$E$209*IF(V$7-1&gt;=1,INDEX($D$397:$AQ$397,V$7-1),0)+$F$209*IF(V$7-2&gt;=1,INDEX($D$397:$AQ$397,V$7-2),0)+$G$209*IF(V$7-3&gt;=1,INDEX($D$397:$AQ$397,V$7-3),0)+$H$209*IF(V$7-4&gt;=1,INDEX($D$397:$AQ$397,V$7-4),0)+$I$209*IF(V$7-5&gt;=1,INDEX($D$397:$AQ$397,V$7-5),0)+$J$209*IF(V$7-6&gt;=1,INDEX($D$397:$AQ$397,V$7-6),0)+$K$209*IF(V$7-7&gt;=1,INDEX($D$397:$AQ$397,V$7-7),0)+$L$209*IF(V$7-8&gt;=1,INDEX($D$397:$AQ$397,V$7-8),0)+$M$209*IF(V$7-9&gt;=1,INDEX($D$397:$AQ$397,V$7-9),0)+$N$209*IF(V$7-10&gt;=1,INDEX($D$397:$AQ$397,V$7-10),0)+$O$209*IF(V$7-11&gt;=1,INDEX($D$397:$AQ$397,V$7-11),0)+$P$209*IF(V$7-12&gt;=1,INDEX($D$397:$AQ$397,V$7-12),0)</f>
        <v>0</v>
      </c>
      <c r="W399" s="130" t="n">
        <f aca="false">$D$209*IF(W$7-0&gt;=1,INDEX($D$397:$AQ$397,W$7-0),0)+$E$209*IF(W$7-1&gt;=1,INDEX($D$397:$AQ$397,W$7-1),0)+$F$209*IF(W$7-2&gt;=1,INDEX($D$397:$AQ$397,W$7-2),0)+$G$209*IF(W$7-3&gt;=1,INDEX($D$397:$AQ$397,W$7-3),0)+$H$209*IF(W$7-4&gt;=1,INDEX($D$397:$AQ$397,W$7-4),0)+$I$209*IF(W$7-5&gt;=1,INDEX($D$397:$AQ$397,W$7-5),0)+$J$209*IF(W$7-6&gt;=1,INDEX($D$397:$AQ$397,W$7-6),0)+$K$209*IF(W$7-7&gt;=1,INDEX($D$397:$AQ$397,W$7-7),0)+$L$209*IF(W$7-8&gt;=1,INDEX($D$397:$AQ$397,W$7-8),0)+$M$209*IF(W$7-9&gt;=1,INDEX($D$397:$AQ$397,W$7-9),0)+$N$209*IF(W$7-10&gt;=1,INDEX($D$397:$AQ$397,W$7-10),0)+$O$209*IF(W$7-11&gt;=1,INDEX($D$397:$AQ$397,W$7-11),0)+$P$209*IF(W$7-12&gt;=1,INDEX($D$397:$AQ$397,W$7-12),0)</f>
        <v>0</v>
      </c>
      <c r="X399" s="130" t="n">
        <f aca="false">$D$209*IF(X$7-0&gt;=1,INDEX($D$397:$AQ$397,X$7-0),0)+$E$209*IF(X$7-1&gt;=1,INDEX($D$397:$AQ$397,X$7-1),0)+$F$209*IF(X$7-2&gt;=1,INDEX($D$397:$AQ$397,X$7-2),0)+$G$209*IF(X$7-3&gt;=1,INDEX($D$397:$AQ$397,X$7-3),0)+$H$209*IF(X$7-4&gt;=1,INDEX($D$397:$AQ$397,X$7-4),0)+$I$209*IF(X$7-5&gt;=1,INDEX($D$397:$AQ$397,X$7-5),0)+$J$209*IF(X$7-6&gt;=1,INDEX($D$397:$AQ$397,X$7-6),0)+$K$209*IF(X$7-7&gt;=1,INDEX($D$397:$AQ$397,X$7-7),0)+$L$209*IF(X$7-8&gt;=1,INDEX($D$397:$AQ$397,X$7-8),0)+$M$209*IF(X$7-9&gt;=1,INDEX($D$397:$AQ$397,X$7-9),0)+$N$209*IF(X$7-10&gt;=1,INDEX($D$397:$AQ$397,X$7-10),0)+$O$209*IF(X$7-11&gt;=1,INDEX($D$397:$AQ$397,X$7-11),0)+$P$209*IF(X$7-12&gt;=1,INDEX($D$397:$AQ$397,X$7-12),0)</f>
        <v>0</v>
      </c>
      <c r="Y399" s="130" t="n">
        <f aca="false">$D$209*IF(Y$7-0&gt;=1,INDEX($D$397:$AQ$397,Y$7-0),0)+$E$209*IF(Y$7-1&gt;=1,INDEX($D$397:$AQ$397,Y$7-1),0)+$F$209*IF(Y$7-2&gt;=1,INDEX($D$397:$AQ$397,Y$7-2),0)+$G$209*IF(Y$7-3&gt;=1,INDEX($D$397:$AQ$397,Y$7-3),0)+$H$209*IF(Y$7-4&gt;=1,INDEX($D$397:$AQ$397,Y$7-4),0)+$I$209*IF(Y$7-5&gt;=1,INDEX($D$397:$AQ$397,Y$7-5),0)+$J$209*IF(Y$7-6&gt;=1,INDEX($D$397:$AQ$397,Y$7-6),0)+$K$209*IF(Y$7-7&gt;=1,INDEX($D$397:$AQ$397,Y$7-7),0)+$L$209*IF(Y$7-8&gt;=1,INDEX($D$397:$AQ$397,Y$7-8),0)+$M$209*IF(Y$7-9&gt;=1,INDEX($D$397:$AQ$397,Y$7-9),0)+$N$209*IF(Y$7-10&gt;=1,INDEX($D$397:$AQ$397,Y$7-10),0)+$O$209*IF(Y$7-11&gt;=1,INDEX($D$397:$AQ$397,Y$7-11),0)+$P$209*IF(Y$7-12&gt;=1,INDEX($D$397:$AQ$397,Y$7-12),0)</f>
        <v>0</v>
      </c>
      <c r="Z399" s="130" t="n">
        <f aca="false">$D$209*IF(Z$7-0&gt;=1,INDEX($D$397:$AQ$397,Z$7-0),0)+$E$209*IF(Z$7-1&gt;=1,INDEX($D$397:$AQ$397,Z$7-1),0)+$F$209*IF(Z$7-2&gt;=1,INDEX($D$397:$AQ$397,Z$7-2),0)+$G$209*IF(Z$7-3&gt;=1,INDEX($D$397:$AQ$397,Z$7-3),0)+$H$209*IF(Z$7-4&gt;=1,INDEX($D$397:$AQ$397,Z$7-4),0)+$I$209*IF(Z$7-5&gt;=1,INDEX($D$397:$AQ$397,Z$7-5),0)+$J$209*IF(Z$7-6&gt;=1,INDEX($D$397:$AQ$397,Z$7-6),0)+$K$209*IF(Z$7-7&gt;=1,INDEX($D$397:$AQ$397,Z$7-7),0)+$L$209*IF(Z$7-8&gt;=1,INDEX($D$397:$AQ$397,Z$7-8),0)+$M$209*IF(Z$7-9&gt;=1,INDEX($D$397:$AQ$397,Z$7-9),0)+$N$209*IF(Z$7-10&gt;=1,INDEX($D$397:$AQ$397,Z$7-10),0)+$O$209*IF(Z$7-11&gt;=1,INDEX($D$397:$AQ$397,Z$7-11),0)+$P$209*IF(Z$7-12&gt;=1,INDEX($D$397:$AQ$397,Z$7-12),0)</f>
        <v>0</v>
      </c>
      <c r="AA399" s="130" t="n">
        <f aca="false">$D$209*IF(AA$7-0&gt;=1,INDEX($D$397:$AQ$397,AA$7-0),0)+$E$209*IF(AA$7-1&gt;=1,INDEX($D$397:$AQ$397,AA$7-1),0)+$F$209*IF(AA$7-2&gt;=1,INDEX($D$397:$AQ$397,AA$7-2),0)+$G$209*IF(AA$7-3&gt;=1,INDEX($D$397:$AQ$397,AA$7-3),0)+$H$209*IF(AA$7-4&gt;=1,INDEX($D$397:$AQ$397,AA$7-4),0)+$I$209*IF(AA$7-5&gt;=1,INDEX($D$397:$AQ$397,AA$7-5),0)+$J$209*IF(AA$7-6&gt;=1,INDEX($D$397:$AQ$397,AA$7-6),0)+$K$209*IF(AA$7-7&gt;=1,INDEX($D$397:$AQ$397,AA$7-7),0)+$L$209*IF(AA$7-8&gt;=1,INDEX($D$397:$AQ$397,AA$7-8),0)+$M$209*IF(AA$7-9&gt;=1,INDEX($D$397:$AQ$397,AA$7-9),0)+$N$209*IF(AA$7-10&gt;=1,INDEX($D$397:$AQ$397,AA$7-10),0)+$O$209*IF(AA$7-11&gt;=1,INDEX($D$397:$AQ$397,AA$7-11),0)+$P$209*IF(AA$7-12&gt;=1,INDEX($D$397:$AQ$397,AA$7-12),0)</f>
        <v>0</v>
      </c>
      <c r="AB399" s="130" t="n">
        <f aca="false">$D$209*IF(AB$7-0&gt;=1,INDEX($D$397:$AQ$397,AB$7-0),0)+$E$209*IF(AB$7-1&gt;=1,INDEX($D$397:$AQ$397,AB$7-1),0)+$F$209*IF(AB$7-2&gt;=1,INDEX($D$397:$AQ$397,AB$7-2),0)+$G$209*IF(AB$7-3&gt;=1,INDEX($D$397:$AQ$397,AB$7-3),0)+$H$209*IF(AB$7-4&gt;=1,INDEX($D$397:$AQ$397,AB$7-4),0)+$I$209*IF(AB$7-5&gt;=1,INDEX($D$397:$AQ$397,AB$7-5),0)+$J$209*IF(AB$7-6&gt;=1,INDEX($D$397:$AQ$397,AB$7-6),0)+$K$209*IF(AB$7-7&gt;=1,INDEX($D$397:$AQ$397,AB$7-7),0)+$L$209*IF(AB$7-8&gt;=1,INDEX($D$397:$AQ$397,AB$7-8),0)+$M$209*IF(AB$7-9&gt;=1,INDEX($D$397:$AQ$397,AB$7-9),0)+$N$209*IF(AB$7-10&gt;=1,INDEX($D$397:$AQ$397,AB$7-10),0)+$O$209*IF(AB$7-11&gt;=1,INDEX($D$397:$AQ$397,AB$7-11),0)+$P$209*IF(AB$7-12&gt;=1,INDEX($D$397:$AQ$397,AB$7-12),0)</f>
        <v>0</v>
      </c>
      <c r="AC399" s="130" t="n">
        <f aca="false">$D$209*IF(AC$7-0&gt;=1,INDEX($D$397:$AQ$397,AC$7-0),0)+$E$209*IF(AC$7-1&gt;=1,INDEX($D$397:$AQ$397,AC$7-1),0)+$F$209*IF(AC$7-2&gt;=1,INDEX($D$397:$AQ$397,AC$7-2),0)+$G$209*IF(AC$7-3&gt;=1,INDEX($D$397:$AQ$397,AC$7-3),0)+$H$209*IF(AC$7-4&gt;=1,INDEX($D$397:$AQ$397,AC$7-4),0)+$I$209*IF(AC$7-5&gt;=1,INDEX($D$397:$AQ$397,AC$7-5),0)+$J$209*IF(AC$7-6&gt;=1,INDEX($D$397:$AQ$397,AC$7-6),0)+$K$209*IF(AC$7-7&gt;=1,INDEX($D$397:$AQ$397,AC$7-7),0)+$L$209*IF(AC$7-8&gt;=1,INDEX($D$397:$AQ$397,AC$7-8),0)+$M$209*IF(AC$7-9&gt;=1,INDEX($D$397:$AQ$397,AC$7-9),0)+$N$209*IF(AC$7-10&gt;=1,INDEX($D$397:$AQ$397,AC$7-10),0)+$O$209*IF(AC$7-11&gt;=1,INDEX($D$397:$AQ$397,AC$7-11),0)+$P$209*IF(AC$7-12&gt;=1,INDEX($D$397:$AQ$397,AC$7-12),0)</f>
        <v>0</v>
      </c>
      <c r="AD399" s="130" t="n">
        <f aca="false">$D$209*IF(AD$7-0&gt;=1,INDEX($D$397:$AQ$397,AD$7-0),0)+$E$209*IF(AD$7-1&gt;=1,INDEX($D$397:$AQ$397,AD$7-1),0)+$F$209*IF(AD$7-2&gt;=1,INDEX($D$397:$AQ$397,AD$7-2),0)+$G$209*IF(AD$7-3&gt;=1,INDEX($D$397:$AQ$397,AD$7-3),0)+$H$209*IF(AD$7-4&gt;=1,INDEX($D$397:$AQ$397,AD$7-4),0)+$I$209*IF(AD$7-5&gt;=1,INDEX($D$397:$AQ$397,AD$7-5),0)+$J$209*IF(AD$7-6&gt;=1,INDEX($D$397:$AQ$397,AD$7-6),0)+$K$209*IF(AD$7-7&gt;=1,INDEX($D$397:$AQ$397,AD$7-7),0)+$L$209*IF(AD$7-8&gt;=1,INDEX($D$397:$AQ$397,AD$7-8),0)+$M$209*IF(AD$7-9&gt;=1,INDEX($D$397:$AQ$397,AD$7-9),0)+$N$209*IF(AD$7-10&gt;=1,INDEX($D$397:$AQ$397,AD$7-10),0)+$O$209*IF(AD$7-11&gt;=1,INDEX($D$397:$AQ$397,AD$7-11),0)+$P$209*IF(AD$7-12&gt;=1,INDEX($D$397:$AQ$397,AD$7-12),0)</f>
        <v>0</v>
      </c>
      <c r="AE399" s="130" t="n">
        <f aca="false">$D$209*IF(AE$7-0&gt;=1,INDEX($D$397:$AQ$397,AE$7-0),0)+$E$209*IF(AE$7-1&gt;=1,INDEX($D$397:$AQ$397,AE$7-1),0)+$F$209*IF(AE$7-2&gt;=1,INDEX($D$397:$AQ$397,AE$7-2),0)+$G$209*IF(AE$7-3&gt;=1,INDEX($D$397:$AQ$397,AE$7-3),0)+$H$209*IF(AE$7-4&gt;=1,INDEX($D$397:$AQ$397,AE$7-4),0)+$I$209*IF(AE$7-5&gt;=1,INDEX($D$397:$AQ$397,AE$7-5),0)+$J$209*IF(AE$7-6&gt;=1,INDEX($D$397:$AQ$397,AE$7-6),0)+$K$209*IF(AE$7-7&gt;=1,INDEX($D$397:$AQ$397,AE$7-7),0)+$L$209*IF(AE$7-8&gt;=1,INDEX($D$397:$AQ$397,AE$7-8),0)+$M$209*IF(AE$7-9&gt;=1,INDEX($D$397:$AQ$397,AE$7-9),0)+$N$209*IF(AE$7-10&gt;=1,INDEX($D$397:$AQ$397,AE$7-10),0)+$O$209*IF(AE$7-11&gt;=1,INDEX($D$397:$AQ$397,AE$7-11),0)+$P$209*IF(AE$7-12&gt;=1,INDEX($D$397:$AQ$397,AE$7-12),0)</f>
        <v>0</v>
      </c>
      <c r="AF399" s="130" t="n">
        <f aca="false">$D$209*IF(AF$7-0&gt;=1,INDEX($D$397:$AQ$397,AF$7-0),0)+$E$209*IF(AF$7-1&gt;=1,INDEX($D$397:$AQ$397,AF$7-1),0)+$F$209*IF(AF$7-2&gt;=1,INDEX($D$397:$AQ$397,AF$7-2),0)+$G$209*IF(AF$7-3&gt;=1,INDEX($D$397:$AQ$397,AF$7-3),0)+$H$209*IF(AF$7-4&gt;=1,INDEX($D$397:$AQ$397,AF$7-4),0)+$I$209*IF(AF$7-5&gt;=1,INDEX($D$397:$AQ$397,AF$7-5),0)+$J$209*IF(AF$7-6&gt;=1,INDEX($D$397:$AQ$397,AF$7-6),0)+$K$209*IF(AF$7-7&gt;=1,INDEX($D$397:$AQ$397,AF$7-7),0)+$L$209*IF(AF$7-8&gt;=1,INDEX($D$397:$AQ$397,AF$7-8),0)+$M$209*IF(AF$7-9&gt;=1,INDEX($D$397:$AQ$397,AF$7-9),0)+$N$209*IF(AF$7-10&gt;=1,INDEX($D$397:$AQ$397,AF$7-10),0)+$O$209*IF(AF$7-11&gt;=1,INDEX($D$397:$AQ$397,AF$7-11),0)+$P$209*IF(AF$7-12&gt;=1,INDEX($D$397:$AQ$397,AF$7-12),0)</f>
        <v>0</v>
      </c>
      <c r="AG399" s="130" t="n">
        <f aca="false">$D$209*IF(AG$7-0&gt;=1,INDEX($D$397:$AQ$397,AG$7-0),0)+$E$209*IF(AG$7-1&gt;=1,INDEX($D$397:$AQ$397,AG$7-1),0)+$F$209*IF(AG$7-2&gt;=1,INDEX($D$397:$AQ$397,AG$7-2),0)+$G$209*IF(AG$7-3&gt;=1,INDEX($D$397:$AQ$397,AG$7-3),0)+$H$209*IF(AG$7-4&gt;=1,INDEX($D$397:$AQ$397,AG$7-4),0)+$I$209*IF(AG$7-5&gt;=1,INDEX($D$397:$AQ$397,AG$7-5),0)+$J$209*IF(AG$7-6&gt;=1,INDEX($D$397:$AQ$397,AG$7-6),0)+$K$209*IF(AG$7-7&gt;=1,INDEX($D$397:$AQ$397,AG$7-7),0)+$L$209*IF(AG$7-8&gt;=1,INDEX($D$397:$AQ$397,AG$7-8),0)+$M$209*IF(AG$7-9&gt;=1,INDEX($D$397:$AQ$397,AG$7-9),0)+$N$209*IF(AG$7-10&gt;=1,INDEX($D$397:$AQ$397,AG$7-10),0)+$O$209*IF(AG$7-11&gt;=1,INDEX($D$397:$AQ$397,AG$7-11),0)+$P$209*IF(AG$7-12&gt;=1,INDEX($D$397:$AQ$397,AG$7-12),0)</f>
        <v>0</v>
      </c>
      <c r="AH399" s="130" t="n">
        <f aca="false">$D$209*IF(AH$7-0&gt;=1,INDEX($D$397:$AQ$397,AH$7-0),0)+$E$209*IF(AH$7-1&gt;=1,INDEX($D$397:$AQ$397,AH$7-1),0)+$F$209*IF(AH$7-2&gt;=1,INDEX($D$397:$AQ$397,AH$7-2),0)+$G$209*IF(AH$7-3&gt;=1,INDEX($D$397:$AQ$397,AH$7-3),0)+$H$209*IF(AH$7-4&gt;=1,INDEX($D$397:$AQ$397,AH$7-4),0)+$I$209*IF(AH$7-5&gt;=1,INDEX($D$397:$AQ$397,AH$7-5),0)+$J$209*IF(AH$7-6&gt;=1,INDEX($D$397:$AQ$397,AH$7-6),0)+$K$209*IF(AH$7-7&gt;=1,INDEX($D$397:$AQ$397,AH$7-7),0)+$L$209*IF(AH$7-8&gt;=1,INDEX($D$397:$AQ$397,AH$7-8),0)+$M$209*IF(AH$7-9&gt;=1,INDEX($D$397:$AQ$397,AH$7-9),0)+$N$209*IF(AH$7-10&gt;=1,INDEX($D$397:$AQ$397,AH$7-10),0)+$O$209*IF(AH$7-11&gt;=1,INDEX($D$397:$AQ$397,AH$7-11),0)+$P$209*IF(AH$7-12&gt;=1,INDEX($D$397:$AQ$397,AH$7-12),0)</f>
        <v>0</v>
      </c>
      <c r="AI399" s="130" t="n">
        <f aca="false">$D$209*IF(AI$7-0&gt;=1,INDEX($D$397:$AQ$397,AI$7-0),0)+$E$209*IF(AI$7-1&gt;=1,INDEX($D$397:$AQ$397,AI$7-1),0)+$F$209*IF(AI$7-2&gt;=1,INDEX($D$397:$AQ$397,AI$7-2),0)+$G$209*IF(AI$7-3&gt;=1,INDEX($D$397:$AQ$397,AI$7-3),0)+$H$209*IF(AI$7-4&gt;=1,INDEX($D$397:$AQ$397,AI$7-4),0)+$I$209*IF(AI$7-5&gt;=1,INDEX($D$397:$AQ$397,AI$7-5),0)+$J$209*IF(AI$7-6&gt;=1,INDEX($D$397:$AQ$397,AI$7-6),0)+$K$209*IF(AI$7-7&gt;=1,INDEX($D$397:$AQ$397,AI$7-7),0)+$L$209*IF(AI$7-8&gt;=1,INDEX($D$397:$AQ$397,AI$7-8),0)+$M$209*IF(AI$7-9&gt;=1,INDEX($D$397:$AQ$397,AI$7-9),0)+$N$209*IF(AI$7-10&gt;=1,INDEX($D$397:$AQ$397,AI$7-10),0)+$O$209*IF(AI$7-11&gt;=1,INDEX($D$397:$AQ$397,AI$7-11),0)+$P$209*IF(AI$7-12&gt;=1,INDEX($D$397:$AQ$397,AI$7-12),0)</f>
        <v>0</v>
      </c>
      <c r="AJ399" s="130" t="n">
        <f aca="false">$D$209*IF(AJ$7-0&gt;=1,INDEX($D$397:$AQ$397,AJ$7-0),0)+$E$209*IF(AJ$7-1&gt;=1,INDEX($D$397:$AQ$397,AJ$7-1),0)+$F$209*IF(AJ$7-2&gt;=1,INDEX($D$397:$AQ$397,AJ$7-2),0)+$G$209*IF(AJ$7-3&gt;=1,INDEX($D$397:$AQ$397,AJ$7-3),0)+$H$209*IF(AJ$7-4&gt;=1,INDEX($D$397:$AQ$397,AJ$7-4),0)+$I$209*IF(AJ$7-5&gt;=1,INDEX($D$397:$AQ$397,AJ$7-5),0)+$J$209*IF(AJ$7-6&gt;=1,INDEX($D$397:$AQ$397,AJ$7-6),0)+$K$209*IF(AJ$7-7&gt;=1,INDEX($D$397:$AQ$397,AJ$7-7),0)+$L$209*IF(AJ$7-8&gt;=1,INDEX($D$397:$AQ$397,AJ$7-8),0)+$M$209*IF(AJ$7-9&gt;=1,INDEX($D$397:$AQ$397,AJ$7-9),0)+$N$209*IF(AJ$7-10&gt;=1,INDEX($D$397:$AQ$397,AJ$7-10),0)+$O$209*IF(AJ$7-11&gt;=1,INDEX($D$397:$AQ$397,AJ$7-11),0)+$P$209*IF(AJ$7-12&gt;=1,INDEX($D$397:$AQ$397,AJ$7-12),0)</f>
        <v>0</v>
      </c>
      <c r="AK399" s="130" t="n">
        <f aca="false">$D$209*IF(AK$7-0&gt;=1,INDEX($D$397:$AQ$397,AK$7-0),0)+$E$209*IF(AK$7-1&gt;=1,INDEX($D$397:$AQ$397,AK$7-1),0)+$F$209*IF(AK$7-2&gt;=1,INDEX($D$397:$AQ$397,AK$7-2),0)+$G$209*IF(AK$7-3&gt;=1,INDEX($D$397:$AQ$397,AK$7-3),0)+$H$209*IF(AK$7-4&gt;=1,INDEX($D$397:$AQ$397,AK$7-4),0)+$I$209*IF(AK$7-5&gt;=1,INDEX($D$397:$AQ$397,AK$7-5),0)+$J$209*IF(AK$7-6&gt;=1,INDEX($D$397:$AQ$397,AK$7-6),0)+$K$209*IF(AK$7-7&gt;=1,INDEX($D$397:$AQ$397,AK$7-7),0)+$L$209*IF(AK$7-8&gt;=1,INDEX($D$397:$AQ$397,AK$7-8),0)+$M$209*IF(AK$7-9&gt;=1,INDEX($D$397:$AQ$397,AK$7-9),0)+$N$209*IF(AK$7-10&gt;=1,INDEX($D$397:$AQ$397,AK$7-10),0)+$O$209*IF(AK$7-11&gt;=1,INDEX($D$397:$AQ$397,AK$7-11),0)+$P$209*IF(AK$7-12&gt;=1,INDEX($D$397:$AQ$397,AK$7-12),0)</f>
        <v>0</v>
      </c>
      <c r="AL399" s="130" t="n">
        <f aca="false">$D$209*IF(AL$7-0&gt;=1,INDEX($D$397:$AQ$397,AL$7-0),0)+$E$209*IF(AL$7-1&gt;=1,INDEX($D$397:$AQ$397,AL$7-1),0)+$F$209*IF(AL$7-2&gt;=1,INDEX($D$397:$AQ$397,AL$7-2),0)+$G$209*IF(AL$7-3&gt;=1,INDEX($D$397:$AQ$397,AL$7-3),0)+$H$209*IF(AL$7-4&gt;=1,INDEX($D$397:$AQ$397,AL$7-4),0)+$I$209*IF(AL$7-5&gt;=1,INDEX($D$397:$AQ$397,AL$7-5),0)+$J$209*IF(AL$7-6&gt;=1,INDEX($D$397:$AQ$397,AL$7-6),0)+$K$209*IF(AL$7-7&gt;=1,INDEX($D$397:$AQ$397,AL$7-7),0)+$L$209*IF(AL$7-8&gt;=1,INDEX($D$397:$AQ$397,AL$7-8),0)+$M$209*IF(AL$7-9&gt;=1,INDEX($D$397:$AQ$397,AL$7-9),0)+$N$209*IF(AL$7-10&gt;=1,INDEX($D$397:$AQ$397,AL$7-10),0)+$O$209*IF(AL$7-11&gt;=1,INDEX($D$397:$AQ$397,AL$7-11),0)+$P$209*IF(AL$7-12&gt;=1,INDEX($D$397:$AQ$397,AL$7-12),0)</f>
        <v>0</v>
      </c>
      <c r="AM399" s="130" t="n">
        <f aca="false">$D$209*IF(AM$7-0&gt;=1,INDEX($D$397:$AQ$397,AM$7-0),0)+$E$209*IF(AM$7-1&gt;=1,INDEX($D$397:$AQ$397,AM$7-1),0)+$F$209*IF(AM$7-2&gt;=1,INDEX($D$397:$AQ$397,AM$7-2),0)+$G$209*IF(AM$7-3&gt;=1,INDEX($D$397:$AQ$397,AM$7-3),0)+$H$209*IF(AM$7-4&gt;=1,INDEX($D$397:$AQ$397,AM$7-4),0)+$I$209*IF(AM$7-5&gt;=1,INDEX($D$397:$AQ$397,AM$7-5),0)+$J$209*IF(AM$7-6&gt;=1,INDEX($D$397:$AQ$397,AM$7-6),0)+$K$209*IF(AM$7-7&gt;=1,INDEX($D$397:$AQ$397,AM$7-7),0)+$L$209*IF(AM$7-8&gt;=1,INDEX($D$397:$AQ$397,AM$7-8),0)+$M$209*IF(AM$7-9&gt;=1,INDEX($D$397:$AQ$397,AM$7-9),0)+$N$209*IF(AM$7-10&gt;=1,INDEX($D$397:$AQ$397,AM$7-10),0)+$O$209*IF(AM$7-11&gt;=1,INDEX($D$397:$AQ$397,AM$7-11),0)+$P$209*IF(AM$7-12&gt;=1,INDEX($D$397:$AQ$397,AM$7-12),0)</f>
        <v>0</v>
      </c>
      <c r="AN399" s="130" t="n">
        <f aca="false">$D$209*IF(AN$7-0&gt;=1,INDEX($D$397:$AQ$397,AN$7-0),0)+$E$209*IF(AN$7-1&gt;=1,INDEX($D$397:$AQ$397,AN$7-1),0)+$F$209*IF(AN$7-2&gt;=1,INDEX($D$397:$AQ$397,AN$7-2),0)+$G$209*IF(AN$7-3&gt;=1,INDEX($D$397:$AQ$397,AN$7-3),0)+$H$209*IF(AN$7-4&gt;=1,INDEX($D$397:$AQ$397,AN$7-4),0)+$I$209*IF(AN$7-5&gt;=1,INDEX($D$397:$AQ$397,AN$7-5),0)+$J$209*IF(AN$7-6&gt;=1,INDEX($D$397:$AQ$397,AN$7-6),0)+$K$209*IF(AN$7-7&gt;=1,INDEX($D$397:$AQ$397,AN$7-7),0)+$L$209*IF(AN$7-8&gt;=1,INDEX($D$397:$AQ$397,AN$7-8),0)+$M$209*IF(AN$7-9&gt;=1,INDEX($D$397:$AQ$397,AN$7-9),0)+$N$209*IF(AN$7-10&gt;=1,INDEX($D$397:$AQ$397,AN$7-10),0)+$O$209*IF(AN$7-11&gt;=1,INDEX($D$397:$AQ$397,AN$7-11),0)+$P$209*IF(AN$7-12&gt;=1,INDEX($D$397:$AQ$397,AN$7-12),0)</f>
        <v>0</v>
      </c>
      <c r="AO399" s="130" t="n">
        <f aca="false">$D$209*IF(AO$7-0&gt;=1,INDEX($D$397:$AQ$397,AO$7-0),0)+$E$209*IF(AO$7-1&gt;=1,INDEX($D$397:$AQ$397,AO$7-1),0)+$F$209*IF(AO$7-2&gt;=1,INDEX($D$397:$AQ$397,AO$7-2),0)+$G$209*IF(AO$7-3&gt;=1,INDEX($D$397:$AQ$397,AO$7-3),0)+$H$209*IF(AO$7-4&gt;=1,INDEX($D$397:$AQ$397,AO$7-4),0)+$I$209*IF(AO$7-5&gt;=1,INDEX($D$397:$AQ$397,AO$7-5),0)+$J$209*IF(AO$7-6&gt;=1,INDEX($D$397:$AQ$397,AO$7-6),0)+$K$209*IF(AO$7-7&gt;=1,INDEX($D$397:$AQ$397,AO$7-7),0)+$L$209*IF(AO$7-8&gt;=1,INDEX($D$397:$AQ$397,AO$7-8),0)+$M$209*IF(AO$7-9&gt;=1,INDEX($D$397:$AQ$397,AO$7-9),0)+$N$209*IF(AO$7-10&gt;=1,INDEX($D$397:$AQ$397,AO$7-10),0)+$O$209*IF(AO$7-11&gt;=1,INDEX($D$397:$AQ$397,AO$7-11),0)+$P$209*IF(AO$7-12&gt;=1,INDEX($D$397:$AQ$397,AO$7-12),0)</f>
        <v>0</v>
      </c>
      <c r="AP399" s="130" t="n">
        <f aca="false">$D$209*IF(AP$7-0&gt;=1,INDEX($D$397:$AQ$397,AP$7-0),0)+$E$209*IF(AP$7-1&gt;=1,INDEX($D$397:$AQ$397,AP$7-1),0)+$F$209*IF(AP$7-2&gt;=1,INDEX($D$397:$AQ$397,AP$7-2),0)+$G$209*IF(AP$7-3&gt;=1,INDEX($D$397:$AQ$397,AP$7-3),0)+$H$209*IF(AP$7-4&gt;=1,INDEX($D$397:$AQ$397,AP$7-4),0)+$I$209*IF(AP$7-5&gt;=1,INDEX($D$397:$AQ$397,AP$7-5),0)+$J$209*IF(AP$7-6&gt;=1,INDEX($D$397:$AQ$397,AP$7-6),0)+$K$209*IF(AP$7-7&gt;=1,INDEX($D$397:$AQ$397,AP$7-7),0)+$L$209*IF(AP$7-8&gt;=1,INDEX($D$397:$AQ$397,AP$7-8),0)+$M$209*IF(AP$7-9&gt;=1,INDEX($D$397:$AQ$397,AP$7-9),0)+$N$209*IF(AP$7-10&gt;=1,INDEX($D$397:$AQ$397,AP$7-10),0)+$O$209*IF(AP$7-11&gt;=1,INDEX($D$397:$AQ$397,AP$7-11),0)+$P$209*IF(AP$7-12&gt;=1,INDEX($D$397:$AQ$397,AP$7-12),0)</f>
        <v>0</v>
      </c>
      <c r="AQ399" s="130" t="n">
        <f aca="false">$D$209*IF(AQ$7-0&gt;=1,INDEX($D$397:$AQ$397,AQ$7-0),0)+$E$209*IF(AQ$7-1&gt;=1,INDEX($D$397:$AQ$397,AQ$7-1),0)+$F$209*IF(AQ$7-2&gt;=1,INDEX($D$397:$AQ$397,AQ$7-2),0)+$G$209*IF(AQ$7-3&gt;=1,INDEX($D$397:$AQ$397,AQ$7-3),0)+$H$209*IF(AQ$7-4&gt;=1,INDEX($D$397:$AQ$397,AQ$7-4),0)+$I$209*IF(AQ$7-5&gt;=1,INDEX($D$397:$AQ$397,AQ$7-5),0)+$J$209*IF(AQ$7-6&gt;=1,INDEX($D$397:$AQ$397,AQ$7-6),0)+$K$209*IF(AQ$7-7&gt;=1,INDEX($D$397:$AQ$397,AQ$7-7),0)+$L$209*IF(AQ$7-8&gt;=1,INDEX($D$397:$AQ$397,AQ$7-8),0)+$M$209*IF(AQ$7-9&gt;=1,INDEX($D$397:$AQ$397,AQ$7-9),0)+$N$209*IF(AQ$7-10&gt;=1,INDEX($D$397:$AQ$397,AQ$7-10),0)+$O$209*IF(AQ$7-11&gt;=1,INDEX($D$397:$AQ$397,AQ$7-11),0)+$P$209*IF(AQ$7-12&gt;=1,INDEX($D$397:$AQ$397,AQ$7-12),0)</f>
        <v>0</v>
      </c>
    </row>
    <row r="400" customFormat="false" ht="15" hidden="false" customHeight="false" outlineLevel="0" collapsed="false">
      <c r="B400" s="131" t="s">
        <v>715</v>
      </c>
      <c r="C400" s="129" t="n">
        <f aca="false">SUM(D400:AQ400)</f>
        <v>0</v>
      </c>
      <c r="D400" s="130" t="n">
        <f aca="false">SUMIFS($E$179:$E$208,$C$179:$C$208,"Construction % complete",$F$179:$F$208,D$7)*IF(D$7-INPUTS!$C$215&gt;=1,INDEX($D$398:$AQ$398,D$7-INPUTS!$C$215),0)+SUMIFS($E$179:$E$208,$C$179:$C$208,"Construction % complete",$F$179:$F$208,"&lt;"&amp;D$7)*IF(D$7-INPUTS!$C$215&gt;=1,INDEX($D$397:$AQ$397,D$7-INPUTS!$C$215),0)</f>
        <v>0</v>
      </c>
      <c r="E400" s="130" t="n">
        <f aca="false">SUMIFS($E$179:$E$208,$C$179:$C$208,"Construction % complete",$F$179:$F$208,E$7)*IF(E$7-INPUTS!$C$215&gt;=1,INDEX($D$398:$AQ$398,E$7-INPUTS!$C$215),0)+SUMIFS($E$179:$E$208,$C$179:$C$208,"Construction % complete",$F$179:$F$208,"&lt;"&amp;E$7)*IF(E$7-INPUTS!$C$215&gt;=1,INDEX($D$397:$AQ$397,E$7-INPUTS!$C$215),0)</f>
        <v>0</v>
      </c>
      <c r="F400" s="130" t="n">
        <f aca="false">SUMIFS($E$179:$E$208,$C$179:$C$208,"Construction % complete",$F$179:$F$208,F$7)*IF(F$7-INPUTS!$C$215&gt;=1,INDEX($D$398:$AQ$398,F$7-INPUTS!$C$215),0)+SUMIFS($E$179:$E$208,$C$179:$C$208,"Construction % complete",$F$179:$F$208,"&lt;"&amp;F$7)*IF(F$7-INPUTS!$C$215&gt;=1,INDEX($D$397:$AQ$397,F$7-INPUTS!$C$215),0)</f>
        <v>0</v>
      </c>
      <c r="G400" s="130" t="n">
        <f aca="false">SUMIFS($E$179:$E$208,$C$179:$C$208,"Construction % complete",$F$179:$F$208,G$7)*IF(G$7-INPUTS!$C$215&gt;=1,INDEX($D$398:$AQ$398,G$7-INPUTS!$C$215),0)+SUMIFS($E$179:$E$208,$C$179:$C$208,"Construction % complete",$F$179:$F$208,"&lt;"&amp;G$7)*IF(G$7-INPUTS!$C$215&gt;=1,INDEX($D$397:$AQ$397,G$7-INPUTS!$C$215),0)</f>
        <v>0</v>
      </c>
      <c r="H400" s="130" t="n">
        <f aca="false">SUMIFS($E$179:$E$208,$C$179:$C$208,"Construction % complete",$F$179:$F$208,H$7)*IF(H$7-INPUTS!$C$215&gt;=1,INDEX($D$398:$AQ$398,H$7-INPUTS!$C$215),0)+SUMIFS($E$179:$E$208,$C$179:$C$208,"Construction % complete",$F$179:$F$208,"&lt;"&amp;H$7)*IF(H$7-INPUTS!$C$215&gt;=1,INDEX($D$397:$AQ$397,H$7-INPUTS!$C$215),0)</f>
        <v>0</v>
      </c>
      <c r="I400" s="130" t="n">
        <f aca="false">SUMIFS($E$179:$E$208,$C$179:$C$208,"Construction % complete",$F$179:$F$208,I$7)*IF(I$7-INPUTS!$C$215&gt;=1,INDEX($D$398:$AQ$398,I$7-INPUTS!$C$215),0)+SUMIFS($E$179:$E$208,$C$179:$C$208,"Construction % complete",$F$179:$F$208,"&lt;"&amp;I$7)*IF(I$7-INPUTS!$C$215&gt;=1,INDEX($D$397:$AQ$397,I$7-INPUTS!$C$215),0)</f>
        <v>0</v>
      </c>
      <c r="J400" s="130" t="n">
        <f aca="false">SUMIFS($E$179:$E$208,$C$179:$C$208,"Construction % complete",$F$179:$F$208,J$7)*IF(J$7-INPUTS!$C$215&gt;=1,INDEX($D$398:$AQ$398,J$7-INPUTS!$C$215),0)+SUMIFS($E$179:$E$208,$C$179:$C$208,"Construction % complete",$F$179:$F$208,"&lt;"&amp;J$7)*IF(J$7-INPUTS!$C$215&gt;=1,INDEX($D$397:$AQ$397,J$7-INPUTS!$C$215),0)</f>
        <v>0</v>
      </c>
      <c r="K400" s="130" t="n">
        <f aca="false">SUMIFS($E$179:$E$208,$C$179:$C$208,"Construction % complete",$F$179:$F$208,K$7)*IF(K$7-INPUTS!$C$215&gt;=1,INDEX($D$398:$AQ$398,K$7-INPUTS!$C$215),0)+SUMIFS($E$179:$E$208,$C$179:$C$208,"Construction % complete",$F$179:$F$208,"&lt;"&amp;K$7)*IF(K$7-INPUTS!$C$215&gt;=1,INDEX($D$397:$AQ$397,K$7-INPUTS!$C$215),0)</f>
        <v>0</v>
      </c>
      <c r="L400" s="130" t="n">
        <f aca="false">SUMIFS($E$179:$E$208,$C$179:$C$208,"Construction % complete",$F$179:$F$208,L$7)*IF(L$7-INPUTS!$C$215&gt;=1,INDEX($D$398:$AQ$398,L$7-INPUTS!$C$215),0)+SUMIFS($E$179:$E$208,$C$179:$C$208,"Construction % complete",$F$179:$F$208,"&lt;"&amp;L$7)*IF(L$7-INPUTS!$C$215&gt;=1,INDEX($D$397:$AQ$397,L$7-INPUTS!$C$215),0)</f>
        <v>0</v>
      </c>
      <c r="M400" s="130" t="n">
        <f aca="false">SUMIFS($E$179:$E$208,$C$179:$C$208,"Construction % complete",$F$179:$F$208,M$7)*IF(M$7-INPUTS!$C$215&gt;=1,INDEX($D$398:$AQ$398,M$7-INPUTS!$C$215),0)+SUMIFS($E$179:$E$208,$C$179:$C$208,"Construction % complete",$F$179:$F$208,"&lt;"&amp;M$7)*IF(M$7-INPUTS!$C$215&gt;=1,INDEX($D$397:$AQ$397,M$7-INPUTS!$C$215),0)</f>
        <v>0</v>
      </c>
      <c r="N400" s="130" t="n">
        <f aca="false">SUMIFS($E$179:$E$208,$C$179:$C$208,"Construction % complete",$F$179:$F$208,N$7)*IF(N$7-INPUTS!$C$215&gt;=1,INDEX($D$398:$AQ$398,N$7-INPUTS!$C$215),0)+SUMIFS($E$179:$E$208,$C$179:$C$208,"Construction % complete",$F$179:$F$208,"&lt;"&amp;N$7)*IF(N$7-INPUTS!$C$215&gt;=1,INDEX($D$397:$AQ$397,N$7-INPUTS!$C$215),0)</f>
        <v>0</v>
      </c>
      <c r="O400" s="130" t="n">
        <f aca="false">SUMIFS($E$179:$E$208,$C$179:$C$208,"Construction % complete",$F$179:$F$208,O$7)*IF(O$7-INPUTS!$C$215&gt;=1,INDEX($D$398:$AQ$398,O$7-INPUTS!$C$215),0)+SUMIFS($E$179:$E$208,$C$179:$C$208,"Construction % complete",$F$179:$F$208,"&lt;"&amp;O$7)*IF(O$7-INPUTS!$C$215&gt;=1,INDEX($D$397:$AQ$397,O$7-INPUTS!$C$215),0)</f>
        <v>0</v>
      </c>
      <c r="P400" s="130" t="n">
        <f aca="false">SUMIFS($E$179:$E$208,$C$179:$C$208,"Construction % complete",$F$179:$F$208,P$7)*IF(P$7-INPUTS!$C$215&gt;=1,INDEX($D$398:$AQ$398,P$7-INPUTS!$C$215),0)+SUMIFS($E$179:$E$208,$C$179:$C$208,"Construction % complete",$F$179:$F$208,"&lt;"&amp;P$7)*IF(P$7-INPUTS!$C$215&gt;=1,INDEX($D$397:$AQ$397,P$7-INPUTS!$C$215),0)</f>
        <v>0</v>
      </c>
      <c r="Q400" s="130" t="n">
        <f aca="false">SUMIFS($E$179:$E$208,$C$179:$C$208,"Construction % complete",$F$179:$F$208,Q$7)*IF(Q$7-INPUTS!$C$215&gt;=1,INDEX($D$398:$AQ$398,Q$7-INPUTS!$C$215),0)+SUMIFS($E$179:$E$208,$C$179:$C$208,"Construction % complete",$F$179:$F$208,"&lt;"&amp;Q$7)*IF(Q$7-INPUTS!$C$215&gt;=1,INDEX($D$397:$AQ$397,Q$7-INPUTS!$C$215),0)</f>
        <v>0</v>
      </c>
      <c r="R400" s="130" t="n">
        <f aca="false">SUMIFS($E$179:$E$208,$C$179:$C$208,"Construction % complete",$F$179:$F$208,R$7)*IF(R$7-INPUTS!$C$215&gt;=1,INDEX($D$398:$AQ$398,R$7-INPUTS!$C$215),0)+SUMIFS($E$179:$E$208,$C$179:$C$208,"Construction % complete",$F$179:$F$208,"&lt;"&amp;R$7)*IF(R$7-INPUTS!$C$215&gt;=1,INDEX($D$397:$AQ$397,R$7-INPUTS!$C$215),0)</f>
        <v>0</v>
      </c>
      <c r="S400" s="130" t="n">
        <f aca="false">SUMIFS($E$179:$E$208,$C$179:$C$208,"Construction % complete",$F$179:$F$208,S$7)*IF(S$7-INPUTS!$C$215&gt;=1,INDEX($D$398:$AQ$398,S$7-INPUTS!$C$215),0)+SUMIFS($E$179:$E$208,$C$179:$C$208,"Construction % complete",$F$179:$F$208,"&lt;"&amp;S$7)*IF(S$7-INPUTS!$C$215&gt;=1,INDEX($D$397:$AQ$397,S$7-INPUTS!$C$215),0)</f>
        <v>0</v>
      </c>
      <c r="T400" s="130" t="n">
        <f aca="false">SUMIFS($E$179:$E$208,$C$179:$C$208,"Construction % complete",$F$179:$F$208,T$7)*IF(T$7-INPUTS!$C$215&gt;=1,INDEX($D$398:$AQ$398,T$7-INPUTS!$C$215),0)+SUMIFS($E$179:$E$208,$C$179:$C$208,"Construction % complete",$F$179:$F$208,"&lt;"&amp;T$7)*IF(T$7-INPUTS!$C$215&gt;=1,INDEX($D$397:$AQ$397,T$7-INPUTS!$C$215),0)</f>
        <v>0</v>
      </c>
      <c r="U400" s="130" t="n">
        <f aca="false">SUMIFS($E$179:$E$208,$C$179:$C$208,"Construction % complete",$F$179:$F$208,U$7)*IF(U$7-INPUTS!$C$215&gt;=1,INDEX($D$398:$AQ$398,U$7-INPUTS!$C$215),0)+SUMIFS($E$179:$E$208,$C$179:$C$208,"Construction % complete",$F$179:$F$208,"&lt;"&amp;U$7)*IF(U$7-INPUTS!$C$215&gt;=1,INDEX($D$397:$AQ$397,U$7-INPUTS!$C$215),0)</f>
        <v>0</v>
      </c>
      <c r="V400" s="130" t="n">
        <f aca="false">SUMIFS($E$179:$E$208,$C$179:$C$208,"Construction % complete",$F$179:$F$208,V$7)*IF(V$7-INPUTS!$C$215&gt;=1,INDEX($D$398:$AQ$398,V$7-INPUTS!$C$215),0)+SUMIFS($E$179:$E$208,$C$179:$C$208,"Construction % complete",$F$179:$F$208,"&lt;"&amp;V$7)*IF(V$7-INPUTS!$C$215&gt;=1,INDEX($D$397:$AQ$397,V$7-INPUTS!$C$215),0)</f>
        <v>0</v>
      </c>
      <c r="W400" s="130" t="n">
        <f aca="false">SUMIFS($E$179:$E$208,$C$179:$C$208,"Construction % complete",$F$179:$F$208,W$7)*IF(W$7-INPUTS!$C$215&gt;=1,INDEX($D$398:$AQ$398,W$7-INPUTS!$C$215),0)+SUMIFS($E$179:$E$208,$C$179:$C$208,"Construction % complete",$F$179:$F$208,"&lt;"&amp;W$7)*IF(W$7-INPUTS!$C$215&gt;=1,INDEX($D$397:$AQ$397,W$7-INPUTS!$C$215),0)</f>
        <v>0</v>
      </c>
      <c r="X400" s="130" t="n">
        <f aca="false">SUMIFS($E$179:$E$208,$C$179:$C$208,"Construction % complete",$F$179:$F$208,X$7)*IF(X$7-INPUTS!$C$215&gt;=1,INDEX($D$398:$AQ$398,X$7-INPUTS!$C$215),0)+SUMIFS($E$179:$E$208,$C$179:$C$208,"Construction % complete",$F$179:$F$208,"&lt;"&amp;X$7)*IF(X$7-INPUTS!$C$215&gt;=1,INDEX($D$397:$AQ$397,X$7-INPUTS!$C$215),0)</f>
        <v>0</v>
      </c>
      <c r="Y400" s="130" t="n">
        <f aca="false">SUMIFS($E$179:$E$208,$C$179:$C$208,"Construction % complete",$F$179:$F$208,Y$7)*IF(Y$7-INPUTS!$C$215&gt;=1,INDEX($D$398:$AQ$398,Y$7-INPUTS!$C$215),0)+SUMIFS($E$179:$E$208,$C$179:$C$208,"Construction % complete",$F$179:$F$208,"&lt;"&amp;Y$7)*IF(Y$7-INPUTS!$C$215&gt;=1,INDEX($D$397:$AQ$397,Y$7-INPUTS!$C$215),0)</f>
        <v>0</v>
      </c>
      <c r="Z400" s="130" t="n">
        <f aca="false">SUMIFS($E$179:$E$208,$C$179:$C$208,"Construction % complete",$F$179:$F$208,Z$7)*IF(Z$7-INPUTS!$C$215&gt;=1,INDEX($D$398:$AQ$398,Z$7-INPUTS!$C$215),0)+SUMIFS($E$179:$E$208,$C$179:$C$208,"Construction % complete",$F$179:$F$208,"&lt;"&amp;Z$7)*IF(Z$7-INPUTS!$C$215&gt;=1,INDEX($D$397:$AQ$397,Z$7-INPUTS!$C$215),0)</f>
        <v>0</v>
      </c>
      <c r="AA400" s="130" t="n">
        <f aca="false">SUMIFS($E$179:$E$208,$C$179:$C$208,"Construction % complete",$F$179:$F$208,AA$7)*IF(AA$7-INPUTS!$C$215&gt;=1,INDEX($D$398:$AQ$398,AA$7-INPUTS!$C$215),0)+SUMIFS($E$179:$E$208,$C$179:$C$208,"Construction % complete",$F$179:$F$208,"&lt;"&amp;AA$7)*IF(AA$7-INPUTS!$C$215&gt;=1,INDEX($D$397:$AQ$397,AA$7-INPUTS!$C$215),0)</f>
        <v>0</v>
      </c>
      <c r="AB400" s="130" t="n">
        <f aca="false">SUMIFS($E$179:$E$208,$C$179:$C$208,"Construction % complete",$F$179:$F$208,AB$7)*IF(AB$7-INPUTS!$C$215&gt;=1,INDEX($D$398:$AQ$398,AB$7-INPUTS!$C$215),0)+SUMIFS($E$179:$E$208,$C$179:$C$208,"Construction % complete",$F$179:$F$208,"&lt;"&amp;AB$7)*IF(AB$7-INPUTS!$C$215&gt;=1,INDEX($D$397:$AQ$397,AB$7-INPUTS!$C$215),0)</f>
        <v>0</v>
      </c>
      <c r="AC400" s="130" t="n">
        <f aca="false">SUMIFS($E$179:$E$208,$C$179:$C$208,"Construction % complete",$F$179:$F$208,AC$7)*IF(AC$7-INPUTS!$C$215&gt;=1,INDEX($D$398:$AQ$398,AC$7-INPUTS!$C$215),0)+SUMIFS($E$179:$E$208,$C$179:$C$208,"Construction % complete",$F$179:$F$208,"&lt;"&amp;AC$7)*IF(AC$7-INPUTS!$C$215&gt;=1,INDEX($D$397:$AQ$397,AC$7-INPUTS!$C$215),0)</f>
        <v>0</v>
      </c>
      <c r="AD400" s="130" t="n">
        <f aca="false">SUMIFS($E$179:$E$208,$C$179:$C$208,"Construction % complete",$F$179:$F$208,AD$7)*IF(AD$7-INPUTS!$C$215&gt;=1,INDEX($D$398:$AQ$398,AD$7-INPUTS!$C$215),0)+SUMIFS($E$179:$E$208,$C$179:$C$208,"Construction % complete",$F$179:$F$208,"&lt;"&amp;AD$7)*IF(AD$7-INPUTS!$C$215&gt;=1,INDEX($D$397:$AQ$397,AD$7-INPUTS!$C$215),0)</f>
        <v>0</v>
      </c>
      <c r="AE400" s="130" t="n">
        <f aca="false">SUMIFS($E$179:$E$208,$C$179:$C$208,"Construction % complete",$F$179:$F$208,AE$7)*IF(AE$7-INPUTS!$C$215&gt;=1,INDEX($D$398:$AQ$398,AE$7-INPUTS!$C$215),0)+SUMIFS($E$179:$E$208,$C$179:$C$208,"Construction % complete",$F$179:$F$208,"&lt;"&amp;AE$7)*IF(AE$7-INPUTS!$C$215&gt;=1,INDEX($D$397:$AQ$397,AE$7-INPUTS!$C$215),0)</f>
        <v>0</v>
      </c>
      <c r="AF400" s="130" t="n">
        <f aca="false">SUMIFS($E$179:$E$208,$C$179:$C$208,"Construction % complete",$F$179:$F$208,AF$7)*IF(AF$7-INPUTS!$C$215&gt;=1,INDEX($D$398:$AQ$398,AF$7-INPUTS!$C$215),0)+SUMIFS($E$179:$E$208,$C$179:$C$208,"Construction % complete",$F$179:$F$208,"&lt;"&amp;AF$7)*IF(AF$7-INPUTS!$C$215&gt;=1,INDEX($D$397:$AQ$397,AF$7-INPUTS!$C$215),0)</f>
        <v>0</v>
      </c>
      <c r="AG400" s="130" t="n">
        <f aca="false">SUMIFS($E$179:$E$208,$C$179:$C$208,"Construction % complete",$F$179:$F$208,AG$7)*IF(AG$7-INPUTS!$C$215&gt;=1,INDEX($D$398:$AQ$398,AG$7-INPUTS!$C$215),0)+SUMIFS($E$179:$E$208,$C$179:$C$208,"Construction % complete",$F$179:$F$208,"&lt;"&amp;AG$7)*IF(AG$7-INPUTS!$C$215&gt;=1,INDEX($D$397:$AQ$397,AG$7-INPUTS!$C$215),0)</f>
        <v>0</v>
      </c>
      <c r="AH400" s="130" t="n">
        <f aca="false">SUMIFS($E$179:$E$208,$C$179:$C$208,"Construction % complete",$F$179:$F$208,AH$7)*IF(AH$7-INPUTS!$C$215&gt;=1,INDEX($D$398:$AQ$398,AH$7-INPUTS!$C$215),0)+SUMIFS($E$179:$E$208,$C$179:$C$208,"Construction % complete",$F$179:$F$208,"&lt;"&amp;AH$7)*IF(AH$7-INPUTS!$C$215&gt;=1,INDEX($D$397:$AQ$397,AH$7-INPUTS!$C$215),0)</f>
        <v>0</v>
      </c>
      <c r="AI400" s="130" t="n">
        <f aca="false">SUMIFS($E$179:$E$208,$C$179:$C$208,"Construction % complete",$F$179:$F$208,AI$7)*IF(AI$7-INPUTS!$C$215&gt;=1,INDEX($D$398:$AQ$398,AI$7-INPUTS!$C$215),0)+SUMIFS($E$179:$E$208,$C$179:$C$208,"Construction % complete",$F$179:$F$208,"&lt;"&amp;AI$7)*IF(AI$7-INPUTS!$C$215&gt;=1,INDEX($D$397:$AQ$397,AI$7-INPUTS!$C$215),0)</f>
        <v>0</v>
      </c>
      <c r="AJ400" s="130" t="n">
        <f aca="false">SUMIFS($E$179:$E$208,$C$179:$C$208,"Construction % complete",$F$179:$F$208,AJ$7)*IF(AJ$7-INPUTS!$C$215&gt;=1,INDEX($D$398:$AQ$398,AJ$7-INPUTS!$C$215),0)+SUMIFS($E$179:$E$208,$C$179:$C$208,"Construction % complete",$F$179:$F$208,"&lt;"&amp;AJ$7)*IF(AJ$7-INPUTS!$C$215&gt;=1,INDEX($D$397:$AQ$397,AJ$7-INPUTS!$C$215),0)</f>
        <v>0</v>
      </c>
      <c r="AK400" s="130" t="n">
        <f aca="false">SUMIFS($E$179:$E$208,$C$179:$C$208,"Construction % complete",$F$179:$F$208,AK$7)*IF(AK$7-INPUTS!$C$215&gt;=1,INDEX($D$398:$AQ$398,AK$7-INPUTS!$C$215),0)+SUMIFS($E$179:$E$208,$C$179:$C$208,"Construction % complete",$F$179:$F$208,"&lt;"&amp;AK$7)*IF(AK$7-INPUTS!$C$215&gt;=1,INDEX($D$397:$AQ$397,AK$7-INPUTS!$C$215),0)</f>
        <v>0</v>
      </c>
      <c r="AL400" s="130" t="n">
        <f aca="false">SUMIFS($E$179:$E$208,$C$179:$C$208,"Construction % complete",$F$179:$F$208,AL$7)*IF(AL$7-INPUTS!$C$215&gt;=1,INDEX($D$398:$AQ$398,AL$7-INPUTS!$C$215),0)+SUMIFS($E$179:$E$208,$C$179:$C$208,"Construction % complete",$F$179:$F$208,"&lt;"&amp;AL$7)*IF(AL$7-INPUTS!$C$215&gt;=1,INDEX($D$397:$AQ$397,AL$7-INPUTS!$C$215),0)</f>
        <v>0</v>
      </c>
      <c r="AM400" s="130" t="n">
        <f aca="false">SUMIFS($E$179:$E$208,$C$179:$C$208,"Construction % complete",$F$179:$F$208,AM$7)*IF(AM$7-INPUTS!$C$215&gt;=1,INDEX($D$398:$AQ$398,AM$7-INPUTS!$C$215),0)+SUMIFS($E$179:$E$208,$C$179:$C$208,"Construction % complete",$F$179:$F$208,"&lt;"&amp;AM$7)*IF(AM$7-INPUTS!$C$215&gt;=1,INDEX($D$397:$AQ$397,AM$7-INPUTS!$C$215),0)</f>
        <v>0</v>
      </c>
      <c r="AN400" s="130" t="n">
        <f aca="false">SUMIFS($E$179:$E$208,$C$179:$C$208,"Construction % complete",$F$179:$F$208,AN$7)*IF(AN$7-INPUTS!$C$215&gt;=1,INDEX($D$398:$AQ$398,AN$7-INPUTS!$C$215),0)+SUMIFS($E$179:$E$208,$C$179:$C$208,"Construction % complete",$F$179:$F$208,"&lt;"&amp;AN$7)*IF(AN$7-INPUTS!$C$215&gt;=1,INDEX($D$397:$AQ$397,AN$7-INPUTS!$C$215),0)</f>
        <v>0</v>
      </c>
      <c r="AO400" s="130" t="n">
        <f aca="false">SUMIFS($E$179:$E$208,$C$179:$C$208,"Construction % complete",$F$179:$F$208,AO$7)*IF(AO$7-INPUTS!$C$215&gt;=1,INDEX($D$398:$AQ$398,AO$7-INPUTS!$C$215),0)+SUMIFS($E$179:$E$208,$C$179:$C$208,"Construction % complete",$F$179:$F$208,"&lt;"&amp;AO$7)*IF(AO$7-INPUTS!$C$215&gt;=1,INDEX($D$397:$AQ$397,AO$7-INPUTS!$C$215),0)</f>
        <v>0</v>
      </c>
      <c r="AP400" s="130" t="n">
        <f aca="false">SUMIFS($E$179:$E$208,$C$179:$C$208,"Construction % complete",$F$179:$F$208,AP$7)*IF(AP$7-INPUTS!$C$215&gt;=1,INDEX($D$398:$AQ$398,AP$7-INPUTS!$C$215),0)+SUMIFS($E$179:$E$208,$C$179:$C$208,"Construction % complete",$F$179:$F$208,"&lt;"&amp;AP$7)*IF(AP$7-INPUTS!$C$215&gt;=1,INDEX($D$397:$AQ$397,AP$7-INPUTS!$C$215),0)</f>
        <v>0</v>
      </c>
      <c r="AQ400" s="130" t="n">
        <f aca="false">SUMIFS($E$179:$E$208,$C$179:$C$208,"Construction % complete",$F$179:$F$208,AQ$7)*IF(AQ$7-INPUTS!$C$215&gt;=1,INDEX($D$398:$AQ$398,AQ$7-INPUTS!$C$215),0)+SUMIFS($E$179:$E$208,$C$179:$C$208,"Construction % complete",$F$179:$F$208,"&lt;"&amp;AQ$7)*IF(AQ$7-INPUTS!$C$215&gt;=1,INDEX($D$397:$AQ$397,AQ$7-INPUTS!$C$215),0)</f>
        <v>0</v>
      </c>
    </row>
    <row r="401" customFormat="false" ht="15" hidden="false" customHeight="false" outlineLevel="0" collapsed="false">
      <c r="B401" s="2" t="s">
        <v>716</v>
      </c>
      <c r="C401" s="129" t="n">
        <f aca="false">SUM(D401:AQ401)</f>
        <v>0</v>
      </c>
      <c r="D401" s="130" t="n">
        <f aca="false">D399+D400</f>
        <v>0</v>
      </c>
      <c r="E401" s="130" t="n">
        <f aca="false">E399+E400</f>
        <v>0</v>
      </c>
      <c r="F401" s="130" t="n">
        <f aca="false">F399+F400</f>
        <v>0</v>
      </c>
      <c r="G401" s="130" t="n">
        <f aca="false">G399+G400</f>
        <v>0</v>
      </c>
      <c r="H401" s="130" t="n">
        <f aca="false">H399+H400</f>
        <v>0</v>
      </c>
      <c r="I401" s="130" t="n">
        <f aca="false">I399+I400</f>
        <v>0</v>
      </c>
      <c r="J401" s="130" t="n">
        <f aca="false">J399+J400</f>
        <v>0</v>
      </c>
      <c r="K401" s="130" t="n">
        <f aca="false">K399+K400</f>
        <v>0</v>
      </c>
      <c r="L401" s="130" t="n">
        <f aca="false">L399+L400</f>
        <v>0</v>
      </c>
      <c r="M401" s="130" t="n">
        <f aca="false">M399+M400</f>
        <v>0</v>
      </c>
      <c r="N401" s="130" t="n">
        <f aca="false">N399+N400</f>
        <v>0</v>
      </c>
      <c r="O401" s="130" t="n">
        <f aca="false">O399+O400</f>
        <v>0</v>
      </c>
      <c r="P401" s="130" t="n">
        <f aca="false">P399+P400</f>
        <v>0</v>
      </c>
      <c r="Q401" s="130" t="n">
        <f aca="false">Q399+Q400</f>
        <v>0</v>
      </c>
      <c r="R401" s="130" t="n">
        <f aca="false">R399+R400</f>
        <v>0</v>
      </c>
      <c r="S401" s="130" t="n">
        <f aca="false">S399+S400</f>
        <v>0</v>
      </c>
      <c r="T401" s="130" t="n">
        <f aca="false">T399+T400</f>
        <v>0</v>
      </c>
      <c r="U401" s="130" t="n">
        <f aca="false">U399+U400</f>
        <v>0</v>
      </c>
      <c r="V401" s="130" t="n">
        <f aca="false">V399+V400</f>
        <v>0</v>
      </c>
      <c r="W401" s="130" t="n">
        <f aca="false">W399+W400</f>
        <v>0</v>
      </c>
      <c r="X401" s="130" t="n">
        <f aca="false">X399+X400</f>
        <v>0</v>
      </c>
      <c r="Y401" s="130" t="n">
        <f aca="false">Y399+Y400</f>
        <v>0</v>
      </c>
      <c r="Z401" s="130" t="n">
        <f aca="false">Z399+Z400</f>
        <v>0</v>
      </c>
      <c r="AA401" s="130" t="n">
        <f aca="false">AA399+AA400</f>
        <v>0</v>
      </c>
      <c r="AB401" s="130" t="n">
        <f aca="false">AB399+AB400</f>
        <v>0</v>
      </c>
      <c r="AC401" s="130" t="n">
        <f aca="false">AC399+AC400</f>
        <v>0</v>
      </c>
      <c r="AD401" s="130" t="n">
        <f aca="false">AD399+AD400</f>
        <v>0</v>
      </c>
      <c r="AE401" s="130" t="n">
        <f aca="false">AE399+AE400</f>
        <v>0</v>
      </c>
      <c r="AF401" s="130" t="n">
        <f aca="false">AF399+AF400</f>
        <v>0</v>
      </c>
      <c r="AG401" s="130" t="n">
        <f aca="false">AG399+AG400</f>
        <v>0</v>
      </c>
      <c r="AH401" s="130" t="n">
        <f aca="false">AH399+AH400</f>
        <v>0</v>
      </c>
      <c r="AI401" s="130" t="n">
        <f aca="false">AI399+AI400</f>
        <v>0</v>
      </c>
      <c r="AJ401" s="130" t="n">
        <f aca="false">AJ399+AJ400</f>
        <v>0</v>
      </c>
      <c r="AK401" s="130" t="n">
        <f aca="false">AK399+AK400</f>
        <v>0</v>
      </c>
      <c r="AL401" s="130" t="n">
        <f aca="false">AL399+AL400</f>
        <v>0</v>
      </c>
      <c r="AM401" s="130" t="n">
        <f aca="false">AM399+AM400</f>
        <v>0</v>
      </c>
      <c r="AN401" s="130" t="n">
        <f aca="false">AN399+AN400</f>
        <v>0</v>
      </c>
      <c r="AO401" s="130" t="n">
        <f aca="false">AO399+AO400</f>
        <v>0</v>
      </c>
      <c r="AP401" s="130" t="n">
        <f aca="false">AP399+AP400</f>
        <v>0</v>
      </c>
      <c r="AQ401" s="130" t="n">
        <f aca="false">AQ399+AQ400</f>
        <v>0</v>
      </c>
    </row>
    <row r="402" customFormat="false" ht="15" hidden="false" customHeight="false" outlineLevel="0" collapsed="false">
      <c r="B402" s="3" t="s">
        <v>717</v>
      </c>
      <c r="D402" s="130" t="n">
        <f aca="false">SUM($D401:D401)</f>
        <v>0</v>
      </c>
      <c r="E402" s="130" t="n">
        <f aca="false">SUM($D401:E401)</f>
        <v>0</v>
      </c>
      <c r="F402" s="130" t="n">
        <f aca="false">SUM($D401:F401)</f>
        <v>0</v>
      </c>
      <c r="G402" s="130" t="n">
        <f aca="false">SUM($D401:G401)</f>
        <v>0</v>
      </c>
      <c r="H402" s="130" t="n">
        <f aca="false">SUM($D401:H401)</f>
        <v>0</v>
      </c>
      <c r="I402" s="130" t="n">
        <f aca="false">SUM($D401:I401)</f>
        <v>0</v>
      </c>
      <c r="J402" s="130" t="n">
        <f aca="false">SUM($D401:J401)</f>
        <v>0</v>
      </c>
      <c r="K402" s="130" t="n">
        <f aca="false">SUM($D401:K401)</f>
        <v>0</v>
      </c>
      <c r="L402" s="130" t="n">
        <f aca="false">SUM($D401:L401)</f>
        <v>0</v>
      </c>
      <c r="M402" s="130" t="n">
        <f aca="false">SUM($D401:M401)</f>
        <v>0</v>
      </c>
      <c r="N402" s="130" t="n">
        <f aca="false">SUM($D401:N401)</f>
        <v>0</v>
      </c>
      <c r="O402" s="130" t="n">
        <f aca="false">SUM($D401:O401)</f>
        <v>0</v>
      </c>
      <c r="P402" s="130" t="n">
        <f aca="false">SUM($D401:P401)</f>
        <v>0</v>
      </c>
      <c r="Q402" s="130" t="n">
        <f aca="false">SUM($D401:Q401)</f>
        <v>0</v>
      </c>
      <c r="R402" s="130" t="n">
        <f aca="false">SUM($D401:R401)</f>
        <v>0</v>
      </c>
      <c r="S402" s="130" t="n">
        <f aca="false">SUM($D401:S401)</f>
        <v>0</v>
      </c>
      <c r="T402" s="130" t="n">
        <f aca="false">SUM($D401:T401)</f>
        <v>0</v>
      </c>
      <c r="U402" s="130" t="n">
        <f aca="false">SUM($D401:U401)</f>
        <v>0</v>
      </c>
      <c r="V402" s="130" t="n">
        <f aca="false">SUM($D401:V401)</f>
        <v>0</v>
      </c>
      <c r="W402" s="130" t="n">
        <f aca="false">SUM($D401:W401)</f>
        <v>0</v>
      </c>
      <c r="X402" s="130" t="n">
        <f aca="false">SUM($D401:X401)</f>
        <v>0</v>
      </c>
      <c r="Y402" s="130" t="n">
        <f aca="false">SUM($D401:Y401)</f>
        <v>0</v>
      </c>
      <c r="Z402" s="130" t="n">
        <f aca="false">SUM($D401:Z401)</f>
        <v>0</v>
      </c>
      <c r="AA402" s="130" t="n">
        <f aca="false">SUM($D401:AA401)</f>
        <v>0</v>
      </c>
      <c r="AB402" s="130" t="n">
        <f aca="false">SUM($D401:AB401)</f>
        <v>0</v>
      </c>
      <c r="AC402" s="130" t="n">
        <f aca="false">SUM($D401:AC401)</f>
        <v>0</v>
      </c>
      <c r="AD402" s="130" t="n">
        <f aca="false">SUM($D401:AD401)</f>
        <v>0</v>
      </c>
      <c r="AE402" s="130" t="n">
        <f aca="false">SUM($D401:AE401)</f>
        <v>0</v>
      </c>
      <c r="AF402" s="130" t="n">
        <f aca="false">SUM($D401:AF401)</f>
        <v>0</v>
      </c>
      <c r="AG402" s="130" t="n">
        <f aca="false">SUM($D401:AG401)</f>
        <v>0</v>
      </c>
      <c r="AH402" s="130" t="n">
        <f aca="false">SUM($D401:AH401)</f>
        <v>0</v>
      </c>
      <c r="AI402" s="130" t="n">
        <f aca="false">SUM($D401:AI401)</f>
        <v>0</v>
      </c>
      <c r="AJ402" s="130" t="n">
        <f aca="false">SUM($D401:AJ401)</f>
        <v>0</v>
      </c>
      <c r="AK402" s="130" t="n">
        <f aca="false">SUM($D401:AK401)</f>
        <v>0</v>
      </c>
      <c r="AL402" s="130" t="n">
        <f aca="false">SUM($D401:AL401)</f>
        <v>0</v>
      </c>
      <c r="AM402" s="130" t="n">
        <f aca="false">SUM($D401:AM401)</f>
        <v>0</v>
      </c>
      <c r="AN402" s="130" t="n">
        <f aca="false">SUM($D401:AN401)</f>
        <v>0</v>
      </c>
      <c r="AO402" s="130" t="n">
        <f aca="false">SUM($D401:AO401)</f>
        <v>0</v>
      </c>
      <c r="AP402" s="130" t="n">
        <f aca="false">SUM($D401:AP401)</f>
        <v>0</v>
      </c>
      <c r="AQ402" s="130" t="n">
        <f aca="false">SUM($D401:AQ401)</f>
        <v>0</v>
      </c>
    </row>
    <row r="403" customFormat="false" ht="15" hidden="false" customHeight="false" outlineLevel="0" collapsed="false">
      <c r="B403" s="3" t="s">
        <v>718</v>
      </c>
      <c r="D403" s="130" t="n">
        <f aca="false">D398-D402</f>
        <v>0</v>
      </c>
      <c r="E403" s="130" t="n">
        <f aca="false">E398-E402</f>
        <v>0</v>
      </c>
      <c r="F403" s="130" t="n">
        <f aca="false">F398-F402</f>
        <v>0</v>
      </c>
      <c r="G403" s="130" t="n">
        <f aca="false">G398-G402</f>
        <v>0</v>
      </c>
      <c r="H403" s="130" t="n">
        <f aca="false">H398-H402</f>
        <v>0</v>
      </c>
      <c r="I403" s="130" t="n">
        <f aca="false">I398-I402</f>
        <v>0</v>
      </c>
      <c r="J403" s="130" t="n">
        <f aca="false">J398-J402</f>
        <v>0</v>
      </c>
      <c r="K403" s="130" t="n">
        <f aca="false">K398-K402</f>
        <v>0</v>
      </c>
      <c r="L403" s="130" t="n">
        <f aca="false">L398-L402</f>
        <v>0</v>
      </c>
      <c r="M403" s="130" t="n">
        <f aca="false">M398-M402</f>
        <v>0</v>
      </c>
      <c r="N403" s="130" t="n">
        <f aca="false">N398-N402</f>
        <v>0</v>
      </c>
      <c r="O403" s="130" t="n">
        <f aca="false">O398-O402</f>
        <v>0</v>
      </c>
      <c r="P403" s="130" t="n">
        <f aca="false">P398-P402</f>
        <v>0</v>
      </c>
      <c r="Q403" s="130" t="n">
        <f aca="false">Q398-Q402</f>
        <v>0</v>
      </c>
      <c r="R403" s="130" t="n">
        <f aca="false">R398-R402</f>
        <v>0</v>
      </c>
      <c r="S403" s="130" t="n">
        <f aca="false">S398-S402</f>
        <v>0</v>
      </c>
      <c r="T403" s="130" t="n">
        <f aca="false">T398-T402</f>
        <v>0</v>
      </c>
      <c r="U403" s="130" t="n">
        <f aca="false">U398-U402</f>
        <v>0</v>
      </c>
      <c r="V403" s="130" t="n">
        <f aca="false">V398-V402</f>
        <v>0</v>
      </c>
      <c r="W403" s="130" t="n">
        <f aca="false">W398-W402</f>
        <v>0</v>
      </c>
      <c r="X403" s="130" t="n">
        <f aca="false">X398-X402</f>
        <v>0</v>
      </c>
      <c r="Y403" s="130" t="n">
        <f aca="false">Y398-Y402</f>
        <v>0</v>
      </c>
      <c r="Z403" s="130" t="n">
        <f aca="false">Z398-Z402</f>
        <v>0</v>
      </c>
      <c r="AA403" s="130" t="n">
        <f aca="false">AA398-AA402</f>
        <v>0</v>
      </c>
      <c r="AB403" s="130" t="n">
        <f aca="false">AB398-AB402</f>
        <v>0</v>
      </c>
      <c r="AC403" s="130" t="n">
        <f aca="false">AC398-AC402</f>
        <v>0</v>
      </c>
      <c r="AD403" s="130" t="n">
        <f aca="false">AD398-AD402</f>
        <v>0</v>
      </c>
      <c r="AE403" s="130" t="n">
        <f aca="false">AE398-AE402</f>
        <v>0</v>
      </c>
      <c r="AF403" s="130" t="n">
        <f aca="false">AF398-AF402</f>
        <v>0</v>
      </c>
      <c r="AG403" s="130" t="n">
        <f aca="false">AG398-AG402</f>
        <v>0</v>
      </c>
      <c r="AH403" s="130" t="n">
        <f aca="false">AH398-AH402</f>
        <v>0</v>
      </c>
      <c r="AI403" s="130" t="n">
        <f aca="false">AI398-AI402</f>
        <v>0</v>
      </c>
      <c r="AJ403" s="130" t="n">
        <f aca="false">AJ398-AJ402</f>
        <v>0</v>
      </c>
      <c r="AK403" s="130" t="n">
        <f aca="false">AK398-AK402</f>
        <v>0</v>
      </c>
      <c r="AL403" s="130" t="n">
        <f aca="false">AL398-AL402</f>
        <v>0</v>
      </c>
      <c r="AM403" s="130" t="n">
        <f aca="false">AM398-AM402</f>
        <v>0</v>
      </c>
      <c r="AN403" s="130" t="n">
        <f aca="false">AN398-AN402</f>
        <v>0</v>
      </c>
      <c r="AO403" s="130" t="n">
        <f aca="false">AO398-AO402</f>
        <v>0</v>
      </c>
      <c r="AP403" s="130" t="n">
        <f aca="false">AP398-AP402</f>
        <v>0</v>
      </c>
      <c r="AQ403" s="130" t="n">
        <f aca="false">AQ398-AQ402</f>
        <v>0</v>
      </c>
    </row>
    <row r="404" customFormat="false" ht="15" hidden="false" customHeight="false" outlineLevel="0" collapsed="false">
      <c r="B404" s="3" t="s">
        <v>719</v>
      </c>
      <c r="D404" s="132" t="n">
        <f aca="false">IF(INPUTS!$T$93&gt;0,D402/INPUTS!$T$93,0)</f>
        <v>0</v>
      </c>
      <c r="E404" s="132" t="n">
        <f aca="false">IF(INPUTS!$T$93&gt;0,E402/INPUTS!$T$93,0)</f>
        <v>0</v>
      </c>
      <c r="F404" s="132" t="n">
        <f aca="false">IF(INPUTS!$T$93&gt;0,F402/INPUTS!$T$93,0)</f>
        <v>0</v>
      </c>
      <c r="G404" s="132" t="n">
        <f aca="false">IF(INPUTS!$T$93&gt;0,G402/INPUTS!$T$93,0)</f>
        <v>0</v>
      </c>
      <c r="H404" s="132" t="n">
        <f aca="false">IF(INPUTS!$T$93&gt;0,H402/INPUTS!$T$93,0)</f>
        <v>0</v>
      </c>
      <c r="I404" s="132" t="n">
        <f aca="false">IF(INPUTS!$T$93&gt;0,I402/INPUTS!$T$93,0)</f>
        <v>0</v>
      </c>
      <c r="J404" s="132" t="n">
        <f aca="false">IF(INPUTS!$T$93&gt;0,J402/INPUTS!$T$93,0)</f>
        <v>0</v>
      </c>
      <c r="K404" s="132" t="n">
        <f aca="false">IF(INPUTS!$T$93&gt;0,K402/INPUTS!$T$93,0)</f>
        <v>0</v>
      </c>
      <c r="L404" s="132" t="n">
        <f aca="false">IF(INPUTS!$T$93&gt;0,L402/INPUTS!$T$93,0)</f>
        <v>0</v>
      </c>
      <c r="M404" s="132" t="n">
        <f aca="false">IF(INPUTS!$T$93&gt;0,M402/INPUTS!$T$93,0)</f>
        <v>0</v>
      </c>
      <c r="N404" s="132" t="n">
        <f aca="false">IF(INPUTS!$T$93&gt;0,N402/INPUTS!$T$93,0)</f>
        <v>0</v>
      </c>
      <c r="O404" s="132" t="n">
        <f aca="false">IF(INPUTS!$T$93&gt;0,O402/INPUTS!$T$93,0)</f>
        <v>0</v>
      </c>
      <c r="P404" s="132" t="n">
        <f aca="false">IF(INPUTS!$T$93&gt;0,P402/INPUTS!$T$93,0)</f>
        <v>0</v>
      </c>
      <c r="Q404" s="132" t="n">
        <f aca="false">IF(INPUTS!$T$93&gt;0,Q402/INPUTS!$T$93,0)</f>
        <v>0</v>
      </c>
      <c r="R404" s="132" t="n">
        <f aca="false">IF(INPUTS!$T$93&gt;0,R402/INPUTS!$T$93,0)</f>
        <v>0</v>
      </c>
      <c r="S404" s="132" t="n">
        <f aca="false">IF(INPUTS!$T$93&gt;0,S402/INPUTS!$T$93,0)</f>
        <v>0</v>
      </c>
      <c r="T404" s="132" t="n">
        <f aca="false">IF(INPUTS!$T$93&gt;0,T402/INPUTS!$T$93,0)</f>
        <v>0</v>
      </c>
      <c r="U404" s="132" t="n">
        <f aca="false">IF(INPUTS!$T$93&gt;0,U402/INPUTS!$T$93,0)</f>
        <v>0</v>
      </c>
      <c r="V404" s="132" t="n">
        <f aca="false">IF(INPUTS!$T$93&gt;0,V402/INPUTS!$T$93,0)</f>
        <v>0</v>
      </c>
      <c r="W404" s="132" t="n">
        <f aca="false">IF(INPUTS!$T$93&gt;0,W402/INPUTS!$T$93,0)</f>
        <v>0</v>
      </c>
      <c r="X404" s="132" t="n">
        <f aca="false">IF(INPUTS!$T$93&gt;0,X402/INPUTS!$T$93,0)</f>
        <v>0</v>
      </c>
      <c r="Y404" s="132" t="n">
        <f aca="false">IF(INPUTS!$T$93&gt;0,Y402/INPUTS!$T$93,0)</f>
        <v>0</v>
      </c>
      <c r="Z404" s="132" t="n">
        <f aca="false">IF(INPUTS!$T$93&gt;0,Z402/INPUTS!$T$93,0)</f>
        <v>0</v>
      </c>
      <c r="AA404" s="132" t="n">
        <f aca="false">IF(INPUTS!$T$93&gt;0,AA402/INPUTS!$T$93,0)</f>
        <v>0</v>
      </c>
      <c r="AB404" s="132" t="n">
        <f aca="false">IF(INPUTS!$T$93&gt;0,AB402/INPUTS!$T$93,0)</f>
        <v>0</v>
      </c>
      <c r="AC404" s="132" t="n">
        <f aca="false">IF(INPUTS!$T$93&gt;0,AC402/INPUTS!$T$93,0)</f>
        <v>0</v>
      </c>
      <c r="AD404" s="132" t="n">
        <f aca="false">IF(INPUTS!$T$93&gt;0,AD402/INPUTS!$T$93,0)</f>
        <v>0</v>
      </c>
      <c r="AE404" s="132" t="n">
        <f aca="false">IF(INPUTS!$T$93&gt;0,AE402/INPUTS!$T$93,0)</f>
        <v>0</v>
      </c>
      <c r="AF404" s="132" t="n">
        <f aca="false">IF(INPUTS!$T$93&gt;0,AF402/INPUTS!$T$93,0)</f>
        <v>0</v>
      </c>
      <c r="AG404" s="132" t="n">
        <f aca="false">IF(INPUTS!$T$93&gt;0,AG402/INPUTS!$T$93,0)</f>
        <v>0</v>
      </c>
      <c r="AH404" s="132" t="n">
        <f aca="false">IF(INPUTS!$T$93&gt;0,AH402/INPUTS!$T$93,0)</f>
        <v>0</v>
      </c>
      <c r="AI404" s="132" t="n">
        <f aca="false">IF(INPUTS!$T$93&gt;0,AI402/INPUTS!$T$93,0)</f>
        <v>0</v>
      </c>
      <c r="AJ404" s="132" t="n">
        <f aca="false">IF(INPUTS!$T$93&gt;0,AJ402/INPUTS!$T$93,0)</f>
        <v>0</v>
      </c>
      <c r="AK404" s="132" t="n">
        <f aca="false">IF(INPUTS!$T$93&gt;0,AK402/INPUTS!$T$93,0)</f>
        <v>0</v>
      </c>
      <c r="AL404" s="132" t="n">
        <f aca="false">IF(INPUTS!$T$93&gt;0,AL402/INPUTS!$T$93,0)</f>
        <v>0</v>
      </c>
      <c r="AM404" s="132" t="n">
        <f aca="false">IF(INPUTS!$T$93&gt;0,AM402/INPUTS!$T$93,0)</f>
        <v>0</v>
      </c>
      <c r="AN404" s="132" t="n">
        <f aca="false">IF(INPUTS!$T$93&gt;0,AN402/INPUTS!$T$93,0)</f>
        <v>0</v>
      </c>
      <c r="AO404" s="132" t="n">
        <f aca="false">IF(INPUTS!$T$93&gt;0,AO402/INPUTS!$T$93,0)</f>
        <v>0</v>
      </c>
      <c r="AP404" s="132" t="n">
        <f aca="false">IF(INPUTS!$T$93&gt;0,AP402/INPUTS!$T$93,0)</f>
        <v>0</v>
      </c>
      <c r="AQ404" s="132" t="n">
        <f aca="false">IF(INPUTS!$T$93&gt;0,AQ402/INPUTS!$T$93,0)</f>
        <v>0</v>
      </c>
    </row>
    <row r="405" customFormat="false" ht="15" hidden="false" customHeight="false" outlineLevel="0" collapsed="false">
      <c r="B405" s="17" t="s">
        <v>689</v>
      </c>
      <c r="C405" s="105" t="str">
        <f aca="false">IF(INPUTS!$E$93&lt;&gt;"Yes","Off",IF(AND(ABS(C397-INPUTS!$T$93)&lt;0.000001,ABS(C401-INPUTS!$T$93)&lt;0.000001,MIN(D403:AQ403)&gt;-0.000001),"OK","ERROR"))</f>
        <v>Off</v>
      </c>
    </row>
    <row r="406" customFormat="false" ht="15" hidden="false" customHeight="false" outlineLevel="0" collapsed="false">
      <c r="B406" s="110" t="str">
        <f aca="false">IF(INPUTS!$E$94="Yes",INPUTS!$B$94,"Product row 7 (off)")</f>
        <v>Product row 7 (off)</v>
      </c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</row>
    <row r="407" customFormat="false" ht="15" hidden="false" customHeight="false" outlineLevel="0" collapsed="false">
      <c r="B407" s="2" t="s">
        <v>712</v>
      </c>
      <c r="C407" s="129" t="n">
        <f aca="false">SUM(D407:AQ407)</f>
        <v>0</v>
      </c>
      <c r="D407" s="130" t="n">
        <f aca="false">INPUTS!$T$94*CURVES!D74</f>
        <v>0</v>
      </c>
      <c r="E407" s="130" t="n">
        <f aca="false">INPUTS!$T$94*CURVES!E74</f>
        <v>0</v>
      </c>
      <c r="F407" s="130" t="n">
        <f aca="false">INPUTS!$T$94*CURVES!F74</f>
        <v>0</v>
      </c>
      <c r="G407" s="130" t="n">
        <f aca="false">INPUTS!$T$94*CURVES!G74</f>
        <v>0</v>
      </c>
      <c r="H407" s="130" t="n">
        <f aca="false">INPUTS!$T$94*CURVES!H74</f>
        <v>0</v>
      </c>
      <c r="I407" s="130" t="n">
        <f aca="false">INPUTS!$T$94*CURVES!I74</f>
        <v>0</v>
      </c>
      <c r="J407" s="130" t="n">
        <f aca="false">INPUTS!$T$94*CURVES!J74</f>
        <v>0</v>
      </c>
      <c r="K407" s="130" t="n">
        <f aca="false">INPUTS!$T$94*CURVES!K74</f>
        <v>0</v>
      </c>
      <c r="L407" s="130" t="n">
        <f aca="false">INPUTS!$T$94*CURVES!L74</f>
        <v>0</v>
      </c>
      <c r="M407" s="130" t="n">
        <f aca="false">INPUTS!$T$94*CURVES!M74</f>
        <v>0</v>
      </c>
      <c r="N407" s="130" t="n">
        <f aca="false">INPUTS!$T$94*CURVES!N74</f>
        <v>0</v>
      </c>
      <c r="O407" s="130" t="n">
        <f aca="false">INPUTS!$T$94*CURVES!O74</f>
        <v>0</v>
      </c>
      <c r="P407" s="130" t="n">
        <f aca="false">INPUTS!$T$94*CURVES!P74</f>
        <v>0</v>
      </c>
      <c r="Q407" s="130" t="n">
        <f aca="false">INPUTS!$T$94*CURVES!Q74</f>
        <v>0</v>
      </c>
      <c r="R407" s="130" t="n">
        <f aca="false">INPUTS!$T$94*CURVES!R74</f>
        <v>0</v>
      </c>
      <c r="S407" s="130" t="n">
        <f aca="false">INPUTS!$T$94*CURVES!S74</f>
        <v>0</v>
      </c>
      <c r="T407" s="130" t="n">
        <f aca="false">INPUTS!$T$94*CURVES!T74</f>
        <v>0</v>
      </c>
      <c r="U407" s="130" t="n">
        <f aca="false">INPUTS!$T$94*CURVES!U74</f>
        <v>0</v>
      </c>
      <c r="V407" s="130" t="n">
        <f aca="false">INPUTS!$T$94*CURVES!V74</f>
        <v>0</v>
      </c>
      <c r="W407" s="130" t="n">
        <f aca="false">INPUTS!$T$94*CURVES!W74</f>
        <v>0</v>
      </c>
      <c r="X407" s="130" t="n">
        <f aca="false">INPUTS!$T$94*CURVES!X74</f>
        <v>0</v>
      </c>
      <c r="Y407" s="130" t="n">
        <f aca="false">INPUTS!$T$94*CURVES!Y74</f>
        <v>0</v>
      </c>
      <c r="Z407" s="130" t="n">
        <f aca="false">INPUTS!$T$94*CURVES!Z74</f>
        <v>0</v>
      </c>
      <c r="AA407" s="130" t="n">
        <f aca="false">INPUTS!$T$94*CURVES!AA74</f>
        <v>0</v>
      </c>
      <c r="AB407" s="130" t="n">
        <f aca="false">INPUTS!$T$94*CURVES!AB74</f>
        <v>0</v>
      </c>
      <c r="AC407" s="130" t="n">
        <f aca="false">INPUTS!$T$94*CURVES!AC74</f>
        <v>0</v>
      </c>
      <c r="AD407" s="130" t="n">
        <f aca="false">INPUTS!$T$94*CURVES!AD74</f>
        <v>0</v>
      </c>
      <c r="AE407" s="130" t="n">
        <f aca="false">INPUTS!$T$94*CURVES!AE74</f>
        <v>0</v>
      </c>
      <c r="AF407" s="130" t="n">
        <f aca="false">INPUTS!$T$94*CURVES!AF74</f>
        <v>0</v>
      </c>
      <c r="AG407" s="130" t="n">
        <f aca="false">INPUTS!$T$94*CURVES!AG74</f>
        <v>0</v>
      </c>
      <c r="AH407" s="130" t="n">
        <f aca="false">INPUTS!$T$94*CURVES!AH74</f>
        <v>0</v>
      </c>
      <c r="AI407" s="130" t="n">
        <f aca="false">INPUTS!$T$94*CURVES!AI74</f>
        <v>0</v>
      </c>
      <c r="AJ407" s="130" t="n">
        <f aca="false">INPUTS!$T$94*CURVES!AJ74</f>
        <v>0</v>
      </c>
      <c r="AK407" s="130" t="n">
        <f aca="false">INPUTS!$T$94*CURVES!AK74</f>
        <v>0</v>
      </c>
      <c r="AL407" s="130" t="n">
        <f aca="false">INPUTS!$T$94*CURVES!AL74</f>
        <v>0</v>
      </c>
      <c r="AM407" s="130" t="n">
        <f aca="false">INPUTS!$T$94*CURVES!AM74</f>
        <v>0</v>
      </c>
      <c r="AN407" s="130" t="n">
        <f aca="false">INPUTS!$T$94*CURVES!AN74</f>
        <v>0</v>
      </c>
      <c r="AO407" s="130" t="n">
        <f aca="false">INPUTS!$T$94*CURVES!AO74</f>
        <v>0</v>
      </c>
      <c r="AP407" s="130" t="n">
        <f aca="false">INPUTS!$T$94*CURVES!AP74</f>
        <v>0</v>
      </c>
      <c r="AQ407" s="130" t="n">
        <f aca="false">INPUTS!$T$94*CURVES!AQ74</f>
        <v>0</v>
      </c>
    </row>
    <row r="408" customFormat="false" ht="15" hidden="false" customHeight="false" outlineLevel="0" collapsed="false">
      <c r="B408" s="3" t="s">
        <v>713</v>
      </c>
      <c r="D408" s="130" t="n">
        <f aca="false">SUM($D407:D407)</f>
        <v>0</v>
      </c>
      <c r="E408" s="130" t="n">
        <f aca="false">SUM($D407:E407)</f>
        <v>0</v>
      </c>
      <c r="F408" s="130" t="n">
        <f aca="false">SUM($D407:F407)</f>
        <v>0</v>
      </c>
      <c r="G408" s="130" t="n">
        <f aca="false">SUM($D407:G407)</f>
        <v>0</v>
      </c>
      <c r="H408" s="130" t="n">
        <f aca="false">SUM($D407:H407)</f>
        <v>0</v>
      </c>
      <c r="I408" s="130" t="n">
        <f aca="false">SUM($D407:I407)</f>
        <v>0</v>
      </c>
      <c r="J408" s="130" t="n">
        <f aca="false">SUM($D407:J407)</f>
        <v>0</v>
      </c>
      <c r="K408" s="130" t="n">
        <f aca="false">SUM($D407:K407)</f>
        <v>0</v>
      </c>
      <c r="L408" s="130" t="n">
        <f aca="false">SUM($D407:L407)</f>
        <v>0</v>
      </c>
      <c r="M408" s="130" t="n">
        <f aca="false">SUM($D407:M407)</f>
        <v>0</v>
      </c>
      <c r="N408" s="130" t="n">
        <f aca="false">SUM($D407:N407)</f>
        <v>0</v>
      </c>
      <c r="O408" s="130" t="n">
        <f aca="false">SUM($D407:O407)</f>
        <v>0</v>
      </c>
      <c r="P408" s="130" t="n">
        <f aca="false">SUM($D407:P407)</f>
        <v>0</v>
      </c>
      <c r="Q408" s="130" t="n">
        <f aca="false">SUM($D407:Q407)</f>
        <v>0</v>
      </c>
      <c r="R408" s="130" t="n">
        <f aca="false">SUM($D407:R407)</f>
        <v>0</v>
      </c>
      <c r="S408" s="130" t="n">
        <f aca="false">SUM($D407:S407)</f>
        <v>0</v>
      </c>
      <c r="T408" s="130" t="n">
        <f aca="false">SUM($D407:T407)</f>
        <v>0</v>
      </c>
      <c r="U408" s="130" t="n">
        <f aca="false">SUM($D407:U407)</f>
        <v>0</v>
      </c>
      <c r="V408" s="130" t="n">
        <f aca="false">SUM($D407:V407)</f>
        <v>0</v>
      </c>
      <c r="W408" s="130" t="n">
        <f aca="false">SUM($D407:W407)</f>
        <v>0</v>
      </c>
      <c r="X408" s="130" t="n">
        <f aca="false">SUM($D407:X407)</f>
        <v>0</v>
      </c>
      <c r="Y408" s="130" t="n">
        <f aca="false">SUM($D407:Y407)</f>
        <v>0</v>
      </c>
      <c r="Z408" s="130" t="n">
        <f aca="false">SUM($D407:Z407)</f>
        <v>0</v>
      </c>
      <c r="AA408" s="130" t="n">
        <f aca="false">SUM($D407:AA407)</f>
        <v>0</v>
      </c>
      <c r="AB408" s="130" t="n">
        <f aca="false">SUM($D407:AB407)</f>
        <v>0</v>
      </c>
      <c r="AC408" s="130" t="n">
        <f aca="false">SUM($D407:AC407)</f>
        <v>0</v>
      </c>
      <c r="AD408" s="130" t="n">
        <f aca="false">SUM($D407:AD407)</f>
        <v>0</v>
      </c>
      <c r="AE408" s="130" t="n">
        <f aca="false">SUM($D407:AE407)</f>
        <v>0</v>
      </c>
      <c r="AF408" s="130" t="n">
        <f aca="false">SUM($D407:AF407)</f>
        <v>0</v>
      </c>
      <c r="AG408" s="130" t="n">
        <f aca="false">SUM($D407:AG407)</f>
        <v>0</v>
      </c>
      <c r="AH408" s="130" t="n">
        <f aca="false">SUM($D407:AH407)</f>
        <v>0</v>
      </c>
      <c r="AI408" s="130" t="n">
        <f aca="false">SUM($D407:AI407)</f>
        <v>0</v>
      </c>
      <c r="AJ408" s="130" t="n">
        <f aca="false">SUM($D407:AJ407)</f>
        <v>0</v>
      </c>
      <c r="AK408" s="130" t="n">
        <f aca="false">SUM($D407:AK407)</f>
        <v>0</v>
      </c>
      <c r="AL408" s="130" t="n">
        <f aca="false">SUM($D407:AL407)</f>
        <v>0</v>
      </c>
      <c r="AM408" s="130" t="n">
        <f aca="false">SUM($D407:AM407)</f>
        <v>0</v>
      </c>
      <c r="AN408" s="130" t="n">
        <f aca="false">SUM($D407:AN407)</f>
        <v>0</v>
      </c>
      <c r="AO408" s="130" t="n">
        <f aca="false">SUM($D407:AO407)</f>
        <v>0</v>
      </c>
      <c r="AP408" s="130" t="n">
        <f aca="false">SUM($D407:AP407)</f>
        <v>0</v>
      </c>
      <c r="AQ408" s="130" t="n">
        <f aca="false">SUM($D407:AQ407)</f>
        <v>0</v>
      </c>
    </row>
    <row r="409" customFormat="false" ht="15" hidden="false" customHeight="false" outlineLevel="0" collapsed="false">
      <c r="B409" s="131" t="s">
        <v>714</v>
      </c>
      <c r="C409" s="129" t="n">
        <f aca="false">SUM(D409:AQ409)</f>
        <v>0</v>
      </c>
      <c r="D409" s="130" t="n">
        <f aca="false">$D$242*IF(D$7-0&gt;=1,INDEX($D$407:$AQ$407,D$7-0),0)+$E$242*IF(D$7-1&gt;=1,INDEX($D$407:$AQ$407,D$7-1),0)+$F$242*IF(D$7-2&gt;=1,INDEX($D$407:$AQ$407,D$7-2),0)+$G$242*IF(D$7-3&gt;=1,INDEX($D$407:$AQ$407,D$7-3),0)+$H$242*IF(D$7-4&gt;=1,INDEX($D$407:$AQ$407,D$7-4),0)+$I$242*IF(D$7-5&gt;=1,INDEX($D$407:$AQ$407,D$7-5),0)+$J$242*IF(D$7-6&gt;=1,INDEX($D$407:$AQ$407,D$7-6),0)+$K$242*IF(D$7-7&gt;=1,INDEX($D$407:$AQ$407,D$7-7),0)+$L$242*IF(D$7-8&gt;=1,INDEX($D$407:$AQ$407,D$7-8),0)+$M$242*IF(D$7-9&gt;=1,INDEX($D$407:$AQ$407,D$7-9),0)+$N$242*IF(D$7-10&gt;=1,INDEX($D$407:$AQ$407,D$7-10),0)+$O$242*IF(D$7-11&gt;=1,INDEX($D$407:$AQ$407,D$7-11),0)+$P$242*IF(D$7-12&gt;=1,INDEX($D$407:$AQ$407,D$7-12),0)</f>
        <v>0</v>
      </c>
      <c r="E409" s="130" t="n">
        <f aca="false">$D$242*IF(E$7-0&gt;=1,INDEX($D$407:$AQ$407,E$7-0),0)+$E$242*IF(E$7-1&gt;=1,INDEX($D$407:$AQ$407,E$7-1),0)+$F$242*IF(E$7-2&gt;=1,INDEX($D$407:$AQ$407,E$7-2),0)+$G$242*IF(E$7-3&gt;=1,INDEX($D$407:$AQ$407,E$7-3),0)+$H$242*IF(E$7-4&gt;=1,INDEX($D$407:$AQ$407,E$7-4),0)+$I$242*IF(E$7-5&gt;=1,INDEX($D$407:$AQ$407,E$7-5),0)+$J$242*IF(E$7-6&gt;=1,INDEX($D$407:$AQ$407,E$7-6),0)+$K$242*IF(E$7-7&gt;=1,INDEX($D$407:$AQ$407,E$7-7),0)+$L$242*IF(E$7-8&gt;=1,INDEX($D$407:$AQ$407,E$7-8),0)+$M$242*IF(E$7-9&gt;=1,INDEX($D$407:$AQ$407,E$7-9),0)+$N$242*IF(E$7-10&gt;=1,INDEX($D$407:$AQ$407,E$7-10),0)+$O$242*IF(E$7-11&gt;=1,INDEX($D$407:$AQ$407,E$7-11),0)+$P$242*IF(E$7-12&gt;=1,INDEX($D$407:$AQ$407,E$7-12),0)</f>
        <v>0</v>
      </c>
      <c r="F409" s="130" t="n">
        <f aca="false">$D$242*IF(F$7-0&gt;=1,INDEX($D$407:$AQ$407,F$7-0),0)+$E$242*IF(F$7-1&gt;=1,INDEX($D$407:$AQ$407,F$7-1),0)+$F$242*IF(F$7-2&gt;=1,INDEX($D$407:$AQ$407,F$7-2),0)+$G$242*IF(F$7-3&gt;=1,INDEX($D$407:$AQ$407,F$7-3),0)+$H$242*IF(F$7-4&gt;=1,INDEX($D$407:$AQ$407,F$7-4),0)+$I$242*IF(F$7-5&gt;=1,INDEX($D$407:$AQ$407,F$7-5),0)+$J$242*IF(F$7-6&gt;=1,INDEX($D$407:$AQ$407,F$7-6),0)+$K$242*IF(F$7-7&gt;=1,INDEX($D$407:$AQ$407,F$7-7),0)+$L$242*IF(F$7-8&gt;=1,INDEX($D$407:$AQ$407,F$7-8),0)+$M$242*IF(F$7-9&gt;=1,INDEX($D$407:$AQ$407,F$7-9),0)+$N$242*IF(F$7-10&gt;=1,INDEX($D$407:$AQ$407,F$7-10),0)+$O$242*IF(F$7-11&gt;=1,INDEX($D$407:$AQ$407,F$7-11),0)+$P$242*IF(F$7-12&gt;=1,INDEX($D$407:$AQ$407,F$7-12),0)</f>
        <v>0</v>
      </c>
      <c r="G409" s="130" t="n">
        <f aca="false">$D$242*IF(G$7-0&gt;=1,INDEX($D$407:$AQ$407,G$7-0),0)+$E$242*IF(G$7-1&gt;=1,INDEX($D$407:$AQ$407,G$7-1),0)+$F$242*IF(G$7-2&gt;=1,INDEX($D$407:$AQ$407,G$7-2),0)+$G$242*IF(G$7-3&gt;=1,INDEX($D$407:$AQ$407,G$7-3),0)+$H$242*IF(G$7-4&gt;=1,INDEX($D$407:$AQ$407,G$7-4),0)+$I$242*IF(G$7-5&gt;=1,INDEX($D$407:$AQ$407,G$7-5),0)+$J$242*IF(G$7-6&gt;=1,INDEX($D$407:$AQ$407,G$7-6),0)+$K$242*IF(G$7-7&gt;=1,INDEX($D$407:$AQ$407,G$7-7),0)+$L$242*IF(G$7-8&gt;=1,INDEX($D$407:$AQ$407,G$7-8),0)+$M$242*IF(G$7-9&gt;=1,INDEX($D$407:$AQ$407,G$7-9),0)+$N$242*IF(G$7-10&gt;=1,INDEX($D$407:$AQ$407,G$7-10),0)+$O$242*IF(G$7-11&gt;=1,INDEX($D$407:$AQ$407,G$7-11),0)+$P$242*IF(G$7-12&gt;=1,INDEX($D$407:$AQ$407,G$7-12),0)</f>
        <v>0</v>
      </c>
      <c r="H409" s="130" t="n">
        <f aca="false">$D$242*IF(H$7-0&gt;=1,INDEX($D$407:$AQ$407,H$7-0),0)+$E$242*IF(H$7-1&gt;=1,INDEX($D$407:$AQ$407,H$7-1),0)+$F$242*IF(H$7-2&gt;=1,INDEX($D$407:$AQ$407,H$7-2),0)+$G$242*IF(H$7-3&gt;=1,INDEX($D$407:$AQ$407,H$7-3),0)+$H$242*IF(H$7-4&gt;=1,INDEX($D$407:$AQ$407,H$7-4),0)+$I$242*IF(H$7-5&gt;=1,INDEX($D$407:$AQ$407,H$7-5),0)+$J$242*IF(H$7-6&gt;=1,INDEX($D$407:$AQ$407,H$7-6),0)+$K$242*IF(H$7-7&gt;=1,INDEX($D$407:$AQ$407,H$7-7),0)+$L$242*IF(H$7-8&gt;=1,INDEX($D$407:$AQ$407,H$7-8),0)+$M$242*IF(H$7-9&gt;=1,INDEX($D$407:$AQ$407,H$7-9),0)+$N$242*IF(H$7-10&gt;=1,INDEX($D$407:$AQ$407,H$7-10),0)+$O$242*IF(H$7-11&gt;=1,INDEX($D$407:$AQ$407,H$7-11),0)+$P$242*IF(H$7-12&gt;=1,INDEX($D$407:$AQ$407,H$7-12),0)</f>
        <v>0</v>
      </c>
      <c r="I409" s="130" t="n">
        <f aca="false">$D$242*IF(I$7-0&gt;=1,INDEX($D$407:$AQ$407,I$7-0),0)+$E$242*IF(I$7-1&gt;=1,INDEX($D$407:$AQ$407,I$7-1),0)+$F$242*IF(I$7-2&gt;=1,INDEX($D$407:$AQ$407,I$7-2),0)+$G$242*IF(I$7-3&gt;=1,INDEX($D$407:$AQ$407,I$7-3),0)+$H$242*IF(I$7-4&gt;=1,INDEX($D$407:$AQ$407,I$7-4),0)+$I$242*IF(I$7-5&gt;=1,INDEX($D$407:$AQ$407,I$7-5),0)+$J$242*IF(I$7-6&gt;=1,INDEX($D$407:$AQ$407,I$7-6),0)+$K$242*IF(I$7-7&gt;=1,INDEX($D$407:$AQ$407,I$7-7),0)+$L$242*IF(I$7-8&gt;=1,INDEX($D$407:$AQ$407,I$7-8),0)+$M$242*IF(I$7-9&gt;=1,INDEX($D$407:$AQ$407,I$7-9),0)+$N$242*IF(I$7-10&gt;=1,INDEX($D$407:$AQ$407,I$7-10),0)+$O$242*IF(I$7-11&gt;=1,INDEX($D$407:$AQ$407,I$7-11),0)+$P$242*IF(I$7-12&gt;=1,INDEX($D$407:$AQ$407,I$7-12),0)</f>
        <v>0</v>
      </c>
      <c r="J409" s="130" t="n">
        <f aca="false">$D$242*IF(J$7-0&gt;=1,INDEX($D$407:$AQ$407,J$7-0),0)+$E$242*IF(J$7-1&gt;=1,INDEX($D$407:$AQ$407,J$7-1),0)+$F$242*IF(J$7-2&gt;=1,INDEX($D$407:$AQ$407,J$7-2),0)+$G$242*IF(J$7-3&gt;=1,INDEX($D$407:$AQ$407,J$7-3),0)+$H$242*IF(J$7-4&gt;=1,INDEX($D$407:$AQ$407,J$7-4),0)+$I$242*IF(J$7-5&gt;=1,INDEX($D$407:$AQ$407,J$7-5),0)+$J$242*IF(J$7-6&gt;=1,INDEX($D$407:$AQ$407,J$7-6),0)+$K$242*IF(J$7-7&gt;=1,INDEX($D$407:$AQ$407,J$7-7),0)+$L$242*IF(J$7-8&gt;=1,INDEX($D$407:$AQ$407,J$7-8),0)+$M$242*IF(J$7-9&gt;=1,INDEX($D$407:$AQ$407,J$7-9),0)+$N$242*IF(J$7-10&gt;=1,INDEX($D$407:$AQ$407,J$7-10),0)+$O$242*IF(J$7-11&gt;=1,INDEX($D$407:$AQ$407,J$7-11),0)+$P$242*IF(J$7-12&gt;=1,INDEX($D$407:$AQ$407,J$7-12),0)</f>
        <v>0</v>
      </c>
      <c r="K409" s="130" t="n">
        <f aca="false">$D$242*IF(K$7-0&gt;=1,INDEX($D$407:$AQ$407,K$7-0),0)+$E$242*IF(K$7-1&gt;=1,INDEX($D$407:$AQ$407,K$7-1),0)+$F$242*IF(K$7-2&gt;=1,INDEX($D$407:$AQ$407,K$7-2),0)+$G$242*IF(K$7-3&gt;=1,INDEX($D$407:$AQ$407,K$7-3),0)+$H$242*IF(K$7-4&gt;=1,INDEX($D$407:$AQ$407,K$7-4),0)+$I$242*IF(K$7-5&gt;=1,INDEX($D$407:$AQ$407,K$7-5),0)+$J$242*IF(K$7-6&gt;=1,INDEX($D$407:$AQ$407,K$7-6),0)+$K$242*IF(K$7-7&gt;=1,INDEX($D$407:$AQ$407,K$7-7),0)+$L$242*IF(K$7-8&gt;=1,INDEX($D$407:$AQ$407,K$7-8),0)+$M$242*IF(K$7-9&gt;=1,INDEX($D$407:$AQ$407,K$7-9),0)+$N$242*IF(K$7-10&gt;=1,INDEX($D$407:$AQ$407,K$7-10),0)+$O$242*IF(K$7-11&gt;=1,INDEX($D$407:$AQ$407,K$7-11),0)+$P$242*IF(K$7-12&gt;=1,INDEX($D$407:$AQ$407,K$7-12),0)</f>
        <v>0</v>
      </c>
      <c r="L409" s="130" t="n">
        <f aca="false">$D$242*IF(L$7-0&gt;=1,INDEX($D$407:$AQ$407,L$7-0),0)+$E$242*IF(L$7-1&gt;=1,INDEX($D$407:$AQ$407,L$7-1),0)+$F$242*IF(L$7-2&gt;=1,INDEX($D$407:$AQ$407,L$7-2),0)+$G$242*IF(L$7-3&gt;=1,INDEX($D$407:$AQ$407,L$7-3),0)+$H$242*IF(L$7-4&gt;=1,INDEX($D$407:$AQ$407,L$7-4),0)+$I$242*IF(L$7-5&gt;=1,INDEX($D$407:$AQ$407,L$7-5),0)+$J$242*IF(L$7-6&gt;=1,INDEX($D$407:$AQ$407,L$7-6),0)+$K$242*IF(L$7-7&gt;=1,INDEX($D$407:$AQ$407,L$7-7),0)+$L$242*IF(L$7-8&gt;=1,INDEX($D$407:$AQ$407,L$7-8),0)+$M$242*IF(L$7-9&gt;=1,INDEX($D$407:$AQ$407,L$7-9),0)+$N$242*IF(L$7-10&gt;=1,INDEX($D$407:$AQ$407,L$7-10),0)+$O$242*IF(L$7-11&gt;=1,INDEX($D$407:$AQ$407,L$7-11),0)+$P$242*IF(L$7-12&gt;=1,INDEX($D$407:$AQ$407,L$7-12),0)</f>
        <v>0</v>
      </c>
      <c r="M409" s="130" t="n">
        <f aca="false">$D$242*IF(M$7-0&gt;=1,INDEX($D$407:$AQ$407,M$7-0),0)+$E$242*IF(M$7-1&gt;=1,INDEX($D$407:$AQ$407,M$7-1),0)+$F$242*IF(M$7-2&gt;=1,INDEX($D$407:$AQ$407,M$7-2),0)+$G$242*IF(M$7-3&gt;=1,INDEX($D$407:$AQ$407,M$7-3),0)+$H$242*IF(M$7-4&gt;=1,INDEX($D$407:$AQ$407,M$7-4),0)+$I$242*IF(M$7-5&gt;=1,INDEX($D$407:$AQ$407,M$7-5),0)+$J$242*IF(M$7-6&gt;=1,INDEX($D$407:$AQ$407,M$7-6),0)+$K$242*IF(M$7-7&gt;=1,INDEX($D$407:$AQ$407,M$7-7),0)+$L$242*IF(M$7-8&gt;=1,INDEX($D$407:$AQ$407,M$7-8),0)+$M$242*IF(M$7-9&gt;=1,INDEX($D$407:$AQ$407,M$7-9),0)+$N$242*IF(M$7-10&gt;=1,INDEX($D$407:$AQ$407,M$7-10),0)+$O$242*IF(M$7-11&gt;=1,INDEX($D$407:$AQ$407,M$7-11),0)+$P$242*IF(M$7-12&gt;=1,INDEX($D$407:$AQ$407,M$7-12),0)</f>
        <v>0</v>
      </c>
      <c r="N409" s="130" t="n">
        <f aca="false">$D$242*IF(N$7-0&gt;=1,INDEX($D$407:$AQ$407,N$7-0),0)+$E$242*IF(N$7-1&gt;=1,INDEX($D$407:$AQ$407,N$7-1),0)+$F$242*IF(N$7-2&gt;=1,INDEX($D$407:$AQ$407,N$7-2),0)+$G$242*IF(N$7-3&gt;=1,INDEX($D$407:$AQ$407,N$7-3),0)+$H$242*IF(N$7-4&gt;=1,INDEX($D$407:$AQ$407,N$7-4),0)+$I$242*IF(N$7-5&gt;=1,INDEX($D$407:$AQ$407,N$7-5),0)+$J$242*IF(N$7-6&gt;=1,INDEX($D$407:$AQ$407,N$7-6),0)+$K$242*IF(N$7-7&gt;=1,INDEX($D$407:$AQ$407,N$7-7),0)+$L$242*IF(N$7-8&gt;=1,INDEX($D$407:$AQ$407,N$7-8),0)+$M$242*IF(N$7-9&gt;=1,INDEX($D$407:$AQ$407,N$7-9),0)+$N$242*IF(N$7-10&gt;=1,INDEX($D$407:$AQ$407,N$7-10),0)+$O$242*IF(N$7-11&gt;=1,INDEX($D$407:$AQ$407,N$7-11),0)+$P$242*IF(N$7-12&gt;=1,INDEX($D$407:$AQ$407,N$7-12),0)</f>
        <v>0</v>
      </c>
      <c r="O409" s="130" t="n">
        <f aca="false">$D$242*IF(O$7-0&gt;=1,INDEX($D$407:$AQ$407,O$7-0),0)+$E$242*IF(O$7-1&gt;=1,INDEX($D$407:$AQ$407,O$7-1),0)+$F$242*IF(O$7-2&gt;=1,INDEX($D$407:$AQ$407,O$7-2),0)+$G$242*IF(O$7-3&gt;=1,INDEX($D$407:$AQ$407,O$7-3),0)+$H$242*IF(O$7-4&gt;=1,INDEX($D$407:$AQ$407,O$7-4),0)+$I$242*IF(O$7-5&gt;=1,INDEX($D$407:$AQ$407,O$7-5),0)+$J$242*IF(O$7-6&gt;=1,INDEX($D$407:$AQ$407,O$7-6),0)+$K$242*IF(O$7-7&gt;=1,INDEX($D$407:$AQ$407,O$7-7),0)+$L$242*IF(O$7-8&gt;=1,INDEX($D$407:$AQ$407,O$7-8),0)+$M$242*IF(O$7-9&gt;=1,INDEX($D$407:$AQ$407,O$7-9),0)+$N$242*IF(O$7-10&gt;=1,INDEX($D$407:$AQ$407,O$7-10),0)+$O$242*IF(O$7-11&gt;=1,INDEX($D$407:$AQ$407,O$7-11),0)+$P$242*IF(O$7-12&gt;=1,INDEX($D$407:$AQ$407,O$7-12),0)</f>
        <v>0</v>
      </c>
      <c r="P409" s="130" t="n">
        <f aca="false">$D$242*IF(P$7-0&gt;=1,INDEX($D$407:$AQ$407,P$7-0),0)+$E$242*IF(P$7-1&gt;=1,INDEX($D$407:$AQ$407,P$7-1),0)+$F$242*IF(P$7-2&gt;=1,INDEX($D$407:$AQ$407,P$7-2),0)+$G$242*IF(P$7-3&gt;=1,INDEX($D$407:$AQ$407,P$7-3),0)+$H$242*IF(P$7-4&gt;=1,INDEX($D$407:$AQ$407,P$7-4),0)+$I$242*IF(P$7-5&gt;=1,INDEX($D$407:$AQ$407,P$7-5),0)+$J$242*IF(P$7-6&gt;=1,INDEX($D$407:$AQ$407,P$7-6),0)+$K$242*IF(P$7-7&gt;=1,INDEX($D$407:$AQ$407,P$7-7),0)+$L$242*IF(P$7-8&gt;=1,INDEX($D$407:$AQ$407,P$7-8),0)+$M$242*IF(P$7-9&gt;=1,INDEX($D$407:$AQ$407,P$7-9),0)+$N$242*IF(P$7-10&gt;=1,INDEX($D$407:$AQ$407,P$7-10),0)+$O$242*IF(P$7-11&gt;=1,INDEX($D$407:$AQ$407,P$7-11),0)+$P$242*IF(P$7-12&gt;=1,INDEX($D$407:$AQ$407,P$7-12),0)</f>
        <v>0</v>
      </c>
      <c r="Q409" s="130" t="n">
        <f aca="false">$D$242*IF(Q$7-0&gt;=1,INDEX($D$407:$AQ$407,Q$7-0),0)+$E$242*IF(Q$7-1&gt;=1,INDEX($D$407:$AQ$407,Q$7-1),0)+$F$242*IF(Q$7-2&gt;=1,INDEX($D$407:$AQ$407,Q$7-2),0)+$G$242*IF(Q$7-3&gt;=1,INDEX($D$407:$AQ$407,Q$7-3),0)+$H$242*IF(Q$7-4&gt;=1,INDEX($D$407:$AQ$407,Q$7-4),0)+$I$242*IF(Q$7-5&gt;=1,INDEX($D$407:$AQ$407,Q$7-5),0)+$J$242*IF(Q$7-6&gt;=1,INDEX($D$407:$AQ$407,Q$7-6),0)+$K$242*IF(Q$7-7&gt;=1,INDEX($D$407:$AQ$407,Q$7-7),0)+$L$242*IF(Q$7-8&gt;=1,INDEX($D$407:$AQ$407,Q$7-8),0)+$M$242*IF(Q$7-9&gt;=1,INDEX($D$407:$AQ$407,Q$7-9),0)+$N$242*IF(Q$7-10&gt;=1,INDEX($D$407:$AQ$407,Q$7-10),0)+$O$242*IF(Q$7-11&gt;=1,INDEX($D$407:$AQ$407,Q$7-11),0)+$P$242*IF(Q$7-12&gt;=1,INDEX($D$407:$AQ$407,Q$7-12),0)</f>
        <v>0</v>
      </c>
      <c r="R409" s="130" t="n">
        <f aca="false">$D$242*IF(R$7-0&gt;=1,INDEX($D$407:$AQ$407,R$7-0),0)+$E$242*IF(R$7-1&gt;=1,INDEX($D$407:$AQ$407,R$7-1),0)+$F$242*IF(R$7-2&gt;=1,INDEX($D$407:$AQ$407,R$7-2),0)+$G$242*IF(R$7-3&gt;=1,INDEX($D$407:$AQ$407,R$7-3),0)+$H$242*IF(R$7-4&gt;=1,INDEX($D$407:$AQ$407,R$7-4),0)+$I$242*IF(R$7-5&gt;=1,INDEX($D$407:$AQ$407,R$7-5),0)+$J$242*IF(R$7-6&gt;=1,INDEX($D$407:$AQ$407,R$7-6),0)+$K$242*IF(R$7-7&gt;=1,INDEX($D$407:$AQ$407,R$7-7),0)+$L$242*IF(R$7-8&gt;=1,INDEX($D$407:$AQ$407,R$7-8),0)+$M$242*IF(R$7-9&gt;=1,INDEX($D$407:$AQ$407,R$7-9),0)+$N$242*IF(R$7-10&gt;=1,INDEX($D$407:$AQ$407,R$7-10),0)+$O$242*IF(R$7-11&gt;=1,INDEX($D$407:$AQ$407,R$7-11),0)+$P$242*IF(R$7-12&gt;=1,INDEX($D$407:$AQ$407,R$7-12),0)</f>
        <v>0</v>
      </c>
      <c r="S409" s="130" t="n">
        <f aca="false">$D$242*IF(S$7-0&gt;=1,INDEX($D$407:$AQ$407,S$7-0),0)+$E$242*IF(S$7-1&gt;=1,INDEX($D$407:$AQ$407,S$7-1),0)+$F$242*IF(S$7-2&gt;=1,INDEX($D$407:$AQ$407,S$7-2),0)+$G$242*IF(S$7-3&gt;=1,INDEX($D$407:$AQ$407,S$7-3),0)+$H$242*IF(S$7-4&gt;=1,INDEX($D$407:$AQ$407,S$7-4),0)+$I$242*IF(S$7-5&gt;=1,INDEX($D$407:$AQ$407,S$7-5),0)+$J$242*IF(S$7-6&gt;=1,INDEX($D$407:$AQ$407,S$7-6),0)+$K$242*IF(S$7-7&gt;=1,INDEX($D$407:$AQ$407,S$7-7),0)+$L$242*IF(S$7-8&gt;=1,INDEX($D$407:$AQ$407,S$7-8),0)+$M$242*IF(S$7-9&gt;=1,INDEX($D$407:$AQ$407,S$7-9),0)+$N$242*IF(S$7-10&gt;=1,INDEX($D$407:$AQ$407,S$7-10),0)+$O$242*IF(S$7-11&gt;=1,INDEX($D$407:$AQ$407,S$7-11),0)+$P$242*IF(S$7-12&gt;=1,INDEX($D$407:$AQ$407,S$7-12),0)</f>
        <v>0</v>
      </c>
      <c r="T409" s="130" t="n">
        <f aca="false">$D$242*IF(T$7-0&gt;=1,INDEX($D$407:$AQ$407,T$7-0),0)+$E$242*IF(T$7-1&gt;=1,INDEX($D$407:$AQ$407,T$7-1),0)+$F$242*IF(T$7-2&gt;=1,INDEX($D$407:$AQ$407,T$7-2),0)+$G$242*IF(T$7-3&gt;=1,INDEX($D$407:$AQ$407,T$7-3),0)+$H$242*IF(T$7-4&gt;=1,INDEX($D$407:$AQ$407,T$7-4),0)+$I$242*IF(T$7-5&gt;=1,INDEX($D$407:$AQ$407,T$7-5),0)+$J$242*IF(T$7-6&gt;=1,INDEX($D$407:$AQ$407,T$7-6),0)+$K$242*IF(T$7-7&gt;=1,INDEX($D$407:$AQ$407,T$7-7),0)+$L$242*IF(T$7-8&gt;=1,INDEX($D$407:$AQ$407,T$7-8),0)+$M$242*IF(T$7-9&gt;=1,INDEX($D$407:$AQ$407,T$7-9),0)+$N$242*IF(T$7-10&gt;=1,INDEX($D$407:$AQ$407,T$7-10),0)+$O$242*IF(T$7-11&gt;=1,INDEX($D$407:$AQ$407,T$7-11),0)+$P$242*IF(T$7-12&gt;=1,INDEX($D$407:$AQ$407,T$7-12),0)</f>
        <v>0</v>
      </c>
      <c r="U409" s="130" t="n">
        <f aca="false">$D$242*IF(U$7-0&gt;=1,INDEX($D$407:$AQ$407,U$7-0),0)+$E$242*IF(U$7-1&gt;=1,INDEX($D$407:$AQ$407,U$7-1),0)+$F$242*IF(U$7-2&gt;=1,INDEX($D$407:$AQ$407,U$7-2),0)+$G$242*IF(U$7-3&gt;=1,INDEX($D$407:$AQ$407,U$7-3),0)+$H$242*IF(U$7-4&gt;=1,INDEX($D$407:$AQ$407,U$7-4),0)+$I$242*IF(U$7-5&gt;=1,INDEX($D$407:$AQ$407,U$7-5),0)+$J$242*IF(U$7-6&gt;=1,INDEX($D$407:$AQ$407,U$7-6),0)+$K$242*IF(U$7-7&gt;=1,INDEX($D$407:$AQ$407,U$7-7),0)+$L$242*IF(U$7-8&gt;=1,INDEX($D$407:$AQ$407,U$7-8),0)+$M$242*IF(U$7-9&gt;=1,INDEX($D$407:$AQ$407,U$7-9),0)+$N$242*IF(U$7-10&gt;=1,INDEX($D$407:$AQ$407,U$7-10),0)+$O$242*IF(U$7-11&gt;=1,INDEX($D$407:$AQ$407,U$7-11),0)+$P$242*IF(U$7-12&gt;=1,INDEX($D$407:$AQ$407,U$7-12),0)</f>
        <v>0</v>
      </c>
      <c r="V409" s="130" t="n">
        <f aca="false">$D$242*IF(V$7-0&gt;=1,INDEX($D$407:$AQ$407,V$7-0),0)+$E$242*IF(V$7-1&gt;=1,INDEX($D$407:$AQ$407,V$7-1),0)+$F$242*IF(V$7-2&gt;=1,INDEX($D$407:$AQ$407,V$7-2),0)+$G$242*IF(V$7-3&gt;=1,INDEX($D$407:$AQ$407,V$7-3),0)+$H$242*IF(V$7-4&gt;=1,INDEX($D$407:$AQ$407,V$7-4),0)+$I$242*IF(V$7-5&gt;=1,INDEX($D$407:$AQ$407,V$7-5),0)+$J$242*IF(V$7-6&gt;=1,INDEX($D$407:$AQ$407,V$7-6),0)+$K$242*IF(V$7-7&gt;=1,INDEX($D$407:$AQ$407,V$7-7),0)+$L$242*IF(V$7-8&gt;=1,INDEX($D$407:$AQ$407,V$7-8),0)+$M$242*IF(V$7-9&gt;=1,INDEX($D$407:$AQ$407,V$7-9),0)+$N$242*IF(V$7-10&gt;=1,INDEX($D$407:$AQ$407,V$7-10),0)+$O$242*IF(V$7-11&gt;=1,INDEX($D$407:$AQ$407,V$7-11),0)+$P$242*IF(V$7-12&gt;=1,INDEX($D$407:$AQ$407,V$7-12),0)</f>
        <v>0</v>
      </c>
      <c r="W409" s="130" t="n">
        <f aca="false">$D$242*IF(W$7-0&gt;=1,INDEX($D$407:$AQ$407,W$7-0),0)+$E$242*IF(W$7-1&gt;=1,INDEX($D$407:$AQ$407,W$7-1),0)+$F$242*IF(W$7-2&gt;=1,INDEX($D$407:$AQ$407,W$7-2),0)+$G$242*IF(W$7-3&gt;=1,INDEX($D$407:$AQ$407,W$7-3),0)+$H$242*IF(W$7-4&gt;=1,INDEX($D$407:$AQ$407,W$7-4),0)+$I$242*IF(W$7-5&gt;=1,INDEX($D$407:$AQ$407,W$7-5),0)+$J$242*IF(W$7-6&gt;=1,INDEX($D$407:$AQ$407,W$7-6),0)+$K$242*IF(W$7-7&gt;=1,INDEX($D$407:$AQ$407,W$7-7),0)+$L$242*IF(W$7-8&gt;=1,INDEX($D$407:$AQ$407,W$7-8),0)+$M$242*IF(W$7-9&gt;=1,INDEX($D$407:$AQ$407,W$7-9),0)+$N$242*IF(W$7-10&gt;=1,INDEX($D$407:$AQ$407,W$7-10),0)+$O$242*IF(W$7-11&gt;=1,INDEX($D$407:$AQ$407,W$7-11),0)+$P$242*IF(W$7-12&gt;=1,INDEX($D$407:$AQ$407,W$7-12),0)</f>
        <v>0</v>
      </c>
      <c r="X409" s="130" t="n">
        <f aca="false">$D$242*IF(X$7-0&gt;=1,INDEX($D$407:$AQ$407,X$7-0),0)+$E$242*IF(X$7-1&gt;=1,INDEX($D$407:$AQ$407,X$7-1),0)+$F$242*IF(X$7-2&gt;=1,INDEX($D$407:$AQ$407,X$7-2),0)+$G$242*IF(X$7-3&gt;=1,INDEX($D$407:$AQ$407,X$7-3),0)+$H$242*IF(X$7-4&gt;=1,INDEX($D$407:$AQ$407,X$7-4),0)+$I$242*IF(X$7-5&gt;=1,INDEX($D$407:$AQ$407,X$7-5),0)+$J$242*IF(X$7-6&gt;=1,INDEX($D$407:$AQ$407,X$7-6),0)+$K$242*IF(X$7-7&gt;=1,INDEX($D$407:$AQ$407,X$7-7),0)+$L$242*IF(X$7-8&gt;=1,INDEX($D$407:$AQ$407,X$7-8),0)+$M$242*IF(X$7-9&gt;=1,INDEX($D$407:$AQ$407,X$7-9),0)+$N$242*IF(X$7-10&gt;=1,INDEX($D$407:$AQ$407,X$7-10),0)+$O$242*IF(X$7-11&gt;=1,INDEX($D$407:$AQ$407,X$7-11),0)+$P$242*IF(X$7-12&gt;=1,INDEX($D$407:$AQ$407,X$7-12),0)</f>
        <v>0</v>
      </c>
      <c r="Y409" s="130" t="n">
        <f aca="false">$D$242*IF(Y$7-0&gt;=1,INDEX($D$407:$AQ$407,Y$7-0),0)+$E$242*IF(Y$7-1&gt;=1,INDEX($D$407:$AQ$407,Y$7-1),0)+$F$242*IF(Y$7-2&gt;=1,INDEX($D$407:$AQ$407,Y$7-2),0)+$G$242*IF(Y$7-3&gt;=1,INDEX($D$407:$AQ$407,Y$7-3),0)+$H$242*IF(Y$7-4&gt;=1,INDEX($D$407:$AQ$407,Y$7-4),0)+$I$242*IF(Y$7-5&gt;=1,INDEX($D$407:$AQ$407,Y$7-5),0)+$J$242*IF(Y$7-6&gt;=1,INDEX($D$407:$AQ$407,Y$7-6),0)+$K$242*IF(Y$7-7&gt;=1,INDEX($D$407:$AQ$407,Y$7-7),0)+$L$242*IF(Y$7-8&gt;=1,INDEX($D$407:$AQ$407,Y$7-8),0)+$M$242*IF(Y$7-9&gt;=1,INDEX($D$407:$AQ$407,Y$7-9),0)+$N$242*IF(Y$7-10&gt;=1,INDEX($D$407:$AQ$407,Y$7-10),0)+$O$242*IF(Y$7-11&gt;=1,INDEX($D$407:$AQ$407,Y$7-11),0)+$P$242*IF(Y$7-12&gt;=1,INDEX($D$407:$AQ$407,Y$7-12),0)</f>
        <v>0</v>
      </c>
      <c r="Z409" s="130" t="n">
        <f aca="false">$D$242*IF(Z$7-0&gt;=1,INDEX($D$407:$AQ$407,Z$7-0),0)+$E$242*IF(Z$7-1&gt;=1,INDEX($D$407:$AQ$407,Z$7-1),0)+$F$242*IF(Z$7-2&gt;=1,INDEX($D$407:$AQ$407,Z$7-2),0)+$G$242*IF(Z$7-3&gt;=1,INDEX($D$407:$AQ$407,Z$7-3),0)+$H$242*IF(Z$7-4&gt;=1,INDEX($D$407:$AQ$407,Z$7-4),0)+$I$242*IF(Z$7-5&gt;=1,INDEX($D$407:$AQ$407,Z$7-5),0)+$J$242*IF(Z$7-6&gt;=1,INDEX($D$407:$AQ$407,Z$7-6),0)+$K$242*IF(Z$7-7&gt;=1,INDEX($D$407:$AQ$407,Z$7-7),0)+$L$242*IF(Z$7-8&gt;=1,INDEX($D$407:$AQ$407,Z$7-8),0)+$M$242*IF(Z$7-9&gt;=1,INDEX($D$407:$AQ$407,Z$7-9),0)+$N$242*IF(Z$7-10&gt;=1,INDEX($D$407:$AQ$407,Z$7-10),0)+$O$242*IF(Z$7-11&gt;=1,INDEX($D$407:$AQ$407,Z$7-11),0)+$P$242*IF(Z$7-12&gt;=1,INDEX($D$407:$AQ$407,Z$7-12),0)</f>
        <v>0</v>
      </c>
      <c r="AA409" s="130" t="n">
        <f aca="false">$D$242*IF(AA$7-0&gt;=1,INDEX($D$407:$AQ$407,AA$7-0),0)+$E$242*IF(AA$7-1&gt;=1,INDEX($D$407:$AQ$407,AA$7-1),0)+$F$242*IF(AA$7-2&gt;=1,INDEX($D$407:$AQ$407,AA$7-2),0)+$G$242*IF(AA$7-3&gt;=1,INDEX($D$407:$AQ$407,AA$7-3),0)+$H$242*IF(AA$7-4&gt;=1,INDEX($D$407:$AQ$407,AA$7-4),0)+$I$242*IF(AA$7-5&gt;=1,INDEX($D$407:$AQ$407,AA$7-5),0)+$J$242*IF(AA$7-6&gt;=1,INDEX($D$407:$AQ$407,AA$7-6),0)+$K$242*IF(AA$7-7&gt;=1,INDEX($D$407:$AQ$407,AA$7-7),0)+$L$242*IF(AA$7-8&gt;=1,INDEX($D$407:$AQ$407,AA$7-8),0)+$M$242*IF(AA$7-9&gt;=1,INDEX($D$407:$AQ$407,AA$7-9),0)+$N$242*IF(AA$7-10&gt;=1,INDEX($D$407:$AQ$407,AA$7-10),0)+$O$242*IF(AA$7-11&gt;=1,INDEX($D$407:$AQ$407,AA$7-11),0)+$P$242*IF(AA$7-12&gt;=1,INDEX($D$407:$AQ$407,AA$7-12),0)</f>
        <v>0</v>
      </c>
      <c r="AB409" s="130" t="n">
        <f aca="false">$D$242*IF(AB$7-0&gt;=1,INDEX($D$407:$AQ$407,AB$7-0),0)+$E$242*IF(AB$7-1&gt;=1,INDEX($D$407:$AQ$407,AB$7-1),0)+$F$242*IF(AB$7-2&gt;=1,INDEX($D$407:$AQ$407,AB$7-2),0)+$G$242*IF(AB$7-3&gt;=1,INDEX($D$407:$AQ$407,AB$7-3),0)+$H$242*IF(AB$7-4&gt;=1,INDEX($D$407:$AQ$407,AB$7-4),0)+$I$242*IF(AB$7-5&gt;=1,INDEX($D$407:$AQ$407,AB$7-5),0)+$J$242*IF(AB$7-6&gt;=1,INDEX($D$407:$AQ$407,AB$7-6),0)+$K$242*IF(AB$7-7&gt;=1,INDEX($D$407:$AQ$407,AB$7-7),0)+$L$242*IF(AB$7-8&gt;=1,INDEX($D$407:$AQ$407,AB$7-8),0)+$M$242*IF(AB$7-9&gt;=1,INDEX($D$407:$AQ$407,AB$7-9),0)+$N$242*IF(AB$7-10&gt;=1,INDEX($D$407:$AQ$407,AB$7-10),0)+$O$242*IF(AB$7-11&gt;=1,INDEX($D$407:$AQ$407,AB$7-11),0)+$P$242*IF(AB$7-12&gt;=1,INDEX($D$407:$AQ$407,AB$7-12),0)</f>
        <v>0</v>
      </c>
      <c r="AC409" s="130" t="n">
        <f aca="false">$D$242*IF(AC$7-0&gt;=1,INDEX($D$407:$AQ$407,AC$7-0),0)+$E$242*IF(AC$7-1&gt;=1,INDEX($D$407:$AQ$407,AC$7-1),0)+$F$242*IF(AC$7-2&gt;=1,INDEX($D$407:$AQ$407,AC$7-2),0)+$G$242*IF(AC$7-3&gt;=1,INDEX($D$407:$AQ$407,AC$7-3),0)+$H$242*IF(AC$7-4&gt;=1,INDEX($D$407:$AQ$407,AC$7-4),0)+$I$242*IF(AC$7-5&gt;=1,INDEX($D$407:$AQ$407,AC$7-5),0)+$J$242*IF(AC$7-6&gt;=1,INDEX($D$407:$AQ$407,AC$7-6),0)+$K$242*IF(AC$7-7&gt;=1,INDEX($D$407:$AQ$407,AC$7-7),0)+$L$242*IF(AC$7-8&gt;=1,INDEX($D$407:$AQ$407,AC$7-8),0)+$M$242*IF(AC$7-9&gt;=1,INDEX($D$407:$AQ$407,AC$7-9),0)+$N$242*IF(AC$7-10&gt;=1,INDEX($D$407:$AQ$407,AC$7-10),0)+$O$242*IF(AC$7-11&gt;=1,INDEX($D$407:$AQ$407,AC$7-11),0)+$P$242*IF(AC$7-12&gt;=1,INDEX($D$407:$AQ$407,AC$7-12),0)</f>
        <v>0</v>
      </c>
      <c r="AD409" s="130" t="n">
        <f aca="false">$D$242*IF(AD$7-0&gt;=1,INDEX($D$407:$AQ$407,AD$7-0),0)+$E$242*IF(AD$7-1&gt;=1,INDEX($D$407:$AQ$407,AD$7-1),0)+$F$242*IF(AD$7-2&gt;=1,INDEX($D$407:$AQ$407,AD$7-2),0)+$G$242*IF(AD$7-3&gt;=1,INDEX($D$407:$AQ$407,AD$7-3),0)+$H$242*IF(AD$7-4&gt;=1,INDEX($D$407:$AQ$407,AD$7-4),0)+$I$242*IF(AD$7-5&gt;=1,INDEX($D$407:$AQ$407,AD$7-5),0)+$J$242*IF(AD$7-6&gt;=1,INDEX($D$407:$AQ$407,AD$7-6),0)+$K$242*IF(AD$7-7&gt;=1,INDEX($D$407:$AQ$407,AD$7-7),0)+$L$242*IF(AD$7-8&gt;=1,INDEX($D$407:$AQ$407,AD$7-8),0)+$M$242*IF(AD$7-9&gt;=1,INDEX($D$407:$AQ$407,AD$7-9),0)+$N$242*IF(AD$7-10&gt;=1,INDEX($D$407:$AQ$407,AD$7-10),0)+$O$242*IF(AD$7-11&gt;=1,INDEX($D$407:$AQ$407,AD$7-11),0)+$P$242*IF(AD$7-12&gt;=1,INDEX($D$407:$AQ$407,AD$7-12),0)</f>
        <v>0</v>
      </c>
      <c r="AE409" s="130" t="n">
        <f aca="false">$D$242*IF(AE$7-0&gt;=1,INDEX($D$407:$AQ$407,AE$7-0),0)+$E$242*IF(AE$7-1&gt;=1,INDEX($D$407:$AQ$407,AE$7-1),0)+$F$242*IF(AE$7-2&gt;=1,INDEX($D$407:$AQ$407,AE$7-2),0)+$G$242*IF(AE$7-3&gt;=1,INDEX($D$407:$AQ$407,AE$7-3),0)+$H$242*IF(AE$7-4&gt;=1,INDEX($D$407:$AQ$407,AE$7-4),0)+$I$242*IF(AE$7-5&gt;=1,INDEX($D$407:$AQ$407,AE$7-5),0)+$J$242*IF(AE$7-6&gt;=1,INDEX($D$407:$AQ$407,AE$7-6),0)+$K$242*IF(AE$7-7&gt;=1,INDEX($D$407:$AQ$407,AE$7-7),0)+$L$242*IF(AE$7-8&gt;=1,INDEX($D$407:$AQ$407,AE$7-8),0)+$M$242*IF(AE$7-9&gt;=1,INDEX($D$407:$AQ$407,AE$7-9),0)+$N$242*IF(AE$7-10&gt;=1,INDEX($D$407:$AQ$407,AE$7-10),0)+$O$242*IF(AE$7-11&gt;=1,INDEX($D$407:$AQ$407,AE$7-11),0)+$P$242*IF(AE$7-12&gt;=1,INDEX($D$407:$AQ$407,AE$7-12),0)</f>
        <v>0</v>
      </c>
      <c r="AF409" s="130" t="n">
        <f aca="false">$D$242*IF(AF$7-0&gt;=1,INDEX($D$407:$AQ$407,AF$7-0),0)+$E$242*IF(AF$7-1&gt;=1,INDEX($D$407:$AQ$407,AF$7-1),0)+$F$242*IF(AF$7-2&gt;=1,INDEX($D$407:$AQ$407,AF$7-2),0)+$G$242*IF(AF$7-3&gt;=1,INDEX($D$407:$AQ$407,AF$7-3),0)+$H$242*IF(AF$7-4&gt;=1,INDEX($D$407:$AQ$407,AF$7-4),0)+$I$242*IF(AF$7-5&gt;=1,INDEX($D$407:$AQ$407,AF$7-5),0)+$J$242*IF(AF$7-6&gt;=1,INDEX($D$407:$AQ$407,AF$7-6),0)+$K$242*IF(AF$7-7&gt;=1,INDEX($D$407:$AQ$407,AF$7-7),0)+$L$242*IF(AF$7-8&gt;=1,INDEX($D$407:$AQ$407,AF$7-8),0)+$M$242*IF(AF$7-9&gt;=1,INDEX($D$407:$AQ$407,AF$7-9),0)+$N$242*IF(AF$7-10&gt;=1,INDEX($D$407:$AQ$407,AF$7-10),0)+$O$242*IF(AF$7-11&gt;=1,INDEX($D$407:$AQ$407,AF$7-11),0)+$P$242*IF(AF$7-12&gt;=1,INDEX($D$407:$AQ$407,AF$7-12),0)</f>
        <v>0</v>
      </c>
      <c r="AG409" s="130" t="n">
        <f aca="false">$D$242*IF(AG$7-0&gt;=1,INDEX($D$407:$AQ$407,AG$7-0),0)+$E$242*IF(AG$7-1&gt;=1,INDEX($D$407:$AQ$407,AG$7-1),0)+$F$242*IF(AG$7-2&gt;=1,INDEX($D$407:$AQ$407,AG$7-2),0)+$G$242*IF(AG$7-3&gt;=1,INDEX($D$407:$AQ$407,AG$7-3),0)+$H$242*IF(AG$7-4&gt;=1,INDEX($D$407:$AQ$407,AG$7-4),0)+$I$242*IF(AG$7-5&gt;=1,INDEX($D$407:$AQ$407,AG$7-5),0)+$J$242*IF(AG$7-6&gt;=1,INDEX($D$407:$AQ$407,AG$7-6),0)+$K$242*IF(AG$7-7&gt;=1,INDEX($D$407:$AQ$407,AG$7-7),0)+$L$242*IF(AG$7-8&gt;=1,INDEX($D$407:$AQ$407,AG$7-8),0)+$M$242*IF(AG$7-9&gt;=1,INDEX($D$407:$AQ$407,AG$7-9),0)+$N$242*IF(AG$7-10&gt;=1,INDEX($D$407:$AQ$407,AG$7-10),0)+$O$242*IF(AG$7-11&gt;=1,INDEX($D$407:$AQ$407,AG$7-11),0)+$P$242*IF(AG$7-12&gt;=1,INDEX($D$407:$AQ$407,AG$7-12),0)</f>
        <v>0</v>
      </c>
      <c r="AH409" s="130" t="n">
        <f aca="false">$D$242*IF(AH$7-0&gt;=1,INDEX($D$407:$AQ$407,AH$7-0),0)+$E$242*IF(AH$7-1&gt;=1,INDEX($D$407:$AQ$407,AH$7-1),0)+$F$242*IF(AH$7-2&gt;=1,INDEX($D$407:$AQ$407,AH$7-2),0)+$G$242*IF(AH$7-3&gt;=1,INDEX($D$407:$AQ$407,AH$7-3),0)+$H$242*IF(AH$7-4&gt;=1,INDEX($D$407:$AQ$407,AH$7-4),0)+$I$242*IF(AH$7-5&gt;=1,INDEX($D$407:$AQ$407,AH$7-5),0)+$J$242*IF(AH$7-6&gt;=1,INDEX($D$407:$AQ$407,AH$7-6),0)+$K$242*IF(AH$7-7&gt;=1,INDEX($D$407:$AQ$407,AH$7-7),0)+$L$242*IF(AH$7-8&gt;=1,INDEX($D$407:$AQ$407,AH$7-8),0)+$M$242*IF(AH$7-9&gt;=1,INDEX($D$407:$AQ$407,AH$7-9),0)+$N$242*IF(AH$7-10&gt;=1,INDEX($D$407:$AQ$407,AH$7-10),0)+$O$242*IF(AH$7-11&gt;=1,INDEX($D$407:$AQ$407,AH$7-11),0)+$P$242*IF(AH$7-12&gt;=1,INDEX($D$407:$AQ$407,AH$7-12),0)</f>
        <v>0</v>
      </c>
      <c r="AI409" s="130" t="n">
        <f aca="false">$D$242*IF(AI$7-0&gt;=1,INDEX($D$407:$AQ$407,AI$7-0),0)+$E$242*IF(AI$7-1&gt;=1,INDEX($D$407:$AQ$407,AI$7-1),0)+$F$242*IF(AI$7-2&gt;=1,INDEX($D$407:$AQ$407,AI$7-2),0)+$G$242*IF(AI$7-3&gt;=1,INDEX($D$407:$AQ$407,AI$7-3),0)+$H$242*IF(AI$7-4&gt;=1,INDEX($D$407:$AQ$407,AI$7-4),0)+$I$242*IF(AI$7-5&gt;=1,INDEX($D$407:$AQ$407,AI$7-5),0)+$J$242*IF(AI$7-6&gt;=1,INDEX($D$407:$AQ$407,AI$7-6),0)+$K$242*IF(AI$7-7&gt;=1,INDEX($D$407:$AQ$407,AI$7-7),0)+$L$242*IF(AI$7-8&gt;=1,INDEX($D$407:$AQ$407,AI$7-8),0)+$M$242*IF(AI$7-9&gt;=1,INDEX($D$407:$AQ$407,AI$7-9),0)+$N$242*IF(AI$7-10&gt;=1,INDEX($D$407:$AQ$407,AI$7-10),0)+$O$242*IF(AI$7-11&gt;=1,INDEX($D$407:$AQ$407,AI$7-11),0)+$P$242*IF(AI$7-12&gt;=1,INDEX($D$407:$AQ$407,AI$7-12),0)</f>
        <v>0</v>
      </c>
      <c r="AJ409" s="130" t="n">
        <f aca="false">$D$242*IF(AJ$7-0&gt;=1,INDEX($D$407:$AQ$407,AJ$7-0),0)+$E$242*IF(AJ$7-1&gt;=1,INDEX($D$407:$AQ$407,AJ$7-1),0)+$F$242*IF(AJ$7-2&gt;=1,INDEX($D$407:$AQ$407,AJ$7-2),0)+$G$242*IF(AJ$7-3&gt;=1,INDEX($D$407:$AQ$407,AJ$7-3),0)+$H$242*IF(AJ$7-4&gt;=1,INDEX($D$407:$AQ$407,AJ$7-4),0)+$I$242*IF(AJ$7-5&gt;=1,INDEX($D$407:$AQ$407,AJ$7-5),0)+$J$242*IF(AJ$7-6&gt;=1,INDEX($D$407:$AQ$407,AJ$7-6),0)+$K$242*IF(AJ$7-7&gt;=1,INDEX($D$407:$AQ$407,AJ$7-7),0)+$L$242*IF(AJ$7-8&gt;=1,INDEX($D$407:$AQ$407,AJ$7-8),0)+$M$242*IF(AJ$7-9&gt;=1,INDEX($D$407:$AQ$407,AJ$7-9),0)+$N$242*IF(AJ$7-10&gt;=1,INDEX($D$407:$AQ$407,AJ$7-10),0)+$O$242*IF(AJ$7-11&gt;=1,INDEX($D$407:$AQ$407,AJ$7-11),0)+$P$242*IF(AJ$7-12&gt;=1,INDEX($D$407:$AQ$407,AJ$7-12),0)</f>
        <v>0</v>
      </c>
      <c r="AK409" s="130" t="n">
        <f aca="false">$D$242*IF(AK$7-0&gt;=1,INDEX($D$407:$AQ$407,AK$7-0),0)+$E$242*IF(AK$7-1&gt;=1,INDEX($D$407:$AQ$407,AK$7-1),0)+$F$242*IF(AK$7-2&gt;=1,INDEX($D$407:$AQ$407,AK$7-2),0)+$G$242*IF(AK$7-3&gt;=1,INDEX($D$407:$AQ$407,AK$7-3),0)+$H$242*IF(AK$7-4&gt;=1,INDEX($D$407:$AQ$407,AK$7-4),0)+$I$242*IF(AK$7-5&gt;=1,INDEX($D$407:$AQ$407,AK$7-5),0)+$J$242*IF(AK$7-6&gt;=1,INDEX($D$407:$AQ$407,AK$7-6),0)+$K$242*IF(AK$7-7&gt;=1,INDEX($D$407:$AQ$407,AK$7-7),0)+$L$242*IF(AK$7-8&gt;=1,INDEX($D$407:$AQ$407,AK$7-8),0)+$M$242*IF(AK$7-9&gt;=1,INDEX($D$407:$AQ$407,AK$7-9),0)+$N$242*IF(AK$7-10&gt;=1,INDEX($D$407:$AQ$407,AK$7-10),0)+$O$242*IF(AK$7-11&gt;=1,INDEX($D$407:$AQ$407,AK$7-11),0)+$P$242*IF(AK$7-12&gt;=1,INDEX($D$407:$AQ$407,AK$7-12),0)</f>
        <v>0</v>
      </c>
      <c r="AL409" s="130" t="n">
        <f aca="false">$D$242*IF(AL$7-0&gt;=1,INDEX($D$407:$AQ$407,AL$7-0),0)+$E$242*IF(AL$7-1&gt;=1,INDEX($D$407:$AQ$407,AL$7-1),0)+$F$242*IF(AL$7-2&gt;=1,INDEX($D$407:$AQ$407,AL$7-2),0)+$G$242*IF(AL$7-3&gt;=1,INDEX($D$407:$AQ$407,AL$7-3),0)+$H$242*IF(AL$7-4&gt;=1,INDEX($D$407:$AQ$407,AL$7-4),0)+$I$242*IF(AL$7-5&gt;=1,INDEX($D$407:$AQ$407,AL$7-5),0)+$J$242*IF(AL$7-6&gt;=1,INDEX($D$407:$AQ$407,AL$7-6),0)+$K$242*IF(AL$7-7&gt;=1,INDEX($D$407:$AQ$407,AL$7-7),0)+$L$242*IF(AL$7-8&gt;=1,INDEX($D$407:$AQ$407,AL$7-8),0)+$M$242*IF(AL$7-9&gt;=1,INDEX($D$407:$AQ$407,AL$7-9),0)+$N$242*IF(AL$7-10&gt;=1,INDEX($D$407:$AQ$407,AL$7-10),0)+$O$242*IF(AL$7-11&gt;=1,INDEX($D$407:$AQ$407,AL$7-11),0)+$P$242*IF(AL$7-12&gt;=1,INDEX($D$407:$AQ$407,AL$7-12),0)</f>
        <v>0</v>
      </c>
      <c r="AM409" s="130" t="n">
        <f aca="false">$D$242*IF(AM$7-0&gt;=1,INDEX($D$407:$AQ$407,AM$7-0),0)+$E$242*IF(AM$7-1&gt;=1,INDEX($D$407:$AQ$407,AM$7-1),0)+$F$242*IF(AM$7-2&gt;=1,INDEX($D$407:$AQ$407,AM$7-2),0)+$G$242*IF(AM$7-3&gt;=1,INDEX($D$407:$AQ$407,AM$7-3),0)+$H$242*IF(AM$7-4&gt;=1,INDEX($D$407:$AQ$407,AM$7-4),0)+$I$242*IF(AM$7-5&gt;=1,INDEX($D$407:$AQ$407,AM$7-5),0)+$J$242*IF(AM$7-6&gt;=1,INDEX($D$407:$AQ$407,AM$7-6),0)+$K$242*IF(AM$7-7&gt;=1,INDEX($D$407:$AQ$407,AM$7-7),0)+$L$242*IF(AM$7-8&gt;=1,INDEX($D$407:$AQ$407,AM$7-8),0)+$M$242*IF(AM$7-9&gt;=1,INDEX($D$407:$AQ$407,AM$7-9),0)+$N$242*IF(AM$7-10&gt;=1,INDEX($D$407:$AQ$407,AM$7-10),0)+$O$242*IF(AM$7-11&gt;=1,INDEX($D$407:$AQ$407,AM$7-11),0)+$P$242*IF(AM$7-12&gt;=1,INDEX($D$407:$AQ$407,AM$7-12),0)</f>
        <v>0</v>
      </c>
      <c r="AN409" s="130" t="n">
        <f aca="false">$D$242*IF(AN$7-0&gt;=1,INDEX($D$407:$AQ$407,AN$7-0),0)+$E$242*IF(AN$7-1&gt;=1,INDEX($D$407:$AQ$407,AN$7-1),0)+$F$242*IF(AN$7-2&gt;=1,INDEX($D$407:$AQ$407,AN$7-2),0)+$G$242*IF(AN$7-3&gt;=1,INDEX($D$407:$AQ$407,AN$7-3),0)+$H$242*IF(AN$7-4&gt;=1,INDEX($D$407:$AQ$407,AN$7-4),0)+$I$242*IF(AN$7-5&gt;=1,INDEX($D$407:$AQ$407,AN$7-5),0)+$J$242*IF(AN$7-6&gt;=1,INDEX($D$407:$AQ$407,AN$7-6),0)+$K$242*IF(AN$7-7&gt;=1,INDEX($D$407:$AQ$407,AN$7-7),0)+$L$242*IF(AN$7-8&gt;=1,INDEX($D$407:$AQ$407,AN$7-8),0)+$M$242*IF(AN$7-9&gt;=1,INDEX($D$407:$AQ$407,AN$7-9),0)+$N$242*IF(AN$7-10&gt;=1,INDEX($D$407:$AQ$407,AN$7-10),0)+$O$242*IF(AN$7-11&gt;=1,INDEX($D$407:$AQ$407,AN$7-11),0)+$P$242*IF(AN$7-12&gt;=1,INDEX($D$407:$AQ$407,AN$7-12),0)</f>
        <v>0</v>
      </c>
      <c r="AO409" s="130" t="n">
        <f aca="false">$D$242*IF(AO$7-0&gt;=1,INDEX($D$407:$AQ$407,AO$7-0),0)+$E$242*IF(AO$7-1&gt;=1,INDEX($D$407:$AQ$407,AO$7-1),0)+$F$242*IF(AO$7-2&gt;=1,INDEX($D$407:$AQ$407,AO$7-2),0)+$G$242*IF(AO$7-3&gt;=1,INDEX($D$407:$AQ$407,AO$7-3),0)+$H$242*IF(AO$7-4&gt;=1,INDEX($D$407:$AQ$407,AO$7-4),0)+$I$242*IF(AO$7-5&gt;=1,INDEX($D$407:$AQ$407,AO$7-5),0)+$J$242*IF(AO$7-6&gt;=1,INDEX($D$407:$AQ$407,AO$7-6),0)+$K$242*IF(AO$7-7&gt;=1,INDEX($D$407:$AQ$407,AO$7-7),0)+$L$242*IF(AO$7-8&gt;=1,INDEX($D$407:$AQ$407,AO$7-8),0)+$M$242*IF(AO$7-9&gt;=1,INDEX($D$407:$AQ$407,AO$7-9),0)+$N$242*IF(AO$7-10&gt;=1,INDEX($D$407:$AQ$407,AO$7-10),0)+$O$242*IF(AO$7-11&gt;=1,INDEX($D$407:$AQ$407,AO$7-11),0)+$P$242*IF(AO$7-12&gt;=1,INDEX($D$407:$AQ$407,AO$7-12),0)</f>
        <v>0</v>
      </c>
      <c r="AP409" s="130" t="n">
        <f aca="false">$D$242*IF(AP$7-0&gt;=1,INDEX($D$407:$AQ$407,AP$7-0),0)+$E$242*IF(AP$7-1&gt;=1,INDEX($D$407:$AQ$407,AP$7-1),0)+$F$242*IF(AP$7-2&gt;=1,INDEX($D$407:$AQ$407,AP$7-2),0)+$G$242*IF(AP$7-3&gt;=1,INDEX($D$407:$AQ$407,AP$7-3),0)+$H$242*IF(AP$7-4&gt;=1,INDEX($D$407:$AQ$407,AP$7-4),0)+$I$242*IF(AP$7-5&gt;=1,INDEX($D$407:$AQ$407,AP$7-5),0)+$J$242*IF(AP$7-6&gt;=1,INDEX($D$407:$AQ$407,AP$7-6),0)+$K$242*IF(AP$7-7&gt;=1,INDEX($D$407:$AQ$407,AP$7-7),0)+$L$242*IF(AP$7-8&gt;=1,INDEX($D$407:$AQ$407,AP$7-8),0)+$M$242*IF(AP$7-9&gt;=1,INDEX($D$407:$AQ$407,AP$7-9),0)+$N$242*IF(AP$7-10&gt;=1,INDEX($D$407:$AQ$407,AP$7-10),0)+$O$242*IF(AP$7-11&gt;=1,INDEX($D$407:$AQ$407,AP$7-11),0)+$P$242*IF(AP$7-12&gt;=1,INDEX($D$407:$AQ$407,AP$7-12),0)</f>
        <v>0</v>
      </c>
      <c r="AQ409" s="130" t="n">
        <f aca="false">$D$242*IF(AQ$7-0&gt;=1,INDEX($D$407:$AQ$407,AQ$7-0),0)+$E$242*IF(AQ$7-1&gt;=1,INDEX($D$407:$AQ$407,AQ$7-1),0)+$F$242*IF(AQ$7-2&gt;=1,INDEX($D$407:$AQ$407,AQ$7-2),0)+$G$242*IF(AQ$7-3&gt;=1,INDEX($D$407:$AQ$407,AQ$7-3),0)+$H$242*IF(AQ$7-4&gt;=1,INDEX($D$407:$AQ$407,AQ$7-4),0)+$I$242*IF(AQ$7-5&gt;=1,INDEX($D$407:$AQ$407,AQ$7-5),0)+$J$242*IF(AQ$7-6&gt;=1,INDEX($D$407:$AQ$407,AQ$7-6),0)+$K$242*IF(AQ$7-7&gt;=1,INDEX($D$407:$AQ$407,AQ$7-7),0)+$L$242*IF(AQ$7-8&gt;=1,INDEX($D$407:$AQ$407,AQ$7-8),0)+$M$242*IF(AQ$7-9&gt;=1,INDEX($D$407:$AQ$407,AQ$7-9),0)+$N$242*IF(AQ$7-10&gt;=1,INDEX($D$407:$AQ$407,AQ$7-10),0)+$O$242*IF(AQ$7-11&gt;=1,INDEX($D$407:$AQ$407,AQ$7-11),0)+$P$242*IF(AQ$7-12&gt;=1,INDEX($D$407:$AQ$407,AQ$7-12),0)</f>
        <v>0</v>
      </c>
    </row>
    <row r="410" customFormat="false" ht="15" hidden="false" customHeight="false" outlineLevel="0" collapsed="false">
      <c r="B410" s="131" t="s">
        <v>715</v>
      </c>
      <c r="C410" s="129" t="n">
        <f aca="false">SUM(D410:AQ410)</f>
        <v>0</v>
      </c>
      <c r="D410" s="130" t="n">
        <f aca="false">SUMIFS($E$212:$E$241,$C$212:$C$241,"Construction % complete",$F$212:$F$241,D$7)*IF(D$7-INPUTS!$C$215&gt;=1,INDEX($D$408:$AQ$408,D$7-INPUTS!$C$215),0)+SUMIFS($E$212:$E$241,$C$212:$C$241,"Construction % complete",$F$212:$F$241,"&lt;"&amp;D$7)*IF(D$7-INPUTS!$C$215&gt;=1,INDEX($D$407:$AQ$407,D$7-INPUTS!$C$215),0)</f>
        <v>0</v>
      </c>
      <c r="E410" s="130" t="n">
        <f aca="false">SUMIFS($E$212:$E$241,$C$212:$C$241,"Construction % complete",$F$212:$F$241,E$7)*IF(E$7-INPUTS!$C$215&gt;=1,INDEX($D$408:$AQ$408,E$7-INPUTS!$C$215),0)+SUMIFS($E$212:$E$241,$C$212:$C$241,"Construction % complete",$F$212:$F$241,"&lt;"&amp;E$7)*IF(E$7-INPUTS!$C$215&gt;=1,INDEX($D$407:$AQ$407,E$7-INPUTS!$C$215),0)</f>
        <v>0</v>
      </c>
      <c r="F410" s="130" t="n">
        <f aca="false">SUMIFS($E$212:$E$241,$C$212:$C$241,"Construction % complete",$F$212:$F$241,F$7)*IF(F$7-INPUTS!$C$215&gt;=1,INDEX($D$408:$AQ$408,F$7-INPUTS!$C$215),0)+SUMIFS($E$212:$E$241,$C$212:$C$241,"Construction % complete",$F$212:$F$241,"&lt;"&amp;F$7)*IF(F$7-INPUTS!$C$215&gt;=1,INDEX($D$407:$AQ$407,F$7-INPUTS!$C$215),0)</f>
        <v>0</v>
      </c>
      <c r="G410" s="130" t="n">
        <f aca="false">SUMIFS($E$212:$E$241,$C$212:$C$241,"Construction % complete",$F$212:$F$241,G$7)*IF(G$7-INPUTS!$C$215&gt;=1,INDEX($D$408:$AQ$408,G$7-INPUTS!$C$215),0)+SUMIFS($E$212:$E$241,$C$212:$C$241,"Construction % complete",$F$212:$F$241,"&lt;"&amp;G$7)*IF(G$7-INPUTS!$C$215&gt;=1,INDEX($D$407:$AQ$407,G$7-INPUTS!$C$215),0)</f>
        <v>0</v>
      </c>
      <c r="H410" s="130" t="n">
        <f aca="false">SUMIFS($E$212:$E$241,$C$212:$C$241,"Construction % complete",$F$212:$F$241,H$7)*IF(H$7-INPUTS!$C$215&gt;=1,INDEX($D$408:$AQ$408,H$7-INPUTS!$C$215),0)+SUMIFS($E$212:$E$241,$C$212:$C$241,"Construction % complete",$F$212:$F$241,"&lt;"&amp;H$7)*IF(H$7-INPUTS!$C$215&gt;=1,INDEX($D$407:$AQ$407,H$7-INPUTS!$C$215),0)</f>
        <v>0</v>
      </c>
      <c r="I410" s="130" t="n">
        <f aca="false">SUMIFS($E$212:$E$241,$C$212:$C$241,"Construction % complete",$F$212:$F$241,I$7)*IF(I$7-INPUTS!$C$215&gt;=1,INDEX($D$408:$AQ$408,I$7-INPUTS!$C$215),0)+SUMIFS($E$212:$E$241,$C$212:$C$241,"Construction % complete",$F$212:$F$241,"&lt;"&amp;I$7)*IF(I$7-INPUTS!$C$215&gt;=1,INDEX($D$407:$AQ$407,I$7-INPUTS!$C$215),0)</f>
        <v>0</v>
      </c>
      <c r="J410" s="130" t="n">
        <f aca="false">SUMIFS($E$212:$E$241,$C$212:$C$241,"Construction % complete",$F$212:$F$241,J$7)*IF(J$7-INPUTS!$C$215&gt;=1,INDEX($D$408:$AQ$408,J$7-INPUTS!$C$215),0)+SUMIFS($E$212:$E$241,$C$212:$C$241,"Construction % complete",$F$212:$F$241,"&lt;"&amp;J$7)*IF(J$7-INPUTS!$C$215&gt;=1,INDEX($D$407:$AQ$407,J$7-INPUTS!$C$215),0)</f>
        <v>0</v>
      </c>
      <c r="K410" s="130" t="n">
        <f aca="false">SUMIFS($E$212:$E$241,$C$212:$C$241,"Construction % complete",$F$212:$F$241,K$7)*IF(K$7-INPUTS!$C$215&gt;=1,INDEX($D$408:$AQ$408,K$7-INPUTS!$C$215),0)+SUMIFS($E$212:$E$241,$C$212:$C$241,"Construction % complete",$F$212:$F$241,"&lt;"&amp;K$7)*IF(K$7-INPUTS!$C$215&gt;=1,INDEX($D$407:$AQ$407,K$7-INPUTS!$C$215),0)</f>
        <v>0</v>
      </c>
      <c r="L410" s="130" t="n">
        <f aca="false">SUMIFS($E$212:$E$241,$C$212:$C$241,"Construction % complete",$F$212:$F$241,L$7)*IF(L$7-INPUTS!$C$215&gt;=1,INDEX($D$408:$AQ$408,L$7-INPUTS!$C$215),0)+SUMIFS($E$212:$E$241,$C$212:$C$241,"Construction % complete",$F$212:$F$241,"&lt;"&amp;L$7)*IF(L$7-INPUTS!$C$215&gt;=1,INDEX($D$407:$AQ$407,L$7-INPUTS!$C$215),0)</f>
        <v>0</v>
      </c>
      <c r="M410" s="130" t="n">
        <f aca="false">SUMIFS($E$212:$E$241,$C$212:$C$241,"Construction % complete",$F$212:$F$241,M$7)*IF(M$7-INPUTS!$C$215&gt;=1,INDEX($D$408:$AQ$408,M$7-INPUTS!$C$215),0)+SUMIFS($E$212:$E$241,$C$212:$C$241,"Construction % complete",$F$212:$F$241,"&lt;"&amp;M$7)*IF(M$7-INPUTS!$C$215&gt;=1,INDEX($D$407:$AQ$407,M$7-INPUTS!$C$215),0)</f>
        <v>0</v>
      </c>
      <c r="N410" s="130" t="n">
        <f aca="false">SUMIFS($E$212:$E$241,$C$212:$C$241,"Construction % complete",$F$212:$F$241,N$7)*IF(N$7-INPUTS!$C$215&gt;=1,INDEX($D$408:$AQ$408,N$7-INPUTS!$C$215),0)+SUMIFS($E$212:$E$241,$C$212:$C$241,"Construction % complete",$F$212:$F$241,"&lt;"&amp;N$7)*IF(N$7-INPUTS!$C$215&gt;=1,INDEX($D$407:$AQ$407,N$7-INPUTS!$C$215),0)</f>
        <v>0</v>
      </c>
      <c r="O410" s="130" t="n">
        <f aca="false">SUMIFS($E$212:$E$241,$C$212:$C$241,"Construction % complete",$F$212:$F$241,O$7)*IF(O$7-INPUTS!$C$215&gt;=1,INDEX($D$408:$AQ$408,O$7-INPUTS!$C$215),0)+SUMIFS($E$212:$E$241,$C$212:$C$241,"Construction % complete",$F$212:$F$241,"&lt;"&amp;O$7)*IF(O$7-INPUTS!$C$215&gt;=1,INDEX($D$407:$AQ$407,O$7-INPUTS!$C$215),0)</f>
        <v>0</v>
      </c>
      <c r="P410" s="130" t="n">
        <f aca="false">SUMIFS($E$212:$E$241,$C$212:$C$241,"Construction % complete",$F$212:$F$241,P$7)*IF(P$7-INPUTS!$C$215&gt;=1,INDEX($D$408:$AQ$408,P$7-INPUTS!$C$215),0)+SUMIFS($E$212:$E$241,$C$212:$C$241,"Construction % complete",$F$212:$F$241,"&lt;"&amp;P$7)*IF(P$7-INPUTS!$C$215&gt;=1,INDEX($D$407:$AQ$407,P$7-INPUTS!$C$215),0)</f>
        <v>0</v>
      </c>
      <c r="Q410" s="130" t="n">
        <f aca="false">SUMIFS($E$212:$E$241,$C$212:$C$241,"Construction % complete",$F$212:$F$241,Q$7)*IF(Q$7-INPUTS!$C$215&gt;=1,INDEX($D$408:$AQ$408,Q$7-INPUTS!$C$215),0)+SUMIFS($E$212:$E$241,$C$212:$C$241,"Construction % complete",$F$212:$F$241,"&lt;"&amp;Q$7)*IF(Q$7-INPUTS!$C$215&gt;=1,INDEX($D$407:$AQ$407,Q$7-INPUTS!$C$215),0)</f>
        <v>0</v>
      </c>
      <c r="R410" s="130" t="n">
        <f aca="false">SUMIFS($E$212:$E$241,$C$212:$C$241,"Construction % complete",$F$212:$F$241,R$7)*IF(R$7-INPUTS!$C$215&gt;=1,INDEX($D$408:$AQ$408,R$7-INPUTS!$C$215),0)+SUMIFS($E$212:$E$241,$C$212:$C$241,"Construction % complete",$F$212:$F$241,"&lt;"&amp;R$7)*IF(R$7-INPUTS!$C$215&gt;=1,INDEX($D$407:$AQ$407,R$7-INPUTS!$C$215),0)</f>
        <v>0</v>
      </c>
      <c r="S410" s="130" t="n">
        <f aca="false">SUMIFS($E$212:$E$241,$C$212:$C$241,"Construction % complete",$F$212:$F$241,S$7)*IF(S$7-INPUTS!$C$215&gt;=1,INDEX($D$408:$AQ$408,S$7-INPUTS!$C$215),0)+SUMIFS($E$212:$E$241,$C$212:$C$241,"Construction % complete",$F$212:$F$241,"&lt;"&amp;S$7)*IF(S$7-INPUTS!$C$215&gt;=1,INDEX($D$407:$AQ$407,S$7-INPUTS!$C$215),0)</f>
        <v>0</v>
      </c>
      <c r="T410" s="130" t="n">
        <f aca="false">SUMIFS($E$212:$E$241,$C$212:$C$241,"Construction % complete",$F$212:$F$241,T$7)*IF(T$7-INPUTS!$C$215&gt;=1,INDEX($D$408:$AQ$408,T$7-INPUTS!$C$215),0)+SUMIFS($E$212:$E$241,$C$212:$C$241,"Construction % complete",$F$212:$F$241,"&lt;"&amp;T$7)*IF(T$7-INPUTS!$C$215&gt;=1,INDEX($D$407:$AQ$407,T$7-INPUTS!$C$215),0)</f>
        <v>0</v>
      </c>
      <c r="U410" s="130" t="n">
        <f aca="false">SUMIFS($E$212:$E$241,$C$212:$C$241,"Construction % complete",$F$212:$F$241,U$7)*IF(U$7-INPUTS!$C$215&gt;=1,INDEX($D$408:$AQ$408,U$7-INPUTS!$C$215),0)+SUMIFS($E$212:$E$241,$C$212:$C$241,"Construction % complete",$F$212:$F$241,"&lt;"&amp;U$7)*IF(U$7-INPUTS!$C$215&gt;=1,INDEX($D$407:$AQ$407,U$7-INPUTS!$C$215),0)</f>
        <v>0</v>
      </c>
      <c r="V410" s="130" t="n">
        <f aca="false">SUMIFS($E$212:$E$241,$C$212:$C$241,"Construction % complete",$F$212:$F$241,V$7)*IF(V$7-INPUTS!$C$215&gt;=1,INDEX($D$408:$AQ$408,V$7-INPUTS!$C$215),0)+SUMIFS($E$212:$E$241,$C$212:$C$241,"Construction % complete",$F$212:$F$241,"&lt;"&amp;V$7)*IF(V$7-INPUTS!$C$215&gt;=1,INDEX($D$407:$AQ$407,V$7-INPUTS!$C$215),0)</f>
        <v>0</v>
      </c>
      <c r="W410" s="130" t="n">
        <f aca="false">SUMIFS($E$212:$E$241,$C$212:$C$241,"Construction % complete",$F$212:$F$241,W$7)*IF(W$7-INPUTS!$C$215&gt;=1,INDEX($D$408:$AQ$408,W$7-INPUTS!$C$215),0)+SUMIFS($E$212:$E$241,$C$212:$C$241,"Construction % complete",$F$212:$F$241,"&lt;"&amp;W$7)*IF(W$7-INPUTS!$C$215&gt;=1,INDEX($D$407:$AQ$407,W$7-INPUTS!$C$215),0)</f>
        <v>0</v>
      </c>
      <c r="X410" s="130" t="n">
        <f aca="false">SUMIFS($E$212:$E$241,$C$212:$C$241,"Construction % complete",$F$212:$F$241,X$7)*IF(X$7-INPUTS!$C$215&gt;=1,INDEX($D$408:$AQ$408,X$7-INPUTS!$C$215),0)+SUMIFS($E$212:$E$241,$C$212:$C$241,"Construction % complete",$F$212:$F$241,"&lt;"&amp;X$7)*IF(X$7-INPUTS!$C$215&gt;=1,INDEX($D$407:$AQ$407,X$7-INPUTS!$C$215),0)</f>
        <v>0</v>
      </c>
      <c r="Y410" s="130" t="n">
        <f aca="false">SUMIFS($E$212:$E$241,$C$212:$C$241,"Construction % complete",$F$212:$F$241,Y$7)*IF(Y$7-INPUTS!$C$215&gt;=1,INDEX($D$408:$AQ$408,Y$7-INPUTS!$C$215),0)+SUMIFS($E$212:$E$241,$C$212:$C$241,"Construction % complete",$F$212:$F$241,"&lt;"&amp;Y$7)*IF(Y$7-INPUTS!$C$215&gt;=1,INDEX($D$407:$AQ$407,Y$7-INPUTS!$C$215),0)</f>
        <v>0</v>
      </c>
      <c r="Z410" s="130" t="n">
        <f aca="false">SUMIFS($E$212:$E$241,$C$212:$C$241,"Construction % complete",$F$212:$F$241,Z$7)*IF(Z$7-INPUTS!$C$215&gt;=1,INDEX($D$408:$AQ$408,Z$7-INPUTS!$C$215),0)+SUMIFS($E$212:$E$241,$C$212:$C$241,"Construction % complete",$F$212:$F$241,"&lt;"&amp;Z$7)*IF(Z$7-INPUTS!$C$215&gt;=1,INDEX($D$407:$AQ$407,Z$7-INPUTS!$C$215),0)</f>
        <v>0</v>
      </c>
      <c r="AA410" s="130" t="n">
        <f aca="false">SUMIFS($E$212:$E$241,$C$212:$C$241,"Construction % complete",$F$212:$F$241,AA$7)*IF(AA$7-INPUTS!$C$215&gt;=1,INDEX($D$408:$AQ$408,AA$7-INPUTS!$C$215),0)+SUMIFS($E$212:$E$241,$C$212:$C$241,"Construction % complete",$F$212:$F$241,"&lt;"&amp;AA$7)*IF(AA$7-INPUTS!$C$215&gt;=1,INDEX($D$407:$AQ$407,AA$7-INPUTS!$C$215),0)</f>
        <v>0</v>
      </c>
      <c r="AB410" s="130" t="n">
        <f aca="false">SUMIFS($E$212:$E$241,$C$212:$C$241,"Construction % complete",$F$212:$F$241,AB$7)*IF(AB$7-INPUTS!$C$215&gt;=1,INDEX($D$408:$AQ$408,AB$7-INPUTS!$C$215),0)+SUMIFS($E$212:$E$241,$C$212:$C$241,"Construction % complete",$F$212:$F$241,"&lt;"&amp;AB$7)*IF(AB$7-INPUTS!$C$215&gt;=1,INDEX($D$407:$AQ$407,AB$7-INPUTS!$C$215),0)</f>
        <v>0</v>
      </c>
      <c r="AC410" s="130" t="n">
        <f aca="false">SUMIFS($E$212:$E$241,$C$212:$C$241,"Construction % complete",$F$212:$F$241,AC$7)*IF(AC$7-INPUTS!$C$215&gt;=1,INDEX($D$408:$AQ$408,AC$7-INPUTS!$C$215),0)+SUMIFS($E$212:$E$241,$C$212:$C$241,"Construction % complete",$F$212:$F$241,"&lt;"&amp;AC$7)*IF(AC$7-INPUTS!$C$215&gt;=1,INDEX($D$407:$AQ$407,AC$7-INPUTS!$C$215),0)</f>
        <v>0</v>
      </c>
      <c r="AD410" s="130" t="n">
        <f aca="false">SUMIFS($E$212:$E$241,$C$212:$C$241,"Construction % complete",$F$212:$F$241,AD$7)*IF(AD$7-INPUTS!$C$215&gt;=1,INDEX($D$408:$AQ$408,AD$7-INPUTS!$C$215),0)+SUMIFS($E$212:$E$241,$C$212:$C$241,"Construction % complete",$F$212:$F$241,"&lt;"&amp;AD$7)*IF(AD$7-INPUTS!$C$215&gt;=1,INDEX($D$407:$AQ$407,AD$7-INPUTS!$C$215),0)</f>
        <v>0</v>
      </c>
      <c r="AE410" s="130" t="n">
        <f aca="false">SUMIFS($E$212:$E$241,$C$212:$C$241,"Construction % complete",$F$212:$F$241,AE$7)*IF(AE$7-INPUTS!$C$215&gt;=1,INDEX($D$408:$AQ$408,AE$7-INPUTS!$C$215),0)+SUMIFS($E$212:$E$241,$C$212:$C$241,"Construction % complete",$F$212:$F$241,"&lt;"&amp;AE$7)*IF(AE$7-INPUTS!$C$215&gt;=1,INDEX($D$407:$AQ$407,AE$7-INPUTS!$C$215),0)</f>
        <v>0</v>
      </c>
      <c r="AF410" s="130" t="n">
        <f aca="false">SUMIFS($E$212:$E$241,$C$212:$C$241,"Construction % complete",$F$212:$F$241,AF$7)*IF(AF$7-INPUTS!$C$215&gt;=1,INDEX($D$408:$AQ$408,AF$7-INPUTS!$C$215),0)+SUMIFS($E$212:$E$241,$C$212:$C$241,"Construction % complete",$F$212:$F$241,"&lt;"&amp;AF$7)*IF(AF$7-INPUTS!$C$215&gt;=1,INDEX($D$407:$AQ$407,AF$7-INPUTS!$C$215),0)</f>
        <v>0</v>
      </c>
      <c r="AG410" s="130" t="n">
        <f aca="false">SUMIFS($E$212:$E$241,$C$212:$C$241,"Construction % complete",$F$212:$F$241,AG$7)*IF(AG$7-INPUTS!$C$215&gt;=1,INDEX($D$408:$AQ$408,AG$7-INPUTS!$C$215),0)+SUMIFS($E$212:$E$241,$C$212:$C$241,"Construction % complete",$F$212:$F$241,"&lt;"&amp;AG$7)*IF(AG$7-INPUTS!$C$215&gt;=1,INDEX($D$407:$AQ$407,AG$7-INPUTS!$C$215),0)</f>
        <v>0</v>
      </c>
      <c r="AH410" s="130" t="n">
        <f aca="false">SUMIFS($E$212:$E$241,$C$212:$C$241,"Construction % complete",$F$212:$F$241,AH$7)*IF(AH$7-INPUTS!$C$215&gt;=1,INDEX($D$408:$AQ$408,AH$7-INPUTS!$C$215),0)+SUMIFS($E$212:$E$241,$C$212:$C$241,"Construction % complete",$F$212:$F$241,"&lt;"&amp;AH$7)*IF(AH$7-INPUTS!$C$215&gt;=1,INDEX($D$407:$AQ$407,AH$7-INPUTS!$C$215),0)</f>
        <v>0</v>
      </c>
      <c r="AI410" s="130" t="n">
        <f aca="false">SUMIFS($E$212:$E$241,$C$212:$C$241,"Construction % complete",$F$212:$F$241,AI$7)*IF(AI$7-INPUTS!$C$215&gt;=1,INDEX($D$408:$AQ$408,AI$7-INPUTS!$C$215),0)+SUMIFS($E$212:$E$241,$C$212:$C$241,"Construction % complete",$F$212:$F$241,"&lt;"&amp;AI$7)*IF(AI$7-INPUTS!$C$215&gt;=1,INDEX($D$407:$AQ$407,AI$7-INPUTS!$C$215),0)</f>
        <v>0</v>
      </c>
      <c r="AJ410" s="130" t="n">
        <f aca="false">SUMIFS($E$212:$E$241,$C$212:$C$241,"Construction % complete",$F$212:$F$241,AJ$7)*IF(AJ$7-INPUTS!$C$215&gt;=1,INDEX($D$408:$AQ$408,AJ$7-INPUTS!$C$215),0)+SUMIFS($E$212:$E$241,$C$212:$C$241,"Construction % complete",$F$212:$F$241,"&lt;"&amp;AJ$7)*IF(AJ$7-INPUTS!$C$215&gt;=1,INDEX($D$407:$AQ$407,AJ$7-INPUTS!$C$215),0)</f>
        <v>0</v>
      </c>
      <c r="AK410" s="130" t="n">
        <f aca="false">SUMIFS($E$212:$E$241,$C$212:$C$241,"Construction % complete",$F$212:$F$241,AK$7)*IF(AK$7-INPUTS!$C$215&gt;=1,INDEX($D$408:$AQ$408,AK$7-INPUTS!$C$215),0)+SUMIFS($E$212:$E$241,$C$212:$C$241,"Construction % complete",$F$212:$F$241,"&lt;"&amp;AK$7)*IF(AK$7-INPUTS!$C$215&gt;=1,INDEX($D$407:$AQ$407,AK$7-INPUTS!$C$215),0)</f>
        <v>0</v>
      </c>
      <c r="AL410" s="130" t="n">
        <f aca="false">SUMIFS($E$212:$E$241,$C$212:$C$241,"Construction % complete",$F$212:$F$241,AL$7)*IF(AL$7-INPUTS!$C$215&gt;=1,INDEX($D$408:$AQ$408,AL$7-INPUTS!$C$215),0)+SUMIFS($E$212:$E$241,$C$212:$C$241,"Construction % complete",$F$212:$F$241,"&lt;"&amp;AL$7)*IF(AL$7-INPUTS!$C$215&gt;=1,INDEX($D$407:$AQ$407,AL$7-INPUTS!$C$215),0)</f>
        <v>0</v>
      </c>
      <c r="AM410" s="130" t="n">
        <f aca="false">SUMIFS($E$212:$E$241,$C$212:$C$241,"Construction % complete",$F$212:$F$241,AM$7)*IF(AM$7-INPUTS!$C$215&gt;=1,INDEX($D$408:$AQ$408,AM$7-INPUTS!$C$215),0)+SUMIFS($E$212:$E$241,$C$212:$C$241,"Construction % complete",$F$212:$F$241,"&lt;"&amp;AM$7)*IF(AM$7-INPUTS!$C$215&gt;=1,INDEX($D$407:$AQ$407,AM$7-INPUTS!$C$215),0)</f>
        <v>0</v>
      </c>
      <c r="AN410" s="130" t="n">
        <f aca="false">SUMIFS($E$212:$E$241,$C$212:$C$241,"Construction % complete",$F$212:$F$241,AN$7)*IF(AN$7-INPUTS!$C$215&gt;=1,INDEX($D$408:$AQ$408,AN$7-INPUTS!$C$215),0)+SUMIFS($E$212:$E$241,$C$212:$C$241,"Construction % complete",$F$212:$F$241,"&lt;"&amp;AN$7)*IF(AN$7-INPUTS!$C$215&gt;=1,INDEX($D$407:$AQ$407,AN$7-INPUTS!$C$215),0)</f>
        <v>0</v>
      </c>
      <c r="AO410" s="130" t="n">
        <f aca="false">SUMIFS($E$212:$E$241,$C$212:$C$241,"Construction % complete",$F$212:$F$241,AO$7)*IF(AO$7-INPUTS!$C$215&gt;=1,INDEX($D$408:$AQ$408,AO$7-INPUTS!$C$215),0)+SUMIFS($E$212:$E$241,$C$212:$C$241,"Construction % complete",$F$212:$F$241,"&lt;"&amp;AO$7)*IF(AO$7-INPUTS!$C$215&gt;=1,INDEX($D$407:$AQ$407,AO$7-INPUTS!$C$215),0)</f>
        <v>0</v>
      </c>
      <c r="AP410" s="130" t="n">
        <f aca="false">SUMIFS($E$212:$E$241,$C$212:$C$241,"Construction % complete",$F$212:$F$241,AP$7)*IF(AP$7-INPUTS!$C$215&gt;=1,INDEX($D$408:$AQ$408,AP$7-INPUTS!$C$215),0)+SUMIFS($E$212:$E$241,$C$212:$C$241,"Construction % complete",$F$212:$F$241,"&lt;"&amp;AP$7)*IF(AP$7-INPUTS!$C$215&gt;=1,INDEX($D$407:$AQ$407,AP$7-INPUTS!$C$215),0)</f>
        <v>0</v>
      </c>
      <c r="AQ410" s="130" t="n">
        <f aca="false">SUMIFS($E$212:$E$241,$C$212:$C$241,"Construction % complete",$F$212:$F$241,AQ$7)*IF(AQ$7-INPUTS!$C$215&gt;=1,INDEX($D$408:$AQ$408,AQ$7-INPUTS!$C$215),0)+SUMIFS($E$212:$E$241,$C$212:$C$241,"Construction % complete",$F$212:$F$241,"&lt;"&amp;AQ$7)*IF(AQ$7-INPUTS!$C$215&gt;=1,INDEX($D$407:$AQ$407,AQ$7-INPUTS!$C$215),0)</f>
        <v>0</v>
      </c>
    </row>
    <row r="411" customFormat="false" ht="15" hidden="false" customHeight="false" outlineLevel="0" collapsed="false">
      <c r="B411" s="2" t="s">
        <v>716</v>
      </c>
      <c r="C411" s="129" t="n">
        <f aca="false">SUM(D411:AQ411)</f>
        <v>0</v>
      </c>
      <c r="D411" s="130" t="n">
        <f aca="false">D409+D410</f>
        <v>0</v>
      </c>
      <c r="E411" s="130" t="n">
        <f aca="false">E409+E410</f>
        <v>0</v>
      </c>
      <c r="F411" s="130" t="n">
        <f aca="false">F409+F410</f>
        <v>0</v>
      </c>
      <c r="G411" s="130" t="n">
        <f aca="false">G409+G410</f>
        <v>0</v>
      </c>
      <c r="H411" s="130" t="n">
        <f aca="false">H409+H410</f>
        <v>0</v>
      </c>
      <c r="I411" s="130" t="n">
        <f aca="false">I409+I410</f>
        <v>0</v>
      </c>
      <c r="J411" s="130" t="n">
        <f aca="false">J409+J410</f>
        <v>0</v>
      </c>
      <c r="K411" s="130" t="n">
        <f aca="false">K409+K410</f>
        <v>0</v>
      </c>
      <c r="L411" s="130" t="n">
        <f aca="false">L409+L410</f>
        <v>0</v>
      </c>
      <c r="M411" s="130" t="n">
        <f aca="false">M409+M410</f>
        <v>0</v>
      </c>
      <c r="N411" s="130" t="n">
        <f aca="false">N409+N410</f>
        <v>0</v>
      </c>
      <c r="O411" s="130" t="n">
        <f aca="false">O409+O410</f>
        <v>0</v>
      </c>
      <c r="P411" s="130" t="n">
        <f aca="false">P409+P410</f>
        <v>0</v>
      </c>
      <c r="Q411" s="130" t="n">
        <f aca="false">Q409+Q410</f>
        <v>0</v>
      </c>
      <c r="R411" s="130" t="n">
        <f aca="false">R409+R410</f>
        <v>0</v>
      </c>
      <c r="S411" s="130" t="n">
        <f aca="false">S409+S410</f>
        <v>0</v>
      </c>
      <c r="T411" s="130" t="n">
        <f aca="false">T409+T410</f>
        <v>0</v>
      </c>
      <c r="U411" s="130" t="n">
        <f aca="false">U409+U410</f>
        <v>0</v>
      </c>
      <c r="V411" s="130" t="n">
        <f aca="false">V409+V410</f>
        <v>0</v>
      </c>
      <c r="W411" s="130" t="n">
        <f aca="false">W409+W410</f>
        <v>0</v>
      </c>
      <c r="X411" s="130" t="n">
        <f aca="false">X409+X410</f>
        <v>0</v>
      </c>
      <c r="Y411" s="130" t="n">
        <f aca="false">Y409+Y410</f>
        <v>0</v>
      </c>
      <c r="Z411" s="130" t="n">
        <f aca="false">Z409+Z410</f>
        <v>0</v>
      </c>
      <c r="AA411" s="130" t="n">
        <f aca="false">AA409+AA410</f>
        <v>0</v>
      </c>
      <c r="AB411" s="130" t="n">
        <f aca="false">AB409+AB410</f>
        <v>0</v>
      </c>
      <c r="AC411" s="130" t="n">
        <f aca="false">AC409+AC410</f>
        <v>0</v>
      </c>
      <c r="AD411" s="130" t="n">
        <f aca="false">AD409+AD410</f>
        <v>0</v>
      </c>
      <c r="AE411" s="130" t="n">
        <f aca="false">AE409+AE410</f>
        <v>0</v>
      </c>
      <c r="AF411" s="130" t="n">
        <f aca="false">AF409+AF410</f>
        <v>0</v>
      </c>
      <c r="AG411" s="130" t="n">
        <f aca="false">AG409+AG410</f>
        <v>0</v>
      </c>
      <c r="AH411" s="130" t="n">
        <f aca="false">AH409+AH410</f>
        <v>0</v>
      </c>
      <c r="AI411" s="130" t="n">
        <f aca="false">AI409+AI410</f>
        <v>0</v>
      </c>
      <c r="AJ411" s="130" t="n">
        <f aca="false">AJ409+AJ410</f>
        <v>0</v>
      </c>
      <c r="AK411" s="130" t="n">
        <f aca="false">AK409+AK410</f>
        <v>0</v>
      </c>
      <c r="AL411" s="130" t="n">
        <f aca="false">AL409+AL410</f>
        <v>0</v>
      </c>
      <c r="AM411" s="130" t="n">
        <f aca="false">AM409+AM410</f>
        <v>0</v>
      </c>
      <c r="AN411" s="130" t="n">
        <f aca="false">AN409+AN410</f>
        <v>0</v>
      </c>
      <c r="AO411" s="130" t="n">
        <f aca="false">AO409+AO410</f>
        <v>0</v>
      </c>
      <c r="AP411" s="130" t="n">
        <f aca="false">AP409+AP410</f>
        <v>0</v>
      </c>
      <c r="AQ411" s="130" t="n">
        <f aca="false">AQ409+AQ410</f>
        <v>0</v>
      </c>
    </row>
    <row r="412" customFormat="false" ht="15" hidden="false" customHeight="false" outlineLevel="0" collapsed="false">
      <c r="B412" s="3" t="s">
        <v>717</v>
      </c>
      <c r="D412" s="130" t="n">
        <f aca="false">SUM($D411:D411)</f>
        <v>0</v>
      </c>
      <c r="E412" s="130" t="n">
        <f aca="false">SUM($D411:E411)</f>
        <v>0</v>
      </c>
      <c r="F412" s="130" t="n">
        <f aca="false">SUM($D411:F411)</f>
        <v>0</v>
      </c>
      <c r="G412" s="130" t="n">
        <f aca="false">SUM($D411:G411)</f>
        <v>0</v>
      </c>
      <c r="H412" s="130" t="n">
        <f aca="false">SUM($D411:H411)</f>
        <v>0</v>
      </c>
      <c r="I412" s="130" t="n">
        <f aca="false">SUM($D411:I411)</f>
        <v>0</v>
      </c>
      <c r="J412" s="130" t="n">
        <f aca="false">SUM($D411:J411)</f>
        <v>0</v>
      </c>
      <c r="K412" s="130" t="n">
        <f aca="false">SUM($D411:K411)</f>
        <v>0</v>
      </c>
      <c r="L412" s="130" t="n">
        <f aca="false">SUM($D411:L411)</f>
        <v>0</v>
      </c>
      <c r="M412" s="130" t="n">
        <f aca="false">SUM($D411:M411)</f>
        <v>0</v>
      </c>
      <c r="N412" s="130" t="n">
        <f aca="false">SUM($D411:N411)</f>
        <v>0</v>
      </c>
      <c r="O412" s="130" t="n">
        <f aca="false">SUM($D411:O411)</f>
        <v>0</v>
      </c>
      <c r="P412" s="130" t="n">
        <f aca="false">SUM($D411:P411)</f>
        <v>0</v>
      </c>
      <c r="Q412" s="130" t="n">
        <f aca="false">SUM($D411:Q411)</f>
        <v>0</v>
      </c>
      <c r="R412" s="130" t="n">
        <f aca="false">SUM($D411:R411)</f>
        <v>0</v>
      </c>
      <c r="S412" s="130" t="n">
        <f aca="false">SUM($D411:S411)</f>
        <v>0</v>
      </c>
      <c r="T412" s="130" t="n">
        <f aca="false">SUM($D411:T411)</f>
        <v>0</v>
      </c>
      <c r="U412" s="130" t="n">
        <f aca="false">SUM($D411:U411)</f>
        <v>0</v>
      </c>
      <c r="V412" s="130" t="n">
        <f aca="false">SUM($D411:V411)</f>
        <v>0</v>
      </c>
      <c r="W412" s="130" t="n">
        <f aca="false">SUM($D411:W411)</f>
        <v>0</v>
      </c>
      <c r="X412" s="130" t="n">
        <f aca="false">SUM($D411:X411)</f>
        <v>0</v>
      </c>
      <c r="Y412" s="130" t="n">
        <f aca="false">SUM($D411:Y411)</f>
        <v>0</v>
      </c>
      <c r="Z412" s="130" t="n">
        <f aca="false">SUM($D411:Z411)</f>
        <v>0</v>
      </c>
      <c r="AA412" s="130" t="n">
        <f aca="false">SUM($D411:AA411)</f>
        <v>0</v>
      </c>
      <c r="AB412" s="130" t="n">
        <f aca="false">SUM($D411:AB411)</f>
        <v>0</v>
      </c>
      <c r="AC412" s="130" t="n">
        <f aca="false">SUM($D411:AC411)</f>
        <v>0</v>
      </c>
      <c r="AD412" s="130" t="n">
        <f aca="false">SUM($D411:AD411)</f>
        <v>0</v>
      </c>
      <c r="AE412" s="130" t="n">
        <f aca="false">SUM($D411:AE411)</f>
        <v>0</v>
      </c>
      <c r="AF412" s="130" t="n">
        <f aca="false">SUM($D411:AF411)</f>
        <v>0</v>
      </c>
      <c r="AG412" s="130" t="n">
        <f aca="false">SUM($D411:AG411)</f>
        <v>0</v>
      </c>
      <c r="AH412" s="130" t="n">
        <f aca="false">SUM($D411:AH411)</f>
        <v>0</v>
      </c>
      <c r="AI412" s="130" t="n">
        <f aca="false">SUM($D411:AI411)</f>
        <v>0</v>
      </c>
      <c r="AJ412" s="130" t="n">
        <f aca="false">SUM($D411:AJ411)</f>
        <v>0</v>
      </c>
      <c r="AK412" s="130" t="n">
        <f aca="false">SUM($D411:AK411)</f>
        <v>0</v>
      </c>
      <c r="AL412" s="130" t="n">
        <f aca="false">SUM($D411:AL411)</f>
        <v>0</v>
      </c>
      <c r="AM412" s="130" t="n">
        <f aca="false">SUM($D411:AM411)</f>
        <v>0</v>
      </c>
      <c r="AN412" s="130" t="n">
        <f aca="false">SUM($D411:AN411)</f>
        <v>0</v>
      </c>
      <c r="AO412" s="130" t="n">
        <f aca="false">SUM($D411:AO411)</f>
        <v>0</v>
      </c>
      <c r="AP412" s="130" t="n">
        <f aca="false">SUM($D411:AP411)</f>
        <v>0</v>
      </c>
      <c r="AQ412" s="130" t="n">
        <f aca="false">SUM($D411:AQ411)</f>
        <v>0</v>
      </c>
    </row>
    <row r="413" customFormat="false" ht="15" hidden="false" customHeight="false" outlineLevel="0" collapsed="false">
      <c r="B413" s="3" t="s">
        <v>718</v>
      </c>
      <c r="D413" s="130" t="n">
        <f aca="false">D408-D412</f>
        <v>0</v>
      </c>
      <c r="E413" s="130" t="n">
        <f aca="false">E408-E412</f>
        <v>0</v>
      </c>
      <c r="F413" s="130" t="n">
        <f aca="false">F408-F412</f>
        <v>0</v>
      </c>
      <c r="G413" s="130" t="n">
        <f aca="false">G408-G412</f>
        <v>0</v>
      </c>
      <c r="H413" s="130" t="n">
        <f aca="false">H408-H412</f>
        <v>0</v>
      </c>
      <c r="I413" s="130" t="n">
        <f aca="false">I408-I412</f>
        <v>0</v>
      </c>
      <c r="J413" s="130" t="n">
        <f aca="false">J408-J412</f>
        <v>0</v>
      </c>
      <c r="K413" s="130" t="n">
        <f aca="false">K408-K412</f>
        <v>0</v>
      </c>
      <c r="L413" s="130" t="n">
        <f aca="false">L408-L412</f>
        <v>0</v>
      </c>
      <c r="M413" s="130" t="n">
        <f aca="false">M408-M412</f>
        <v>0</v>
      </c>
      <c r="N413" s="130" t="n">
        <f aca="false">N408-N412</f>
        <v>0</v>
      </c>
      <c r="O413" s="130" t="n">
        <f aca="false">O408-O412</f>
        <v>0</v>
      </c>
      <c r="P413" s="130" t="n">
        <f aca="false">P408-P412</f>
        <v>0</v>
      </c>
      <c r="Q413" s="130" t="n">
        <f aca="false">Q408-Q412</f>
        <v>0</v>
      </c>
      <c r="R413" s="130" t="n">
        <f aca="false">R408-R412</f>
        <v>0</v>
      </c>
      <c r="S413" s="130" t="n">
        <f aca="false">S408-S412</f>
        <v>0</v>
      </c>
      <c r="T413" s="130" t="n">
        <f aca="false">T408-T412</f>
        <v>0</v>
      </c>
      <c r="U413" s="130" t="n">
        <f aca="false">U408-U412</f>
        <v>0</v>
      </c>
      <c r="V413" s="130" t="n">
        <f aca="false">V408-V412</f>
        <v>0</v>
      </c>
      <c r="W413" s="130" t="n">
        <f aca="false">W408-W412</f>
        <v>0</v>
      </c>
      <c r="X413" s="130" t="n">
        <f aca="false">X408-X412</f>
        <v>0</v>
      </c>
      <c r="Y413" s="130" t="n">
        <f aca="false">Y408-Y412</f>
        <v>0</v>
      </c>
      <c r="Z413" s="130" t="n">
        <f aca="false">Z408-Z412</f>
        <v>0</v>
      </c>
      <c r="AA413" s="130" t="n">
        <f aca="false">AA408-AA412</f>
        <v>0</v>
      </c>
      <c r="AB413" s="130" t="n">
        <f aca="false">AB408-AB412</f>
        <v>0</v>
      </c>
      <c r="AC413" s="130" t="n">
        <f aca="false">AC408-AC412</f>
        <v>0</v>
      </c>
      <c r="AD413" s="130" t="n">
        <f aca="false">AD408-AD412</f>
        <v>0</v>
      </c>
      <c r="AE413" s="130" t="n">
        <f aca="false">AE408-AE412</f>
        <v>0</v>
      </c>
      <c r="AF413" s="130" t="n">
        <f aca="false">AF408-AF412</f>
        <v>0</v>
      </c>
      <c r="AG413" s="130" t="n">
        <f aca="false">AG408-AG412</f>
        <v>0</v>
      </c>
      <c r="AH413" s="130" t="n">
        <f aca="false">AH408-AH412</f>
        <v>0</v>
      </c>
      <c r="AI413" s="130" t="n">
        <f aca="false">AI408-AI412</f>
        <v>0</v>
      </c>
      <c r="AJ413" s="130" t="n">
        <f aca="false">AJ408-AJ412</f>
        <v>0</v>
      </c>
      <c r="AK413" s="130" t="n">
        <f aca="false">AK408-AK412</f>
        <v>0</v>
      </c>
      <c r="AL413" s="130" t="n">
        <f aca="false">AL408-AL412</f>
        <v>0</v>
      </c>
      <c r="AM413" s="130" t="n">
        <f aca="false">AM408-AM412</f>
        <v>0</v>
      </c>
      <c r="AN413" s="130" t="n">
        <f aca="false">AN408-AN412</f>
        <v>0</v>
      </c>
      <c r="AO413" s="130" t="n">
        <f aca="false">AO408-AO412</f>
        <v>0</v>
      </c>
      <c r="AP413" s="130" t="n">
        <f aca="false">AP408-AP412</f>
        <v>0</v>
      </c>
      <c r="AQ413" s="130" t="n">
        <f aca="false">AQ408-AQ412</f>
        <v>0</v>
      </c>
    </row>
    <row r="414" customFormat="false" ht="15" hidden="false" customHeight="false" outlineLevel="0" collapsed="false">
      <c r="B414" s="3" t="s">
        <v>719</v>
      </c>
      <c r="D414" s="132" t="n">
        <f aca="false">IF(INPUTS!$T$94&gt;0,D412/INPUTS!$T$94,0)</f>
        <v>0</v>
      </c>
      <c r="E414" s="132" t="n">
        <f aca="false">IF(INPUTS!$T$94&gt;0,E412/INPUTS!$T$94,0)</f>
        <v>0</v>
      </c>
      <c r="F414" s="132" t="n">
        <f aca="false">IF(INPUTS!$T$94&gt;0,F412/INPUTS!$T$94,0)</f>
        <v>0</v>
      </c>
      <c r="G414" s="132" t="n">
        <f aca="false">IF(INPUTS!$T$94&gt;0,G412/INPUTS!$T$94,0)</f>
        <v>0</v>
      </c>
      <c r="H414" s="132" t="n">
        <f aca="false">IF(INPUTS!$T$94&gt;0,H412/INPUTS!$T$94,0)</f>
        <v>0</v>
      </c>
      <c r="I414" s="132" t="n">
        <f aca="false">IF(INPUTS!$T$94&gt;0,I412/INPUTS!$T$94,0)</f>
        <v>0</v>
      </c>
      <c r="J414" s="132" t="n">
        <f aca="false">IF(INPUTS!$T$94&gt;0,J412/INPUTS!$T$94,0)</f>
        <v>0</v>
      </c>
      <c r="K414" s="132" t="n">
        <f aca="false">IF(INPUTS!$T$94&gt;0,K412/INPUTS!$T$94,0)</f>
        <v>0</v>
      </c>
      <c r="L414" s="132" t="n">
        <f aca="false">IF(INPUTS!$T$94&gt;0,L412/INPUTS!$T$94,0)</f>
        <v>0</v>
      </c>
      <c r="M414" s="132" t="n">
        <f aca="false">IF(INPUTS!$T$94&gt;0,M412/INPUTS!$T$94,0)</f>
        <v>0</v>
      </c>
      <c r="N414" s="132" t="n">
        <f aca="false">IF(INPUTS!$T$94&gt;0,N412/INPUTS!$T$94,0)</f>
        <v>0</v>
      </c>
      <c r="O414" s="132" t="n">
        <f aca="false">IF(INPUTS!$T$94&gt;0,O412/INPUTS!$T$94,0)</f>
        <v>0</v>
      </c>
      <c r="P414" s="132" t="n">
        <f aca="false">IF(INPUTS!$T$94&gt;0,P412/INPUTS!$T$94,0)</f>
        <v>0</v>
      </c>
      <c r="Q414" s="132" t="n">
        <f aca="false">IF(INPUTS!$T$94&gt;0,Q412/INPUTS!$T$94,0)</f>
        <v>0</v>
      </c>
      <c r="R414" s="132" t="n">
        <f aca="false">IF(INPUTS!$T$94&gt;0,R412/INPUTS!$T$94,0)</f>
        <v>0</v>
      </c>
      <c r="S414" s="132" t="n">
        <f aca="false">IF(INPUTS!$T$94&gt;0,S412/INPUTS!$T$94,0)</f>
        <v>0</v>
      </c>
      <c r="T414" s="132" t="n">
        <f aca="false">IF(INPUTS!$T$94&gt;0,T412/INPUTS!$T$94,0)</f>
        <v>0</v>
      </c>
      <c r="U414" s="132" t="n">
        <f aca="false">IF(INPUTS!$T$94&gt;0,U412/INPUTS!$T$94,0)</f>
        <v>0</v>
      </c>
      <c r="V414" s="132" t="n">
        <f aca="false">IF(INPUTS!$T$94&gt;0,V412/INPUTS!$T$94,0)</f>
        <v>0</v>
      </c>
      <c r="W414" s="132" t="n">
        <f aca="false">IF(INPUTS!$T$94&gt;0,W412/INPUTS!$T$94,0)</f>
        <v>0</v>
      </c>
      <c r="X414" s="132" t="n">
        <f aca="false">IF(INPUTS!$T$94&gt;0,X412/INPUTS!$T$94,0)</f>
        <v>0</v>
      </c>
      <c r="Y414" s="132" t="n">
        <f aca="false">IF(INPUTS!$T$94&gt;0,Y412/INPUTS!$T$94,0)</f>
        <v>0</v>
      </c>
      <c r="Z414" s="132" t="n">
        <f aca="false">IF(INPUTS!$T$94&gt;0,Z412/INPUTS!$T$94,0)</f>
        <v>0</v>
      </c>
      <c r="AA414" s="132" t="n">
        <f aca="false">IF(INPUTS!$T$94&gt;0,AA412/INPUTS!$T$94,0)</f>
        <v>0</v>
      </c>
      <c r="AB414" s="132" t="n">
        <f aca="false">IF(INPUTS!$T$94&gt;0,AB412/INPUTS!$T$94,0)</f>
        <v>0</v>
      </c>
      <c r="AC414" s="132" t="n">
        <f aca="false">IF(INPUTS!$T$94&gt;0,AC412/INPUTS!$T$94,0)</f>
        <v>0</v>
      </c>
      <c r="AD414" s="132" t="n">
        <f aca="false">IF(INPUTS!$T$94&gt;0,AD412/INPUTS!$T$94,0)</f>
        <v>0</v>
      </c>
      <c r="AE414" s="132" t="n">
        <f aca="false">IF(INPUTS!$T$94&gt;0,AE412/INPUTS!$T$94,0)</f>
        <v>0</v>
      </c>
      <c r="AF414" s="132" t="n">
        <f aca="false">IF(INPUTS!$T$94&gt;0,AF412/INPUTS!$T$94,0)</f>
        <v>0</v>
      </c>
      <c r="AG414" s="132" t="n">
        <f aca="false">IF(INPUTS!$T$94&gt;0,AG412/INPUTS!$T$94,0)</f>
        <v>0</v>
      </c>
      <c r="AH414" s="132" t="n">
        <f aca="false">IF(INPUTS!$T$94&gt;0,AH412/INPUTS!$T$94,0)</f>
        <v>0</v>
      </c>
      <c r="AI414" s="132" t="n">
        <f aca="false">IF(INPUTS!$T$94&gt;0,AI412/INPUTS!$T$94,0)</f>
        <v>0</v>
      </c>
      <c r="AJ414" s="132" t="n">
        <f aca="false">IF(INPUTS!$T$94&gt;0,AJ412/INPUTS!$T$94,0)</f>
        <v>0</v>
      </c>
      <c r="AK414" s="132" t="n">
        <f aca="false">IF(INPUTS!$T$94&gt;0,AK412/INPUTS!$T$94,0)</f>
        <v>0</v>
      </c>
      <c r="AL414" s="132" t="n">
        <f aca="false">IF(INPUTS!$T$94&gt;0,AL412/INPUTS!$T$94,0)</f>
        <v>0</v>
      </c>
      <c r="AM414" s="132" t="n">
        <f aca="false">IF(INPUTS!$T$94&gt;0,AM412/INPUTS!$T$94,0)</f>
        <v>0</v>
      </c>
      <c r="AN414" s="132" t="n">
        <f aca="false">IF(INPUTS!$T$94&gt;0,AN412/INPUTS!$T$94,0)</f>
        <v>0</v>
      </c>
      <c r="AO414" s="132" t="n">
        <f aca="false">IF(INPUTS!$T$94&gt;0,AO412/INPUTS!$T$94,0)</f>
        <v>0</v>
      </c>
      <c r="AP414" s="132" t="n">
        <f aca="false">IF(INPUTS!$T$94&gt;0,AP412/INPUTS!$T$94,0)</f>
        <v>0</v>
      </c>
      <c r="AQ414" s="132" t="n">
        <f aca="false">IF(INPUTS!$T$94&gt;0,AQ412/INPUTS!$T$94,0)</f>
        <v>0</v>
      </c>
    </row>
    <row r="415" customFormat="false" ht="15" hidden="false" customHeight="false" outlineLevel="0" collapsed="false">
      <c r="B415" s="17" t="s">
        <v>689</v>
      </c>
      <c r="C415" s="105" t="str">
        <f aca="false">IF(INPUTS!$E$94&lt;&gt;"Yes","Off",IF(AND(ABS(C407-INPUTS!$T$94)&lt;0.000001,ABS(C411-INPUTS!$T$94)&lt;0.000001,MIN(D413:AQ413)&gt;-0.000001),"OK","ERROR"))</f>
        <v>Off</v>
      </c>
    </row>
    <row r="416" customFormat="false" ht="15" hidden="false" customHeight="false" outlineLevel="0" collapsed="false">
      <c r="B416" s="110" t="str">
        <f aca="false">IF(INPUTS!$E$95="Yes",INPUTS!$B$95,"Product row 8 (off)")</f>
        <v>Product row 8 (off)</v>
      </c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</row>
    <row r="417" customFormat="false" ht="15" hidden="false" customHeight="false" outlineLevel="0" collapsed="false">
      <c r="B417" s="2" t="s">
        <v>712</v>
      </c>
      <c r="C417" s="129" t="n">
        <f aca="false">SUM(D417:AQ417)</f>
        <v>0</v>
      </c>
      <c r="D417" s="130" t="n">
        <f aca="false">INPUTS!$T$95*CURVES!D80</f>
        <v>0</v>
      </c>
      <c r="E417" s="130" t="n">
        <f aca="false">INPUTS!$T$95*CURVES!E80</f>
        <v>0</v>
      </c>
      <c r="F417" s="130" t="n">
        <f aca="false">INPUTS!$T$95*CURVES!F80</f>
        <v>0</v>
      </c>
      <c r="G417" s="130" t="n">
        <f aca="false">INPUTS!$T$95*CURVES!G80</f>
        <v>0</v>
      </c>
      <c r="H417" s="130" t="n">
        <f aca="false">INPUTS!$T$95*CURVES!H80</f>
        <v>0</v>
      </c>
      <c r="I417" s="130" t="n">
        <f aca="false">INPUTS!$T$95*CURVES!I80</f>
        <v>0</v>
      </c>
      <c r="J417" s="130" t="n">
        <f aca="false">INPUTS!$T$95*CURVES!J80</f>
        <v>0</v>
      </c>
      <c r="K417" s="130" t="n">
        <f aca="false">INPUTS!$T$95*CURVES!K80</f>
        <v>0</v>
      </c>
      <c r="L417" s="130" t="n">
        <f aca="false">INPUTS!$T$95*CURVES!L80</f>
        <v>0</v>
      </c>
      <c r="M417" s="130" t="n">
        <f aca="false">INPUTS!$T$95*CURVES!M80</f>
        <v>0</v>
      </c>
      <c r="N417" s="130" t="n">
        <f aca="false">INPUTS!$T$95*CURVES!N80</f>
        <v>0</v>
      </c>
      <c r="O417" s="130" t="n">
        <f aca="false">INPUTS!$T$95*CURVES!O80</f>
        <v>0</v>
      </c>
      <c r="P417" s="130" t="n">
        <f aca="false">INPUTS!$T$95*CURVES!P80</f>
        <v>0</v>
      </c>
      <c r="Q417" s="130" t="n">
        <f aca="false">INPUTS!$T$95*CURVES!Q80</f>
        <v>0</v>
      </c>
      <c r="R417" s="130" t="n">
        <f aca="false">INPUTS!$T$95*CURVES!R80</f>
        <v>0</v>
      </c>
      <c r="S417" s="130" t="n">
        <f aca="false">INPUTS!$T$95*CURVES!S80</f>
        <v>0</v>
      </c>
      <c r="T417" s="130" t="n">
        <f aca="false">INPUTS!$T$95*CURVES!T80</f>
        <v>0</v>
      </c>
      <c r="U417" s="130" t="n">
        <f aca="false">INPUTS!$T$95*CURVES!U80</f>
        <v>0</v>
      </c>
      <c r="V417" s="130" t="n">
        <f aca="false">INPUTS!$T$95*CURVES!V80</f>
        <v>0</v>
      </c>
      <c r="W417" s="130" t="n">
        <f aca="false">INPUTS!$T$95*CURVES!W80</f>
        <v>0</v>
      </c>
      <c r="X417" s="130" t="n">
        <f aca="false">INPUTS!$T$95*CURVES!X80</f>
        <v>0</v>
      </c>
      <c r="Y417" s="130" t="n">
        <f aca="false">INPUTS!$T$95*CURVES!Y80</f>
        <v>0</v>
      </c>
      <c r="Z417" s="130" t="n">
        <f aca="false">INPUTS!$T$95*CURVES!Z80</f>
        <v>0</v>
      </c>
      <c r="AA417" s="130" t="n">
        <f aca="false">INPUTS!$T$95*CURVES!AA80</f>
        <v>0</v>
      </c>
      <c r="AB417" s="130" t="n">
        <f aca="false">INPUTS!$T$95*CURVES!AB80</f>
        <v>0</v>
      </c>
      <c r="AC417" s="130" t="n">
        <f aca="false">INPUTS!$T$95*CURVES!AC80</f>
        <v>0</v>
      </c>
      <c r="AD417" s="130" t="n">
        <f aca="false">INPUTS!$T$95*CURVES!AD80</f>
        <v>0</v>
      </c>
      <c r="AE417" s="130" t="n">
        <f aca="false">INPUTS!$T$95*CURVES!AE80</f>
        <v>0</v>
      </c>
      <c r="AF417" s="130" t="n">
        <f aca="false">INPUTS!$T$95*CURVES!AF80</f>
        <v>0</v>
      </c>
      <c r="AG417" s="130" t="n">
        <f aca="false">INPUTS!$T$95*CURVES!AG80</f>
        <v>0</v>
      </c>
      <c r="AH417" s="130" t="n">
        <f aca="false">INPUTS!$T$95*CURVES!AH80</f>
        <v>0</v>
      </c>
      <c r="AI417" s="130" t="n">
        <f aca="false">INPUTS!$T$95*CURVES!AI80</f>
        <v>0</v>
      </c>
      <c r="AJ417" s="130" t="n">
        <f aca="false">INPUTS!$T$95*CURVES!AJ80</f>
        <v>0</v>
      </c>
      <c r="AK417" s="130" t="n">
        <f aca="false">INPUTS!$T$95*CURVES!AK80</f>
        <v>0</v>
      </c>
      <c r="AL417" s="130" t="n">
        <f aca="false">INPUTS!$T$95*CURVES!AL80</f>
        <v>0</v>
      </c>
      <c r="AM417" s="130" t="n">
        <f aca="false">INPUTS!$T$95*CURVES!AM80</f>
        <v>0</v>
      </c>
      <c r="AN417" s="130" t="n">
        <f aca="false">INPUTS!$T$95*CURVES!AN80</f>
        <v>0</v>
      </c>
      <c r="AO417" s="130" t="n">
        <f aca="false">INPUTS!$T$95*CURVES!AO80</f>
        <v>0</v>
      </c>
      <c r="AP417" s="130" t="n">
        <f aca="false">INPUTS!$T$95*CURVES!AP80</f>
        <v>0</v>
      </c>
      <c r="AQ417" s="130" t="n">
        <f aca="false">INPUTS!$T$95*CURVES!AQ80</f>
        <v>0</v>
      </c>
    </row>
    <row r="418" customFormat="false" ht="15" hidden="false" customHeight="false" outlineLevel="0" collapsed="false">
      <c r="B418" s="3" t="s">
        <v>713</v>
      </c>
      <c r="D418" s="130" t="n">
        <f aca="false">SUM($D417:D417)</f>
        <v>0</v>
      </c>
      <c r="E418" s="130" t="n">
        <f aca="false">SUM($D417:E417)</f>
        <v>0</v>
      </c>
      <c r="F418" s="130" t="n">
        <f aca="false">SUM($D417:F417)</f>
        <v>0</v>
      </c>
      <c r="G418" s="130" t="n">
        <f aca="false">SUM($D417:G417)</f>
        <v>0</v>
      </c>
      <c r="H418" s="130" t="n">
        <f aca="false">SUM($D417:H417)</f>
        <v>0</v>
      </c>
      <c r="I418" s="130" t="n">
        <f aca="false">SUM($D417:I417)</f>
        <v>0</v>
      </c>
      <c r="J418" s="130" t="n">
        <f aca="false">SUM($D417:J417)</f>
        <v>0</v>
      </c>
      <c r="K418" s="130" t="n">
        <f aca="false">SUM($D417:K417)</f>
        <v>0</v>
      </c>
      <c r="L418" s="130" t="n">
        <f aca="false">SUM($D417:L417)</f>
        <v>0</v>
      </c>
      <c r="M418" s="130" t="n">
        <f aca="false">SUM($D417:M417)</f>
        <v>0</v>
      </c>
      <c r="N418" s="130" t="n">
        <f aca="false">SUM($D417:N417)</f>
        <v>0</v>
      </c>
      <c r="O418" s="130" t="n">
        <f aca="false">SUM($D417:O417)</f>
        <v>0</v>
      </c>
      <c r="P418" s="130" t="n">
        <f aca="false">SUM($D417:P417)</f>
        <v>0</v>
      </c>
      <c r="Q418" s="130" t="n">
        <f aca="false">SUM($D417:Q417)</f>
        <v>0</v>
      </c>
      <c r="R418" s="130" t="n">
        <f aca="false">SUM($D417:R417)</f>
        <v>0</v>
      </c>
      <c r="S418" s="130" t="n">
        <f aca="false">SUM($D417:S417)</f>
        <v>0</v>
      </c>
      <c r="T418" s="130" t="n">
        <f aca="false">SUM($D417:T417)</f>
        <v>0</v>
      </c>
      <c r="U418" s="130" t="n">
        <f aca="false">SUM($D417:U417)</f>
        <v>0</v>
      </c>
      <c r="V418" s="130" t="n">
        <f aca="false">SUM($D417:V417)</f>
        <v>0</v>
      </c>
      <c r="W418" s="130" t="n">
        <f aca="false">SUM($D417:W417)</f>
        <v>0</v>
      </c>
      <c r="X418" s="130" t="n">
        <f aca="false">SUM($D417:X417)</f>
        <v>0</v>
      </c>
      <c r="Y418" s="130" t="n">
        <f aca="false">SUM($D417:Y417)</f>
        <v>0</v>
      </c>
      <c r="Z418" s="130" t="n">
        <f aca="false">SUM($D417:Z417)</f>
        <v>0</v>
      </c>
      <c r="AA418" s="130" t="n">
        <f aca="false">SUM($D417:AA417)</f>
        <v>0</v>
      </c>
      <c r="AB418" s="130" t="n">
        <f aca="false">SUM($D417:AB417)</f>
        <v>0</v>
      </c>
      <c r="AC418" s="130" t="n">
        <f aca="false">SUM($D417:AC417)</f>
        <v>0</v>
      </c>
      <c r="AD418" s="130" t="n">
        <f aca="false">SUM($D417:AD417)</f>
        <v>0</v>
      </c>
      <c r="AE418" s="130" t="n">
        <f aca="false">SUM($D417:AE417)</f>
        <v>0</v>
      </c>
      <c r="AF418" s="130" t="n">
        <f aca="false">SUM($D417:AF417)</f>
        <v>0</v>
      </c>
      <c r="AG418" s="130" t="n">
        <f aca="false">SUM($D417:AG417)</f>
        <v>0</v>
      </c>
      <c r="AH418" s="130" t="n">
        <f aca="false">SUM($D417:AH417)</f>
        <v>0</v>
      </c>
      <c r="AI418" s="130" t="n">
        <f aca="false">SUM($D417:AI417)</f>
        <v>0</v>
      </c>
      <c r="AJ418" s="130" t="n">
        <f aca="false">SUM($D417:AJ417)</f>
        <v>0</v>
      </c>
      <c r="AK418" s="130" t="n">
        <f aca="false">SUM($D417:AK417)</f>
        <v>0</v>
      </c>
      <c r="AL418" s="130" t="n">
        <f aca="false">SUM($D417:AL417)</f>
        <v>0</v>
      </c>
      <c r="AM418" s="130" t="n">
        <f aca="false">SUM($D417:AM417)</f>
        <v>0</v>
      </c>
      <c r="AN418" s="130" t="n">
        <f aca="false">SUM($D417:AN417)</f>
        <v>0</v>
      </c>
      <c r="AO418" s="130" t="n">
        <f aca="false">SUM($D417:AO417)</f>
        <v>0</v>
      </c>
      <c r="AP418" s="130" t="n">
        <f aca="false">SUM($D417:AP417)</f>
        <v>0</v>
      </c>
      <c r="AQ418" s="130" t="n">
        <f aca="false">SUM($D417:AQ417)</f>
        <v>0</v>
      </c>
    </row>
    <row r="419" customFormat="false" ht="15" hidden="false" customHeight="false" outlineLevel="0" collapsed="false">
      <c r="B419" s="131" t="s">
        <v>714</v>
      </c>
      <c r="C419" s="129" t="n">
        <f aca="false">SUM(D419:AQ419)</f>
        <v>0</v>
      </c>
      <c r="D419" s="130" t="n">
        <f aca="false">$D$275*IF(D$7-0&gt;=1,INDEX($D$417:$AQ$417,D$7-0),0)+$E$275*IF(D$7-1&gt;=1,INDEX($D$417:$AQ$417,D$7-1),0)+$F$275*IF(D$7-2&gt;=1,INDEX($D$417:$AQ$417,D$7-2),0)+$G$275*IF(D$7-3&gt;=1,INDEX($D$417:$AQ$417,D$7-3),0)+$H$275*IF(D$7-4&gt;=1,INDEX($D$417:$AQ$417,D$7-4),0)+$I$275*IF(D$7-5&gt;=1,INDEX($D$417:$AQ$417,D$7-5),0)+$J$275*IF(D$7-6&gt;=1,INDEX($D$417:$AQ$417,D$7-6),0)+$K$275*IF(D$7-7&gt;=1,INDEX($D$417:$AQ$417,D$7-7),0)+$L$275*IF(D$7-8&gt;=1,INDEX($D$417:$AQ$417,D$7-8),0)+$M$275*IF(D$7-9&gt;=1,INDEX($D$417:$AQ$417,D$7-9),0)+$N$275*IF(D$7-10&gt;=1,INDEX($D$417:$AQ$417,D$7-10),0)+$O$275*IF(D$7-11&gt;=1,INDEX($D$417:$AQ$417,D$7-11),0)+$P$275*IF(D$7-12&gt;=1,INDEX($D$417:$AQ$417,D$7-12),0)</f>
        <v>0</v>
      </c>
      <c r="E419" s="130" t="n">
        <f aca="false">$D$275*IF(E$7-0&gt;=1,INDEX($D$417:$AQ$417,E$7-0),0)+$E$275*IF(E$7-1&gt;=1,INDEX($D$417:$AQ$417,E$7-1),0)+$F$275*IF(E$7-2&gt;=1,INDEX($D$417:$AQ$417,E$7-2),0)+$G$275*IF(E$7-3&gt;=1,INDEX($D$417:$AQ$417,E$7-3),0)+$H$275*IF(E$7-4&gt;=1,INDEX($D$417:$AQ$417,E$7-4),0)+$I$275*IF(E$7-5&gt;=1,INDEX($D$417:$AQ$417,E$7-5),0)+$J$275*IF(E$7-6&gt;=1,INDEX($D$417:$AQ$417,E$7-6),0)+$K$275*IF(E$7-7&gt;=1,INDEX($D$417:$AQ$417,E$7-7),0)+$L$275*IF(E$7-8&gt;=1,INDEX($D$417:$AQ$417,E$7-8),0)+$M$275*IF(E$7-9&gt;=1,INDEX($D$417:$AQ$417,E$7-9),0)+$N$275*IF(E$7-10&gt;=1,INDEX($D$417:$AQ$417,E$7-10),0)+$O$275*IF(E$7-11&gt;=1,INDEX($D$417:$AQ$417,E$7-11),0)+$P$275*IF(E$7-12&gt;=1,INDEX($D$417:$AQ$417,E$7-12),0)</f>
        <v>0</v>
      </c>
      <c r="F419" s="130" t="n">
        <f aca="false">$D$275*IF(F$7-0&gt;=1,INDEX($D$417:$AQ$417,F$7-0),0)+$E$275*IF(F$7-1&gt;=1,INDEX($D$417:$AQ$417,F$7-1),0)+$F$275*IF(F$7-2&gt;=1,INDEX($D$417:$AQ$417,F$7-2),0)+$G$275*IF(F$7-3&gt;=1,INDEX($D$417:$AQ$417,F$7-3),0)+$H$275*IF(F$7-4&gt;=1,INDEX($D$417:$AQ$417,F$7-4),0)+$I$275*IF(F$7-5&gt;=1,INDEX($D$417:$AQ$417,F$7-5),0)+$J$275*IF(F$7-6&gt;=1,INDEX($D$417:$AQ$417,F$7-6),0)+$K$275*IF(F$7-7&gt;=1,INDEX($D$417:$AQ$417,F$7-7),0)+$L$275*IF(F$7-8&gt;=1,INDEX($D$417:$AQ$417,F$7-8),0)+$M$275*IF(F$7-9&gt;=1,INDEX($D$417:$AQ$417,F$7-9),0)+$N$275*IF(F$7-10&gt;=1,INDEX($D$417:$AQ$417,F$7-10),0)+$O$275*IF(F$7-11&gt;=1,INDEX($D$417:$AQ$417,F$7-11),0)+$P$275*IF(F$7-12&gt;=1,INDEX($D$417:$AQ$417,F$7-12),0)</f>
        <v>0</v>
      </c>
      <c r="G419" s="130" t="n">
        <f aca="false">$D$275*IF(G$7-0&gt;=1,INDEX($D$417:$AQ$417,G$7-0),0)+$E$275*IF(G$7-1&gt;=1,INDEX($D$417:$AQ$417,G$7-1),0)+$F$275*IF(G$7-2&gt;=1,INDEX($D$417:$AQ$417,G$7-2),0)+$G$275*IF(G$7-3&gt;=1,INDEX($D$417:$AQ$417,G$7-3),0)+$H$275*IF(G$7-4&gt;=1,INDEX($D$417:$AQ$417,G$7-4),0)+$I$275*IF(G$7-5&gt;=1,INDEX($D$417:$AQ$417,G$7-5),0)+$J$275*IF(G$7-6&gt;=1,INDEX($D$417:$AQ$417,G$7-6),0)+$K$275*IF(G$7-7&gt;=1,INDEX($D$417:$AQ$417,G$7-7),0)+$L$275*IF(G$7-8&gt;=1,INDEX($D$417:$AQ$417,G$7-8),0)+$M$275*IF(G$7-9&gt;=1,INDEX($D$417:$AQ$417,G$7-9),0)+$N$275*IF(G$7-10&gt;=1,INDEX($D$417:$AQ$417,G$7-10),0)+$O$275*IF(G$7-11&gt;=1,INDEX($D$417:$AQ$417,G$7-11),0)+$P$275*IF(G$7-12&gt;=1,INDEX($D$417:$AQ$417,G$7-12),0)</f>
        <v>0</v>
      </c>
      <c r="H419" s="130" t="n">
        <f aca="false">$D$275*IF(H$7-0&gt;=1,INDEX($D$417:$AQ$417,H$7-0),0)+$E$275*IF(H$7-1&gt;=1,INDEX($D$417:$AQ$417,H$7-1),0)+$F$275*IF(H$7-2&gt;=1,INDEX($D$417:$AQ$417,H$7-2),0)+$G$275*IF(H$7-3&gt;=1,INDEX($D$417:$AQ$417,H$7-3),0)+$H$275*IF(H$7-4&gt;=1,INDEX($D$417:$AQ$417,H$7-4),0)+$I$275*IF(H$7-5&gt;=1,INDEX($D$417:$AQ$417,H$7-5),0)+$J$275*IF(H$7-6&gt;=1,INDEX($D$417:$AQ$417,H$7-6),0)+$K$275*IF(H$7-7&gt;=1,INDEX($D$417:$AQ$417,H$7-7),0)+$L$275*IF(H$7-8&gt;=1,INDEX($D$417:$AQ$417,H$7-8),0)+$M$275*IF(H$7-9&gt;=1,INDEX($D$417:$AQ$417,H$7-9),0)+$N$275*IF(H$7-10&gt;=1,INDEX($D$417:$AQ$417,H$7-10),0)+$O$275*IF(H$7-11&gt;=1,INDEX($D$417:$AQ$417,H$7-11),0)+$P$275*IF(H$7-12&gt;=1,INDEX($D$417:$AQ$417,H$7-12),0)</f>
        <v>0</v>
      </c>
      <c r="I419" s="130" t="n">
        <f aca="false">$D$275*IF(I$7-0&gt;=1,INDEX($D$417:$AQ$417,I$7-0),0)+$E$275*IF(I$7-1&gt;=1,INDEX($D$417:$AQ$417,I$7-1),0)+$F$275*IF(I$7-2&gt;=1,INDEX($D$417:$AQ$417,I$7-2),0)+$G$275*IF(I$7-3&gt;=1,INDEX($D$417:$AQ$417,I$7-3),0)+$H$275*IF(I$7-4&gt;=1,INDEX($D$417:$AQ$417,I$7-4),0)+$I$275*IF(I$7-5&gt;=1,INDEX($D$417:$AQ$417,I$7-5),0)+$J$275*IF(I$7-6&gt;=1,INDEX($D$417:$AQ$417,I$7-6),0)+$K$275*IF(I$7-7&gt;=1,INDEX($D$417:$AQ$417,I$7-7),0)+$L$275*IF(I$7-8&gt;=1,INDEX($D$417:$AQ$417,I$7-8),0)+$M$275*IF(I$7-9&gt;=1,INDEX($D$417:$AQ$417,I$7-9),0)+$N$275*IF(I$7-10&gt;=1,INDEX($D$417:$AQ$417,I$7-10),0)+$O$275*IF(I$7-11&gt;=1,INDEX($D$417:$AQ$417,I$7-11),0)+$P$275*IF(I$7-12&gt;=1,INDEX($D$417:$AQ$417,I$7-12),0)</f>
        <v>0</v>
      </c>
      <c r="J419" s="130" t="n">
        <f aca="false">$D$275*IF(J$7-0&gt;=1,INDEX($D$417:$AQ$417,J$7-0),0)+$E$275*IF(J$7-1&gt;=1,INDEX($D$417:$AQ$417,J$7-1),0)+$F$275*IF(J$7-2&gt;=1,INDEX($D$417:$AQ$417,J$7-2),0)+$G$275*IF(J$7-3&gt;=1,INDEX($D$417:$AQ$417,J$7-3),0)+$H$275*IF(J$7-4&gt;=1,INDEX($D$417:$AQ$417,J$7-4),0)+$I$275*IF(J$7-5&gt;=1,INDEX($D$417:$AQ$417,J$7-5),0)+$J$275*IF(J$7-6&gt;=1,INDEX($D$417:$AQ$417,J$7-6),0)+$K$275*IF(J$7-7&gt;=1,INDEX($D$417:$AQ$417,J$7-7),0)+$L$275*IF(J$7-8&gt;=1,INDEX($D$417:$AQ$417,J$7-8),0)+$M$275*IF(J$7-9&gt;=1,INDEX($D$417:$AQ$417,J$7-9),0)+$N$275*IF(J$7-10&gt;=1,INDEX($D$417:$AQ$417,J$7-10),0)+$O$275*IF(J$7-11&gt;=1,INDEX($D$417:$AQ$417,J$7-11),0)+$P$275*IF(J$7-12&gt;=1,INDEX($D$417:$AQ$417,J$7-12),0)</f>
        <v>0</v>
      </c>
      <c r="K419" s="130" t="n">
        <f aca="false">$D$275*IF(K$7-0&gt;=1,INDEX($D$417:$AQ$417,K$7-0),0)+$E$275*IF(K$7-1&gt;=1,INDEX($D$417:$AQ$417,K$7-1),0)+$F$275*IF(K$7-2&gt;=1,INDEX($D$417:$AQ$417,K$7-2),0)+$G$275*IF(K$7-3&gt;=1,INDEX($D$417:$AQ$417,K$7-3),0)+$H$275*IF(K$7-4&gt;=1,INDEX($D$417:$AQ$417,K$7-4),0)+$I$275*IF(K$7-5&gt;=1,INDEX($D$417:$AQ$417,K$7-5),0)+$J$275*IF(K$7-6&gt;=1,INDEX($D$417:$AQ$417,K$7-6),0)+$K$275*IF(K$7-7&gt;=1,INDEX($D$417:$AQ$417,K$7-7),0)+$L$275*IF(K$7-8&gt;=1,INDEX($D$417:$AQ$417,K$7-8),0)+$M$275*IF(K$7-9&gt;=1,INDEX($D$417:$AQ$417,K$7-9),0)+$N$275*IF(K$7-10&gt;=1,INDEX($D$417:$AQ$417,K$7-10),0)+$O$275*IF(K$7-11&gt;=1,INDEX($D$417:$AQ$417,K$7-11),0)+$P$275*IF(K$7-12&gt;=1,INDEX($D$417:$AQ$417,K$7-12),0)</f>
        <v>0</v>
      </c>
      <c r="L419" s="130" t="n">
        <f aca="false">$D$275*IF(L$7-0&gt;=1,INDEX($D$417:$AQ$417,L$7-0),0)+$E$275*IF(L$7-1&gt;=1,INDEX($D$417:$AQ$417,L$7-1),0)+$F$275*IF(L$7-2&gt;=1,INDEX($D$417:$AQ$417,L$7-2),0)+$G$275*IF(L$7-3&gt;=1,INDEX($D$417:$AQ$417,L$7-3),0)+$H$275*IF(L$7-4&gt;=1,INDEX($D$417:$AQ$417,L$7-4),0)+$I$275*IF(L$7-5&gt;=1,INDEX($D$417:$AQ$417,L$7-5),0)+$J$275*IF(L$7-6&gt;=1,INDEX($D$417:$AQ$417,L$7-6),0)+$K$275*IF(L$7-7&gt;=1,INDEX($D$417:$AQ$417,L$7-7),0)+$L$275*IF(L$7-8&gt;=1,INDEX($D$417:$AQ$417,L$7-8),0)+$M$275*IF(L$7-9&gt;=1,INDEX($D$417:$AQ$417,L$7-9),0)+$N$275*IF(L$7-10&gt;=1,INDEX($D$417:$AQ$417,L$7-10),0)+$O$275*IF(L$7-11&gt;=1,INDEX($D$417:$AQ$417,L$7-11),0)+$P$275*IF(L$7-12&gt;=1,INDEX($D$417:$AQ$417,L$7-12),0)</f>
        <v>0</v>
      </c>
      <c r="M419" s="130" t="n">
        <f aca="false">$D$275*IF(M$7-0&gt;=1,INDEX($D$417:$AQ$417,M$7-0),0)+$E$275*IF(M$7-1&gt;=1,INDEX($D$417:$AQ$417,M$7-1),0)+$F$275*IF(M$7-2&gt;=1,INDEX($D$417:$AQ$417,M$7-2),0)+$G$275*IF(M$7-3&gt;=1,INDEX($D$417:$AQ$417,M$7-3),0)+$H$275*IF(M$7-4&gt;=1,INDEX($D$417:$AQ$417,M$7-4),0)+$I$275*IF(M$7-5&gt;=1,INDEX($D$417:$AQ$417,M$7-5),0)+$J$275*IF(M$7-6&gt;=1,INDEX($D$417:$AQ$417,M$7-6),0)+$K$275*IF(M$7-7&gt;=1,INDEX($D$417:$AQ$417,M$7-7),0)+$L$275*IF(M$7-8&gt;=1,INDEX($D$417:$AQ$417,M$7-8),0)+$M$275*IF(M$7-9&gt;=1,INDEX($D$417:$AQ$417,M$7-9),0)+$N$275*IF(M$7-10&gt;=1,INDEX($D$417:$AQ$417,M$7-10),0)+$O$275*IF(M$7-11&gt;=1,INDEX($D$417:$AQ$417,M$7-11),0)+$P$275*IF(M$7-12&gt;=1,INDEX($D$417:$AQ$417,M$7-12),0)</f>
        <v>0</v>
      </c>
      <c r="N419" s="130" t="n">
        <f aca="false">$D$275*IF(N$7-0&gt;=1,INDEX($D$417:$AQ$417,N$7-0),0)+$E$275*IF(N$7-1&gt;=1,INDEX($D$417:$AQ$417,N$7-1),0)+$F$275*IF(N$7-2&gt;=1,INDEX($D$417:$AQ$417,N$7-2),0)+$G$275*IF(N$7-3&gt;=1,INDEX($D$417:$AQ$417,N$7-3),0)+$H$275*IF(N$7-4&gt;=1,INDEX($D$417:$AQ$417,N$7-4),0)+$I$275*IF(N$7-5&gt;=1,INDEX($D$417:$AQ$417,N$7-5),0)+$J$275*IF(N$7-6&gt;=1,INDEX($D$417:$AQ$417,N$7-6),0)+$K$275*IF(N$7-7&gt;=1,INDEX($D$417:$AQ$417,N$7-7),0)+$L$275*IF(N$7-8&gt;=1,INDEX($D$417:$AQ$417,N$7-8),0)+$M$275*IF(N$7-9&gt;=1,INDEX($D$417:$AQ$417,N$7-9),0)+$N$275*IF(N$7-10&gt;=1,INDEX($D$417:$AQ$417,N$7-10),0)+$O$275*IF(N$7-11&gt;=1,INDEX($D$417:$AQ$417,N$7-11),0)+$P$275*IF(N$7-12&gt;=1,INDEX($D$417:$AQ$417,N$7-12),0)</f>
        <v>0</v>
      </c>
      <c r="O419" s="130" t="n">
        <f aca="false">$D$275*IF(O$7-0&gt;=1,INDEX($D$417:$AQ$417,O$7-0),0)+$E$275*IF(O$7-1&gt;=1,INDEX($D$417:$AQ$417,O$7-1),0)+$F$275*IF(O$7-2&gt;=1,INDEX($D$417:$AQ$417,O$7-2),0)+$G$275*IF(O$7-3&gt;=1,INDEX($D$417:$AQ$417,O$7-3),0)+$H$275*IF(O$7-4&gt;=1,INDEX($D$417:$AQ$417,O$7-4),0)+$I$275*IF(O$7-5&gt;=1,INDEX($D$417:$AQ$417,O$7-5),0)+$J$275*IF(O$7-6&gt;=1,INDEX($D$417:$AQ$417,O$7-6),0)+$K$275*IF(O$7-7&gt;=1,INDEX($D$417:$AQ$417,O$7-7),0)+$L$275*IF(O$7-8&gt;=1,INDEX($D$417:$AQ$417,O$7-8),0)+$M$275*IF(O$7-9&gt;=1,INDEX($D$417:$AQ$417,O$7-9),0)+$N$275*IF(O$7-10&gt;=1,INDEX($D$417:$AQ$417,O$7-10),0)+$O$275*IF(O$7-11&gt;=1,INDEX($D$417:$AQ$417,O$7-11),0)+$P$275*IF(O$7-12&gt;=1,INDEX($D$417:$AQ$417,O$7-12),0)</f>
        <v>0</v>
      </c>
      <c r="P419" s="130" t="n">
        <f aca="false">$D$275*IF(P$7-0&gt;=1,INDEX($D$417:$AQ$417,P$7-0),0)+$E$275*IF(P$7-1&gt;=1,INDEX($D$417:$AQ$417,P$7-1),0)+$F$275*IF(P$7-2&gt;=1,INDEX($D$417:$AQ$417,P$7-2),0)+$G$275*IF(P$7-3&gt;=1,INDEX($D$417:$AQ$417,P$7-3),0)+$H$275*IF(P$7-4&gt;=1,INDEX($D$417:$AQ$417,P$7-4),0)+$I$275*IF(P$7-5&gt;=1,INDEX($D$417:$AQ$417,P$7-5),0)+$J$275*IF(P$7-6&gt;=1,INDEX($D$417:$AQ$417,P$7-6),0)+$K$275*IF(P$7-7&gt;=1,INDEX($D$417:$AQ$417,P$7-7),0)+$L$275*IF(P$7-8&gt;=1,INDEX($D$417:$AQ$417,P$7-8),0)+$M$275*IF(P$7-9&gt;=1,INDEX($D$417:$AQ$417,P$7-9),0)+$N$275*IF(P$7-10&gt;=1,INDEX($D$417:$AQ$417,P$7-10),0)+$O$275*IF(P$7-11&gt;=1,INDEX($D$417:$AQ$417,P$7-11),0)+$P$275*IF(P$7-12&gt;=1,INDEX($D$417:$AQ$417,P$7-12),0)</f>
        <v>0</v>
      </c>
      <c r="Q419" s="130" t="n">
        <f aca="false">$D$275*IF(Q$7-0&gt;=1,INDEX($D$417:$AQ$417,Q$7-0),0)+$E$275*IF(Q$7-1&gt;=1,INDEX($D$417:$AQ$417,Q$7-1),0)+$F$275*IF(Q$7-2&gt;=1,INDEX($D$417:$AQ$417,Q$7-2),0)+$G$275*IF(Q$7-3&gt;=1,INDEX($D$417:$AQ$417,Q$7-3),0)+$H$275*IF(Q$7-4&gt;=1,INDEX($D$417:$AQ$417,Q$7-4),0)+$I$275*IF(Q$7-5&gt;=1,INDEX($D$417:$AQ$417,Q$7-5),0)+$J$275*IF(Q$7-6&gt;=1,INDEX($D$417:$AQ$417,Q$7-6),0)+$K$275*IF(Q$7-7&gt;=1,INDEX($D$417:$AQ$417,Q$7-7),0)+$L$275*IF(Q$7-8&gt;=1,INDEX($D$417:$AQ$417,Q$7-8),0)+$M$275*IF(Q$7-9&gt;=1,INDEX($D$417:$AQ$417,Q$7-9),0)+$N$275*IF(Q$7-10&gt;=1,INDEX($D$417:$AQ$417,Q$7-10),0)+$O$275*IF(Q$7-11&gt;=1,INDEX($D$417:$AQ$417,Q$7-11),0)+$P$275*IF(Q$7-12&gt;=1,INDEX($D$417:$AQ$417,Q$7-12),0)</f>
        <v>0</v>
      </c>
      <c r="R419" s="130" t="n">
        <f aca="false">$D$275*IF(R$7-0&gt;=1,INDEX($D$417:$AQ$417,R$7-0),0)+$E$275*IF(R$7-1&gt;=1,INDEX($D$417:$AQ$417,R$7-1),0)+$F$275*IF(R$7-2&gt;=1,INDEX($D$417:$AQ$417,R$7-2),0)+$G$275*IF(R$7-3&gt;=1,INDEX($D$417:$AQ$417,R$7-3),0)+$H$275*IF(R$7-4&gt;=1,INDEX($D$417:$AQ$417,R$7-4),0)+$I$275*IF(R$7-5&gt;=1,INDEX($D$417:$AQ$417,R$7-5),0)+$J$275*IF(R$7-6&gt;=1,INDEX($D$417:$AQ$417,R$7-6),0)+$K$275*IF(R$7-7&gt;=1,INDEX($D$417:$AQ$417,R$7-7),0)+$L$275*IF(R$7-8&gt;=1,INDEX($D$417:$AQ$417,R$7-8),0)+$M$275*IF(R$7-9&gt;=1,INDEX($D$417:$AQ$417,R$7-9),0)+$N$275*IF(R$7-10&gt;=1,INDEX($D$417:$AQ$417,R$7-10),0)+$O$275*IF(R$7-11&gt;=1,INDEX($D$417:$AQ$417,R$7-11),0)+$P$275*IF(R$7-12&gt;=1,INDEX($D$417:$AQ$417,R$7-12),0)</f>
        <v>0</v>
      </c>
      <c r="S419" s="130" t="n">
        <f aca="false">$D$275*IF(S$7-0&gt;=1,INDEX($D$417:$AQ$417,S$7-0),0)+$E$275*IF(S$7-1&gt;=1,INDEX($D$417:$AQ$417,S$7-1),0)+$F$275*IF(S$7-2&gt;=1,INDEX($D$417:$AQ$417,S$7-2),0)+$G$275*IF(S$7-3&gt;=1,INDEX($D$417:$AQ$417,S$7-3),0)+$H$275*IF(S$7-4&gt;=1,INDEX($D$417:$AQ$417,S$7-4),0)+$I$275*IF(S$7-5&gt;=1,INDEX($D$417:$AQ$417,S$7-5),0)+$J$275*IF(S$7-6&gt;=1,INDEX($D$417:$AQ$417,S$7-6),0)+$K$275*IF(S$7-7&gt;=1,INDEX($D$417:$AQ$417,S$7-7),0)+$L$275*IF(S$7-8&gt;=1,INDEX($D$417:$AQ$417,S$7-8),0)+$M$275*IF(S$7-9&gt;=1,INDEX($D$417:$AQ$417,S$7-9),0)+$N$275*IF(S$7-10&gt;=1,INDEX($D$417:$AQ$417,S$7-10),0)+$O$275*IF(S$7-11&gt;=1,INDEX($D$417:$AQ$417,S$7-11),0)+$P$275*IF(S$7-12&gt;=1,INDEX($D$417:$AQ$417,S$7-12),0)</f>
        <v>0</v>
      </c>
      <c r="T419" s="130" t="n">
        <f aca="false">$D$275*IF(T$7-0&gt;=1,INDEX($D$417:$AQ$417,T$7-0),0)+$E$275*IF(T$7-1&gt;=1,INDEX($D$417:$AQ$417,T$7-1),0)+$F$275*IF(T$7-2&gt;=1,INDEX($D$417:$AQ$417,T$7-2),0)+$G$275*IF(T$7-3&gt;=1,INDEX($D$417:$AQ$417,T$7-3),0)+$H$275*IF(T$7-4&gt;=1,INDEX($D$417:$AQ$417,T$7-4),0)+$I$275*IF(T$7-5&gt;=1,INDEX($D$417:$AQ$417,T$7-5),0)+$J$275*IF(T$7-6&gt;=1,INDEX($D$417:$AQ$417,T$7-6),0)+$K$275*IF(T$7-7&gt;=1,INDEX($D$417:$AQ$417,T$7-7),0)+$L$275*IF(T$7-8&gt;=1,INDEX($D$417:$AQ$417,T$7-8),0)+$M$275*IF(T$7-9&gt;=1,INDEX($D$417:$AQ$417,T$7-9),0)+$N$275*IF(T$7-10&gt;=1,INDEX($D$417:$AQ$417,T$7-10),0)+$O$275*IF(T$7-11&gt;=1,INDEX($D$417:$AQ$417,T$7-11),0)+$P$275*IF(T$7-12&gt;=1,INDEX($D$417:$AQ$417,T$7-12),0)</f>
        <v>0</v>
      </c>
      <c r="U419" s="130" t="n">
        <f aca="false">$D$275*IF(U$7-0&gt;=1,INDEX($D$417:$AQ$417,U$7-0),0)+$E$275*IF(U$7-1&gt;=1,INDEX($D$417:$AQ$417,U$7-1),0)+$F$275*IF(U$7-2&gt;=1,INDEX($D$417:$AQ$417,U$7-2),0)+$G$275*IF(U$7-3&gt;=1,INDEX($D$417:$AQ$417,U$7-3),0)+$H$275*IF(U$7-4&gt;=1,INDEX($D$417:$AQ$417,U$7-4),0)+$I$275*IF(U$7-5&gt;=1,INDEX($D$417:$AQ$417,U$7-5),0)+$J$275*IF(U$7-6&gt;=1,INDEX($D$417:$AQ$417,U$7-6),0)+$K$275*IF(U$7-7&gt;=1,INDEX($D$417:$AQ$417,U$7-7),0)+$L$275*IF(U$7-8&gt;=1,INDEX($D$417:$AQ$417,U$7-8),0)+$M$275*IF(U$7-9&gt;=1,INDEX($D$417:$AQ$417,U$7-9),0)+$N$275*IF(U$7-10&gt;=1,INDEX($D$417:$AQ$417,U$7-10),0)+$O$275*IF(U$7-11&gt;=1,INDEX($D$417:$AQ$417,U$7-11),0)+$P$275*IF(U$7-12&gt;=1,INDEX($D$417:$AQ$417,U$7-12),0)</f>
        <v>0</v>
      </c>
      <c r="V419" s="130" t="n">
        <f aca="false">$D$275*IF(V$7-0&gt;=1,INDEX($D$417:$AQ$417,V$7-0),0)+$E$275*IF(V$7-1&gt;=1,INDEX($D$417:$AQ$417,V$7-1),0)+$F$275*IF(V$7-2&gt;=1,INDEX($D$417:$AQ$417,V$7-2),0)+$G$275*IF(V$7-3&gt;=1,INDEX($D$417:$AQ$417,V$7-3),0)+$H$275*IF(V$7-4&gt;=1,INDEX($D$417:$AQ$417,V$7-4),0)+$I$275*IF(V$7-5&gt;=1,INDEX($D$417:$AQ$417,V$7-5),0)+$J$275*IF(V$7-6&gt;=1,INDEX($D$417:$AQ$417,V$7-6),0)+$K$275*IF(V$7-7&gt;=1,INDEX($D$417:$AQ$417,V$7-7),0)+$L$275*IF(V$7-8&gt;=1,INDEX($D$417:$AQ$417,V$7-8),0)+$M$275*IF(V$7-9&gt;=1,INDEX($D$417:$AQ$417,V$7-9),0)+$N$275*IF(V$7-10&gt;=1,INDEX($D$417:$AQ$417,V$7-10),0)+$O$275*IF(V$7-11&gt;=1,INDEX($D$417:$AQ$417,V$7-11),0)+$P$275*IF(V$7-12&gt;=1,INDEX($D$417:$AQ$417,V$7-12),0)</f>
        <v>0</v>
      </c>
      <c r="W419" s="130" t="n">
        <f aca="false">$D$275*IF(W$7-0&gt;=1,INDEX($D$417:$AQ$417,W$7-0),0)+$E$275*IF(W$7-1&gt;=1,INDEX($D$417:$AQ$417,W$7-1),0)+$F$275*IF(W$7-2&gt;=1,INDEX($D$417:$AQ$417,W$7-2),0)+$G$275*IF(W$7-3&gt;=1,INDEX($D$417:$AQ$417,W$7-3),0)+$H$275*IF(W$7-4&gt;=1,INDEX($D$417:$AQ$417,W$7-4),0)+$I$275*IF(W$7-5&gt;=1,INDEX($D$417:$AQ$417,W$7-5),0)+$J$275*IF(W$7-6&gt;=1,INDEX($D$417:$AQ$417,W$7-6),0)+$K$275*IF(W$7-7&gt;=1,INDEX($D$417:$AQ$417,W$7-7),0)+$L$275*IF(W$7-8&gt;=1,INDEX($D$417:$AQ$417,W$7-8),0)+$M$275*IF(W$7-9&gt;=1,INDEX($D$417:$AQ$417,W$7-9),0)+$N$275*IF(W$7-10&gt;=1,INDEX($D$417:$AQ$417,W$7-10),0)+$O$275*IF(W$7-11&gt;=1,INDEX($D$417:$AQ$417,W$7-11),0)+$P$275*IF(W$7-12&gt;=1,INDEX($D$417:$AQ$417,W$7-12),0)</f>
        <v>0</v>
      </c>
      <c r="X419" s="130" t="n">
        <f aca="false">$D$275*IF(X$7-0&gt;=1,INDEX($D$417:$AQ$417,X$7-0),0)+$E$275*IF(X$7-1&gt;=1,INDEX($D$417:$AQ$417,X$7-1),0)+$F$275*IF(X$7-2&gt;=1,INDEX($D$417:$AQ$417,X$7-2),0)+$G$275*IF(X$7-3&gt;=1,INDEX($D$417:$AQ$417,X$7-3),0)+$H$275*IF(X$7-4&gt;=1,INDEX($D$417:$AQ$417,X$7-4),0)+$I$275*IF(X$7-5&gt;=1,INDEX($D$417:$AQ$417,X$7-5),0)+$J$275*IF(X$7-6&gt;=1,INDEX($D$417:$AQ$417,X$7-6),0)+$K$275*IF(X$7-7&gt;=1,INDEX($D$417:$AQ$417,X$7-7),0)+$L$275*IF(X$7-8&gt;=1,INDEX($D$417:$AQ$417,X$7-8),0)+$M$275*IF(X$7-9&gt;=1,INDEX($D$417:$AQ$417,X$7-9),0)+$N$275*IF(X$7-10&gt;=1,INDEX($D$417:$AQ$417,X$7-10),0)+$O$275*IF(X$7-11&gt;=1,INDEX($D$417:$AQ$417,X$7-11),0)+$P$275*IF(X$7-12&gt;=1,INDEX($D$417:$AQ$417,X$7-12),0)</f>
        <v>0</v>
      </c>
      <c r="Y419" s="130" t="n">
        <f aca="false">$D$275*IF(Y$7-0&gt;=1,INDEX($D$417:$AQ$417,Y$7-0),0)+$E$275*IF(Y$7-1&gt;=1,INDEX($D$417:$AQ$417,Y$7-1),0)+$F$275*IF(Y$7-2&gt;=1,INDEX($D$417:$AQ$417,Y$7-2),0)+$G$275*IF(Y$7-3&gt;=1,INDEX($D$417:$AQ$417,Y$7-3),0)+$H$275*IF(Y$7-4&gt;=1,INDEX($D$417:$AQ$417,Y$7-4),0)+$I$275*IF(Y$7-5&gt;=1,INDEX($D$417:$AQ$417,Y$7-5),0)+$J$275*IF(Y$7-6&gt;=1,INDEX($D$417:$AQ$417,Y$7-6),0)+$K$275*IF(Y$7-7&gt;=1,INDEX($D$417:$AQ$417,Y$7-7),0)+$L$275*IF(Y$7-8&gt;=1,INDEX($D$417:$AQ$417,Y$7-8),0)+$M$275*IF(Y$7-9&gt;=1,INDEX($D$417:$AQ$417,Y$7-9),0)+$N$275*IF(Y$7-10&gt;=1,INDEX($D$417:$AQ$417,Y$7-10),0)+$O$275*IF(Y$7-11&gt;=1,INDEX($D$417:$AQ$417,Y$7-11),0)+$P$275*IF(Y$7-12&gt;=1,INDEX($D$417:$AQ$417,Y$7-12),0)</f>
        <v>0</v>
      </c>
      <c r="Z419" s="130" t="n">
        <f aca="false">$D$275*IF(Z$7-0&gt;=1,INDEX($D$417:$AQ$417,Z$7-0),0)+$E$275*IF(Z$7-1&gt;=1,INDEX($D$417:$AQ$417,Z$7-1),0)+$F$275*IF(Z$7-2&gt;=1,INDEX($D$417:$AQ$417,Z$7-2),0)+$G$275*IF(Z$7-3&gt;=1,INDEX($D$417:$AQ$417,Z$7-3),0)+$H$275*IF(Z$7-4&gt;=1,INDEX($D$417:$AQ$417,Z$7-4),0)+$I$275*IF(Z$7-5&gt;=1,INDEX($D$417:$AQ$417,Z$7-5),0)+$J$275*IF(Z$7-6&gt;=1,INDEX($D$417:$AQ$417,Z$7-6),0)+$K$275*IF(Z$7-7&gt;=1,INDEX($D$417:$AQ$417,Z$7-7),0)+$L$275*IF(Z$7-8&gt;=1,INDEX($D$417:$AQ$417,Z$7-8),0)+$M$275*IF(Z$7-9&gt;=1,INDEX($D$417:$AQ$417,Z$7-9),0)+$N$275*IF(Z$7-10&gt;=1,INDEX($D$417:$AQ$417,Z$7-10),0)+$O$275*IF(Z$7-11&gt;=1,INDEX($D$417:$AQ$417,Z$7-11),0)+$P$275*IF(Z$7-12&gt;=1,INDEX($D$417:$AQ$417,Z$7-12),0)</f>
        <v>0</v>
      </c>
      <c r="AA419" s="130" t="n">
        <f aca="false">$D$275*IF(AA$7-0&gt;=1,INDEX($D$417:$AQ$417,AA$7-0),0)+$E$275*IF(AA$7-1&gt;=1,INDEX($D$417:$AQ$417,AA$7-1),0)+$F$275*IF(AA$7-2&gt;=1,INDEX($D$417:$AQ$417,AA$7-2),0)+$G$275*IF(AA$7-3&gt;=1,INDEX($D$417:$AQ$417,AA$7-3),0)+$H$275*IF(AA$7-4&gt;=1,INDEX($D$417:$AQ$417,AA$7-4),0)+$I$275*IF(AA$7-5&gt;=1,INDEX($D$417:$AQ$417,AA$7-5),0)+$J$275*IF(AA$7-6&gt;=1,INDEX($D$417:$AQ$417,AA$7-6),0)+$K$275*IF(AA$7-7&gt;=1,INDEX($D$417:$AQ$417,AA$7-7),0)+$L$275*IF(AA$7-8&gt;=1,INDEX($D$417:$AQ$417,AA$7-8),0)+$M$275*IF(AA$7-9&gt;=1,INDEX($D$417:$AQ$417,AA$7-9),0)+$N$275*IF(AA$7-10&gt;=1,INDEX($D$417:$AQ$417,AA$7-10),0)+$O$275*IF(AA$7-11&gt;=1,INDEX($D$417:$AQ$417,AA$7-11),0)+$P$275*IF(AA$7-12&gt;=1,INDEX($D$417:$AQ$417,AA$7-12),0)</f>
        <v>0</v>
      </c>
      <c r="AB419" s="130" t="n">
        <f aca="false">$D$275*IF(AB$7-0&gt;=1,INDEX($D$417:$AQ$417,AB$7-0),0)+$E$275*IF(AB$7-1&gt;=1,INDEX($D$417:$AQ$417,AB$7-1),0)+$F$275*IF(AB$7-2&gt;=1,INDEX($D$417:$AQ$417,AB$7-2),0)+$G$275*IF(AB$7-3&gt;=1,INDEX($D$417:$AQ$417,AB$7-3),0)+$H$275*IF(AB$7-4&gt;=1,INDEX($D$417:$AQ$417,AB$7-4),0)+$I$275*IF(AB$7-5&gt;=1,INDEX($D$417:$AQ$417,AB$7-5),0)+$J$275*IF(AB$7-6&gt;=1,INDEX($D$417:$AQ$417,AB$7-6),0)+$K$275*IF(AB$7-7&gt;=1,INDEX($D$417:$AQ$417,AB$7-7),0)+$L$275*IF(AB$7-8&gt;=1,INDEX($D$417:$AQ$417,AB$7-8),0)+$M$275*IF(AB$7-9&gt;=1,INDEX($D$417:$AQ$417,AB$7-9),0)+$N$275*IF(AB$7-10&gt;=1,INDEX($D$417:$AQ$417,AB$7-10),0)+$O$275*IF(AB$7-11&gt;=1,INDEX($D$417:$AQ$417,AB$7-11),0)+$P$275*IF(AB$7-12&gt;=1,INDEX($D$417:$AQ$417,AB$7-12),0)</f>
        <v>0</v>
      </c>
      <c r="AC419" s="130" t="n">
        <f aca="false">$D$275*IF(AC$7-0&gt;=1,INDEX($D$417:$AQ$417,AC$7-0),0)+$E$275*IF(AC$7-1&gt;=1,INDEX($D$417:$AQ$417,AC$7-1),0)+$F$275*IF(AC$7-2&gt;=1,INDEX($D$417:$AQ$417,AC$7-2),0)+$G$275*IF(AC$7-3&gt;=1,INDEX($D$417:$AQ$417,AC$7-3),0)+$H$275*IF(AC$7-4&gt;=1,INDEX($D$417:$AQ$417,AC$7-4),0)+$I$275*IF(AC$7-5&gt;=1,INDEX($D$417:$AQ$417,AC$7-5),0)+$J$275*IF(AC$7-6&gt;=1,INDEX($D$417:$AQ$417,AC$7-6),0)+$K$275*IF(AC$7-7&gt;=1,INDEX($D$417:$AQ$417,AC$7-7),0)+$L$275*IF(AC$7-8&gt;=1,INDEX($D$417:$AQ$417,AC$7-8),0)+$M$275*IF(AC$7-9&gt;=1,INDEX($D$417:$AQ$417,AC$7-9),0)+$N$275*IF(AC$7-10&gt;=1,INDEX($D$417:$AQ$417,AC$7-10),0)+$O$275*IF(AC$7-11&gt;=1,INDEX($D$417:$AQ$417,AC$7-11),0)+$P$275*IF(AC$7-12&gt;=1,INDEX($D$417:$AQ$417,AC$7-12),0)</f>
        <v>0</v>
      </c>
      <c r="AD419" s="130" t="n">
        <f aca="false">$D$275*IF(AD$7-0&gt;=1,INDEX($D$417:$AQ$417,AD$7-0),0)+$E$275*IF(AD$7-1&gt;=1,INDEX($D$417:$AQ$417,AD$7-1),0)+$F$275*IF(AD$7-2&gt;=1,INDEX($D$417:$AQ$417,AD$7-2),0)+$G$275*IF(AD$7-3&gt;=1,INDEX($D$417:$AQ$417,AD$7-3),0)+$H$275*IF(AD$7-4&gt;=1,INDEX($D$417:$AQ$417,AD$7-4),0)+$I$275*IF(AD$7-5&gt;=1,INDEX($D$417:$AQ$417,AD$7-5),0)+$J$275*IF(AD$7-6&gt;=1,INDEX($D$417:$AQ$417,AD$7-6),0)+$K$275*IF(AD$7-7&gt;=1,INDEX($D$417:$AQ$417,AD$7-7),0)+$L$275*IF(AD$7-8&gt;=1,INDEX($D$417:$AQ$417,AD$7-8),0)+$M$275*IF(AD$7-9&gt;=1,INDEX($D$417:$AQ$417,AD$7-9),0)+$N$275*IF(AD$7-10&gt;=1,INDEX($D$417:$AQ$417,AD$7-10),0)+$O$275*IF(AD$7-11&gt;=1,INDEX($D$417:$AQ$417,AD$7-11),0)+$P$275*IF(AD$7-12&gt;=1,INDEX($D$417:$AQ$417,AD$7-12),0)</f>
        <v>0</v>
      </c>
      <c r="AE419" s="130" t="n">
        <f aca="false">$D$275*IF(AE$7-0&gt;=1,INDEX($D$417:$AQ$417,AE$7-0),0)+$E$275*IF(AE$7-1&gt;=1,INDEX($D$417:$AQ$417,AE$7-1),0)+$F$275*IF(AE$7-2&gt;=1,INDEX($D$417:$AQ$417,AE$7-2),0)+$G$275*IF(AE$7-3&gt;=1,INDEX($D$417:$AQ$417,AE$7-3),0)+$H$275*IF(AE$7-4&gt;=1,INDEX($D$417:$AQ$417,AE$7-4),0)+$I$275*IF(AE$7-5&gt;=1,INDEX($D$417:$AQ$417,AE$7-5),0)+$J$275*IF(AE$7-6&gt;=1,INDEX($D$417:$AQ$417,AE$7-6),0)+$K$275*IF(AE$7-7&gt;=1,INDEX($D$417:$AQ$417,AE$7-7),0)+$L$275*IF(AE$7-8&gt;=1,INDEX($D$417:$AQ$417,AE$7-8),0)+$M$275*IF(AE$7-9&gt;=1,INDEX($D$417:$AQ$417,AE$7-9),0)+$N$275*IF(AE$7-10&gt;=1,INDEX($D$417:$AQ$417,AE$7-10),0)+$O$275*IF(AE$7-11&gt;=1,INDEX($D$417:$AQ$417,AE$7-11),0)+$P$275*IF(AE$7-12&gt;=1,INDEX($D$417:$AQ$417,AE$7-12),0)</f>
        <v>0</v>
      </c>
      <c r="AF419" s="130" t="n">
        <f aca="false">$D$275*IF(AF$7-0&gt;=1,INDEX($D$417:$AQ$417,AF$7-0),0)+$E$275*IF(AF$7-1&gt;=1,INDEX($D$417:$AQ$417,AF$7-1),0)+$F$275*IF(AF$7-2&gt;=1,INDEX($D$417:$AQ$417,AF$7-2),0)+$G$275*IF(AF$7-3&gt;=1,INDEX($D$417:$AQ$417,AF$7-3),0)+$H$275*IF(AF$7-4&gt;=1,INDEX($D$417:$AQ$417,AF$7-4),0)+$I$275*IF(AF$7-5&gt;=1,INDEX($D$417:$AQ$417,AF$7-5),0)+$J$275*IF(AF$7-6&gt;=1,INDEX($D$417:$AQ$417,AF$7-6),0)+$K$275*IF(AF$7-7&gt;=1,INDEX($D$417:$AQ$417,AF$7-7),0)+$L$275*IF(AF$7-8&gt;=1,INDEX($D$417:$AQ$417,AF$7-8),0)+$M$275*IF(AF$7-9&gt;=1,INDEX($D$417:$AQ$417,AF$7-9),0)+$N$275*IF(AF$7-10&gt;=1,INDEX($D$417:$AQ$417,AF$7-10),0)+$O$275*IF(AF$7-11&gt;=1,INDEX($D$417:$AQ$417,AF$7-11),0)+$P$275*IF(AF$7-12&gt;=1,INDEX($D$417:$AQ$417,AF$7-12),0)</f>
        <v>0</v>
      </c>
      <c r="AG419" s="130" t="n">
        <f aca="false">$D$275*IF(AG$7-0&gt;=1,INDEX($D$417:$AQ$417,AG$7-0),0)+$E$275*IF(AG$7-1&gt;=1,INDEX($D$417:$AQ$417,AG$7-1),0)+$F$275*IF(AG$7-2&gt;=1,INDEX($D$417:$AQ$417,AG$7-2),0)+$G$275*IF(AG$7-3&gt;=1,INDEX($D$417:$AQ$417,AG$7-3),0)+$H$275*IF(AG$7-4&gt;=1,INDEX($D$417:$AQ$417,AG$7-4),0)+$I$275*IF(AG$7-5&gt;=1,INDEX($D$417:$AQ$417,AG$7-5),0)+$J$275*IF(AG$7-6&gt;=1,INDEX($D$417:$AQ$417,AG$7-6),0)+$K$275*IF(AG$7-7&gt;=1,INDEX($D$417:$AQ$417,AG$7-7),0)+$L$275*IF(AG$7-8&gt;=1,INDEX($D$417:$AQ$417,AG$7-8),0)+$M$275*IF(AG$7-9&gt;=1,INDEX($D$417:$AQ$417,AG$7-9),0)+$N$275*IF(AG$7-10&gt;=1,INDEX($D$417:$AQ$417,AG$7-10),0)+$O$275*IF(AG$7-11&gt;=1,INDEX($D$417:$AQ$417,AG$7-11),0)+$P$275*IF(AG$7-12&gt;=1,INDEX($D$417:$AQ$417,AG$7-12),0)</f>
        <v>0</v>
      </c>
      <c r="AH419" s="130" t="n">
        <f aca="false">$D$275*IF(AH$7-0&gt;=1,INDEX($D$417:$AQ$417,AH$7-0),0)+$E$275*IF(AH$7-1&gt;=1,INDEX($D$417:$AQ$417,AH$7-1),0)+$F$275*IF(AH$7-2&gt;=1,INDEX($D$417:$AQ$417,AH$7-2),0)+$G$275*IF(AH$7-3&gt;=1,INDEX($D$417:$AQ$417,AH$7-3),0)+$H$275*IF(AH$7-4&gt;=1,INDEX($D$417:$AQ$417,AH$7-4),0)+$I$275*IF(AH$7-5&gt;=1,INDEX($D$417:$AQ$417,AH$7-5),0)+$J$275*IF(AH$7-6&gt;=1,INDEX($D$417:$AQ$417,AH$7-6),0)+$K$275*IF(AH$7-7&gt;=1,INDEX($D$417:$AQ$417,AH$7-7),0)+$L$275*IF(AH$7-8&gt;=1,INDEX($D$417:$AQ$417,AH$7-8),0)+$M$275*IF(AH$7-9&gt;=1,INDEX($D$417:$AQ$417,AH$7-9),0)+$N$275*IF(AH$7-10&gt;=1,INDEX($D$417:$AQ$417,AH$7-10),0)+$O$275*IF(AH$7-11&gt;=1,INDEX($D$417:$AQ$417,AH$7-11),0)+$P$275*IF(AH$7-12&gt;=1,INDEX($D$417:$AQ$417,AH$7-12),0)</f>
        <v>0</v>
      </c>
      <c r="AI419" s="130" t="n">
        <f aca="false">$D$275*IF(AI$7-0&gt;=1,INDEX($D$417:$AQ$417,AI$7-0),0)+$E$275*IF(AI$7-1&gt;=1,INDEX($D$417:$AQ$417,AI$7-1),0)+$F$275*IF(AI$7-2&gt;=1,INDEX($D$417:$AQ$417,AI$7-2),0)+$G$275*IF(AI$7-3&gt;=1,INDEX($D$417:$AQ$417,AI$7-3),0)+$H$275*IF(AI$7-4&gt;=1,INDEX($D$417:$AQ$417,AI$7-4),0)+$I$275*IF(AI$7-5&gt;=1,INDEX($D$417:$AQ$417,AI$7-5),0)+$J$275*IF(AI$7-6&gt;=1,INDEX($D$417:$AQ$417,AI$7-6),0)+$K$275*IF(AI$7-7&gt;=1,INDEX($D$417:$AQ$417,AI$7-7),0)+$L$275*IF(AI$7-8&gt;=1,INDEX($D$417:$AQ$417,AI$7-8),0)+$M$275*IF(AI$7-9&gt;=1,INDEX($D$417:$AQ$417,AI$7-9),0)+$N$275*IF(AI$7-10&gt;=1,INDEX($D$417:$AQ$417,AI$7-10),0)+$O$275*IF(AI$7-11&gt;=1,INDEX($D$417:$AQ$417,AI$7-11),0)+$P$275*IF(AI$7-12&gt;=1,INDEX($D$417:$AQ$417,AI$7-12),0)</f>
        <v>0</v>
      </c>
      <c r="AJ419" s="130" t="n">
        <f aca="false">$D$275*IF(AJ$7-0&gt;=1,INDEX($D$417:$AQ$417,AJ$7-0),0)+$E$275*IF(AJ$7-1&gt;=1,INDEX($D$417:$AQ$417,AJ$7-1),0)+$F$275*IF(AJ$7-2&gt;=1,INDEX($D$417:$AQ$417,AJ$7-2),0)+$G$275*IF(AJ$7-3&gt;=1,INDEX($D$417:$AQ$417,AJ$7-3),0)+$H$275*IF(AJ$7-4&gt;=1,INDEX($D$417:$AQ$417,AJ$7-4),0)+$I$275*IF(AJ$7-5&gt;=1,INDEX($D$417:$AQ$417,AJ$7-5),0)+$J$275*IF(AJ$7-6&gt;=1,INDEX($D$417:$AQ$417,AJ$7-6),0)+$K$275*IF(AJ$7-7&gt;=1,INDEX($D$417:$AQ$417,AJ$7-7),0)+$L$275*IF(AJ$7-8&gt;=1,INDEX($D$417:$AQ$417,AJ$7-8),0)+$M$275*IF(AJ$7-9&gt;=1,INDEX($D$417:$AQ$417,AJ$7-9),0)+$N$275*IF(AJ$7-10&gt;=1,INDEX($D$417:$AQ$417,AJ$7-10),0)+$O$275*IF(AJ$7-11&gt;=1,INDEX($D$417:$AQ$417,AJ$7-11),0)+$P$275*IF(AJ$7-12&gt;=1,INDEX($D$417:$AQ$417,AJ$7-12),0)</f>
        <v>0</v>
      </c>
      <c r="AK419" s="130" t="n">
        <f aca="false">$D$275*IF(AK$7-0&gt;=1,INDEX($D$417:$AQ$417,AK$7-0),0)+$E$275*IF(AK$7-1&gt;=1,INDEX($D$417:$AQ$417,AK$7-1),0)+$F$275*IF(AK$7-2&gt;=1,INDEX($D$417:$AQ$417,AK$7-2),0)+$G$275*IF(AK$7-3&gt;=1,INDEX($D$417:$AQ$417,AK$7-3),0)+$H$275*IF(AK$7-4&gt;=1,INDEX($D$417:$AQ$417,AK$7-4),0)+$I$275*IF(AK$7-5&gt;=1,INDEX($D$417:$AQ$417,AK$7-5),0)+$J$275*IF(AK$7-6&gt;=1,INDEX($D$417:$AQ$417,AK$7-6),0)+$K$275*IF(AK$7-7&gt;=1,INDEX($D$417:$AQ$417,AK$7-7),0)+$L$275*IF(AK$7-8&gt;=1,INDEX($D$417:$AQ$417,AK$7-8),0)+$M$275*IF(AK$7-9&gt;=1,INDEX($D$417:$AQ$417,AK$7-9),0)+$N$275*IF(AK$7-10&gt;=1,INDEX($D$417:$AQ$417,AK$7-10),0)+$O$275*IF(AK$7-11&gt;=1,INDEX($D$417:$AQ$417,AK$7-11),0)+$P$275*IF(AK$7-12&gt;=1,INDEX($D$417:$AQ$417,AK$7-12),0)</f>
        <v>0</v>
      </c>
      <c r="AL419" s="130" t="n">
        <f aca="false">$D$275*IF(AL$7-0&gt;=1,INDEX($D$417:$AQ$417,AL$7-0),0)+$E$275*IF(AL$7-1&gt;=1,INDEX($D$417:$AQ$417,AL$7-1),0)+$F$275*IF(AL$7-2&gt;=1,INDEX($D$417:$AQ$417,AL$7-2),0)+$G$275*IF(AL$7-3&gt;=1,INDEX($D$417:$AQ$417,AL$7-3),0)+$H$275*IF(AL$7-4&gt;=1,INDEX($D$417:$AQ$417,AL$7-4),0)+$I$275*IF(AL$7-5&gt;=1,INDEX($D$417:$AQ$417,AL$7-5),0)+$J$275*IF(AL$7-6&gt;=1,INDEX($D$417:$AQ$417,AL$7-6),0)+$K$275*IF(AL$7-7&gt;=1,INDEX($D$417:$AQ$417,AL$7-7),0)+$L$275*IF(AL$7-8&gt;=1,INDEX($D$417:$AQ$417,AL$7-8),0)+$M$275*IF(AL$7-9&gt;=1,INDEX($D$417:$AQ$417,AL$7-9),0)+$N$275*IF(AL$7-10&gt;=1,INDEX($D$417:$AQ$417,AL$7-10),0)+$O$275*IF(AL$7-11&gt;=1,INDEX($D$417:$AQ$417,AL$7-11),0)+$P$275*IF(AL$7-12&gt;=1,INDEX($D$417:$AQ$417,AL$7-12),0)</f>
        <v>0</v>
      </c>
      <c r="AM419" s="130" t="n">
        <f aca="false">$D$275*IF(AM$7-0&gt;=1,INDEX($D$417:$AQ$417,AM$7-0),0)+$E$275*IF(AM$7-1&gt;=1,INDEX($D$417:$AQ$417,AM$7-1),0)+$F$275*IF(AM$7-2&gt;=1,INDEX($D$417:$AQ$417,AM$7-2),0)+$G$275*IF(AM$7-3&gt;=1,INDEX($D$417:$AQ$417,AM$7-3),0)+$H$275*IF(AM$7-4&gt;=1,INDEX($D$417:$AQ$417,AM$7-4),0)+$I$275*IF(AM$7-5&gt;=1,INDEX($D$417:$AQ$417,AM$7-5),0)+$J$275*IF(AM$7-6&gt;=1,INDEX($D$417:$AQ$417,AM$7-6),0)+$K$275*IF(AM$7-7&gt;=1,INDEX($D$417:$AQ$417,AM$7-7),0)+$L$275*IF(AM$7-8&gt;=1,INDEX($D$417:$AQ$417,AM$7-8),0)+$M$275*IF(AM$7-9&gt;=1,INDEX($D$417:$AQ$417,AM$7-9),0)+$N$275*IF(AM$7-10&gt;=1,INDEX($D$417:$AQ$417,AM$7-10),0)+$O$275*IF(AM$7-11&gt;=1,INDEX($D$417:$AQ$417,AM$7-11),0)+$P$275*IF(AM$7-12&gt;=1,INDEX($D$417:$AQ$417,AM$7-12),0)</f>
        <v>0</v>
      </c>
      <c r="AN419" s="130" t="n">
        <f aca="false">$D$275*IF(AN$7-0&gt;=1,INDEX($D$417:$AQ$417,AN$7-0),0)+$E$275*IF(AN$7-1&gt;=1,INDEX($D$417:$AQ$417,AN$7-1),0)+$F$275*IF(AN$7-2&gt;=1,INDEX($D$417:$AQ$417,AN$7-2),0)+$G$275*IF(AN$7-3&gt;=1,INDEX($D$417:$AQ$417,AN$7-3),0)+$H$275*IF(AN$7-4&gt;=1,INDEX($D$417:$AQ$417,AN$7-4),0)+$I$275*IF(AN$7-5&gt;=1,INDEX($D$417:$AQ$417,AN$7-5),0)+$J$275*IF(AN$7-6&gt;=1,INDEX($D$417:$AQ$417,AN$7-6),0)+$K$275*IF(AN$7-7&gt;=1,INDEX($D$417:$AQ$417,AN$7-7),0)+$L$275*IF(AN$7-8&gt;=1,INDEX($D$417:$AQ$417,AN$7-8),0)+$M$275*IF(AN$7-9&gt;=1,INDEX($D$417:$AQ$417,AN$7-9),0)+$N$275*IF(AN$7-10&gt;=1,INDEX($D$417:$AQ$417,AN$7-10),0)+$O$275*IF(AN$7-11&gt;=1,INDEX($D$417:$AQ$417,AN$7-11),0)+$P$275*IF(AN$7-12&gt;=1,INDEX($D$417:$AQ$417,AN$7-12),0)</f>
        <v>0</v>
      </c>
      <c r="AO419" s="130" t="n">
        <f aca="false">$D$275*IF(AO$7-0&gt;=1,INDEX($D$417:$AQ$417,AO$7-0),0)+$E$275*IF(AO$7-1&gt;=1,INDEX($D$417:$AQ$417,AO$7-1),0)+$F$275*IF(AO$7-2&gt;=1,INDEX($D$417:$AQ$417,AO$7-2),0)+$G$275*IF(AO$7-3&gt;=1,INDEX($D$417:$AQ$417,AO$7-3),0)+$H$275*IF(AO$7-4&gt;=1,INDEX($D$417:$AQ$417,AO$7-4),0)+$I$275*IF(AO$7-5&gt;=1,INDEX($D$417:$AQ$417,AO$7-5),0)+$J$275*IF(AO$7-6&gt;=1,INDEX($D$417:$AQ$417,AO$7-6),0)+$K$275*IF(AO$7-7&gt;=1,INDEX($D$417:$AQ$417,AO$7-7),0)+$L$275*IF(AO$7-8&gt;=1,INDEX($D$417:$AQ$417,AO$7-8),0)+$M$275*IF(AO$7-9&gt;=1,INDEX($D$417:$AQ$417,AO$7-9),0)+$N$275*IF(AO$7-10&gt;=1,INDEX($D$417:$AQ$417,AO$7-10),0)+$O$275*IF(AO$7-11&gt;=1,INDEX($D$417:$AQ$417,AO$7-11),0)+$P$275*IF(AO$7-12&gt;=1,INDEX($D$417:$AQ$417,AO$7-12),0)</f>
        <v>0</v>
      </c>
      <c r="AP419" s="130" t="n">
        <f aca="false">$D$275*IF(AP$7-0&gt;=1,INDEX($D$417:$AQ$417,AP$7-0),0)+$E$275*IF(AP$7-1&gt;=1,INDEX($D$417:$AQ$417,AP$7-1),0)+$F$275*IF(AP$7-2&gt;=1,INDEX($D$417:$AQ$417,AP$7-2),0)+$G$275*IF(AP$7-3&gt;=1,INDEX($D$417:$AQ$417,AP$7-3),0)+$H$275*IF(AP$7-4&gt;=1,INDEX($D$417:$AQ$417,AP$7-4),0)+$I$275*IF(AP$7-5&gt;=1,INDEX($D$417:$AQ$417,AP$7-5),0)+$J$275*IF(AP$7-6&gt;=1,INDEX($D$417:$AQ$417,AP$7-6),0)+$K$275*IF(AP$7-7&gt;=1,INDEX($D$417:$AQ$417,AP$7-7),0)+$L$275*IF(AP$7-8&gt;=1,INDEX($D$417:$AQ$417,AP$7-8),0)+$M$275*IF(AP$7-9&gt;=1,INDEX($D$417:$AQ$417,AP$7-9),0)+$N$275*IF(AP$7-10&gt;=1,INDEX($D$417:$AQ$417,AP$7-10),0)+$O$275*IF(AP$7-11&gt;=1,INDEX($D$417:$AQ$417,AP$7-11),0)+$P$275*IF(AP$7-12&gt;=1,INDEX($D$417:$AQ$417,AP$7-12),0)</f>
        <v>0</v>
      </c>
      <c r="AQ419" s="130" t="n">
        <f aca="false">$D$275*IF(AQ$7-0&gt;=1,INDEX($D$417:$AQ$417,AQ$7-0),0)+$E$275*IF(AQ$7-1&gt;=1,INDEX($D$417:$AQ$417,AQ$7-1),0)+$F$275*IF(AQ$7-2&gt;=1,INDEX($D$417:$AQ$417,AQ$7-2),0)+$G$275*IF(AQ$7-3&gt;=1,INDEX($D$417:$AQ$417,AQ$7-3),0)+$H$275*IF(AQ$7-4&gt;=1,INDEX($D$417:$AQ$417,AQ$7-4),0)+$I$275*IF(AQ$7-5&gt;=1,INDEX($D$417:$AQ$417,AQ$7-5),0)+$J$275*IF(AQ$7-6&gt;=1,INDEX($D$417:$AQ$417,AQ$7-6),0)+$K$275*IF(AQ$7-7&gt;=1,INDEX($D$417:$AQ$417,AQ$7-7),0)+$L$275*IF(AQ$7-8&gt;=1,INDEX($D$417:$AQ$417,AQ$7-8),0)+$M$275*IF(AQ$7-9&gt;=1,INDEX($D$417:$AQ$417,AQ$7-9),0)+$N$275*IF(AQ$7-10&gt;=1,INDEX($D$417:$AQ$417,AQ$7-10),0)+$O$275*IF(AQ$7-11&gt;=1,INDEX($D$417:$AQ$417,AQ$7-11),0)+$P$275*IF(AQ$7-12&gt;=1,INDEX($D$417:$AQ$417,AQ$7-12),0)</f>
        <v>0</v>
      </c>
    </row>
    <row r="420" customFormat="false" ht="15" hidden="false" customHeight="false" outlineLevel="0" collapsed="false">
      <c r="B420" s="131" t="s">
        <v>715</v>
      </c>
      <c r="C420" s="129" t="n">
        <f aca="false">SUM(D420:AQ420)</f>
        <v>0</v>
      </c>
      <c r="D420" s="130" t="n">
        <f aca="false">SUMIFS($E$245:$E$274,$C$245:$C$274,"Construction % complete",$F$245:$F$274,D$7)*IF(D$7-INPUTS!$C$215&gt;=1,INDEX($D$418:$AQ$418,D$7-INPUTS!$C$215),0)+SUMIFS($E$245:$E$274,$C$245:$C$274,"Construction % complete",$F$245:$F$274,"&lt;"&amp;D$7)*IF(D$7-INPUTS!$C$215&gt;=1,INDEX($D$417:$AQ$417,D$7-INPUTS!$C$215),0)</f>
        <v>0</v>
      </c>
      <c r="E420" s="130" t="n">
        <f aca="false">SUMIFS($E$245:$E$274,$C$245:$C$274,"Construction % complete",$F$245:$F$274,E$7)*IF(E$7-INPUTS!$C$215&gt;=1,INDEX($D$418:$AQ$418,E$7-INPUTS!$C$215),0)+SUMIFS($E$245:$E$274,$C$245:$C$274,"Construction % complete",$F$245:$F$274,"&lt;"&amp;E$7)*IF(E$7-INPUTS!$C$215&gt;=1,INDEX($D$417:$AQ$417,E$7-INPUTS!$C$215),0)</f>
        <v>0</v>
      </c>
      <c r="F420" s="130" t="n">
        <f aca="false">SUMIFS($E$245:$E$274,$C$245:$C$274,"Construction % complete",$F$245:$F$274,F$7)*IF(F$7-INPUTS!$C$215&gt;=1,INDEX($D$418:$AQ$418,F$7-INPUTS!$C$215),0)+SUMIFS($E$245:$E$274,$C$245:$C$274,"Construction % complete",$F$245:$F$274,"&lt;"&amp;F$7)*IF(F$7-INPUTS!$C$215&gt;=1,INDEX($D$417:$AQ$417,F$7-INPUTS!$C$215),0)</f>
        <v>0</v>
      </c>
      <c r="G420" s="130" t="n">
        <f aca="false">SUMIFS($E$245:$E$274,$C$245:$C$274,"Construction % complete",$F$245:$F$274,G$7)*IF(G$7-INPUTS!$C$215&gt;=1,INDEX($D$418:$AQ$418,G$7-INPUTS!$C$215),0)+SUMIFS($E$245:$E$274,$C$245:$C$274,"Construction % complete",$F$245:$F$274,"&lt;"&amp;G$7)*IF(G$7-INPUTS!$C$215&gt;=1,INDEX($D$417:$AQ$417,G$7-INPUTS!$C$215),0)</f>
        <v>0</v>
      </c>
      <c r="H420" s="130" t="n">
        <f aca="false">SUMIFS($E$245:$E$274,$C$245:$C$274,"Construction % complete",$F$245:$F$274,H$7)*IF(H$7-INPUTS!$C$215&gt;=1,INDEX($D$418:$AQ$418,H$7-INPUTS!$C$215),0)+SUMIFS($E$245:$E$274,$C$245:$C$274,"Construction % complete",$F$245:$F$274,"&lt;"&amp;H$7)*IF(H$7-INPUTS!$C$215&gt;=1,INDEX($D$417:$AQ$417,H$7-INPUTS!$C$215),0)</f>
        <v>0</v>
      </c>
      <c r="I420" s="130" t="n">
        <f aca="false">SUMIFS($E$245:$E$274,$C$245:$C$274,"Construction % complete",$F$245:$F$274,I$7)*IF(I$7-INPUTS!$C$215&gt;=1,INDEX($D$418:$AQ$418,I$7-INPUTS!$C$215),0)+SUMIFS($E$245:$E$274,$C$245:$C$274,"Construction % complete",$F$245:$F$274,"&lt;"&amp;I$7)*IF(I$7-INPUTS!$C$215&gt;=1,INDEX($D$417:$AQ$417,I$7-INPUTS!$C$215),0)</f>
        <v>0</v>
      </c>
      <c r="J420" s="130" t="n">
        <f aca="false">SUMIFS($E$245:$E$274,$C$245:$C$274,"Construction % complete",$F$245:$F$274,J$7)*IF(J$7-INPUTS!$C$215&gt;=1,INDEX($D$418:$AQ$418,J$7-INPUTS!$C$215),0)+SUMIFS($E$245:$E$274,$C$245:$C$274,"Construction % complete",$F$245:$F$274,"&lt;"&amp;J$7)*IF(J$7-INPUTS!$C$215&gt;=1,INDEX($D$417:$AQ$417,J$7-INPUTS!$C$215),0)</f>
        <v>0</v>
      </c>
      <c r="K420" s="130" t="n">
        <f aca="false">SUMIFS($E$245:$E$274,$C$245:$C$274,"Construction % complete",$F$245:$F$274,K$7)*IF(K$7-INPUTS!$C$215&gt;=1,INDEX($D$418:$AQ$418,K$7-INPUTS!$C$215),0)+SUMIFS($E$245:$E$274,$C$245:$C$274,"Construction % complete",$F$245:$F$274,"&lt;"&amp;K$7)*IF(K$7-INPUTS!$C$215&gt;=1,INDEX($D$417:$AQ$417,K$7-INPUTS!$C$215),0)</f>
        <v>0</v>
      </c>
      <c r="L420" s="130" t="n">
        <f aca="false">SUMIFS($E$245:$E$274,$C$245:$C$274,"Construction % complete",$F$245:$F$274,L$7)*IF(L$7-INPUTS!$C$215&gt;=1,INDEX($D$418:$AQ$418,L$7-INPUTS!$C$215),0)+SUMIFS($E$245:$E$274,$C$245:$C$274,"Construction % complete",$F$245:$F$274,"&lt;"&amp;L$7)*IF(L$7-INPUTS!$C$215&gt;=1,INDEX($D$417:$AQ$417,L$7-INPUTS!$C$215),0)</f>
        <v>0</v>
      </c>
      <c r="M420" s="130" t="n">
        <f aca="false">SUMIFS($E$245:$E$274,$C$245:$C$274,"Construction % complete",$F$245:$F$274,M$7)*IF(M$7-INPUTS!$C$215&gt;=1,INDEX($D$418:$AQ$418,M$7-INPUTS!$C$215),0)+SUMIFS($E$245:$E$274,$C$245:$C$274,"Construction % complete",$F$245:$F$274,"&lt;"&amp;M$7)*IF(M$7-INPUTS!$C$215&gt;=1,INDEX($D$417:$AQ$417,M$7-INPUTS!$C$215),0)</f>
        <v>0</v>
      </c>
      <c r="N420" s="130" t="n">
        <f aca="false">SUMIFS($E$245:$E$274,$C$245:$C$274,"Construction % complete",$F$245:$F$274,N$7)*IF(N$7-INPUTS!$C$215&gt;=1,INDEX($D$418:$AQ$418,N$7-INPUTS!$C$215),0)+SUMIFS($E$245:$E$274,$C$245:$C$274,"Construction % complete",$F$245:$F$274,"&lt;"&amp;N$7)*IF(N$7-INPUTS!$C$215&gt;=1,INDEX($D$417:$AQ$417,N$7-INPUTS!$C$215),0)</f>
        <v>0</v>
      </c>
      <c r="O420" s="130" t="n">
        <f aca="false">SUMIFS($E$245:$E$274,$C$245:$C$274,"Construction % complete",$F$245:$F$274,O$7)*IF(O$7-INPUTS!$C$215&gt;=1,INDEX($D$418:$AQ$418,O$7-INPUTS!$C$215),0)+SUMIFS($E$245:$E$274,$C$245:$C$274,"Construction % complete",$F$245:$F$274,"&lt;"&amp;O$7)*IF(O$7-INPUTS!$C$215&gt;=1,INDEX($D$417:$AQ$417,O$7-INPUTS!$C$215),0)</f>
        <v>0</v>
      </c>
      <c r="P420" s="130" t="n">
        <f aca="false">SUMIFS($E$245:$E$274,$C$245:$C$274,"Construction % complete",$F$245:$F$274,P$7)*IF(P$7-INPUTS!$C$215&gt;=1,INDEX($D$418:$AQ$418,P$7-INPUTS!$C$215),0)+SUMIFS($E$245:$E$274,$C$245:$C$274,"Construction % complete",$F$245:$F$274,"&lt;"&amp;P$7)*IF(P$7-INPUTS!$C$215&gt;=1,INDEX($D$417:$AQ$417,P$7-INPUTS!$C$215),0)</f>
        <v>0</v>
      </c>
      <c r="Q420" s="130" t="n">
        <f aca="false">SUMIFS($E$245:$E$274,$C$245:$C$274,"Construction % complete",$F$245:$F$274,Q$7)*IF(Q$7-INPUTS!$C$215&gt;=1,INDEX($D$418:$AQ$418,Q$7-INPUTS!$C$215),0)+SUMIFS($E$245:$E$274,$C$245:$C$274,"Construction % complete",$F$245:$F$274,"&lt;"&amp;Q$7)*IF(Q$7-INPUTS!$C$215&gt;=1,INDEX($D$417:$AQ$417,Q$7-INPUTS!$C$215),0)</f>
        <v>0</v>
      </c>
      <c r="R420" s="130" t="n">
        <f aca="false">SUMIFS($E$245:$E$274,$C$245:$C$274,"Construction % complete",$F$245:$F$274,R$7)*IF(R$7-INPUTS!$C$215&gt;=1,INDEX($D$418:$AQ$418,R$7-INPUTS!$C$215),0)+SUMIFS($E$245:$E$274,$C$245:$C$274,"Construction % complete",$F$245:$F$274,"&lt;"&amp;R$7)*IF(R$7-INPUTS!$C$215&gt;=1,INDEX($D$417:$AQ$417,R$7-INPUTS!$C$215),0)</f>
        <v>0</v>
      </c>
      <c r="S420" s="130" t="n">
        <f aca="false">SUMIFS($E$245:$E$274,$C$245:$C$274,"Construction % complete",$F$245:$F$274,S$7)*IF(S$7-INPUTS!$C$215&gt;=1,INDEX($D$418:$AQ$418,S$7-INPUTS!$C$215),0)+SUMIFS($E$245:$E$274,$C$245:$C$274,"Construction % complete",$F$245:$F$274,"&lt;"&amp;S$7)*IF(S$7-INPUTS!$C$215&gt;=1,INDEX($D$417:$AQ$417,S$7-INPUTS!$C$215),0)</f>
        <v>0</v>
      </c>
      <c r="T420" s="130" t="n">
        <f aca="false">SUMIFS($E$245:$E$274,$C$245:$C$274,"Construction % complete",$F$245:$F$274,T$7)*IF(T$7-INPUTS!$C$215&gt;=1,INDEX($D$418:$AQ$418,T$7-INPUTS!$C$215),0)+SUMIFS($E$245:$E$274,$C$245:$C$274,"Construction % complete",$F$245:$F$274,"&lt;"&amp;T$7)*IF(T$7-INPUTS!$C$215&gt;=1,INDEX($D$417:$AQ$417,T$7-INPUTS!$C$215),0)</f>
        <v>0</v>
      </c>
      <c r="U420" s="130" t="n">
        <f aca="false">SUMIFS($E$245:$E$274,$C$245:$C$274,"Construction % complete",$F$245:$F$274,U$7)*IF(U$7-INPUTS!$C$215&gt;=1,INDEX($D$418:$AQ$418,U$7-INPUTS!$C$215),0)+SUMIFS($E$245:$E$274,$C$245:$C$274,"Construction % complete",$F$245:$F$274,"&lt;"&amp;U$7)*IF(U$7-INPUTS!$C$215&gt;=1,INDEX($D$417:$AQ$417,U$7-INPUTS!$C$215),0)</f>
        <v>0</v>
      </c>
      <c r="V420" s="130" t="n">
        <f aca="false">SUMIFS($E$245:$E$274,$C$245:$C$274,"Construction % complete",$F$245:$F$274,V$7)*IF(V$7-INPUTS!$C$215&gt;=1,INDEX($D$418:$AQ$418,V$7-INPUTS!$C$215),0)+SUMIFS($E$245:$E$274,$C$245:$C$274,"Construction % complete",$F$245:$F$274,"&lt;"&amp;V$7)*IF(V$7-INPUTS!$C$215&gt;=1,INDEX($D$417:$AQ$417,V$7-INPUTS!$C$215),0)</f>
        <v>0</v>
      </c>
      <c r="W420" s="130" t="n">
        <f aca="false">SUMIFS($E$245:$E$274,$C$245:$C$274,"Construction % complete",$F$245:$F$274,W$7)*IF(W$7-INPUTS!$C$215&gt;=1,INDEX($D$418:$AQ$418,W$7-INPUTS!$C$215),0)+SUMIFS($E$245:$E$274,$C$245:$C$274,"Construction % complete",$F$245:$F$274,"&lt;"&amp;W$7)*IF(W$7-INPUTS!$C$215&gt;=1,INDEX($D$417:$AQ$417,W$7-INPUTS!$C$215),0)</f>
        <v>0</v>
      </c>
      <c r="X420" s="130" t="n">
        <f aca="false">SUMIFS($E$245:$E$274,$C$245:$C$274,"Construction % complete",$F$245:$F$274,X$7)*IF(X$7-INPUTS!$C$215&gt;=1,INDEX($D$418:$AQ$418,X$7-INPUTS!$C$215),0)+SUMIFS($E$245:$E$274,$C$245:$C$274,"Construction % complete",$F$245:$F$274,"&lt;"&amp;X$7)*IF(X$7-INPUTS!$C$215&gt;=1,INDEX($D$417:$AQ$417,X$7-INPUTS!$C$215),0)</f>
        <v>0</v>
      </c>
      <c r="Y420" s="130" t="n">
        <f aca="false">SUMIFS($E$245:$E$274,$C$245:$C$274,"Construction % complete",$F$245:$F$274,Y$7)*IF(Y$7-INPUTS!$C$215&gt;=1,INDEX($D$418:$AQ$418,Y$7-INPUTS!$C$215),0)+SUMIFS($E$245:$E$274,$C$245:$C$274,"Construction % complete",$F$245:$F$274,"&lt;"&amp;Y$7)*IF(Y$7-INPUTS!$C$215&gt;=1,INDEX($D$417:$AQ$417,Y$7-INPUTS!$C$215),0)</f>
        <v>0</v>
      </c>
      <c r="Z420" s="130" t="n">
        <f aca="false">SUMIFS($E$245:$E$274,$C$245:$C$274,"Construction % complete",$F$245:$F$274,Z$7)*IF(Z$7-INPUTS!$C$215&gt;=1,INDEX($D$418:$AQ$418,Z$7-INPUTS!$C$215),0)+SUMIFS($E$245:$E$274,$C$245:$C$274,"Construction % complete",$F$245:$F$274,"&lt;"&amp;Z$7)*IF(Z$7-INPUTS!$C$215&gt;=1,INDEX($D$417:$AQ$417,Z$7-INPUTS!$C$215),0)</f>
        <v>0</v>
      </c>
      <c r="AA420" s="130" t="n">
        <f aca="false">SUMIFS($E$245:$E$274,$C$245:$C$274,"Construction % complete",$F$245:$F$274,AA$7)*IF(AA$7-INPUTS!$C$215&gt;=1,INDEX($D$418:$AQ$418,AA$7-INPUTS!$C$215),0)+SUMIFS($E$245:$E$274,$C$245:$C$274,"Construction % complete",$F$245:$F$274,"&lt;"&amp;AA$7)*IF(AA$7-INPUTS!$C$215&gt;=1,INDEX($D$417:$AQ$417,AA$7-INPUTS!$C$215),0)</f>
        <v>0</v>
      </c>
      <c r="AB420" s="130" t="n">
        <f aca="false">SUMIFS($E$245:$E$274,$C$245:$C$274,"Construction % complete",$F$245:$F$274,AB$7)*IF(AB$7-INPUTS!$C$215&gt;=1,INDEX($D$418:$AQ$418,AB$7-INPUTS!$C$215),0)+SUMIFS($E$245:$E$274,$C$245:$C$274,"Construction % complete",$F$245:$F$274,"&lt;"&amp;AB$7)*IF(AB$7-INPUTS!$C$215&gt;=1,INDEX($D$417:$AQ$417,AB$7-INPUTS!$C$215),0)</f>
        <v>0</v>
      </c>
      <c r="AC420" s="130" t="n">
        <f aca="false">SUMIFS($E$245:$E$274,$C$245:$C$274,"Construction % complete",$F$245:$F$274,AC$7)*IF(AC$7-INPUTS!$C$215&gt;=1,INDEX($D$418:$AQ$418,AC$7-INPUTS!$C$215),0)+SUMIFS($E$245:$E$274,$C$245:$C$274,"Construction % complete",$F$245:$F$274,"&lt;"&amp;AC$7)*IF(AC$7-INPUTS!$C$215&gt;=1,INDEX($D$417:$AQ$417,AC$7-INPUTS!$C$215),0)</f>
        <v>0</v>
      </c>
      <c r="AD420" s="130" t="n">
        <f aca="false">SUMIFS($E$245:$E$274,$C$245:$C$274,"Construction % complete",$F$245:$F$274,AD$7)*IF(AD$7-INPUTS!$C$215&gt;=1,INDEX($D$418:$AQ$418,AD$7-INPUTS!$C$215),0)+SUMIFS($E$245:$E$274,$C$245:$C$274,"Construction % complete",$F$245:$F$274,"&lt;"&amp;AD$7)*IF(AD$7-INPUTS!$C$215&gt;=1,INDEX($D$417:$AQ$417,AD$7-INPUTS!$C$215),0)</f>
        <v>0</v>
      </c>
      <c r="AE420" s="130" t="n">
        <f aca="false">SUMIFS($E$245:$E$274,$C$245:$C$274,"Construction % complete",$F$245:$F$274,AE$7)*IF(AE$7-INPUTS!$C$215&gt;=1,INDEX($D$418:$AQ$418,AE$7-INPUTS!$C$215),0)+SUMIFS($E$245:$E$274,$C$245:$C$274,"Construction % complete",$F$245:$F$274,"&lt;"&amp;AE$7)*IF(AE$7-INPUTS!$C$215&gt;=1,INDEX($D$417:$AQ$417,AE$7-INPUTS!$C$215),0)</f>
        <v>0</v>
      </c>
      <c r="AF420" s="130" t="n">
        <f aca="false">SUMIFS($E$245:$E$274,$C$245:$C$274,"Construction % complete",$F$245:$F$274,AF$7)*IF(AF$7-INPUTS!$C$215&gt;=1,INDEX($D$418:$AQ$418,AF$7-INPUTS!$C$215),0)+SUMIFS($E$245:$E$274,$C$245:$C$274,"Construction % complete",$F$245:$F$274,"&lt;"&amp;AF$7)*IF(AF$7-INPUTS!$C$215&gt;=1,INDEX($D$417:$AQ$417,AF$7-INPUTS!$C$215),0)</f>
        <v>0</v>
      </c>
      <c r="AG420" s="130" t="n">
        <f aca="false">SUMIFS($E$245:$E$274,$C$245:$C$274,"Construction % complete",$F$245:$F$274,AG$7)*IF(AG$7-INPUTS!$C$215&gt;=1,INDEX($D$418:$AQ$418,AG$7-INPUTS!$C$215),0)+SUMIFS($E$245:$E$274,$C$245:$C$274,"Construction % complete",$F$245:$F$274,"&lt;"&amp;AG$7)*IF(AG$7-INPUTS!$C$215&gt;=1,INDEX($D$417:$AQ$417,AG$7-INPUTS!$C$215),0)</f>
        <v>0</v>
      </c>
      <c r="AH420" s="130" t="n">
        <f aca="false">SUMIFS($E$245:$E$274,$C$245:$C$274,"Construction % complete",$F$245:$F$274,AH$7)*IF(AH$7-INPUTS!$C$215&gt;=1,INDEX($D$418:$AQ$418,AH$7-INPUTS!$C$215),0)+SUMIFS($E$245:$E$274,$C$245:$C$274,"Construction % complete",$F$245:$F$274,"&lt;"&amp;AH$7)*IF(AH$7-INPUTS!$C$215&gt;=1,INDEX($D$417:$AQ$417,AH$7-INPUTS!$C$215),0)</f>
        <v>0</v>
      </c>
      <c r="AI420" s="130" t="n">
        <f aca="false">SUMIFS($E$245:$E$274,$C$245:$C$274,"Construction % complete",$F$245:$F$274,AI$7)*IF(AI$7-INPUTS!$C$215&gt;=1,INDEX($D$418:$AQ$418,AI$7-INPUTS!$C$215),0)+SUMIFS($E$245:$E$274,$C$245:$C$274,"Construction % complete",$F$245:$F$274,"&lt;"&amp;AI$7)*IF(AI$7-INPUTS!$C$215&gt;=1,INDEX($D$417:$AQ$417,AI$7-INPUTS!$C$215),0)</f>
        <v>0</v>
      </c>
      <c r="AJ420" s="130" t="n">
        <f aca="false">SUMIFS($E$245:$E$274,$C$245:$C$274,"Construction % complete",$F$245:$F$274,AJ$7)*IF(AJ$7-INPUTS!$C$215&gt;=1,INDEX($D$418:$AQ$418,AJ$7-INPUTS!$C$215),0)+SUMIFS($E$245:$E$274,$C$245:$C$274,"Construction % complete",$F$245:$F$274,"&lt;"&amp;AJ$7)*IF(AJ$7-INPUTS!$C$215&gt;=1,INDEX($D$417:$AQ$417,AJ$7-INPUTS!$C$215),0)</f>
        <v>0</v>
      </c>
      <c r="AK420" s="130" t="n">
        <f aca="false">SUMIFS($E$245:$E$274,$C$245:$C$274,"Construction % complete",$F$245:$F$274,AK$7)*IF(AK$7-INPUTS!$C$215&gt;=1,INDEX($D$418:$AQ$418,AK$7-INPUTS!$C$215),0)+SUMIFS($E$245:$E$274,$C$245:$C$274,"Construction % complete",$F$245:$F$274,"&lt;"&amp;AK$7)*IF(AK$7-INPUTS!$C$215&gt;=1,INDEX($D$417:$AQ$417,AK$7-INPUTS!$C$215),0)</f>
        <v>0</v>
      </c>
      <c r="AL420" s="130" t="n">
        <f aca="false">SUMIFS($E$245:$E$274,$C$245:$C$274,"Construction % complete",$F$245:$F$274,AL$7)*IF(AL$7-INPUTS!$C$215&gt;=1,INDEX($D$418:$AQ$418,AL$7-INPUTS!$C$215),0)+SUMIFS($E$245:$E$274,$C$245:$C$274,"Construction % complete",$F$245:$F$274,"&lt;"&amp;AL$7)*IF(AL$7-INPUTS!$C$215&gt;=1,INDEX($D$417:$AQ$417,AL$7-INPUTS!$C$215),0)</f>
        <v>0</v>
      </c>
      <c r="AM420" s="130" t="n">
        <f aca="false">SUMIFS($E$245:$E$274,$C$245:$C$274,"Construction % complete",$F$245:$F$274,AM$7)*IF(AM$7-INPUTS!$C$215&gt;=1,INDEX($D$418:$AQ$418,AM$7-INPUTS!$C$215),0)+SUMIFS($E$245:$E$274,$C$245:$C$274,"Construction % complete",$F$245:$F$274,"&lt;"&amp;AM$7)*IF(AM$7-INPUTS!$C$215&gt;=1,INDEX($D$417:$AQ$417,AM$7-INPUTS!$C$215),0)</f>
        <v>0</v>
      </c>
      <c r="AN420" s="130" t="n">
        <f aca="false">SUMIFS($E$245:$E$274,$C$245:$C$274,"Construction % complete",$F$245:$F$274,AN$7)*IF(AN$7-INPUTS!$C$215&gt;=1,INDEX($D$418:$AQ$418,AN$7-INPUTS!$C$215),0)+SUMIFS($E$245:$E$274,$C$245:$C$274,"Construction % complete",$F$245:$F$274,"&lt;"&amp;AN$7)*IF(AN$7-INPUTS!$C$215&gt;=1,INDEX($D$417:$AQ$417,AN$7-INPUTS!$C$215),0)</f>
        <v>0</v>
      </c>
      <c r="AO420" s="130" t="n">
        <f aca="false">SUMIFS($E$245:$E$274,$C$245:$C$274,"Construction % complete",$F$245:$F$274,AO$7)*IF(AO$7-INPUTS!$C$215&gt;=1,INDEX($D$418:$AQ$418,AO$7-INPUTS!$C$215),0)+SUMIFS($E$245:$E$274,$C$245:$C$274,"Construction % complete",$F$245:$F$274,"&lt;"&amp;AO$7)*IF(AO$7-INPUTS!$C$215&gt;=1,INDEX($D$417:$AQ$417,AO$7-INPUTS!$C$215),0)</f>
        <v>0</v>
      </c>
      <c r="AP420" s="130" t="n">
        <f aca="false">SUMIFS($E$245:$E$274,$C$245:$C$274,"Construction % complete",$F$245:$F$274,AP$7)*IF(AP$7-INPUTS!$C$215&gt;=1,INDEX($D$418:$AQ$418,AP$7-INPUTS!$C$215),0)+SUMIFS($E$245:$E$274,$C$245:$C$274,"Construction % complete",$F$245:$F$274,"&lt;"&amp;AP$7)*IF(AP$7-INPUTS!$C$215&gt;=1,INDEX($D$417:$AQ$417,AP$7-INPUTS!$C$215),0)</f>
        <v>0</v>
      </c>
      <c r="AQ420" s="130" t="n">
        <f aca="false">SUMIFS($E$245:$E$274,$C$245:$C$274,"Construction % complete",$F$245:$F$274,AQ$7)*IF(AQ$7-INPUTS!$C$215&gt;=1,INDEX($D$418:$AQ$418,AQ$7-INPUTS!$C$215),0)+SUMIFS($E$245:$E$274,$C$245:$C$274,"Construction % complete",$F$245:$F$274,"&lt;"&amp;AQ$7)*IF(AQ$7-INPUTS!$C$215&gt;=1,INDEX($D$417:$AQ$417,AQ$7-INPUTS!$C$215),0)</f>
        <v>0</v>
      </c>
    </row>
    <row r="421" customFormat="false" ht="15" hidden="false" customHeight="false" outlineLevel="0" collapsed="false">
      <c r="B421" s="2" t="s">
        <v>716</v>
      </c>
      <c r="C421" s="129" t="n">
        <f aca="false">SUM(D421:AQ421)</f>
        <v>0</v>
      </c>
      <c r="D421" s="130" t="n">
        <f aca="false">D419+D420</f>
        <v>0</v>
      </c>
      <c r="E421" s="130" t="n">
        <f aca="false">E419+E420</f>
        <v>0</v>
      </c>
      <c r="F421" s="130" t="n">
        <f aca="false">F419+F420</f>
        <v>0</v>
      </c>
      <c r="G421" s="130" t="n">
        <f aca="false">G419+G420</f>
        <v>0</v>
      </c>
      <c r="H421" s="130" t="n">
        <f aca="false">H419+H420</f>
        <v>0</v>
      </c>
      <c r="I421" s="130" t="n">
        <f aca="false">I419+I420</f>
        <v>0</v>
      </c>
      <c r="J421" s="130" t="n">
        <f aca="false">J419+J420</f>
        <v>0</v>
      </c>
      <c r="K421" s="130" t="n">
        <f aca="false">K419+K420</f>
        <v>0</v>
      </c>
      <c r="L421" s="130" t="n">
        <f aca="false">L419+L420</f>
        <v>0</v>
      </c>
      <c r="M421" s="130" t="n">
        <f aca="false">M419+M420</f>
        <v>0</v>
      </c>
      <c r="N421" s="130" t="n">
        <f aca="false">N419+N420</f>
        <v>0</v>
      </c>
      <c r="O421" s="130" t="n">
        <f aca="false">O419+O420</f>
        <v>0</v>
      </c>
      <c r="P421" s="130" t="n">
        <f aca="false">P419+P420</f>
        <v>0</v>
      </c>
      <c r="Q421" s="130" t="n">
        <f aca="false">Q419+Q420</f>
        <v>0</v>
      </c>
      <c r="R421" s="130" t="n">
        <f aca="false">R419+R420</f>
        <v>0</v>
      </c>
      <c r="S421" s="130" t="n">
        <f aca="false">S419+S420</f>
        <v>0</v>
      </c>
      <c r="T421" s="130" t="n">
        <f aca="false">T419+T420</f>
        <v>0</v>
      </c>
      <c r="U421" s="130" t="n">
        <f aca="false">U419+U420</f>
        <v>0</v>
      </c>
      <c r="V421" s="130" t="n">
        <f aca="false">V419+V420</f>
        <v>0</v>
      </c>
      <c r="W421" s="130" t="n">
        <f aca="false">W419+W420</f>
        <v>0</v>
      </c>
      <c r="X421" s="130" t="n">
        <f aca="false">X419+X420</f>
        <v>0</v>
      </c>
      <c r="Y421" s="130" t="n">
        <f aca="false">Y419+Y420</f>
        <v>0</v>
      </c>
      <c r="Z421" s="130" t="n">
        <f aca="false">Z419+Z420</f>
        <v>0</v>
      </c>
      <c r="AA421" s="130" t="n">
        <f aca="false">AA419+AA420</f>
        <v>0</v>
      </c>
      <c r="AB421" s="130" t="n">
        <f aca="false">AB419+AB420</f>
        <v>0</v>
      </c>
      <c r="AC421" s="130" t="n">
        <f aca="false">AC419+AC420</f>
        <v>0</v>
      </c>
      <c r="AD421" s="130" t="n">
        <f aca="false">AD419+AD420</f>
        <v>0</v>
      </c>
      <c r="AE421" s="130" t="n">
        <f aca="false">AE419+AE420</f>
        <v>0</v>
      </c>
      <c r="AF421" s="130" t="n">
        <f aca="false">AF419+AF420</f>
        <v>0</v>
      </c>
      <c r="AG421" s="130" t="n">
        <f aca="false">AG419+AG420</f>
        <v>0</v>
      </c>
      <c r="AH421" s="130" t="n">
        <f aca="false">AH419+AH420</f>
        <v>0</v>
      </c>
      <c r="AI421" s="130" t="n">
        <f aca="false">AI419+AI420</f>
        <v>0</v>
      </c>
      <c r="AJ421" s="130" t="n">
        <f aca="false">AJ419+AJ420</f>
        <v>0</v>
      </c>
      <c r="AK421" s="130" t="n">
        <f aca="false">AK419+AK420</f>
        <v>0</v>
      </c>
      <c r="AL421" s="130" t="n">
        <f aca="false">AL419+AL420</f>
        <v>0</v>
      </c>
      <c r="AM421" s="130" t="n">
        <f aca="false">AM419+AM420</f>
        <v>0</v>
      </c>
      <c r="AN421" s="130" t="n">
        <f aca="false">AN419+AN420</f>
        <v>0</v>
      </c>
      <c r="AO421" s="130" t="n">
        <f aca="false">AO419+AO420</f>
        <v>0</v>
      </c>
      <c r="AP421" s="130" t="n">
        <f aca="false">AP419+AP420</f>
        <v>0</v>
      </c>
      <c r="AQ421" s="130" t="n">
        <f aca="false">AQ419+AQ420</f>
        <v>0</v>
      </c>
    </row>
    <row r="422" customFormat="false" ht="15" hidden="false" customHeight="false" outlineLevel="0" collapsed="false">
      <c r="B422" s="3" t="s">
        <v>717</v>
      </c>
      <c r="D422" s="130" t="n">
        <f aca="false">SUM($D421:D421)</f>
        <v>0</v>
      </c>
      <c r="E422" s="130" t="n">
        <f aca="false">SUM($D421:E421)</f>
        <v>0</v>
      </c>
      <c r="F422" s="130" t="n">
        <f aca="false">SUM($D421:F421)</f>
        <v>0</v>
      </c>
      <c r="G422" s="130" t="n">
        <f aca="false">SUM($D421:G421)</f>
        <v>0</v>
      </c>
      <c r="H422" s="130" t="n">
        <f aca="false">SUM($D421:H421)</f>
        <v>0</v>
      </c>
      <c r="I422" s="130" t="n">
        <f aca="false">SUM($D421:I421)</f>
        <v>0</v>
      </c>
      <c r="J422" s="130" t="n">
        <f aca="false">SUM($D421:J421)</f>
        <v>0</v>
      </c>
      <c r="K422" s="130" t="n">
        <f aca="false">SUM($D421:K421)</f>
        <v>0</v>
      </c>
      <c r="L422" s="130" t="n">
        <f aca="false">SUM($D421:L421)</f>
        <v>0</v>
      </c>
      <c r="M422" s="130" t="n">
        <f aca="false">SUM($D421:M421)</f>
        <v>0</v>
      </c>
      <c r="N422" s="130" t="n">
        <f aca="false">SUM($D421:N421)</f>
        <v>0</v>
      </c>
      <c r="O422" s="130" t="n">
        <f aca="false">SUM($D421:O421)</f>
        <v>0</v>
      </c>
      <c r="P422" s="130" t="n">
        <f aca="false">SUM($D421:P421)</f>
        <v>0</v>
      </c>
      <c r="Q422" s="130" t="n">
        <f aca="false">SUM($D421:Q421)</f>
        <v>0</v>
      </c>
      <c r="R422" s="130" t="n">
        <f aca="false">SUM($D421:R421)</f>
        <v>0</v>
      </c>
      <c r="S422" s="130" t="n">
        <f aca="false">SUM($D421:S421)</f>
        <v>0</v>
      </c>
      <c r="T422" s="130" t="n">
        <f aca="false">SUM($D421:T421)</f>
        <v>0</v>
      </c>
      <c r="U422" s="130" t="n">
        <f aca="false">SUM($D421:U421)</f>
        <v>0</v>
      </c>
      <c r="V422" s="130" t="n">
        <f aca="false">SUM($D421:V421)</f>
        <v>0</v>
      </c>
      <c r="W422" s="130" t="n">
        <f aca="false">SUM($D421:W421)</f>
        <v>0</v>
      </c>
      <c r="X422" s="130" t="n">
        <f aca="false">SUM($D421:X421)</f>
        <v>0</v>
      </c>
      <c r="Y422" s="130" t="n">
        <f aca="false">SUM($D421:Y421)</f>
        <v>0</v>
      </c>
      <c r="Z422" s="130" t="n">
        <f aca="false">SUM($D421:Z421)</f>
        <v>0</v>
      </c>
      <c r="AA422" s="130" t="n">
        <f aca="false">SUM($D421:AA421)</f>
        <v>0</v>
      </c>
      <c r="AB422" s="130" t="n">
        <f aca="false">SUM($D421:AB421)</f>
        <v>0</v>
      </c>
      <c r="AC422" s="130" t="n">
        <f aca="false">SUM($D421:AC421)</f>
        <v>0</v>
      </c>
      <c r="AD422" s="130" t="n">
        <f aca="false">SUM($D421:AD421)</f>
        <v>0</v>
      </c>
      <c r="AE422" s="130" t="n">
        <f aca="false">SUM($D421:AE421)</f>
        <v>0</v>
      </c>
      <c r="AF422" s="130" t="n">
        <f aca="false">SUM($D421:AF421)</f>
        <v>0</v>
      </c>
      <c r="AG422" s="130" t="n">
        <f aca="false">SUM($D421:AG421)</f>
        <v>0</v>
      </c>
      <c r="AH422" s="130" t="n">
        <f aca="false">SUM($D421:AH421)</f>
        <v>0</v>
      </c>
      <c r="AI422" s="130" t="n">
        <f aca="false">SUM($D421:AI421)</f>
        <v>0</v>
      </c>
      <c r="AJ422" s="130" t="n">
        <f aca="false">SUM($D421:AJ421)</f>
        <v>0</v>
      </c>
      <c r="AK422" s="130" t="n">
        <f aca="false">SUM($D421:AK421)</f>
        <v>0</v>
      </c>
      <c r="AL422" s="130" t="n">
        <f aca="false">SUM($D421:AL421)</f>
        <v>0</v>
      </c>
      <c r="AM422" s="130" t="n">
        <f aca="false">SUM($D421:AM421)</f>
        <v>0</v>
      </c>
      <c r="AN422" s="130" t="n">
        <f aca="false">SUM($D421:AN421)</f>
        <v>0</v>
      </c>
      <c r="AO422" s="130" t="n">
        <f aca="false">SUM($D421:AO421)</f>
        <v>0</v>
      </c>
      <c r="AP422" s="130" t="n">
        <f aca="false">SUM($D421:AP421)</f>
        <v>0</v>
      </c>
      <c r="AQ422" s="130" t="n">
        <f aca="false">SUM($D421:AQ421)</f>
        <v>0</v>
      </c>
    </row>
    <row r="423" customFormat="false" ht="15" hidden="false" customHeight="false" outlineLevel="0" collapsed="false">
      <c r="B423" s="3" t="s">
        <v>718</v>
      </c>
      <c r="D423" s="130" t="n">
        <f aca="false">D418-D422</f>
        <v>0</v>
      </c>
      <c r="E423" s="130" t="n">
        <f aca="false">E418-E422</f>
        <v>0</v>
      </c>
      <c r="F423" s="130" t="n">
        <f aca="false">F418-F422</f>
        <v>0</v>
      </c>
      <c r="G423" s="130" t="n">
        <f aca="false">G418-G422</f>
        <v>0</v>
      </c>
      <c r="H423" s="130" t="n">
        <f aca="false">H418-H422</f>
        <v>0</v>
      </c>
      <c r="I423" s="130" t="n">
        <f aca="false">I418-I422</f>
        <v>0</v>
      </c>
      <c r="J423" s="130" t="n">
        <f aca="false">J418-J422</f>
        <v>0</v>
      </c>
      <c r="K423" s="130" t="n">
        <f aca="false">K418-K422</f>
        <v>0</v>
      </c>
      <c r="L423" s="130" t="n">
        <f aca="false">L418-L422</f>
        <v>0</v>
      </c>
      <c r="M423" s="130" t="n">
        <f aca="false">M418-M422</f>
        <v>0</v>
      </c>
      <c r="N423" s="130" t="n">
        <f aca="false">N418-N422</f>
        <v>0</v>
      </c>
      <c r="O423" s="130" t="n">
        <f aca="false">O418-O422</f>
        <v>0</v>
      </c>
      <c r="P423" s="130" t="n">
        <f aca="false">P418-P422</f>
        <v>0</v>
      </c>
      <c r="Q423" s="130" t="n">
        <f aca="false">Q418-Q422</f>
        <v>0</v>
      </c>
      <c r="R423" s="130" t="n">
        <f aca="false">R418-R422</f>
        <v>0</v>
      </c>
      <c r="S423" s="130" t="n">
        <f aca="false">S418-S422</f>
        <v>0</v>
      </c>
      <c r="T423" s="130" t="n">
        <f aca="false">T418-T422</f>
        <v>0</v>
      </c>
      <c r="U423" s="130" t="n">
        <f aca="false">U418-U422</f>
        <v>0</v>
      </c>
      <c r="V423" s="130" t="n">
        <f aca="false">V418-V422</f>
        <v>0</v>
      </c>
      <c r="W423" s="130" t="n">
        <f aca="false">W418-W422</f>
        <v>0</v>
      </c>
      <c r="X423" s="130" t="n">
        <f aca="false">X418-X422</f>
        <v>0</v>
      </c>
      <c r="Y423" s="130" t="n">
        <f aca="false">Y418-Y422</f>
        <v>0</v>
      </c>
      <c r="Z423" s="130" t="n">
        <f aca="false">Z418-Z422</f>
        <v>0</v>
      </c>
      <c r="AA423" s="130" t="n">
        <f aca="false">AA418-AA422</f>
        <v>0</v>
      </c>
      <c r="AB423" s="130" t="n">
        <f aca="false">AB418-AB422</f>
        <v>0</v>
      </c>
      <c r="AC423" s="130" t="n">
        <f aca="false">AC418-AC422</f>
        <v>0</v>
      </c>
      <c r="AD423" s="130" t="n">
        <f aca="false">AD418-AD422</f>
        <v>0</v>
      </c>
      <c r="AE423" s="130" t="n">
        <f aca="false">AE418-AE422</f>
        <v>0</v>
      </c>
      <c r="AF423" s="130" t="n">
        <f aca="false">AF418-AF422</f>
        <v>0</v>
      </c>
      <c r="AG423" s="130" t="n">
        <f aca="false">AG418-AG422</f>
        <v>0</v>
      </c>
      <c r="AH423" s="130" t="n">
        <f aca="false">AH418-AH422</f>
        <v>0</v>
      </c>
      <c r="AI423" s="130" t="n">
        <f aca="false">AI418-AI422</f>
        <v>0</v>
      </c>
      <c r="AJ423" s="130" t="n">
        <f aca="false">AJ418-AJ422</f>
        <v>0</v>
      </c>
      <c r="AK423" s="130" t="n">
        <f aca="false">AK418-AK422</f>
        <v>0</v>
      </c>
      <c r="AL423" s="130" t="n">
        <f aca="false">AL418-AL422</f>
        <v>0</v>
      </c>
      <c r="AM423" s="130" t="n">
        <f aca="false">AM418-AM422</f>
        <v>0</v>
      </c>
      <c r="AN423" s="130" t="n">
        <f aca="false">AN418-AN422</f>
        <v>0</v>
      </c>
      <c r="AO423" s="130" t="n">
        <f aca="false">AO418-AO422</f>
        <v>0</v>
      </c>
      <c r="AP423" s="130" t="n">
        <f aca="false">AP418-AP422</f>
        <v>0</v>
      </c>
      <c r="AQ423" s="130" t="n">
        <f aca="false">AQ418-AQ422</f>
        <v>0</v>
      </c>
    </row>
    <row r="424" customFormat="false" ht="15" hidden="false" customHeight="false" outlineLevel="0" collapsed="false">
      <c r="B424" s="3" t="s">
        <v>719</v>
      </c>
      <c r="D424" s="132" t="n">
        <f aca="false">IF(INPUTS!$T$95&gt;0,D422/INPUTS!$T$95,0)</f>
        <v>0</v>
      </c>
      <c r="E424" s="132" t="n">
        <f aca="false">IF(INPUTS!$T$95&gt;0,E422/INPUTS!$T$95,0)</f>
        <v>0</v>
      </c>
      <c r="F424" s="132" t="n">
        <f aca="false">IF(INPUTS!$T$95&gt;0,F422/INPUTS!$T$95,0)</f>
        <v>0</v>
      </c>
      <c r="G424" s="132" t="n">
        <f aca="false">IF(INPUTS!$T$95&gt;0,G422/INPUTS!$T$95,0)</f>
        <v>0</v>
      </c>
      <c r="H424" s="132" t="n">
        <f aca="false">IF(INPUTS!$T$95&gt;0,H422/INPUTS!$T$95,0)</f>
        <v>0</v>
      </c>
      <c r="I424" s="132" t="n">
        <f aca="false">IF(INPUTS!$T$95&gt;0,I422/INPUTS!$T$95,0)</f>
        <v>0</v>
      </c>
      <c r="J424" s="132" t="n">
        <f aca="false">IF(INPUTS!$T$95&gt;0,J422/INPUTS!$T$95,0)</f>
        <v>0</v>
      </c>
      <c r="K424" s="132" t="n">
        <f aca="false">IF(INPUTS!$T$95&gt;0,K422/INPUTS!$T$95,0)</f>
        <v>0</v>
      </c>
      <c r="L424" s="132" t="n">
        <f aca="false">IF(INPUTS!$T$95&gt;0,L422/INPUTS!$T$95,0)</f>
        <v>0</v>
      </c>
      <c r="M424" s="132" t="n">
        <f aca="false">IF(INPUTS!$T$95&gt;0,M422/INPUTS!$T$95,0)</f>
        <v>0</v>
      </c>
      <c r="N424" s="132" t="n">
        <f aca="false">IF(INPUTS!$T$95&gt;0,N422/INPUTS!$T$95,0)</f>
        <v>0</v>
      </c>
      <c r="O424" s="132" t="n">
        <f aca="false">IF(INPUTS!$T$95&gt;0,O422/INPUTS!$T$95,0)</f>
        <v>0</v>
      </c>
      <c r="P424" s="132" t="n">
        <f aca="false">IF(INPUTS!$T$95&gt;0,P422/INPUTS!$T$95,0)</f>
        <v>0</v>
      </c>
      <c r="Q424" s="132" t="n">
        <f aca="false">IF(INPUTS!$T$95&gt;0,Q422/INPUTS!$T$95,0)</f>
        <v>0</v>
      </c>
      <c r="R424" s="132" t="n">
        <f aca="false">IF(INPUTS!$T$95&gt;0,R422/INPUTS!$T$95,0)</f>
        <v>0</v>
      </c>
      <c r="S424" s="132" t="n">
        <f aca="false">IF(INPUTS!$T$95&gt;0,S422/INPUTS!$T$95,0)</f>
        <v>0</v>
      </c>
      <c r="T424" s="132" t="n">
        <f aca="false">IF(INPUTS!$T$95&gt;0,T422/INPUTS!$T$95,0)</f>
        <v>0</v>
      </c>
      <c r="U424" s="132" t="n">
        <f aca="false">IF(INPUTS!$T$95&gt;0,U422/INPUTS!$T$95,0)</f>
        <v>0</v>
      </c>
      <c r="V424" s="132" t="n">
        <f aca="false">IF(INPUTS!$T$95&gt;0,V422/INPUTS!$T$95,0)</f>
        <v>0</v>
      </c>
      <c r="W424" s="132" t="n">
        <f aca="false">IF(INPUTS!$T$95&gt;0,W422/INPUTS!$T$95,0)</f>
        <v>0</v>
      </c>
      <c r="X424" s="132" t="n">
        <f aca="false">IF(INPUTS!$T$95&gt;0,X422/INPUTS!$T$95,0)</f>
        <v>0</v>
      </c>
      <c r="Y424" s="132" t="n">
        <f aca="false">IF(INPUTS!$T$95&gt;0,Y422/INPUTS!$T$95,0)</f>
        <v>0</v>
      </c>
      <c r="Z424" s="132" t="n">
        <f aca="false">IF(INPUTS!$T$95&gt;0,Z422/INPUTS!$T$95,0)</f>
        <v>0</v>
      </c>
      <c r="AA424" s="132" t="n">
        <f aca="false">IF(INPUTS!$T$95&gt;0,AA422/INPUTS!$T$95,0)</f>
        <v>0</v>
      </c>
      <c r="AB424" s="132" t="n">
        <f aca="false">IF(INPUTS!$T$95&gt;0,AB422/INPUTS!$T$95,0)</f>
        <v>0</v>
      </c>
      <c r="AC424" s="132" t="n">
        <f aca="false">IF(INPUTS!$T$95&gt;0,AC422/INPUTS!$T$95,0)</f>
        <v>0</v>
      </c>
      <c r="AD424" s="132" t="n">
        <f aca="false">IF(INPUTS!$T$95&gt;0,AD422/INPUTS!$T$95,0)</f>
        <v>0</v>
      </c>
      <c r="AE424" s="132" t="n">
        <f aca="false">IF(INPUTS!$T$95&gt;0,AE422/INPUTS!$T$95,0)</f>
        <v>0</v>
      </c>
      <c r="AF424" s="132" t="n">
        <f aca="false">IF(INPUTS!$T$95&gt;0,AF422/INPUTS!$T$95,0)</f>
        <v>0</v>
      </c>
      <c r="AG424" s="132" t="n">
        <f aca="false">IF(INPUTS!$T$95&gt;0,AG422/INPUTS!$T$95,0)</f>
        <v>0</v>
      </c>
      <c r="AH424" s="132" t="n">
        <f aca="false">IF(INPUTS!$T$95&gt;0,AH422/INPUTS!$T$95,0)</f>
        <v>0</v>
      </c>
      <c r="AI424" s="132" t="n">
        <f aca="false">IF(INPUTS!$T$95&gt;0,AI422/INPUTS!$T$95,0)</f>
        <v>0</v>
      </c>
      <c r="AJ424" s="132" t="n">
        <f aca="false">IF(INPUTS!$T$95&gt;0,AJ422/INPUTS!$T$95,0)</f>
        <v>0</v>
      </c>
      <c r="AK424" s="132" t="n">
        <f aca="false">IF(INPUTS!$T$95&gt;0,AK422/INPUTS!$T$95,0)</f>
        <v>0</v>
      </c>
      <c r="AL424" s="132" t="n">
        <f aca="false">IF(INPUTS!$T$95&gt;0,AL422/INPUTS!$T$95,0)</f>
        <v>0</v>
      </c>
      <c r="AM424" s="132" t="n">
        <f aca="false">IF(INPUTS!$T$95&gt;0,AM422/INPUTS!$T$95,0)</f>
        <v>0</v>
      </c>
      <c r="AN424" s="132" t="n">
        <f aca="false">IF(INPUTS!$T$95&gt;0,AN422/INPUTS!$T$95,0)</f>
        <v>0</v>
      </c>
      <c r="AO424" s="132" t="n">
        <f aca="false">IF(INPUTS!$T$95&gt;0,AO422/INPUTS!$T$95,0)</f>
        <v>0</v>
      </c>
      <c r="AP424" s="132" t="n">
        <f aca="false">IF(INPUTS!$T$95&gt;0,AP422/INPUTS!$T$95,0)</f>
        <v>0</v>
      </c>
      <c r="AQ424" s="132" t="n">
        <f aca="false">IF(INPUTS!$T$95&gt;0,AQ422/INPUTS!$T$95,0)</f>
        <v>0</v>
      </c>
    </row>
    <row r="425" customFormat="false" ht="15" hidden="false" customHeight="false" outlineLevel="0" collapsed="false">
      <c r="B425" s="17" t="s">
        <v>689</v>
      </c>
      <c r="C425" s="105" t="str">
        <f aca="false">IF(INPUTS!$E$95&lt;&gt;"Yes","Off",IF(AND(ABS(C417-INPUTS!$T$95)&lt;0.000001,ABS(C421-INPUTS!$T$95)&lt;0.000001,MIN(D423:AQ423)&gt;-0.000001),"OK","ERROR"))</f>
        <v>Off</v>
      </c>
    </row>
    <row r="426" customFormat="false" ht="15" hidden="false" customHeight="false" outlineLevel="0" collapsed="false">
      <c r="B426" s="110" t="str">
        <f aca="false">IF(INPUTS!$E$96="Yes",INPUTS!$B$96,"Product row 9 (off)")</f>
        <v>Product row 9 (off)</v>
      </c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</row>
    <row r="427" customFormat="false" ht="15" hidden="false" customHeight="false" outlineLevel="0" collapsed="false">
      <c r="B427" s="2" t="s">
        <v>712</v>
      </c>
      <c r="C427" s="129" t="n">
        <f aca="false">SUM(D427:AQ427)</f>
        <v>0</v>
      </c>
      <c r="D427" s="130" t="n">
        <f aca="false">INPUTS!$T$96*CURVES!D86</f>
        <v>0</v>
      </c>
      <c r="E427" s="130" t="n">
        <f aca="false">INPUTS!$T$96*CURVES!E86</f>
        <v>0</v>
      </c>
      <c r="F427" s="130" t="n">
        <f aca="false">INPUTS!$T$96*CURVES!F86</f>
        <v>0</v>
      </c>
      <c r="G427" s="130" t="n">
        <f aca="false">INPUTS!$T$96*CURVES!G86</f>
        <v>0</v>
      </c>
      <c r="H427" s="130" t="n">
        <f aca="false">INPUTS!$T$96*CURVES!H86</f>
        <v>0</v>
      </c>
      <c r="I427" s="130" t="n">
        <f aca="false">INPUTS!$T$96*CURVES!I86</f>
        <v>0</v>
      </c>
      <c r="J427" s="130" t="n">
        <f aca="false">INPUTS!$T$96*CURVES!J86</f>
        <v>0</v>
      </c>
      <c r="K427" s="130" t="n">
        <f aca="false">INPUTS!$T$96*CURVES!K86</f>
        <v>0</v>
      </c>
      <c r="L427" s="130" t="n">
        <f aca="false">INPUTS!$T$96*CURVES!L86</f>
        <v>0</v>
      </c>
      <c r="M427" s="130" t="n">
        <f aca="false">INPUTS!$T$96*CURVES!M86</f>
        <v>0</v>
      </c>
      <c r="N427" s="130" t="n">
        <f aca="false">INPUTS!$T$96*CURVES!N86</f>
        <v>0</v>
      </c>
      <c r="O427" s="130" t="n">
        <f aca="false">INPUTS!$T$96*CURVES!O86</f>
        <v>0</v>
      </c>
      <c r="P427" s="130" t="n">
        <f aca="false">INPUTS!$T$96*CURVES!P86</f>
        <v>0</v>
      </c>
      <c r="Q427" s="130" t="n">
        <f aca="false">INPUTS!$T$96*CURVES!Q86</f>
        <v>0</v>
      </c>
      <c r="R427" s="130" t="n">
        <f aca="false">INPUTS!$T$96*CURVES!R86</f>
        <v>0</v>
      </c>
      <c r="S427" s="130" t="n">
        <f aca="false">INPUTS!$T$96*CURVES!S86</f>
        <v>0</v>
      </c>
      <c r="T427" s="130" t="n">
        <f aca="false">INPUTS!$T$96*CURVES!T86</f>
        <v>0</v>
      </c>
      <c r="U427" s="130" t="n">
        <f aca="false">INPUTS!$T$96*CURVES!U86</f>
        <v>0</v>
      </c>
      <c r="V427" s="130" t="n">
        <f aca="false">INPUTS!$T$96*CURVES!V86</f>
        <v>0</v>
      </c>
      <c r="W427" s="130" t="n">
        <f aca="false">INPUTS!$T$96*CURVES!W86</f>
        <v>0</v>
      </c>
      <c r="X427" s="130" t="n">
        <f aca="false">INPUTS!$T$96*CURVES!X86</f>
        <v>0</v>
      </c>
      <c r="Y427" s="130" t="n">
        <f aca="false">INPUTS!$T$96*CURVES!Y86</f>
        <v>0</v>
      </c>
      <c r="Z427" s="130" t="n">
        <f aca="false">INPUTS!$T$96*CURVES!Z86</f>
        <v>0</v>
      </c>
      <c r="AA427" s="130" t="n">
        <f aca="false">INPUTS!$T$96*CURVES!AA86</f>
        <v>0</v>
      </c>
      <c r="AB427" s="130" t="n">
        <f aca="false">INPUTS!$T$96*CURVES!AB86</f>
        <v>0</v>
      </c>
      <c r="AC427" s="130" t="n">
        <f aca="false">INPUTS!$T$96*CURVES!AC86</f>
        <v>0</v>
      </c>
      <c r="AD427" s="130" t="n">
        <f aca="false">INPUTS!$T$96*CURVES!AD86</f>
        <v>0</v>
      </c>
      <c r="AE427" s="130" t="n">
        <f aca="false">INPUTS!$T$96*CURVES!AE86</f>
        <v>0</v>
      </c>
      <c r="AF427" s="130" t="n">
        <f aca="false">INPUTS!$T$96*CURVES!AF86</f>
        <v>0</v>
      </c>
      <c r="AG427" s="130" t="n">
        <f aca="false">INPUTS!$T$96*CURVES!AG86</f>
        <v>0</v>
      </c>
      <c r="AH427" s="130" t="n">
        <f aca="false">INPUTS!$T$96*CURVES!AH86</f>
        <v>0</v>
      </c>
      <c r="AI427" s="130" t="n">
        <f aca="false">INPUTS!$T$96*CURVES!AI86</f>
        <v>0</v>
      </c>
      <c r="AJ427" s="130" t="n">
        <f aca="false">INPUTS!$T$96*CURVES!AJ86</f>
        <v>0</v>
      </c>
      <c r="AK427" s="130" t="n">
        <f aca="false">INPUTS!$T$96*CURVES!AK86</f>
        <v>0</v>
      </c>
      <c r="AL427" s="130" t="n">
        <f aca="false">INPUTS!$T$96*CURVES!AL86</f>
        <v>0</v>
      </c>
      <c r="AM427" s="130" t="n">
        <f aca="false">INPUTS!$T$96*CURVES!AM86</f>
        <v>0</v>
      </c>
      <c r="AN427" s="130" t="n">
        <f aca="false">INPUTS!$T$96*CURVES!AN86</f>
        <v>0</v>
      </c>
      <c r="AO427" s="130" t="n">
        <f aca="false">INPUTS!$T$96*CURVES!AO86</f>
        <v>0</v>
      </c>
      <c r="AP427" s="130" t="n">
        <f aca="false">INPUTS!$T$96*CURVES!AP86</f>
        <v>0</v>
      </c>
      <c r="AQ427" s="130" t="n">
        <f aca="false">INPUTS!$T$96*CURVES!AQ86</f>
        <v>0</v>
      </c>
    </row>
    <row r="428" customFormat="false" ht="15" hidden="false" customHeight="false" outlineLevel="0" collapsed="false">
      <c r="B428" s="3" t="s">
        <v>713</v>
      </c>
      <c r="D428" s="130" t="n">
        <f aca="false">SUM($D427:D427)</f>
        <v>0</v>
      </c>
      <c r="E428" s="130" t="n">
        <f aca="false">SUM($D427:E427)</f>
        <v>0</v>
      </c>
      <c r="F428" s="130" t="n">
        <f aca="false">SUM($D427:F427)</f>
        <v>0</v>
      </c>
      <c r="G428" s="130" t="n">
        <f aca="false">SUM($D427:G427)</f>
        <v>0</v>
      </c>
      <c r="H428" s="130" t="n">
        <f aca="false">SUM($D427:H427)</f>
        <v>0</v>
      </c>
      <c r="I428" s="130" t="n">
        <f aca="false">SUM($D427:I427)</f>
        <v>0</v>
      </c>
      <c r="J428" s="130" t="n">
        <f aca="false">SUM($D427:J427)</f>
        <v>0</v>
      </c>
      <c r="K428" s="130" t="n">
        <f aca="false">SUM($D427:K427)</f>
        <v>0</v>
      </c>
      <c r="L428" s="130" t="n">
        <f aca="false">SUM($D427:L427)</f>
        <v>0</v>
      </c>
      <c r="M428" s="130" t="n">
        <f aca="false">SUM($D427:M427)</f>
        <v>0</v>
      </c>
      <c r="N428" s="130" t="n">
        <f aca="false">SUM($D427:N427)</f>
        <v>0</v>
      </c>
      <c r="O428" s="130" t="n">
        <f aca="false">SUM($D427:O427)</f>
        <v>0</v>
      </c>
      <c r="P428" s="130" t="n">
        <f aca="false">SUM($D427:P427)</f>
        <v>0</v>
      </c>
      <c r="Q428" s="130" t="n">
        <f aca="false">SUM($D427:Q427)</f>
        <v>0</v>
      </c>
      <c r="R428" s="130" t="n">
        <f aca="false">SUM($D427:R427)</f>
        <v>0</v>
      </c>
      <c r="S428" s="130" t="n">
        <f aca="false">SUM($D427:S427)</f>
        <v>0</v>
      </c>
      <c r="T428" s="130" t="n">
        <f aca="false">SUM($D427:T427)</f>
        <v>0</v>
      </c>
      <c r="U428" s="130" t="n">
        <f aca="false">SUM($D427:U427)</f>
        <v>0</v>
      </c>
      <c r="V428" s="130" t="n">
        <f aca="false">SUM($D427:V427)</f>
        <v>0</v>
      </c>
      <c r="W428" s="130" t="n">
        <f aca="false">SUM($D427:W427)</f>
        <v>0</v>
      </c>
      <c r="X428" s="130" t="n">
        <f aca="false">SUM($D427:X427)</f>
        <v>0</v>
      </c>
      <c r="Y428" s="130" t="n">
        <f aca="false">SUM($D427:Y427)</f>
        <v>0</v>
      </c>
      <c r="Z428" s="130" t="n">
        <f aca="false">SUM($D427:Z427)</f>
        <v>0</v>
      </c>
      <c r="AA428" s="130" t="n">
        <f aca="false">SUM($D427:AA427)</f>
        <v>0</v>
      </c>
      <c r="AB428" s="130" t="n">
        <f aca="false">SUM($D427:AB427)</f>
        <v>0</v>
      </c>
      <c r="AC428" s="130" t="n">
        <f aca="false">SUM($D427:AC427)</f>
        <v>0</v>
      </c>
      <c r="AD428" s="130" t="n">
        <f aca="false">SUM($D427:AD427)</f>
        <v>0</v>
      </c>
      <c r="AE428" s="130" t="n">
        <f aca="false">SUM($D427:AE427)</f>
        <v>0</v>
      </c>
      <c r="AF428" s="130" t="n">
        <f aca="false">SUM($D427:AF427)</f>
        <v>0</v>
      </c>
      <c r="AG428" s="130" t="n">
        <f aca="false">SUM($D427:AG427)</f>
        <v>0</v>
      </c>
      <c r="AH428" s="130" t="n">
        <f aca="false">SUM($D427:AH427)</f>
        <v>0</v>
      </c>
      <c r="AI428" s="130" t="n">
        <f aca="false">SUM($D427:AI427)</f>
        <v>0</v>
      </c>
      <c r="AJ428" s="130" t="n">
        <f aca="false">SUM($D427:AJ427)</f>
        <v>0</v>
      </c>
      <c r="AK428" s="130" t="n">
        <f aca="false">SUM($D427:AK427)</f>
        <v>0</v>
      </c>
      <c r="AL428" s="130" t="n">
        <f aca="false">SUM($D427:AL427)</f>
        <v>0</v>
      </c>
      <c r="AM428" s="130" t="n">
        <f aca="false">SUM($D427:AM427)</f>
        <v>0</v>
      </c>
      <c r="AN428" s="130" t="n">
        <f aca="false">SUM($D427:AN427)</f>
        <v>0</v>
      </c>
      <c r="AO428" s="130" t="n">
        <f aca="false">SUM($D427:AO427)</f>
        <v>0</v>
      </c>
      <c r="AP428" s="130" t="n">
        <f aca="false">SUM($D427:AP427)</f>
        <v>0</v>
      </c>
      <c r="AQ428" s="130" t="n">
        <f aca="false">SUM($D427:AQ427)</f>
        <v>0</v>
      </c>
    </row>
    <row r="429" customFormat="false" ht="15" hidden="false" customHeight="false" outlineLevel="0" collapsed="false">
      <c r="B429" s="131" t="s">
        <v>714</v>
      </c>
      <c r="C429" s="129" t="n">
        <f aca="false">SUM(D429:AQ429)</f>
        <v>0</v>
      </c>
      <c r="D429" s="130" t="n">
        <f aca="false">$D$308*IF(D$7-0&gt;=1,INDEX($D$427:$AQ$427,D$7-0),0)+$E$308*IF(D$7-1&gt;=1,INDEX($D$427:$AQ$427,D$7-1),0)+$F$308*IF(D$7-2&gt;=1,INDEX($D$427:$AQ$427,D$7-2),0)+$G$308*IF(D$7-3&gt;=1,INDEX($D$427:$AQ$427,D$7-3),0)+$H$308*IF(D$7-4&gt;=1,INDEX($D$427:$AQ$427,D$7-4),0)+$I$308*IF(D$7-5&gt;=1,INDEX($D$427:$AQ$427,D$7-5),0)+$J$308*IF(D$7-6&gt;=1,INDEX($D$427:$AQ$427,D$7-6),0)+$K$308*IF(D$7-7&gt;=1,INDEX($D$427:$AQ$427,D$7-7),0)+$L$308*IF(D$7-8&gt;=1,INDEX($D$427:$AQ$427,D$7-8),0)+$M$308*IF(D$7-9&gt;=1,INDEX($D$427:$AQ$427,D$7-9),0)+$N$308*IF(D$7-10&gt;=1,INDEX($D$427:$AQ$427,D$7-10),0)+$O$308*IF(D$7-11&gt;=1,INDEX($D$427:$AQ$427,D$7-11),0)+$P$308*IF(D$7-12&gt;=1,INDEX($D$427:$AQ$427,D$7-12),0)</f>
        <v>0</v>
      </c>
      <c r="E429" s="130" t="n">
        <f aca="false">$D$308*IF(E$7-0&gt;=1,INDEX($D$427:$AQ$427,E$7-0),0)+$E$308*IF(E$7-1&gt;=1,INDEX($D$427:$AQ$427,E$7-1),0)+$F$308*IF(E$7-2&gt;=1,INDEX($D$427:$AQ$427,E$7-2),0)+$G$308*IF(E$7-3&gt;=1,INDEX($D$427:$AQ$427,E$7-3),0)+$H$308*IF(E$7-4&gt;=1,INDEX($D$427:$AQ$427,E$7-4),0)+$I$308*IF(E$7-5&gt;=1,INDEX($D$427:$AQ$427,E$7-5),0)+$J$308*IF(E$7-6&gt;=1,INDEX($D$427:$AQ$427,E$7-6),0)+$K$308*IF(E$7-7&gt;=1,INDEX($D$427:$AQ$427,E$7-7),0)+$L$308*IF(E$7-8&gt;=1,INDEX($D$427:$AQ$427,E$7-8),0)+$M$308*IF(E$7-9&gt;=1,INDEX($D$427:$AQ$427,E$7-9),0)+$N$308*IF(E$7-10&gt;=1,INDEX($D$427:$AQ$427,E$7-10),0)+$O$308*IF(E$7-11&gt;=1,INDEX($D$427:$AQ$427,E$7-11),0)+$P$308*IF(E$7-12&gt;=1,INDEX($D$427:$AQ$427,E$7-12),0)</f>
        <v>0</v>
      </c>
      <c r="F429" s="130" t="n">
        <f aca="false">$D$308*IF(F$7-0&gt;=1,INDEX($D$427:$AQ$427,F$7-0),0)+$E$308*IF(F$7-1&gt;=1,INDEX($D$427:$AQ$427,F$7-1),0)+$F$308*IF(F$7-2&gt;=1,INDEX($D$427:$AQ$427,F$7-2),0)+$G$308*IF(F$7-3&gt;=1,INDEX($D$427:$AQ$427,F$7-3),0)+$H$308*IF(F$7-4&gt;=1,INDEX($D$427:$AQ$427,F$7-4),0)+$I$308*IF(F$7-5&gt;=1,INDEX($D$427:$AQ$427,F$7-5),0)+$J$308*IF(F$7-6&gt;=1,INDEX($D$427:$AQ$427,F$7-6),0)+$K$308*IF(F$7-7&gt;=1,INDEX($D$427:$AQ$427,F$7-7),0)+$L$308*IF(F$7-8&gt;=1,INDEX($D$427:$AQ$427,F$7-8),0)+$M$308*IF(F$7-9&gt;=1,INDEX($D$427:$AQ$427,F$7-9),0)+$N$308*IF(F$7-10&gt;=1,INDEX($D$427:$AQ$427,F$7-10),0)+$O$308*IF(F$7-11&gt;=1,INDEX($D$427:$AQ$427,F$7-11),0)+$P$308*IF(F$7-12&gt;=1,INDEX($D$427:$AQ$427,F$7-12),0)</f>
        <v>0</v>
      </c>
      <c r="G429" s="130" t="n">
        <f aca="false">$D$308*IF(G$7-0&gt;=1,INDEX($D$427:$AQ$427,G$7-0),0)+$E$308*IF(G$7-1&gt;=1,INDEX($D$427:$AQ$427,G$7-1),0)+$F$308*IF(G$7-2&gt;=1,INDEX($D$427:$AQ$427,G$7-2),0)+$G$308*IF(G$7-3&gt;=1,INDEX($D$427:$AQ$427,G$7-3),0)+$H$308*IF(G$7-4&gt;=1,INDEX($D$427:$AQ$427,G$7-4),0)+$I$308*IF(G$7-5&gt;=1,INDEX($D$427:$AQ$427,G$7-5),0)+$J$308*IF(G$7-6&gt;=1,INDEX($D$427:$AQ$427,G$7-6),0)+$K$308*IF(G$7-7&gt;=1,INDEX($D$427:$AQ$427,G$7-7),0)+$L$308*IF(G$7-8&gt;=1,INDEX($D$427:$AQ$427,G$7-8),0)+$M$308*IF(G$7-9&gt;=1,INDEX($D$427:$AQ$427,G$7-9),0)+$N$308*IF(G$7-10&gt;=1,INDEX($D$427:$AQ$427,G$7-10),0)+$O$308*IF(G$7-11&gt;=1,INDEX($D$427:$AQ$427,G$7-11),0)+$P$308*IF(G$7-12&gt;=1,INDEX($D$427:$AQ$427,G$7-12),0)</f>
        <v>0</v>
      </c>
      <c r="H429" s="130" t="n">
        <f aca="false">$D$308*IF(H$7-0&gt;=1,INDEX($D$427:$AQ$427,H$7-0),0)+$E$308*IF(H$7-1&gt;=1,INDEX($D$427:$AQ$427,H$7-1),0)+$F$308*IF(H$7-2&gt;=1,INDEX($D$427:$AQ$427,H$7-2),0)+$G$308*IF(H$7-3&gt;=1,INDEX($D$427:$AQ$427,H$7-3),0)+$H$308*IF(H$7-4&gt;=1,INDEX($D$427:$AQ$427,H$7-4),0)+$I$308*IF(H$7-5&gt;=1,INDEX($D$427:$AQ$427,H$7-5),0)+$J$308*IF(H$7-6&gt;=1,INDEX($D$427:$AQ$427,H$7-6),0)+$K$308*IF(H$7-7&gt;=1,INDEX($D$427:$AQ$427,H$7-7),0)+$L$308*IF(H$7-8&gt;=1,INDEX($D$427:$AQ$427,H$7-8),0)+$M$308*IF(H$7-9&gt;=1,INDEX($D$427:$AQ$427,H$7-9),0)+$N$308*IF(H$7-10&gt;=1,INDEX($D$427:$AQ$427,H$7-10),0)+$O$308*IF(H$7-11&gt;=1,INDEX($D$427:$AQ$427,H$7-11),0)+$P$308*IF(H$7-12&gt;=1,INDEX($D$427:$AQ$427,H$7-12),0)</f>
        <v>0</v>
      </c>
      <c r="I429" s="130" t="n">
        <f aca="false">$D$308*IF(I$7-0&gt;=1,INDEX($D$427:$AQ$427,I$7-0),0)+$E$308*IF(I$7-1&gt;=1,INDEX($D$427:$AQ$427,I$7-1),0)+$F$308*IF(I$7-2&gt;=1,INDEX($D$427:$AQ$427,I$7-2),0)+$G$308*IF(I$7-3&gt;=1,INDEX($D$427:$AQ$427,I$7-3),0)+$H$308*IF(I$7-4&gt;=1,INDEX($D$427:$AQ$427,I$7-4),0)+$I$308*IF(I$7-5&gt;=1,INDEX($D$427:$AQ$427,I$7-5),0)+$J$308*IF(I$7-6&gt;=1,INDEX($D$427:$AQ$427,I$7-6),0)+$K$308*IF(I$7-7&gt;=1,INDEX($D$427:$AQ$427,I$7-7),0)+$L$308*IF(I$7-8&gt;=1,INDEX($D$427:$AQ$427,I$7-8),0)+$M$308*IF(I$7-9&gt;=1,INDEX($D$427:$AQ$427,I$7-9),0)+$N$308*IF(I$7-10&gt;=1,INDEX($D$427:$AQ$427,I$7-10),0)+$O$308*IF(I$7-11&gt;=1,INDEX($D$427:$AQ$427,I$7-11),0)+$P$308*IF(I$7-12&gt;=1,INDEX($D$427:$AQ$427,I$7-12),0)</f>
        <v>0</v>
      </c>
      <c r="J429" s="130" t="n">
        <f aca="false">$D$308*IF(J$7-0&gt;=1,INDEX($D$427:$AQ$427,J$7-0),0)+$E$308*IF(J$7-1&gt;=1,INDEX($D$427:$AQ$427,J$7-1),0)+$F$308*IF(J$7-2&gt;=1,INDEX($D$427:$AQ$427,J$7-2),0)+$G$308*IF(J$7-3&gt;=1,INDEX($D$427:$AQ$427,J$7-3),0)+$H$308*IF(J$7-4&gt;=1,INDEX($D$427:$AQ$427,J$7-4),0)+$I$308*IF(J$7-5&gt;=1,INDEX($D$427:$AQ$427,J$7-5),0)+$J$308*IF(J$7-6&gt;=1,INDEX($D$427:$AQ$427,J$7-6),0)+$K$308*IF(J$7-7&gt;=1,INDEX($D$427:$AQ$427,J$7-7),0)+$L$308*IF(J$7-8&gt;=1,INDEX($D$427:$AQ$427,J$7-8),0)+$M$308*IF(J$7-9&gt;=1,INDEX($D$427:$AQ$427,J$7-9),0)+$N$308*IF(J$7-10&gt;=1,INDEX($D$427:$AQ$427,J$7-10),0)+$O$308*IF(J$7-11&gt;=1,INDEX($D$427:$AQ$427,J$7-11),0)+$P$308*IF(J$7-12&gt;=1,INDEX($D$427:$AQ$427,J$7-12),0)</f>
        <v>0</v>
      </c>
      <c r="K429" s="130" t="n">
        <f aca="false">$D$308*IF(K$7-0&gt;=1,INDEX($D$427:$AQ$427,K$7-0),0)+$E$308*IF(K$7-1&gt;=1,INDEX($D$427:$AQ$427,K$7-1),0)+$F$308*IF(K$7-2&gt;=1,INDEX($D$427:$AQ$427,K$7-2),0)+$G$308*IF(K$7-3&gt;=1,INDEX($D$427:$AQ$427,K$7-3),0)+$H$308*IF(K$7-4&gt;=1,INDEX($D$427:$AQ$427,K$7-4),0)+$I$308*IF(K$7-5&gt;=1,INDEX($D$427:$AQ$427,K$7-5),0)+$J$308*IF(K$7-6&gt;=1,INDEX($D$427:$AQ$427,K$7-6),0)+$K$308*IF(K$7-7&gt;=1,INDEX($D$427:$AQ$427,K$7-7),0)+$L$308*IF(K$7-8&gt;=1,INDEX($D$427:$AQ$427,K$7-8),0)+$M$308*IF(K$7-9&gt;=1,INDEX($D$427:$AQ$427,K$7-9),0)+$N$308*IF(K$7-10&gt;=1,INDEX($D$427:$AQ$427,K$7-10),0)+$O$308*IF(K$7-11&gt;=1,INDEX($D$427:$AQ$427,K$7-11),0)+$P$308*IF(K$7-12&gt;=1,INDEX($D$427:$AQ$427,K$7-12),0)</f>
        <v>0</v>
      </c>
      <c r="L429" s="130" t="n">
        <f aca="false">$D$308*IF(L$7-0&gt;=1,INDEX($D$427:$AQ$427,L$7-0),0)+$E$308*IF(L$7-1&gt;=1,INDEX($D$427:$AQ$427,L$7-1),0)+$F$308*IF(L$7-2&gt;=1,INDEX($D$427:$AQ$427,L$7-2),0)+$G$308*IF(L$7-3&gt;=1,INDEX($D$427:$AQ$427,L$7-3),0)+$H$308*IF(L$7-4&gt;=1,INDEX($D$427:$AQ$427,L$7-4),0)+$I$308*IF(L$7-5&gt;=1,INDEX($D$427:$AQ$427,L$7-5),0)+$J$308*IF(L$7-6&gt;=1,INDEX($D$427:$AQ$427,L$7-6),0)+$K$308*IF(L$7-7&gt;=1,INDEX($D$427:$AQ$427,L$7-7),0)+$L$308*IF(L$7-8&gt;=1,INDEX($D$427:$AQ$427,L$7-8),0)+$M$308*IF(L$7-9&gt;=1,INDEX($D$427:$AQ$427,L$7-9),0)+$N$308*IF(L$7-10&gt;=1,INDEX($D$427:$AQ$427,L$7-10),0)+$O$308*IF(L$7-11&gt;=1,INDEX($D$427:$AQ$427,L$7-11),0)+$P$308*IF(L$7-12&gt;=1,INDEX($D$427:$AQ$427,L$7-12),0)</f>
        <v>0</v>
      </c>
      <c r="M429" s="130" t="n">
        <f aca="false">$D$308*IF(M$7-0&gt;=1,INDEX($D$427:$AQ$427,M$7-0),0)+$E$308*IF(M$7-1&gt;=1,INDEX($D$427:$AQ$427,M$7-1),0)+$F$308*IF(M$7-2&gt;=1,INDEX($D$427:$AQ$427,M$7-2),0)+$G$308*IF(M$7-3&gt;=1,INDEX($D$427:$AQ$427,M$7-3),0)+$H$308*IF(M$7-4&gt;=1,INDEX($D$427:$AQ$427,M$7-4),0)+$I$308*IF(M$7-5&gt;=1,INDEX($D$427:$AQ$427,M$7-5),0)+$J$308*IF(M$7-6&gt;=1,INDEX($D$427:$AQ$427,M$7-6),0)+$K$308*IF(M$7-7&gt;=1,INDEX($D$427:$AQ$427,M$7-7),0)+$L$308*IF(M$7-8&gt;=1,INDEX($D$427:$AQ$427,M$7-8),0)+$M$308*IF(M$7-9&gt;=1,INDEX($D$427:$AQ$427,M$7-9),0)+$N$308*IF(M$7-10&gt;=1,INDEX($D$427:$AQ$427,M$7-10),0)+$O$308*IF(M$7-11&gt;=1,INDEX($D$427:$AQ$427,M$7-11),0)+$P$308*IF(M$7-12&gt;=1,INDEX($D$427:$AQ$427,M$7-12),0)</f>
        <v>0</v>
      </c>
      <c r="N429" s="130" t="n">
        <f aca="false">$D$308*IF(N$7-0&gt;=1,INDEX($D$427:$AQ$427,N$7-0),0)+$E$308*IF(N$7-1&gt;=1,INDEX($D$427:$AQ$427,N$7-1),0)+$F$308*IF(N$7-2&gt;=1,INDEX($D$427:$AQ$427,N$7-2),0)+$G$308*IF(N$7-3&gt;=1,INDEX($D$427:$AQ$427,N$7-3),0)+$H$308*IF(N$7-4&gt;=1,INDEX($D$427:$AQ$427,N$7-4),0)+$I$308*IF(N$7-5&gt;=1,INDEX($D$427:$AQ$427,N$7-5),0)+$J$308*IF(N$7-6&gt;=1,INDEX($D$427:$AQ$427,N$7-6),0)+$K$308*IF(N$7-7&gt;=1,INDEX($D$427:$AQ$427,N$7-7),0)+$L$308*IF(N$7-8&gt;=1,INDEX($D$427:$AQ$427,N$7-8),0)+$M$308*IF(N$7-9&gt;=1,INDEX($D$427:$AQ$427,N$7-9),0)+$N$308*IF(N$7-10&gt;=1,INDEX($D$427:$AQ$427,N$7-10),0)+$O$308*IF(N$7-11&gt;=1,INDEX($D$427:$AQ$427,N$7-11),0)+$P$308*IF(N$7-12&gt;=1,INDEX($D$427:$AQ$427,N$7-12),0)</f>
        <v>0</v>
      </c>
      <c r="O429" s="130" t="n">
        <f aca="false">$D$308*IF(O$7-0&gt;=1,INDEX($D$427:$AQ$427,O$7-0),0)+$E$308*IF(O$7-1&gt;=1,INDEX($D$427:$AQ$427,O$7-1),0)+$F$308*IF(O$7-2&gt;=1,INDEX($D$427:$AQ$427,O$7-2),0)+$G$308*IF(O$7-3&gt;=1,INDEX($D$427:$AQ$427,O$7-3),0)+$H$308*IF(O$7-4&gt;=1,INDEX($D$427:$AQ$427,O$7-4),0)+$I$308*IF(O$7-5&gt;=1,INDEX($D$427:$AQ$427,O$7-5),0)+$J$308*IF(O$7-6&gt;=1,INDEX($D$427:$AQ$427,O$7-6),0)+$K$308*IF(O$7-7&gt;=1,INDEX($D$427:$AQ$427,O$7-7),0)+$L$308*IF(O$7-8&gt;=1,INDEX($D$427:$AQ$427,O$7-8),0)+$M$308*IF(O$7-9&gt;=1,INDEX($D$427:$AQ$427,O$7-9),0)+$N$308*IF(O$7-10&gt;=1,INDEX($D$427:$AQ$427,O$7-10),0)+$O$308*IF(O$7-11&gt;=1,INDEX($D$427:$AQ$427,O$7-11),0)+$P$308*IF(O$7-12&gt;=1,INDEX($D$427:$AQ$427,O$7-12),0)</f>
        <v>0</v>
      </c>
      <c r="P429" s="130" t="n">
        <f aca="false">$D$308*IF(P$7-0&gt;=1,INDEX($D$427:$AQ$427,P$7-0),0)+$E$308*IF(P$7-1&gt;=1,INDEX($D$427:$AQ$427,P$7-1),0)+$F$308*IF(P$7-2&gt;=1,INDEX($D$427:$AQ$427,P$7-2),0)+$G$308*IF(P$7-3&gt;=1,INDEX($D$427:$AQ$427,P$7-3),0)+$H$308*IF(P$7-4&gt;=1,INDEX($D$427:$AQ$427,P$7-4),0)+$I$308*IF(P$7-5&gt;=1,INDEX($D$427:$AQ$427,P$7-5),0)+$J$308*IF(P$7-6&gt;=1,INDEX($D$427:$AQ$427,P$7-6),0)+$K$308*IF(P$7-7&gt;=1,INDEX($D$427:$AQ$427,P$7-7),0)+$L$308*IF(P$7-8&gt;=1,INDEX($D$427:$AQ$427,P$7-8),0)+$M$308*IF(P$7-9&gt;=1,INDEX($D$427:$AQ$427,P$7-9),0)+$N$308*IF(P$7-10&gt;=1,INDEX($D$427:$AQ$427,P$7-10),0)+$O$308*IF(P$7-11&gt;=1,INDEX($D$427:$AQ$427,P$7-11),0)+$P$308*IF(P$7-12&gt;=1,INDEX($D$427:$AQ$427,P$7-12),0)</f>
        <v>0</v>
      </c>
      <c r="Q429" s="130" t="n">
        <f aca="false">$D$308*IF(Q$7-0&gt;=1,INDEX($D$427:$AQ$427,Q$7-0),0)+$E$308*IF(Q$7-1&gt;=1,INDEX($D$427:$AQ$427,Q$7-1),0)+$F$308*IF(Q$7-2&gt;=1,INDEX($D$427:$AQ$427,Q$7-2),0)+$G$308*IF(Q$7-3&gt;=1,INDEX($D$427:$AQ$427,Q$7-3),0)+$H$308*IF(Q$7-4&gt;=1,INDEX($D$427:$AQ$427,Q$7-4),0)+$I$308*IF(Q$7-5&gt;=1,INDEX($D$427:$AQ$427,Q$7-5),0)+$J$308*IF(Q$7-6&gt;=1,INDEX($D$427:$AQ$427,Q$7-6),0)+$K$308*IF(Q$7-7&gt;=1,INDEX($D$427:$AQ$427,Q$7-7),0)+$L$308*IF(Q$7-8&gt;=1,INDEX($D$427:$AQ$427,Q$7-8),0)+$M$308*IF(Q$7-9&gt;=1,INDEX($D$427:$AQ$427,Q$7-9),0)+$N$308*IF(Q$7-10&gt;=1,INDEX($D$427:$AQ$427,Q$7-10),0)+$O$308*IF(Q$7-11&gt;=1,INDEX($D$427:$AQ$427,Q$7-11),0)+$P$308*IF(Q$7-12&gt;=1,INDEX($D$427:$AQ$427,Q$7-12),0)</f>
        <v>0</v>
      </c>
      <c r="R429" s="130" t="n">
        <f aca="false">$D$308*IF(R$7-0&gt;=1,INDEX($D$427:$AQ$427,R$7-0),0)+$E$308*IF(R$7-1&gt;=1,INDEX($D$427:$AQ$427,R$7-1),0)+$F$308*IF(R$7-2&gt;=1,INDEX($D$427:$AQ$427,R$7-2),0)+$G$308*IF(R$7-3&gt;=1,INDEX($D$427:$AQ$427,R$7-3),0)+$H$308*IF(R$7-4&gt;=1,INDEX($D$427:$AQ$427,R$7-4),0)+$I$308*IF(R$7-5&gt;=1,INDEX($D$427:$AQ$427,R$7-5),0)+$J$308*IF(R$7-6&gt;=1,INDEX($D$427:$AQ$427,R$7-6),0)+$K$308*IF(R$7-7&gt;=1,INDEX($D$427:$AQ$427,R$7-7),0)+$L$308*IF(R$7-8&gt;=1,INDEX($D$427:$AQ$427,R$7-8),0)+$M$308*IF(R$7-9&gt;=1,INDEX($D$427:$AQ$427,R$7-9),0)+$N$308*IF(R$7-10&gt;=1,INDEX($D$427:$AQ$427,R$7-10),0)+$O$308*IF(R$7-11&gt;=1,INDEX($D$427:$AQ$427,R$7-11),0)+$P$308*IF(R$7-12&gt;=1,INDEX($D$427:$AQ$427,R$7-12),0)</f>
        <v>0</v>
      </c>
      <c r="S429" s="130" t="n">
        <f aca="false">$D$308*IF(S$7-0&gt;=1,INDEX($D$427:$AQ$427,S$7-0),0)+$E$308*IF(S$7-1&gt;=1,INDEX($D$427:$AQ$427,S$7-1),0)+$F$308*IF(S$7-2&gt;=1,INDEX($D$427:$AQ$427,S$7-2),0)+$G$308*IF(S$7-3&gt;=1,INDEX($D$427:$AQ$427,S$7-3),0)+$H$308*IF(S$7-4&gt;=1,INDEX($D$427:$AQ$427,S$7-4),0)+$I$308*IF(S$7-5&gt;=1,INDEX($D$427:$AQ$427,S$7-5),0)+$J$308*IF(S$7-6&gt;=1,INDEX($D$427:$AQ$427,S$7-6),0)+$K$308*IF(S$7-7&gt;=1,INDEX($D$427:$AQ$427,S$7-7),0)+$L$308*IF(S$7-8&gt;=1,INDEX($D$427:$AQ$427,S$7-8),0)+$M$308*IF(S$7-9&gt;=1,INDEX($D$427:$AQ$427,S$7-9),0)+$N$308*IF(S$7-10&gt;=1,INDEX($D$427:$AQ$427,S$7-10),0)+$O$308*IF(S$7-11&gt;=1,INDEX($D$427:$AQ$427,S$7-11),0)+$P$308*IF(S$7-12&gt;=1,INDEX($D$427:$AQ$427,S$7-12),0)</f>
        <v>0</v>
      </c>
      <c r="T429" s="130" t="n">
        <f aca="false">$D$308*IF(T$7-0&gt;=1,INDEX($D$427:$AQ$427,T$7-0),0)+$E$308*IF(T$7-1&gt;=1,INDEX($D$427:$AQ$427,T$7-1),0)+$F$308*IF(T$7-2&gt;=1,INDEX($D$427:$AQ$427,T$7-2),0)+$G$308*IF(T$7-3&gt;=1,INDEX($D$427:$AQ$427,T$7-3),0)+$H$308*IF(T$7-4&gt;=1,INDEX($D$427:$AQ$427,T$7-4),0)+$I$308*IF(T$7-5&gt;=1,INDEX($D$427:$AQ$427,T$7-5),0)+$J$308*IF(T$7-6&gt;=1,INDEX($D$427:$AQ$427,T$7-6),0)+$K$308*IF(T$7-7&gt;=1,INDEX($D$427:$AQ$427,T$7-7),0)+$L$308*IF(T$7-8&gt;=1,INDEX($D$427:$AQ$427,T$7-8),0)+$M$308*IF(T$7-9&gt;=1,INDEX($D$427:$AQ$427,T$7-9),0)+$N$308*IF(T$7-10&gt;=1,INDEX($D$427:$AQ$427,T$7-10),0)+$O$308*IF(T$7-11&gt;=1,INDEX($D$427:$AQ$427,T$7-11),0)+$P$308*IF(T$7-12&gt;=1,INDEX($D$427:$AQ$427,T$7-12),0)</f>
        <v>0</v>
      </c>
      <c r="U429" s="130" t="n">
        <f aca="false">$D$308*IF(U$7-0&gt;=1,INDEX($D$427:$AQ$427,U$7-0),0)+$E$308*IF(U$7-1&gt;=1,INDEX($D$427:$AQ$427,U$7-1),0)+$F$308*IF(U$7-2&gt;=1,INDEX($D$427:$AQ$427,U$7-2),0)+$G$308*IF(U$7-3&gt;=1,INDEX($D$427:$AQ$427,U$7-3),0)+$H$308*IF(U$7-4&gt;=1,INDEX($D$427:$AQ$427,U$7-4),0)+$I$308*IF(U$7-5&gt;=1,INDEX($D$427:$AQ$427,U$7-5),0)+$J$308*IF(U$7-6&gt;=1,INDEX($D$427:$AQ$427,U$7-6),0)+$K$308*IF(U$7-7&gt;=1,INDEX($D$427:$AQ$427,U$7-7),0)+$L$308*IF(U$7-8&gt;=1,INDEX($D$427:$AQ$427,U$7-8),0)+$M$308*IF(U$7-9&gt;=1,INDEX($D$427:$AQ$427,U$7-9),0)+$N$308*IF(U$7-10&gt;=1,INDEX($D$427:$AQ$427,U$7-10),0)+$O$308*IF(U$7-11&gt;=1,INDEX($D$427:$AQ$427,U$7-11),0)+$P$308*IF(U$7-12&gt;=1,INDEX($D$427:$AQ$427,U$7-12),0)</f>
        <v>0</v>
      </c>
      <c r="V429" s="130" t="n">
        <f aca="false">$D$308*IF(V$7-0&gt;=1,INDEX($D$427:$AQ$427,V$7-0),0)+$E$308*IF(V$7-1&gt;=1,INDEX($D$427:$AQ$427,V$7-1),0)+$F$308*IF(V$7-2&gt;=1,INDEX($D$427:$AQ$427,V$7-2),0)+$G$308*IF(V$7-3&gt;=1,INDEX($D$427:$AQ$427,V$7-3),0)+$H$308*IF(V$7-4&gt;=1,INDEX($D$427:$AQ$427,V$7-4),0)+$I$308*IF(V$7-5&gt;=1,INDEX($D$427:$AQ$427,V$7-5),0)+$J$308*IF(V$7-6&gt;=1,INDEX($D$427:$AQ$427,V$7-6),0)+$K$308*IF(V$7-7&gt;=1,INDEX($D$427:$AQ$427,V$7-7),0)+$L$308*IF(V$7-8&gt;=1,INDEX($D$427:$AQ$427,V$7-8),0)+$M$308*IF(V$7-9&gt;=1,INDEX($D$427:$AQ$427,V$7-9),0)+$N$308*IF(V$7-10&gt;=1,INDEX($D$427:$AQ$427,V$7-10),0)+$O$308*IF(V$7-11&gt;=1,INDEX($D$427:$AQ$427,V$7-11),0)+$P$308*IF(V$7-12&gt;=1,INDEX($D$427:$AQ$427,V$7-12),0)</f>
        <v>0</v>
      </c>
      <c r="W429" s="130" t="n">
        <f aca="false">$D$308*IF(W$7-0&gt;=1,INDEX($D$427:$AQ$427,W$7-0),0)+$E$308*IF(W$7-1&gt;=1,INDEX($D$427:$AQ$427,W$7-1),0)+$F$308*IF(W$7-2&gt;=1,INDEX($D$427:$AQ$427,W$7-2),0)+$G$308*IF(W$7-3&gt;=1,INDEX($D$427:$AQ$427,W$7-3),0)+$H$308*IF(W$7-4&gt;=1,INDEX($D$427:$AQ$427,W$7-4),0)+$I$308*IF(W$7-5&gt;=1,INDEX($D$427:$AQ$427,W$7-5),0)+$J$308*IF(W$7-6&gt;=1,INDEX($D$427:$AQ$427,W$7-6),0)+$K$308*IF(W$7-7&gt;=1,INDEX($D$427:$AQ$427,W$7-7),0)+$L$308*IF(W$7-8&gt;=1,INDEX($D$427:$AQ$427,W$7-8),0)+$M$308*IF(W$7-9&gt;=1,INDEX($D$427:$AQ$427,W$7-9),0)+$N$308*IF(W$7-10&gt;=1,INDEX($D$427:$AQ$427,W$7-10),0)+$O$308*IF(W$7-11&gt;=1,INDEX($D$427:$AQ$427,W$7-11),0)+$P$308*IF(W$7-12&gt;=1,INDEX($D$427:$AQ$427,W$7-12),0)</f>
        <v>0</v>
      </c>
      <c r="X429" s="130" t="n">
        <f aca="false">$D$308*IF(X$7-0&gt;=1,INDEX($D$427:$AQ$427,X$7-0),0)+$E$308*IF(X$7-1&gt;=1,INDEX($D$427:$AQ$427,X$7-1),0)+$F$308*IF(X$7-2&gt;=1,INDEX($D$427:$AQ$427,X$7-2),0)+$G$308*IF(X$7-3&gt;=1,INDEX($D$427:$AQ$427,X$7-3),0)+$H$308*IF(X$7-4&gt;=1,INDEX($D$427:$AQ$427,X$7-4),0)+$I$308*IF(X$7-5&gt;=1,INDEX($D$427:$AQ$427,X$7-5),0)+$J$308*IF(X$7-6&gt;=1,INDEX($D$427:$AQ$427,X$7-6),0)+$K$308*IF(X$7-7&gt;=1,INDEX($D$427:$AQ$427,X$7-7),0)+$L$308*IF(X$7-8&gt;=1,INDEX($D$427:$AQ$427,X$7-8),0)+$M$308*IF(X$7-9&gt;=1,INDEX($D$427:$AQ$427,X$7-9),0)+$N$308*IF(X$7-10&gt;=1,INDEX($D$427:$AQ$427,X$7-10),0)+$O$308*IF(X$7-11&gt;=1,INDEX($D$427:$AQ$427,X$7-11),0)+$P$308*IF(X$7-12&gt;=1,INDEX($D$427:$AQ$427,X$7-12),0)</f>
        <v>0</v>
      </c>
      <c r="Y429" s="130" t="n">
        <f aca="false">$D$308*IF(Y$7-0&gt;=1,INDEX($D$427:$AQ$427,Y$7-0),0)+$E$308*IF(Y$7-1&gt;=1,INDEX($D$427:$AQ$427,Y$7-1),0)+$F$308*IF(Y$7-2&gt;=1,INDEX($D$427:$AQ$427,Y$7-2),0)+$G$308*IF(Y$7-3&gt;=1,INDEX($D$427:$AQ$427,Y$7-3),0)+$H$308*IF(Y$7-4&gt;=1,INDEX($D$427:$AQ$427,Y$7-4),0)+$I$308*IF(Y$7-5&gt;=1,INDEX($D$427:$AQ$427,Y$7-5),0)+$J$308*IF(Y$7-6&gt;=1,INDEX($D$427:$AQ$427,Y$7-6),0)+$K$308*IF(Y$7-7&gt;=1,INDEX($D$427:$AQ$427,Y$7-7),0)+$L$308*IF(Y$7-8&gt;=1,INDEX($D$427:$AQ$427,Y$7-8),0)+$M$308*IF(Y$7-9&gt;=1,INDEX($D$427:$AQ$427,Y$7-9),0)+$N$308*IF(Y$7-10&gt;=1,INDEX($D$427:$AQ$427,Y$7-10),0)+$O$308*IF(Y$7-11&gt;=1,INDEX($D$427:$AQ$427,Y$7-11),0)+$P$308*IF(Y$7-12&gt;=1,INDEX($D$427:$AQ$427,Y$7-12),0)</f>
        <v>0</v>
      </c>
      <c r="Z429" s="130" t="n">
        <f aca="false">$D$308*IF(Z$7-0&gt;=1,INDEX($D$427:$AQ$427,Z$7-0),0)+$E$308*IF(Z$7-1&gt;=1,INDEX($D$427:$AQ$427,Z$7-1),0)+$F$308*IF(Z$7-2&gt;=1,INDEX($D$427:$AQ$427,Z$7-2),0)+$G$308*IF(Z$7-3&gt;=1,INDEX($D$427:$AQ$427,Z$7-3),0)+$H$308*IF(Z$7-4&gt;=1,INDEX($D$427:$AQ$427,Z$7-4),0)+$I$308*IF(Z$7-5&gt;=1,INDEX($D$427:$AQ$427,Z$7-5),0)+$J$308*IF(Z$7-6&gt;=1,INDEX($D$427:$AQ$427,Z$7-6),0)+$K$308*IF(Z$7-7&gt;=1,INDEX($D$427:$AQ$427,Z$7-7),0)+$L$308*IF(Z$7-8&gt;=1,INDEX($D$427:$AQ$427,Z$7-8),0)+$M$308*IF(Z$7-9&gt;=1,INDEX($D$427:$AQ$427,Z$7-9),0)+$N$308*IF(Z$7-10&gt;=1,INDEX($D$427:$AQ$427,Z$7-10),0)+$O$308*IF(Z$7-11&gt;=1,INDEX($D$427:$AQ$427,Z$7-11),0)+$P$308*IF(Z$7-12&gt;=1,INDEX($D$427:$AQ$427,Z$7-12),0)</f>
        <v>0</v>
      </c>
      <c r="AA429" s="130" t="n">
        <f aca="false">$D$308*IF(AA$7-0&gt;=1,INDEX($D$427:$AQ$427,AA$7-0),0)+$E$308*IF(AA$7-1&gt;=1,INDEX($D$427:$AQ$427,AA$7-1),0)+$F$308*IF(AA$7-2&gt;=1,INDEX($D$427:$AQ$427,AA$7-2),0)+$G$308*IF(AA$7-3&gt;=1,INDEX($D$427:$AQ$427,AA$7-3),0)+$H$308*IF(AA$7-4&gt;=1,INDEX($D$427:$AQ$427,AA$7-4),0)+$I$308*IF(AA$7-5&gt;=1,INDEX($D$427:$AQ$427,AA$7-5),0)+$J$308*IF(AA$7-6&gt;=1,INDEX($D$427:$AQ$427,AA$7-6),0)+$K$308*IF(AA$7-7&gt;=1,INDEX($D$427:$AQ$427,AA$7-7),0)+$L$308*IF(AA$7-8&gt;=1,INDEX($D$427:$AQ$427,AA$7-8),0)+$M$308*IF(AA$7-9&gt;=1,INDEX($D$427:$AQ$427,AA$7-9),0)+$N$308*IF(AA$7-10&gt;=1,INDEX($D$427:$AQ$427,AA$7-10),0)+$O$308*IF(AA$7-11&gt;=1,INDEX($D$427:$AQ$427,AA$7-11),0)+$P$308*IF(AA$7-12&gt;=1,INDEX($D$427:$AQ$427,AA$7-12),0)</f>
        <v>0</v>
      </c>
      <c r="AB429" s="130" t="n">
        <f aca="false">$D$308*IF(AB$7-0&gt;=1,INDEX($D$427:$AQ$427,AB$7-0),0)+$E$308*IF(AB$7-1&gt;=1,INDEX($D$427:$AQ$427,AB$7-1),0)+$F$308*IF(AB$7-2&gt;=1,INDEX($D$427:$AQ$427,AB$7-2),0)+$G$308*IF(AB$7-3&gt;=1,INDEX($D$427:$AQ$427,AB$7-3),0)+$H$308*IF(AB$7-4&gt;=1,INDEX($D$427:$AQ$427,AB$7-4),0)+$I$308*IF(AB$7-5&gt;=1,INDEX($D$427:$AQ$427,AB$7-5),0)+$J$308*IF(AB$7-6&gt;=1,INDEX($D$427:$AQ$427,AB$7-6),0)+$K$308*IF(AB$7-7&gt;=1,INDEX($D$427:$AQ$427,AB$7-7),0)+$L$308*IF(AB$7-8&gt;=1,INDEX($D$427:$AQ$427,AB$7-8),0)+$M$308*IF(AB$7-9&gt;=1,INDEX($D$427:$AQ$427,AB$7-9),0)+$N$308*IF(AB$7-10&gt;=1,INDEX($D$427:$AQ$427,AB$7-10),0)+$O$308*IF(AB$7-11&gt;=1,INDEX($D$427:$AQ$427,AB$7-11),0)+$P$308*IF(AB$7-12&gt;=1,INDEX($D$427:$AQ$427,AB$7-12),0)</f>
        <v>0</v>
      </c>
      <c r="AC429" s="130" t="n">
        <f aca="false">$D$308*IF(AC$7-0&gt;=1,INDEX($D$427:$AQ$427,AC$7-0),0)+$E$308*IF(AC$7-1&gt;=1,INDEX($D$427:$AQ$427,AC$7-1),0)+$F$308*IF(AC$7-2&gt;=1,INDEX($D$427:$AQ$427,AC$7-2),0)+$G$308*IF(AC$7-3&gt;=1,INDEX($D$427:$AQ$427,AC$7-3),0)+$H$308*IF(AC$7-4&gt;=1,INDEX($D$427:$AQ$427,AC$7-4),0)+$I$308*IF(AC$7-5&gt;=1,INDEX($D$427:$AQ$427,AC$7-5),0)+$J$308*IF(AC$7-6&gt;=1,INDEX($D$427:$AQ$427,AC$7-6),0)+$K$308*IF(AC$7-7&gt;=1,INDEX($D$427:$AQ$427,AC$7-7),0)+$L$308*IF(AC$7-8&gt;=1,INDEX($D$427:$AQ$427,AC$7-8),0)+$M$308*IF(AC$7-9&gt;=1,INDEX($D$427:$AQ$427,AC$7-9),0)+$N$308*IF(AC$7-10&gt;=1,INDEX($D$427:$AQ$427,AC$7-10),0)+$O$308*IF(AC$7-11&gt;=1,INDEX($D$427:$AQ$427,AC$7-11),0)+$P$308*IF(AC$7-12&gt;=1,INDEX($D$427:$AQ$427,AC$7-12),0)</f>
        <v>0</v>
      </c>
      <c r="AD429" s="130" t="n">
        <f aca="false">$D$308*IF(AD$7-0&gt;=1,INDEX($D$427:$AQ$427,AD$7-0),0)+$E$308*IF(AD$7-1&gt;=1,INDEX($D$427:$AQ$427,AD$7-1),0)+$F$308*IF(AD$7-2&gt;=1,INDEX($D$427:$AQ$427,AD$7-2),0)+$G$308*IF(AD$7-3&gt;=1,INDEX($D$427:$AQ$427,AD$7-3),0)+$H$308*IF(AD$7-4&gt;=1,INDEX($D$427:$AQ$427,AD$7-4),0)+$I$308*IF(AD$7-5&gt;=1,INDEX($D$427:$AQ$427,AD$7-5),0)+$J$308*IF(AD$7-6&gt;=1,INDEX($D$427:$AQ$427,AD$7-6),0)+$K$308*IF(AD$7-7&gt;=1,INDEX($D$427:$AQ$427,AD$7-7),0)+$L$308*IF(AD$7-8&gt;=1,INDEX($D$427:$AQ$427,AD$7-8),0)+$M$308*IF(AD$7-9&gt;=1,INDEX($D$427:$AQ$427,AD$7-9),0)+$N$308*IF(AD$7-10&gt;=1,INDEX($D$427:$AQ$427,AD$7-10),0)+$O$308*IF(AD$7-11&gt;=1,INDEX($D$427:$AQ$427,AD$7-11),0)+$P$308*IF(AD$7-12&gt;=1,INDEX($D$427:$AQ$427,AD$7-12),0)</f>
        <v>0</v>
      </c>
      <c r="AE429" s="130" t="n">
        <f aca="false">$D$308*IF(AE$7-0&gt;=1,INDEX($D$427:$AQ$427,AE$7-0),0)+$E$308*IF(AE$7-1&gt;=1,INDEX($D$427:$AQ$427,AE$7-1),0)+$F$308*IF(AE$7-2&gt;=1,INDEX($D$427:$AQ$427,AE$7-2),0)+$G$308*IF(AE$7-3&gt;=1,INDEX($D$427:$AQ$427,AE$7-3),0)+$H$308*IF(AE$7-4&gt;=1,INDEX($D$427:$AQ$427,AE$7-4),0)+$I$308*IF(AE$7-5&gt;=1,INDEX($D$427:$AQ$427,AE$7-5),0)+$J$308*IF(AE$7-6&gt;=1,INDEX($D$427:$AQ$427,AE$7-6),0)+$K$308*IF(AE$7-7&gt;=1,INDEX($D$427:$AQ$427,AE$7-7),0)+$L$308*IF(AE$7-8&gt;=1,INDEX($D$427:$AQ$427,AE$7-8),0)+$M$308*IF(AE$7-9&gt;=1,INDEX($D$427:$AQ$427,AE$7-9),0)+$N$308*IF(AE$7-10&gt;=1,INDEX($D$427:$AQ$427,AE$7-10),0)+$O$308*IF(AE$7-11&gt;=1,INDEX($D$427:$AQ$427,AE$7-11),0)+$P$308*IF(AE$7-12&gt;=1,INDEX($D$427:$AQ$427,AE$7-12),0)</f>
        <v>0</v>
      </c>
      <c r="AF429" s="130" t="n">
        <f aca="false">$D$308*IF(AF$7-0&gt;=1,INDEX($D$427:$AQ$427,AF$7-0),0)+$E$308*IF(AF$7-1&gt;=1,INDEX($D$427:$AQ$427,AF$7-1),0)+$F$308*IF(AF$7-2&gt;=1,INDEX($D$427:$AQ$427,AF$7-2),0)+$G$308*IF(AF$7-3&gt;=1,INDEX($D$427:$AQ$427,AF$7-3),0)+$H$308*IF(AF$7-4&gt;=1,INDEX($D$427:$AQ$427,AF$7-4),0)+$I$308*IF(AF$7-5&gt;=1,INDEX($D$427:$AQ$427,AF$7-5),0)+$J$308*IF(AF$7-6&gt;=1,INDEX($D$427:$AQ$427,AF$7-6),0)+$K$308*IF(AF$7-7&gt;=1,INDEX($D$427:$AQ$427,AF$7-7),0)+$L$308*IF(AF$7-8&gt;=1,INDEX($D$427:$AQ$427,AF$7-8),0)+$M$308*IF(AF$7-9&gt;=1,INDEX($D$427:$AQ$427,AF$7-9),0)+$N$308*IF(AF$7-10&gt;=1,INDEX($D$427:$AQ$427,AF$7-10),0)+$O$308*IF(AF$7-11&gt;=1,INDEX($D$427:$AQ$427,AF$7-11),0)+$P$308*IF(AF$7-12&gt;=1,INDEX($D$427:$AQ$427,AF$7-12),0)</f>
        <v>0</v>
      </c>
      <c r="AG429" s="130" t="n">
        <f aca="false">$D$308*IF(AG$7-0&gt;=1,INDEX($D$427:$AQ$427,AG$7-0),0)+$E$308*IF(AG$7-1&gt;=1,INDEX($D$427:$AQ$427,AG$7-1),0)+$F$308*IF(AG$7-2&gt;=1,INDEX($D$427:$AQ$427,AG$7-2),0)+$G$308*IF(AG$7-3&gt;=1,INDEX($D$427:$AQ$427,AG$7-3),0)+$H$308*IF(AG$7-4&gt;=1,INDEX($D$427:$AQ$427,AG$7-4),0)+$I$308*IF(AG$7-5&gt;=1,INDEX($D$427:$AQ$427,AG$7-5),0)+$J$308*IF(AG$7-6&gt;=1,INDEX($D$427:$AQ$427,AG$7-6),0)+$K$308*IF(AG$7-7&gt;=1,INDEX($D$427:$AQ$427,AG$7-7),0)+$L$308*IF(AG$7-8&gt;=1,INDEX($D$427:$AQ$427,AG$7-8),0)+$M$308*IF(AG$7-9&gt;=1,INDEX($D$427:$AQ$427,AG$7-9),0)+$N$308*IF(AG$7-10&gt;=1,INDEX($D$427:$AQ$427,AG$7-10),0)+$O$308*IF(AG$7-11&gt;=1,INDEX($D$427:$AQ$427,AG$7-11),0)+$P$308*IF(AG$7-12&gt;=1,INDEX($D$427:$AQ$427,AG$7-12),0)</f>
        <v>0</v>
      </c>
      <c r="AH429" s="130" t="n">
        <f aca="false">$D$308*IF(AH$7-0&gt;=1,INDEX($D$427:$AQ$427,AH$7-0),0)+$E$308*IF(AH$7-1&gt;=1,INDEX($D$427:$AQ$427,AH$7-1),0)+$F$308*IF(AH$7-2&gt;=1,INDEX($D$427:$AQ$427,AH$7-2),0)+$G$308*IF(AH$7-3&gt;=1,INDEX($D$427:$AQ$427,AH$7-3),0)+$H$308*IF(AH$7-4&gt;=1,INDEX($D$427:$AQ$427,AH$7-4),0)+$I$308*IF(AH$7-5&gt;=1,INDEX($D$427:$AQ$427,AH$7-5),0)+$J$308*IF(AH$7-6&gt;=1,INDEX($D$427:$AQ$427,AH$7-6),0)+$K$308*IF(AH$7-7&gt;=1,INDEX($D$427:$AQ$427,AH$7-7),0)+$L$308*IF(AH$7-8&gt;=1,INDEX($D$427:$AQ$427,AH$7-8),0)+$M$308*IF(AH$7-9&gt;=1,INDEX($D$427:$AQ$427,AH$7-9),0)+$N$308*IF(AH$7-10&gt;=1,INDEX($D$427:$AQ$427,AH$7-10),0)+$O$308*IF(AH$7-11&gt;=1,INDEX($D$427:$AQ$427,AH$7-11),0)+$P$308*IF(AH$7-12&gt;=1,INDEX($D$427:$AQ$427,AH$7-12),0)</f>
        <v>0</v>
      </c>
      <c r="AI429" s="130" t="n">
        <f aca="false">$D$308*IF(AI$7-0&gt;=1,INDEX($D$427:$AQ$427,AI$7-0),0)+$E$308*IF(AI$7-1&gt;=1,INDEX($D$427:$AQ$427,AI$7-1),0)+$F$308*IF(AI$7-2&gt;=1,INDEX($D$427:$AQ$427,AI$7-2),0)+$G$308*IF(AI$7-3&gt;=1,INDEX($D$427:$AQ$427,AI$7-3),0)+$H$308*IF(AI$7-4&gt;=1,INDEX($D$427:$AQ$427,AI$7-4),0)+$I$308*IF(AI$7-5&gt;=1,INDEX($D$427:$AQ$427,AI$7-5),0)+$J$308*IF(AI$7-6&gt;=1,INDEX($D$427:$AQ$427,AI$7-6),0)+$K$308*IF(AI$7-7&gt;=1,INDEX($D$427:$AQ$427,AI$7-7),0)+$L$308*IF(AI$7-8&gt;=1,INDEX($D$427:$AQ$427,AI$7-8),0)+$M$308*IF(AI$7-9&gt;=1,INDEX($D$427:$AQ$427,AI$7-9),0)+$N$308*IF(AI$7-10&gt;=1,INDEX($D$427:$AQ$427,AI$7-10),0)+$O$308*IF(AI$7-11&gt;=1,INDEX($D$427:$AQ$427,AI$7-11),0)+$P$308*IF(AI$7-12&gt;=1,INDEX($D$427:$AQ$427,AI$7-12),0)</f>
        <v>0</v>
      </c>
      <c r="AJ429" s="130" t="n">
        <f aca="false">$D$308*IF(AJ$7-0&gt;=1,INDEX($D$427:$AQ$427,AJ$7-0),0)+$E$308*IF(AJ$7-1&gt;=1,INDEX($D$427:$AQ$427,AJ$7-1),0)+$F$308*IF(AJ$7-2&gt;=1,INDEX($D$427:$AQ$427,AJ$7-2),0)+$G$308*IF(AJ$7-3&gt;=1,INDEX($D$427:$AQ$427,AJ$7-3),0)+$H$308*IF(AJ$7-4&gt;=1,INDEX($D$427:$AQ$427,AJ$7-4),0)+$I$308*IF(AJ$7-5&gt;=1,INDEX($D$427:$AQ$427,AJ$7-5),0)+$J$308*IF(AJ$7-6&gt;=1,INDEX($D$427:$AQ$427,AJ$7-6),0)+$K$308*IF(AJ$7-7&gt;=1,INDEX($D$427:$AQ$427,AJ$7-7),0)+$L$308*IF(AJ$7-8&gt;=1,INDEX($D$427:$AQ$427,AJ$7-8),0)+$M$308*IF(AJ$7-9&gt;=1,INDEX($D$427:$AQ$427,AJ$7-9),0)+$N$308*IF(AJ$7-10&gt;=1,INDEX($D$427:$AQ$427,AJ$7-10),0)+$O$308*IF(AJ$7-11&gt;=1,INDEX($D$427:$AQ$427,AJ$7-11),0)+$P$308*IF(AJ$7-12&gt;=1,INDEX($D$427:$AQ$427,AJ$7-12),0)</f>
        <v>0</v>
      </c>
      <c r="AK429" s="130" t="n">
        <f aca="false">$D$308*IF(AK$7-0&gt;=1,INDEX($D$427:$AQ$427,AK$7-0),0)+$E$308*IF(AK$7-1&gt;=1,INDEX($D$427:$AQ$427,AK$7-1),0)+$F$308*IF(AK$7-2&gt;=1,INDEX($D$427:$AQ$427,AK$7-2),0)+$G$308*IF(AK$7-3&gt;=1,INDEX($D$427:$AQ$427,AK$7-3),0)+$H$308*IF(AK$7-4&gt;=1,INDEX($D$427:$AQ$427,AK$7-4),0)+$I$308*IF(AK$7-5&gt;=1,INDEX($D$427:$AQ$427,AK$7-5),0)+$J$308*IF(AK$7-6&gt;=1,INDEX($D$427:$AQ$427,AK$7-6),0)+$K$308*IF(AK$7-7&gt;=1,INDEX($D$427:$AQ$427,AK$7-7),0)+$L$308*IF(AK$7-8&gt;=1,INDEX($D$427:$AQ$427,AK$7-8),0)+$M$308*IF(AK$7-9&gt;=1,INDEX($D$427:$AQ$427,AK$7-9),0)+$N$308*IF(AK$7-10&gt;=1,INDEX($D$427:$AQ$427,AK$7-10),0)+$O$308*IF(AK$7-11&gt;=1,INDEX($D$427:$AQ$427,AK$7-11),0)+$P$308*IF(AK$7-12&gt;=1,INDEX($D$427:$AQ$427,AK$7-12),0)</f>
        <v>0</v>
      </c>
      <c r="AL429" s="130" t="n">
        <f aca="false">$D$308*IF(AL$7-0&gt;=1,INDEX($D$427:$AQ$427,AL$7-0),0)+$E$308*IF(AL$7-1&gt;=1,INDEX($D$427:$AQ$427,AL$7-1),0)+$F$308*IF(AL$7-2&gt;=1,INDEX($D$427:$AQ$427,AL$7-2),0)+$G$308*IF(AL$7-3&gt;=1,INDEX($D$427:$AQ$427,AL$7-3),0)+$H$308*IF(AL$7-4&gt;=1,INDEX($D$427:$AQ$427,AL$7-4),0)+$I$308*IF(AL$7-5&gt;=1,INDEX($D$427:$AQ$427,AL$7-5),0)+$J$308*IF(AL$7-6&gt;=1,INDEX($D$427:$AQ$427,AL$7-6),0)+$K$308*IF(AL$7-7&gt;=1,INDEX($D$427:$AQ$427,AL$7-7),0)+$L$308*IF(AL$7-8&gt;=1,INDEX($D$427:$AQ$427,AL$7-8),0)+$M$308*IF(AL$7-9&gt;=1,INDEX($D$427:$AQ$427,AL$7-9),0)+$N$308*IF(AL$7-10&gt;=1,INDEX($D$427:$AQ$427,AL$7-10),0)+$O$308*IF(AL$7-11&gt;=1,INDEX($D$427:$AQ$427,AL$7-11),0)+$P$308*IF(AL$7-12&gt;=1,INDEX($D$427:$AQ$427,AL$7-12),0)</f>
        <v>0</v>
      </c>
      <c r="AM429" s="130" t="n">
        <f aca="false">$D$308*IF(AM$7-0&gt;=1,INDEX($D$427:$AQ$427,AM$7-0),0)+$E$308*IF(AM$7-1&gt;=1,INDEX($D$427:$AQ$427,AM$7-1),0)+$F$308*IF(AM$7-2&gt;=1,INDEX($D$427:$AQ$427,AM$7-2),0)+$G$308*IF(AM$7-3&gt;=1,INDEX($D$427:$AQ$427,AM$7-3),0)+$H$308*IF(AM$7-4&gt;=1,INDEX($D$427:$AQ$427,AM$7-4),0)+$I$308*IF(AM$7-5&gt;=1,INDEX($D$427:$AQ$427,AM$7-5),0)+$J$308*IF(AM$7-6&gt;=1,INDEX($D$427:$AQ$427,AM$7-6),0)+$K$308*IF(AM$7-7&gt;=1,INDEX($D$427:$AQ$427,AM$7-7),0)+$L$308*IF(AM$7-8&gt;=1,INDEX($D$427:$AQ$427,AM$7-8),0)+$M$308*IF(AM$7-9&gt;=1,INDEX($D$427:$AQ$427,AM$7-9),0)+$N$308*IF(AM$7-10&gt;=1,INDEX($D$427:$AQ$427,AM$7-10),0)+$O$308*IF(AM$7-11&gt;=1,INDEX($D$427:$AQ$427,AM$7-11),0)+$P$308*IF(AM$7-12&gt;=1,INDEX($D$427:$AQ$427,AM$7-12),0)</f>
        <v>0</v>
      </c>
      <c r="AN429" s="130" t="n">
        <f aca="false">$D$308*IF(AN$7-0&gt;=1,INDEX($D$427:$AQ$427,AN$7-0),0)+$E$308*IF(AN$7-1&gt;=1,INDEX($D$427:$AQ$427,AN$7-1),0)+$F$308*IF(AN$7-2&gt;=1,INDEX($D$427:$AQ$427,AN$7-2),0)+$G$308*IF(AN$7-3&gt;=1,INDEX($D$427:$AQ$427,AN$7-3),0)+$H$308*IF(AN$7-4&gt;=1,INDEX($D$427:$AQ$427,AN$7-4),0)+$I$308*IF(AN$7-5&gt;=1,INDEX($D$427:$AQ$427,AN$7-5),0)+$J$308*IF(AN$7-6&gt;=1,INDEX($D$427:$AQ$427,AN$7-6),0)+$K$308*IF(AN$7-7&gt;=1,INDEX($D$427:$AQ$427,AN$7-7),0)+$L$308*IF(AN$7-8&gt;=1,INDEX($D$427:$AQ$427,AN$7-8),0)+$M$308*IF(AN$7-9&gt;=1,INDEX($D$427:$AQ$427,AN$7-9),0)+$N$308*IF(AN$7-10&gt;=1,INDEX($D$427:$AQ$427,AN$7-10),0)+$O$308*IF(AN$7-11&gt;=1,INDEX($D$427:$AQ$427,AN$7-11),0)+$P$308*IF(AN$7-12&gt;=1,INDEX($D$427:$AQ$427,AN$7-12),0)</f>
        <v>0</v>
      </c>
      <c r="AO429" s="130" t="n">
        <f aca="false">$D$308*IF(AO$7-0&gt;=1,INDEX($D$427:$AQ$427,AO$7-0),0)+$E$308*IF(AO$7-1&gt;=1,INDEX($D$427:$AQ$427,AO$7-1),0)+$F$308*IF(AO$7-2&gt;=1,INDEX($D$427:$AQ$427,AO$7-2),0)+$G$308*IF(AO$7-3&gt;=1,INDEX($D$427:$AQ$427,AO$7-3),0)+$H$308*IF(AO$7-4&gt;=1,INDEX($D$427:$AQ$427,AO$7-4),0)+$I$308*IF(AO$7-5&gt;=1,INDEX($D$427:$AQ$427,AO$7-5),0)+$J$308*IF(AO$7-6&gt;=1,INDEX($D$427:$AQ$427,AO$7-6),0)+$K$308*IF(AO$7-7&gt;=1,INDEX($D$427:$AQ$427,AO$7-7),0)+$L$308*IF(AO$7-8&gt;=1,INDEX($D$427:$AQ$427,AO$7-8),0)+$M$308*IF(AO$7-9&gt;=1,INDEX($D$427:$AQ$427,AO$7-9),0)+$N$308*IF(AO$7-10&gt;=1,INDEX($D$427:$AQ$427,AO$7-10),0)+$O$308*IF(AO$7-11&gt;=1,INDEX($D$427:$AQ$427,AO$7-11),0)+$P$308*IF(AO$7-12&gt;=1,INDEX($D$427:$AQ$427,AO$7-12),0)</f>
        <v>0</v>
      </c>
      <c r="AP429" s="130" t="n">
        <f aca="false">$D$308*IF(AP$7-0&gt;=1,INDEX($D$427:$AQ$427,AP$7-0),0)+$E$308*IF(AP$7-1&gt;=1,INDEX($D$427:$AQ$427,AP$7-1),0)+$F$308*IF(AP$7-2&gt;=1,INDEX($D$427:$AQ$427,AP$7-2),0)+$G$308*IF(AP$7-3&gt;=1,INDEX($D$427:$AQ$427,AP$7-3),0)+$H$308*IF(AP$7-4&gt;=1,INDEX($D$427:$AQ$427,AP$7-4),0)+$I$308*IF(AP$7-5&gt;=1,INDEX($D$427:$AQ$427,AP$7-5),0)+$J$308*IF(AP$7-6&gt;=1,INDEX($D$427:$AQ$427,AP$7-6),0)+$K$308*IF(AP$7-7&gt;=1,INDEX($D$427:$AQ$427,AP$7-7),0)+$L$308*IF(AP$7-8&gt;=1,INDEX($D$427:$AQ$427,AP$7-8),0)+$M$308*IF(AP$7-9&gt;=1,INDEX($D$427:$AQ$427,AP$7-9),0)+$N$308*IF(AP$7-10&gt;=1,INDEX($D$427:$AQ$427,AP$7-10),0)+$O$308*IF(AP$7-11&gt;=1,INDEX($D$427:$AQ$427,AP$7-11),0)+$P$308*IF(AP$7-12&gt;=1,INDEX($D$427:$AQ$427,AP$7-12),0)</f>
        <v>0</v>
      </c>
      <c r="AQ429" s="130" t="n">
        <f aca="false">$D$308*IF(AQ$7-0&gt;=1,INDEX($D$427:$AQ$427,AQ$7-0),0)+$E$308*IF(AQ$7-1&gt;=1,INDEX($D$427:$AQ$427,AQ$7-1),0)+$F$308*IF(AQ$7-2&gt;=1,INDEX($D$427:$AQ$427,AQ$7-2),0)+$G$308*IF(AQ$7-3&gt;=1,INDEX($D$427:$AQ$427,AQ$7-3),0)+$H$308*IF(AQ$7-4&gt;=1,INDEX($D$427:$AQ$427,AQ$7-4),0)+$I$308*IF(AQ$7-5&gt;=1,INDEX($D$427:$AQ$427,AQ$7-5),0)+$J$308*IF(AQ$7-6&gt;=1,INDEX($D$427:$AQ$427,AQ$7-6),0)+$K$308*IF(AQ$7-7&gt;=1,INDEX($D$427:$AQ$427,AQ$7-7),0)+$L$308*IF(AQ$7-8&gt;=1,INDEX($D$427:$AQ$427,AQ$7-8),0)+$M$308*IF(AQ$7-9&gt;=1,INDEX($D$427:$AQ$427,AQ$7-9),0)+$N$308*IF(AQ$7-10&gt;=1,INDEX($D$427:$AQ$427,AQ$7-10),0)+$O$308*IF(AQ$7-11&gt;=1,INDEX($D$427:$AQ$427,AQ$7-11),0)+$P$308*IF(AQ$7-12&gt;=1,INDEX($D$427:$AQ$427,AQ$7-12),0)</f>
        <v>0</v>
      </c>
    </row>
    <row r="430" customFormat="false" ht="15" hidden="false" customHeight="false" outlineLevel="0" collapsed="false">
      <c r="B430" s="131" t="s">
        <v>715</v>
      </c>
      <c r="C430" s="129" t="n">
        <f aca="false">SUM(D430:AQ430)</f>
        <v>0</v>
      </c>
      <c r="D430" s="130" t="n">
        <f aca="false">SUMIFS($E$278:$E$307,$C$278:$C$307,"Construction % complete",$F$278:$F$307,D$7)*IF(D$7-INPUTS!$C$215&gt;=1,INDEX($D$428:$AQ$428,D$7-INPUTS!$C$215),0)+SUMIFS($E$278:$E$307,$C$278:$C$307,"Construction % complete",$F$278:$F$307,"&lt;"&amp;D$7)*IF(D$7-INPUTS!$C$215&gt;=1,INDEX($D$427:$AQ$427,D$7-INPUTS!$C$215),0)</f>
        <v>0</v>
      </c>
      <c r="E430" s="130" t="n">
        <f aca="false">SUMIFS($E$278:$E$307,$C$278:$C$307,"Construction % complete",$F$278:$F$307,E$7)*IF(E$7-INPUTS!$C$215&gt;=1,INDEX($D$428:$AQ$428,E$7-INPUTS!$C$215),0)+SUMIFS($E$278:$E$307,$C$278:$C$307,"Construction % complete",$F$278:$F$307,"&lt;"&amp;E$7)*IF(E$7-INPUTS!$C$215&gt;=1,INDEX($D$427:$AQ$427,E$7-INPUTS!$C$215),0)</f>
        <v>0</v>
      </c>
      <c r="F430" s="130" t="n">
        <f aca="false">SUMIFS($E$278:$E$307,$C$278:$C$307,"Construction % complete",$F$278:$F$307,F$7)*IF(F$7-INPUTS!$C$215&gt;=1,INDEX($D$428:$AQ$428,F$7-INPUTS!$C$215),0)+SUMIFS($E$278:$E$307,$C$278:$C$307,"Construction % complete",$F$278:$F$307,"&lt;"&amp;F$7)*IF(F$7-INPUTS!$C$215&gt;=1,INDEX($D$427:$AQ$427,F$7-INPUTS!$C$215),0)</f>
        <v>0</v>
      </c>
      <c r="G430" s="130" t="n">
        <f aca="false">SUMIFS($E$278:$E$307,$C$278:$C$307,"Construction % complete",$F$278:$F$307,G$7)*IF(G$7-INPUTS!$C$215&gt;=1,INDEX($D$428:$AQ$428,G$7-INPUTS!$C$215),0)+SUMIFS($E$278:$E$307,$C$278:$C$307,"Construction % complete",$F$278:$F$307,"&lt;"&amp;G$7)*IF(G$7-INPUTS!$C$215&gt;=1,INDEX($D$427:$AQ$427,G$7-INPUTS!$C$215),0)</f>
        <v>0</v>
      </c>
      <c r="H430" s="130" t="n">
        <f aca="false">SUMIFS($E$278:$E$307,$C$278:$C$307,"Construction % complete",$F$278:$F$307,H$7)*IF(H$7-INPUTS!$C$215&gt;=1,INDEX($D$428:$AQ$428,H$7-INPUTS!$C$215),0)+SUMIFS($E$278:$E$307,$C$278:$C$307,"Construction % complete",$F$278:$F$307,"&lt;"&amp;H$7)*IF(H$7-INPUTS!$C$215&gt;=1,INDEX($D$427:$AQ$427,H$7-INPUTS!$C$215),0)</f>
        <v>0</v>
      </c>
      <c r="I430" s="130" t="n">
        <f aca="false">SUMIFS($E$278:$E$307,$C$278:$C$307,"Construction % complete",$F$278:$F$307,I$7)*IF(I$7-INPUTS!$C$215&gt;=1,INDEX($D$428:$AQ$428,I$7-INPUTS!$C$215),0)+SUMIFS($E$278:$E$307,$C$278:$C$307,"Construction % complete",$F$278:$F$307,"&lt;"&amp;I$7)*IF(I$7-INPUTS!$C$215&gt;=1,INDEX($D$427:$AQ$427,I$7-INPUTS!$C$215),0)</f>
        <v>0</v>
      </c>
      <c r="J430" s="130" t="n">
        <f aca="false">SUMIFS($E$278:$E$307,$C$278:$C$307,"Construction % complete",$F$278:$F$307,J$7)*IF(J$7-INPUTS!$C$215&gt;=1,INDEX($D$428:$AQ$428,J$7-INPUTS!$C$215),0)+SUMIFS($E$278:$E$307,$C$278:$C$307,"Construction % complete",$F$278:$F$307,"&lt;"&amp;J$7)*IF(J$7-INPUTS!$C$215&gt;=1,INDEX($D$427:$AQ$427,J$7-INPUTS!$C$215),0)</f>
        <v>0</v>
      </c>
      <c r="K430" s="130" t="n">
        <f aca="false">SUMIFS($E$278:$E$307,$C$278:$C$307,"Construction % complete",$F$278:$F$307,K$7)*IF(K$7-INPUTS!$C$215&gt;=1,INDEX($D$428:$AQ$428,K$7-INPUTS!$C$215),0)+SUMIFS($E$278:$E$307,$C$278:$C$307,"Construction % complete",$F$278:$F$307,"&lt;"&amp;K$7)*IF(K$7-INPUTS!$C$215&gt;=1,INDEX($D$427:$AQ$427,K$7-INPUTS!$C$215),0)</f>
        <v>0</v>
      </c>
      <c r="L430" s="130" t="n">
        <f aca="false">SUMIFS($E$278:$E$307,$C$278:$C$307,"Construction % complete",$F$278:$F$307,L$7)*IF(L$7-INPUTS!$C$215&gt;=1,INDEX($D$428:$AQ$428,L$7-INPUTS!$C$215),0)+SUMIFS($E$278:$E$307,$C$278:$C$307,"Construction % complete",$F$278:$F$307,"&lt;"&amp;L$7)*IF(L$7-INPUTS!$C$215&gt;=1,INDEX($D$427:$AQ$427,L$7-INPUTS!$C$215),0)</f>
        <v>0</v>
      </c>
      <c r="M430" s="130" t="n">
        <f aca="false">SUMIFS($E$278:$E$307,$C$278:$C$307,"Construction % complete",$F$278:$F$307,M$7)*IF(M$7-INPUTS!$C$215&gt;=1,INDEX($D$428:$AQ$428,M$7-INPUTS!$C$215),0)+SUMIFS($E$278:$E$307,$C$278:$C$307,"Construction % complete",$F$278:$F$307,"&lt;"&amp;M$7)*IF(M$7-INPUTS!$C$215&gt;=1,INDEX($D$427:$AQ$427,M$7-INPUTS!$C$215),0)</f>
        <v>0</v>
      </c>
      <c r="N430" s="130" t="n">
        <f aca="false">SUMIFS($E$278:$E$307,$C$278:$C$307,"Construction % complete",$F$278:$F$307,N$7)*IF(N$7-INPUTS!$C$215&gt;=1,INDEX($D$428:$AQ$428,N$7-INPUTS!$C$215),0)+SUMIFS($E$278:$E$307,$C$278:$C$307,"Construction % complete",$F$278:$F$307,"&lt;"&amp;N$7)*IF(N$7-INPUTS!$C$215&gt;=1,INDEX($D$427:$AQ$427,N$7-INPUTS!$C$215),0)</f>
        <v>0</v>
      </c>
      <c r="O430" s="130" t="n">
        <f aca="false">SUMIFS($E$278:$E$307,$C$278:$C$307,"Construction % complete",$F$278:$F$307,O$7)*IF(O$7-INPUTS!$C$215&gt;=1,INDEX($D$428:$AQ$428,O$7-INPUTS!$C$215),0)+SUMIFS($E$278:$E$307,$C$278:$C$307,"Construction % complete",$F$278:$F$307,"&lt;"&amp;O$7)*IF(O$7-INPUTS!$C$215&gt;=1,INDEX($D$427:$AQ$427,O$7-INPUTS!$C$215),0)</f>
        <v>0</v>
      </c>
      <c r="P430" s="130" t="n">
        <f aca="false">SUMIFS($E$278:$E$307,$C$278:$C$307,"Construction % complete",$F$278:$F$307,P$7)*IF(P$7-INPUTS!$C$215&gt;=1,INDEX($D$428:$AQ$428,P$7-INPUTS!$C$215),0)+SUMIFS($E$278:$E$307,$C$278:$C$307,"Construction % complete",$F$278:$F$307,"&lt;"&amp;P$7)*IF(P$7-INPUTS!$C$215&gt;=1,INDEX($D$427:$AQ$427,P$7-INPUTS!$C$215),0)</f>
        <v>0</v>
      </c>
      <c r="Q430" s="130" t="n">
        <f aca="false">SUMIFS($E$278:$E$307,$C$278:$C$307,"Construction % complete",$F$278:$F$307,Q$7)*IF(Q$7-INPUTS!$C$215&gt;=1,INDEX($D$428:$AQ$428,Q$7-INPUTS!$C$215),0)+SUMIFS($E$278:$E$307,$C$278:$C$307,"Construction % complete",$F$278:$F$307,"&lt;"&amp;Q$7)*IF(Q$7-INPUTS!$C$215&gt;=1,INDEX($D$427:$AQ$427,Q$7-INPUTS!$C$215),0)</f>
        <v>0</v>
      </c>
      <c r="R430" s="130" t="n">
        <f aca="false">SUMIFS($E$278:$E$307,$C$278:$C$307,"Construction % complete",$F$278:$F$307,R$7)*IF(R$7-INPUTS!$C$215&gt;=1,INDEX($D$428:$AQ$428,R$7-INPUTS!$C$215),0)+SUMIFS($E$278:$E$307,$C$278:$C$307,"Construction % complete",$F$278:$F$307,"&lt;"&amp;R$7)*IF(R$7-INPUTS!$C$215&gt;=1,INDEX($D$427:$AQ$427,R$7-INPUTS!$C$215),0)</f>
        <v>0</v>
      </c>
      <c r="S430" s="130" t="n">
        <f aca="false">SUMIFS($E$278:$E$307,$C$278:$C$307,"Construction % complete",$F$278:$F$307,S$7)*IF(S$7-INPUTS!$C$215&gt;=1,INDEX($D$428:$AQ$428,S$7-INPUTS!$C$215),0)+SUMIFS($E$278:$E$307,$C$278:$C$307,"Construction % complete",$F$278:$F$307,"&lt;"&amp;S$7)*IF(S$7-INPUTS!$C$215&gt;=1,INDEX($D$427:$AQ$427,S$7-INPUTS!$C$215),0)</f>
        <v>0</v>
      </c>
      <c r="T430" s="130" t="n">
        <f aca="false">SUMIFS($E$278:$E$307,$C$278:$C$307,"Construction % complete",$F$278:$F$307,T$7)*IF(T$7-INPUTS!$C$215&gt;=1,INDEX($D$428:$AQ$428,T$7-INPUTS!$C$215),0)+SUMIFS($E$278:$E$307,$C$278:$C$307,"Construction % complete",$F$278:$F$307,"&lt;"&amp;T$7)*IF(T$7-INPUTS!$C$215&gt;=1,INDEX($D$427:$AQ$427,T$7-INPUTS!$C$215),0)</f>
        <v>0</v>
      </c>
      <c r="U430" s="130" t="n">
        <f aca="false">SUMIFS($E$278:$E$307,$C$278:$C$307,"Construction % complete",$F$278:$F$307,U$7)*IF(U$7-INPUTS!$C$215&gt;=1,INDEX($D$428:$AQ$428,U$7-INPUTS!$C$215),0)+SUMIFS($E$278:$E$307,$C$278:$C$307,"Construction % complete",$F$278:$F$307,"&lt;"&amp;U$7)*IF(U$7-INPUTS!$C$215&gt;=1,INDEX($D$427:$AQ$427,U$7-INPUTS!$C$215),0)</f>
        <v>0</v>
      </c>
      <c r="V430" s="130" t="n">
        <f aca="false">SUMIFS($E$278:$E$307,$C$278:$C$307,"Construction % complete",$F$278:$F$307,V$7)*IF(V$7-INPUTS!$C$215&gt;=1,INDEX($D$428:$AQ$428,V$7-INPUTS!$C$215),0)+SUMIFS($E$278:$E$307,$C$278:$C$307,"Construction % complete",$F$278:$F$307,"&lt;"&amp;V$7)*IF(V$7-INPUTS!$C$215&gt;=1,INDEX($D$427:$AQ$427,V$7-INPUTS!$C$215),0)</f>
        <v>0</v>
      </c>
      <c r="W430" s="130" t="n">
        <f aca="false">SUMIFS($E$278:$E$307,$C$278:$C$307,"Construction % complete",$F$278:$F$307,W$7)*IF(W$7-INPUTS!$C$215&gt;=1,INDEX($D$428:$AQ$428,W$7-INPUTS!$C$215),0)+SUMIFS($E$278:$E$307,$C$278:$C$307,"Construction % complete",$F$278:$F$307,"&lt;"&amp;W$7)*IF(W$7-INPUTS!$C$215&gt;=1,INDEX($D$427:$AQ$427,W$7-INPUTS!$C$215),0)</f>
        <v>0</v>
      </c>
      <c r="X430" s="130" t="n">
        <f aca="false">SUMIFS($E$278:$E$307,$C$278:$C$307,"Construction % complete",$F$278:$F$307,X$7)*IF(X$7-INPUTS!$C$215&gt;=1,INDEX($D$428:$AQ$428,X$7-INPUTS!$C$215),0)+SUMIFS($E$278:$E$307,$C$278:$C$307,"Construction % complete",$F$278:$F$307,"&lt;"&amp;X$7)*IF(X$7-INPUTS!$C$215&gt;=1,INDEX($D$427:$AQ$427,X$7-INPUTS!$C$215),0)</f>
        <v>0</v>
      </c>
      <c r="Y430" s="130" t="n">
        <f aca="false">SUMIFS($E$278:$E$307,$C$278:$C$307,"Construction % complete",$F$278:$F$307,Y$7)*IF(Y$7-INPUTS!$C$215&gt;=1,INDEX($D$428:$AQ$428,Y$7-INPUTS!$C$215),0)+SUMIFS($E$278:$E$307,$C$278:$C$307,"Construction % complete",$F$278:$F$307,"&lt;"&amp;Y$7)*IF(Y$7-INPUTS!$C$215&gt;=1,INDEX($D$427:$AQ$427,Y$7-INPUTS!$C$215),0)</f>
        <v>0</v>
      </c>
      <c r="Z430" s="130" t="n">
        <f aca="false">SUMIFS($E$278:$E$307,$C$278:$C$307,"Construction % complete",$F$278:$F$307,Z$7)*IF(Z$7-INPUTS!$C$215&gt;=1,INDEX($D$428:$AQ$428,Z$7-INPUTS!$C$215),0)+SUMIFS($E$278:$E$307,$C$278:$C$307,"Construction % complete",$F$278:$F$307,"&lt;"&amp;Z$7)*IF(Z$7-INPUTS!$C$215&gt;=1,INDEX($D$427:$AQ$427,Z$7-INPUTS!$C$215),0)</f>
        <v>0</v>
      </c>
      <c r="AA430" s="130" t="n">
        <f aca="false">SUMIFS($E$278:$E$307,$C$278:$C$307,"Construction % complete",$F$278:$F$307,AA$7)*IF(AA$7-INPUTS!$C$215&gt;=1,INDEX($D$428:$AQ$428,AA$7-INPUTS!$C$215),0)+SUMIFS($E$278:$E$307,$C$278:$C$307,"Construction % complete",$F$278:$F$307,"&lt;"&amp;AA$7)*IF(AA$7-INPUTS!$C$215&gt;=1,INDEX($D$427:$AQ$427,AA$7-INPUTS!$C$215),0)</f>
        <v>0</v>
      </c>
      <c r="AB430" s="130" t="n">
        <f aca="false">SUMIFS($E$278:$E$307,$C$278:$C$307,"Construction % complete",$F$278:$F$307,AB$7)*IF(AB$7-INPUTS!$C$215&gt;=1,INDEX($D$428:$AQ$428,AB$7-INPUTS!$C$215),0)+SUMIFS($E$278:$E$307,$C$278:$C$307,"Construction % complete",$F$278:$F$307,"&lt;"&amp;AB$7)*IF(AB$7-INPUTS!$C$215&gt;=1,INDEX($D$427:$AQ$427,AB$7-INPUTS!$C$215),0)</f>
        <v>0</v>
      </c>
      <c r="AC430" s="130" t="n">
        <f aca="false">SUMIFS($E$278:$E$307,$C$278:$C$307,"Construction % complete",$F$278:$F$307,AC$7)*IF(AC$7-INPUTS!$C$215&gt;=1,INDEX($D$428:$AQ$428,AC$7-INPUTS!$C$215),0)+SUMIFS($E$278:$E$307,$C$278:$C$307,"Construction % complete",$F$278:$F$307,"&lt;"&amp;AC$7)*IF(AC$7-INPUTS!$C$215&gt;=1,INDEX($D$427:$AQ$427,AC$7-INPUTS!$C$215),0)</f>
        <v>0</v>
      </c>
      <c r="AD430" s="130" t="n">
        <f aca="false">SUMIFS($E$278:$E$307,$C$278:$C$307,"Construction % complete",$F$278:$F$307,AD$7)*IF(AD$7-INPUTS!$C$215&gt;=1,INDEX($D$428:$AQ$428,AD$7-INPUTS!$C$215),0)+SUMIFS($E$278:$E$307,$C$278:$C$307,"Construction % complete",$F$278:$F$307,"&lt;"&amp;AD$7)*IF(AD$7-INPUTS!$C$215&gt;=1,INDEX($D$427:$AQ$427,AD$7-INPUTS!$C$215),0)</f>
        <v>0</v>
      </c>
      <c r="AE430" s="130" t="n">
        <f aca="false">SUMIFS($E$278:$E$307,$C$278:$C$307,"Construction % complete",$F$278:$F$307,AE$7)*IF(AE$7-INPUTS!$C$215&gt;=1,INDEX($D$428:$AQ$428,AE$7-INPUTS!$C$215),0)+SUMIFS($E$278:$E$307,$C$278:$C$307,"Construction % complete",$F$278:$F$307,"&lt;"&amp;AE$7)*IF(AE$7-INPUTS!$C$215&gt;=1,INDEX($D$427:$AQ$427,AE$7-INPUTS!$C$215),0)</f>
        <v>0</v>
      </c>
      <c r="AF430" s="130" t="n">
        <f aca="false">SUMIFS($E$278:$E$307,$C$278:$C$307,"Construction % complete",$F$278:$F$307,AF$7)*IF(AF$7-INPUTS!$C$215&gt;=1,INDEX($D$428:$AQ$428,AF$7-INPUTS!$C$215),0)+SUMIFS($E$278:$E$307,$C$278:$C$307,"Construction % complete",$F$278:$F$307,"&lt;"&amp;AF$7)*IF(AF$7-INPUTS!$C$215&gt;=1,INDEX($D$427:$AQ$427,AF$7-INPUTS!$C$215),0)</f>
        <v>0</v>
      </c>
      <c r="AG430" s="130" t="n">
        <f aca="false">SUMIFS($E$278:$E$307,$C$278:$C$307,"Construction % complete",$F$278:$F$307,AG$7)*IF(AG$7-INPUTS!$C$215&gt;=1,INDEX($D$428:$AQ$428,AG$7-INPUTS!$C$215),0)+SUMIFS($E$278:$E$307,$C$278:$C$307,"Construction % complete",$F$278:$F$307,"&lt;"&amp;AG$7)*IF(AG$7-INPUTS!$C$215&gt;=1,INDEX($D$427:$AQ$427,AG$7-INPUTS!$C$215),0)</f>
        <v>0</v>
      </c>
      <c r="AH430" s="130" t="n">
        <f aca="false">SUMIFS($E$278:$E$307,$C$278:$C$307,"Construction % complete",$F$278:$F$307,AH$7)*IF(AH$7-INPUTS!$C$215&gt;=1,INDEX($D$428:$AQ$428,AH$7-INPUTS!$C$215),0)+SUMIFS($E$278:$E$307,$C$278:$C$307,"Construction % complete",$F$278:$F$307,"&lt;"&amp;AH$7)*IF(AH$7-INPUTS!$C$215&gt;=1,INDEX($D$427:$AQ$427,AH$7-INPUTS!$C$215),0)</f>
        <v>0</v>
      </c>
      <c r="AI430" s="130" t="n">
        <f aca="false">SUMIFS($E$278:$E$307,$C$278:$C$307,"Construction % complete",$F$278:$F$307,AI$7)*IF(AI$7-INPUTS!$C$215&gt;=1,INDEX($D$428:$AQ$428,AI$7-INPUTS!$C$215),0)+SUMIFS($E$278:$E$307,$C$278:$C$307,"Construction % complete",$F$278:$F$307,"&lt;"&amp;AI$7)*IF(AI$7-INPUTS!$C$215&gt;=1,INDEX($D$427:$AQ$427,AI$7-INPUTS!$C$215),0)</f>
        <v>0</v>
      </c>
      <c r="AJ430" s="130" t="n">
        <f aca="false">SUMIFS($E$278:$E$307,$C$278:$C$307,"Construction % complete",$F$278:$F$307,AJ$7)*IF(AJ$7-INPUTS!$C$215&gt;=1,INDEX($D$428:$AQ$428,AJ$7-INPUTS!$C$215),0)+SUMIFS($E$278:$E$307,$C$278:$C$307,"Construction % complete",$F$278:$F$307,"&lt;"&amp;AJ$7)*IF(AJ$7-INPUTS!$C$215&gt;=1,INDEX($D$427:$AQ$427,AJ$7-INPUTS!$C$215),0)</f>
        <v>0</v>
      </c>
      <c r="AK430" s="130" t="n">
        <f aca="false">SUMIFS($E$278:$E$307,$C$278:$C$307,"Construction % complete",$F$278:$F$307,AK$7)*IF(AK$7-INPUTS!$C$215&gt;=1,INDEX($D$428:$AQ$428,AK$7-INPUTS!$C$215),0)+SUMIFS($E$278:$E$307,$C$278:$C$307,"Construction % complete",$F$278:$F$307,"&lt;"&amp;AK$7)*IF(AK$7-INPUTS!$C$215&gt;=1,INDEX($D$427:$AQ$427,AK$7-INPUTS!$C$215),0)</f>
        <v>0</v>
      </c>
      <c r="AL430" s="130" t="n">
        <f aca="false">SUMIFS($E$278:$E$307,$C$278:$C$307,"Construction % complete",$F$278:$F$307,AL$7)*IF(AL$7-INPUTS!$C$215&gt;=1,INDEX($D$428:$AQ$428,AL$7-INPUTS!$C$215),0)+SUMIFS($E$278:$E$307,$C$278:$C$307,"Construction % complete",$F$278:$F$307,"&lt;"&amp;AL$7)*IF(AL$7-INPUTS!$C$215&gt;=1,INDEX($D$427:$AQ$427,AL$7-INPUTS!$C$215),0)</f>
        <v>0</v>
      </c>
      <c r="AM430" s="130" t="n">
        <f aca="false">SUMIFS($E$278:$E$307,$C$278:$C$307,"Construction % complete",$F$278:$F$307,AM$7)*IF(AM$7-INPUTS!$C$215&gt;=1,INDEX($D$428:$AQ$428,AM$7-INPUTS!$C$215),0)+SUMIFS($E$278:$E$307,$C$278:$C$307,"Construction % complete",$F$278:$F$307,"&lt;"&amp;AM$7)*IF(AM$7-INPUTS!$C$215&gt;=1,INDEX($D$427:$AQ$427,AM$7-INPUTS!$C$215),0)</f>
        <v>0</v>
      </c>
      <c r="AN430" s="130" t="n">
        <f aca="false">SUMIFS($E$278:$E$307,$C$278:$C$307,"Construction % complete",$F$278:$F$307,AN$7)*IF(AN$7-INPUTS!$C$215&gt;=1,INDEX($D$428:$AQ$428,AN$7-INPUTS!$C$215),0)+SUMIFS($E$278:$E$307,$C$278:$C$307,"Construction % complete",$F$278:$F$307,"&lt;"&amp;AN$7)*IF(AN$7-INPUTS!$C$215&gt;=1,INDEX($D$427:$AQ$427,AN$7-INPUTS!$C$215),0)</f>
        <v>0</v>
      </c>
      <c r="AO430" s="130" t="n">
        <f aca="false">SUMIFS($E$278:$E$307,$C$278:$C$307,"Construction % complete",$F$278:$F$307,AO$7)*IF(AO$7-INPUTS!$C$215&gt;=1,INDEX($D$428:$AQ$428,AO$7-INPUTS!$C$215),0)+SUMIFS($E$278:$E$307,$C$278:$C$307,"Construction % complete",$F$278:$F$307,"&lt;"&amp;AO$7)*IF(AO$7-INPUTS!$C$215&gt;=1,INDEX($D$427:$AQ$427,AO$7-INPUTS!$C$215),0)</f>
        <v>0</v>
      </c>
      <c r="AP430" s="130" t="n">
        <f aca="false">SUMIFS($E$278:$E$307,$C$278:$C$307,"Construction % complete",$F$278:$F$307,AP$7)*IF(AP$7-INPUTS!$C$215&gt;=1,INDEX($D$428:$AQ$428,AP$7-INPUTS!$C$215),0)+SUMIFS($E$278:$E$307,$C$278:$C$307,"Construction % complete",$F$278:$F$307,"&lt;"&amp;AP$7)*IF(AP$7-INPUTS!$C$215&gt;=1,INDEX($D$427:$AQ$427,AP$7-INPUTS!$C$215),0)</f>
        <v>0</v>
      </c>
      <c r="AQ430" s="130" t="n">
        <f aca="false">SUMIFS($E$278:$E$307,$C$278:$C$307,"Construction % complete",$F$278:$F$307,AQ$7)*IF(AQ$7-INPUTS!$C$215&gt;=1,INDEX($D$428:$AQ$428,AQ$7-INPUTS!$C$215),0)+SUMIFS($E$278:$E$307,$C$278:$C$307,"Construction % complete",$F$278:$F$307,"&lt;"&amp;AQ$7)*IF(AQ$7-INPUTS!$C$215&gt;=1,INDEX($D$427:$AQ$427,AQ$7-INPUTS!$C$215),0)</f>
        <v>0</v>
      </c>
    </row>
    <row r="431" customFormat="false" ht="15" hidden="false" customHeight="false" outlineLevel="0" collapsed="false">
      <c r="B431" s="2" t="s">
        <v>716</v>
      </c>
      <c r="C431" s="129" t="n">
        <f aca="false">SUM(D431:AQ431)</f>
        <v>0</v>
      </c>
      <c r="D431" s="130" t="n">
        <f aca="false">D429+D430</f>
        <v>0</v>
      </c>
      <c r="E431" s="130" t="n">
        <f aca="false">E429+E430</f>
        <v>0</v>
      </c>
      <c r="F431" s="130" t="n">
        <f aca="false">F429+F430</f>
        <v>0</v>
      </c>
      <c r="G431" s="130" t="n">
        <f aca="false">G429+G430</f>
        <v>0</v>
      </c>
      <c r="H431" s="130" t="n">
        <f aca="false">H429+H430</f>
        <v>0</v>
      </c>
      <c r="I431" s="130" t="n">
        <f aca="false">I429+I430</f>
        <v>0</v>
      </c>
      <c r="J431" s="130" t="n">
        <f aca="false">J429+J430</f>
        <v>0</v>
      </c>
      <c r="K431" s="130" t="n">
        <f aca="false">K429+K430</f>
        <v>0</v>
      </c>
      <c r="L431" s="130" t="n">
        <f aca="false">L429+L430</f>
        <v>0</v>
      </c>
      <c r="M431" s="130" t="n">
        <f aca="false">M429+M430</f>
        <v>0</v>
      </c>
      <c r="N431" s="130" t="n">
        <f aca="false">N429+N430</f>
        <v>0</v>
      </c>
      <c r="O431" s="130" t="n">
        <f aca="false">O429+O430</f>
        <v>0</v>
      </c>
      <c r="P431" s="130" t="n">
        <f aca="false">P429+P430</f>
        <v>0</v>
      </c>
      <c r="Q431" s="130" t="n">
        <f aca="false">Q429+Q430</f>
        <v>0</v>
      </c>
      <c r="R431" s="130" t="n">
        <f aca="false">R429+R430</f>
        <v>0</v>
      </c>
      <c r="S431" s="130" t="n">
        <f aca="false">S429+S430</f>
        <v>0</v>
      </c>
      <c r="T431" s="130" t="n">
        <f aca="false">T429+T430</f>
        <v>0</v>
      </c>
      <c r="U431" s="130" t="n">
        <f aca="false">U429+U430</f>
        <v>0</v>
      </c>
      <c r="V431" s="130" t="n">
        <f aca="false">V429+V430</f>
        <v>0</v>
      </c>
      <c r="W431" s="130" t="n">
        <f aca="false">W429+W430</f>
        <v>0</v>
      </c>
      <c r="X431" s="130" t="n">
        <f aca="false">X429+X430</f>
        <v>0</v>
      </c>
      <c r="Y431" s="130" t="n">
        <f aca="false">Y429+Y430</f>
        <v>0</v>
      </c>
      <c r="Z431" s="130" t="n">
        <f aca="false">Z429+Z430</f>
        <v>0</v>
      </c>
      <c r="AA431" s="130" t="n">
        <f aca="false">AA429+AA430</f>
        <v>0</v>
      </c>
      <c r="AB431" s="130" t="n">
        <f aca="false">AB429+AB430</f>
        <v>0</v>
      </c>
      <c r="AC431" s="130" t="n">
        <f aca="false">AC429+AC430</f>
        <v>0</v>
      </c>
      <c r="AD431" s="130" t="n">
        <f aca="false">AD429+AD430</f>
        <v>0</v>
      </c>
      <c r="AE431" s="130" t="n">
        <f aca="false">AE429+AE430</f>
        <v>0</v>
      </c>
      <c r="AF431" s="130" t="n">
        <f aca="false">AF429+AF430</f>
        <v>0</v>
      </c>
      <c r="AG431" s="130" t="n">
        <f aca="false">AG429+AG430</f>
        <v>0</v>
      </c>
      <c r="AH431" s="130" t="n">
        <f aca="false">AH429+AH430</f>
        <v>0</v>
      </c>
      <c r="AI431" s="130" t="n">
        <f aca="false">AI429+AI430</f>
        <v>0</v>
      </c>
      <c r="AJ431" s="130" t="n">
        <f aca="false">AJ429+AJ430</f>
        <v>0</v>
      </c>
      <c r="AK431" s="130" t="n">
        <f aca="false">AK429+AK430</f>
        <v>0</v>
      </c>
      <c r="AL431" s="130" t="n">
        <f aca="false">AL429+AL430</f>
        <v>0</v>
      </c>
      <c r="AM431" s="130" t="n">
        <f aca="false">AM429+AM430</f>
        <v>0</v>
      </c>
      <c r="AN431" s="130" t="n">
        <f aca="false">AN429+AN430</f>
        <v>0</v>
      </c>
      <c r="AO431" s="130" t="n">
        <f aca="false">AO429+AO430</f>
        <v>0</v>
      </c>
      <c r="AP431" s="130" t="n">
        <f aca="false">AP429+AP430</f>
        <v>0</v>
      </c>
      <c r="AQ431" s="130" t="n">
        <f aca="false">AQ429+AQ430</f>
        <v>0</v>
      </c>
    </row>
    <row r="432" customFormat="false" ht="15" hidden="false" customHeight="false" outlineLevel="0" collapsed="false">
      <c r="B432" s="3" t="s">
        <v>717</v>
      </c>
      <c r="D432" s="130" t="n">
        <f aca="false">SUM($D431:D431)</f>
        <v>0</v>
      </c>
      <c r="E432" s="130" t="n">
        <f aca="false">SUM($D431:E431)</f>
        <v>0</v>
      </c>
      <c r="F432" s="130" t="n">
        <f aca="false">SUM($D431:F431)</f>
        <v>0</v>
      </c>
      <c r="G432" s="130" t="n">
        <f aca="false">SUM($D431:G431)</f>
        <v>0</v>
      </c>
      <c r="H432" s="130" t="n">
        <f aca="false">SUM($D431:H431)</f>
        <v>0</v>
      </c>
      <c r="I432" s="130" t="n">
        <f aca="false">SUM($D431:I431)</f>
        <v>0</v>
      </c>
      <c r="J432" s="130" t="n">
        <f aca="false">SUM($D431:J431)</f>
        <v>0</v>
      </c>
      <c r="K432" s="130" t="n">
        <f aca="false">SUM($D431:K431)</f>
        <v>0</v>
      </c>
      <c r="L432" s="130" t="n">
        <f aca="false">SUM($D431:L431)</f>
        <v>0</v>
      </c>
      <c r="M432" s="130" t="n">
        <f aca="false">SUM($D431:M431)</f>
        <v>0</v>
      </c>
      <c r="N432" s="130" t="n">
        <f aca="false">SUM($D431:N431)</f>
        <v>0</v>
      </c>
      <c r="O432" s="130" t="n">
        <f aca="false">SUM($D431:O431)</f>
        <v>0</v>
      </c>
      <c r="P432" s="130" t="n">
        <f aca="false">SUM($D431:P431)</f>
        <v>0</v>
      </c>
      <c r="Q432" s="130" t="n">
        <f aca="false">SUM($D431:Q431)</f>
        <v>0</v>
      </c>
      <c r="R432" s="130" t="n">
        <f aca="false">SUM($D431:R431)</f>
        <v>0</v>
      </c>
      <c r="S432" s="130" t="n">
        <f aca="false">SUM($D431:S431)</f>
        <v>0</v>
      </c>
      <c r="T432" s="130" t="n">
        <f aca="false">SUM($D431:T431)</f>
        <v>0</v>
      </c>
      <c r="U432" s="130" t="n">
        <f aca="false">SUM($D431:U431)</f>
        <v>0</v>
      </c>
      <c r="V432" s="130" t="n">
        <f aca="false">SUM($D431:V431)</f>
        <v>0</v>
      </c>
      <c r="W432" s="130" t="n">
        <f aca="false">SUM($D431:W431)</f>
        <v>0</v>
      </c>
      <c r="X432" s="130" t="n">
        <f aca="false">SUM($D431:X431)</f>
        <v>0</v>
      </c>
      <c r="Y432" s="130" t="n">
        <f aca="false">SUM($D431:Y431)</f>
        <v>0</v>
      </c>
      <c r="Z432" s="130" t="n">
        <f aca="false">SUM($D431:Z431)</f>
        <v>0</v>
      </c>
      <c r="AA432" s="130" t="n">
        <f aca="false">SUM($D431:AA431)</f>
        <v>0</v>
      </c>
      <c r="AB432" s="130" t="n">
        <f aca="false">SUM($D431:AB431)</f>
        <v>0</v>
      </c>
      <c r="AC432" s="130" t="n">
        <f aca="false">SUM($D431:AC431)</f>
        <v>0</v>
      </c>
      <c r="AD432" s="130" t="n">
        <f aca="false">SUM($D431:AD431)</f>
        <v>0</v>
      </c>
      <c r="AE432" s="130" t="n">
        <f aca="false">SUM($D431:AE431)</f>
        <v>0</v>
      </c>
      <c r="AF432" s="130" t="n">
        <f aca="false">SUM($D431:AF431)</f>
        <v>0</v>
      </c>
      <c r="AG432" s="130" t="n">
        <f aca="false">SUM($D431:AG431)</f>
        <v>0</v>
      </c>
      <c r="AH432" s="130" t="n">
        <f aca="false">SUM($D431:AH431)</f>
        <v>0</v>
      </c>
      <c r="AI432" s="130" t="n">
        <f aca="false">SUM($D431:AI431)</f>
        <v>0</v>
      </c>
      <c r="AJ432" s="130" t="n">
        <f aca="false">SUM($D431:AJ431)</f>
        <v>0</v>
      </c>
      <c r="AK432" s="130" t="n">
        <f aca="false">SUM($D431:AK431)</f>
        <v>0</v>
      </c>
      <c r="AL432" s="130" t="n">
        <f aca="false">SUM($D431:AL431)</f>
        <v>0</v>
      </c>
      <c r="AM432" s="130" t="n">
        <f aca="false">SUM($D431:AM431)</f>
        <v>0</v>
      </c>
      <c r="AN432" s="130" t="n">
        <f aca="false">SUM($D431:AN431)</f>
        <v>0</v>
      </c>
      <c r="AO432" s="130" t="n">
        <f aca="false">SUM($D431:AO431)</f>
        <v>0</v>
      </c>
      <c r="AP432" s="130" t="n">
        <f aca="false">SUM($D431:AP431)</f>
        <v>0</v>
      </c>
      <c r="AQ432" s="130" t="n">
        <f aca="false">SUM($D431:AQ431)</f>
        <v>0</v>
      </c>
    </row>
    <row r="433" customFormat="false" ht="15" hidden="false" customHeight="false" outlineLevel="0" collapsed="false">
      <c r="B433" s="3" t="s">
        <v>718</v>
      </c>
      <c r="D433" s="130" t="n">
        <f aca="false">D428-D432</f>
        <v>0</v>
      </c>
      <c r="E433" s="130" t="n">
        <f aca="false">E428-E432</f>
        <v>0</v>
      </c>
      <c r="F433" s="130" t="n">
        <f aca="false">F428-F432</f>
        <v>0</v>
      </c>
      <c r="G433" s="130" t="n">
        <f aca="false">G428-G432</f>
        <v>0</v>
      </c>
      <c r="H433" s="130" t="n">
        <f aca="false">H428-H432</f>
        <v>0</v>
      </c>
      <c r="I433" s="130" t="n">
        <f aca="false">I428-I432</f>
        <v>0</v>
      </c>
      <c r="J433" s="130" t="n">
        <f aca="false">J428-J432</f>
        <v>0</v>
      </c>
      <c r="K433" s="130" t="n">
        <f aca="false">K428-K432</f>
        <v>0</v>
      </c>
      <c r="L433" s="130" t="n">
        <f aca="false">L428-L432</f>
        <v>0</v>
      </c>
      <c r="M433" s="130" t="n">
        <f aca="false">M428-M432</f>
        <v>0</v>
      </c>
      <c r="N433" s="130" t="n">
        <f aca="false">N428-N432</f>
        <v>0</v>
      </c>
      <c r="O433" s="130" t="n">
        <f aca="false">O428-O432</f>
        <v>0</v>
      </c>
      <c r="P433" s="130" t="n">
        <f aca="false">P428-P432</f>
        <v>0</v>
      </c>
      <c r="Q433" s="130" t="n">
        <f aca="false">Q428-Q432</f>
        <v>0</v>
      </c>
      <c r="R433" s="130" t="n">
        <f aca="false">R428-R432</f>
        <v>0</v>
      </c>
      <c r="S433" s="130" t="n">
        <f aca="false">S428-S432</f>
        <v>0</v>
      </c>
      <c r="T433" s="130" t="n">
        <f aca="false">T428-T432</f>
        <v>0</v>
      </c>
      <c r="U433" s="130" t="n">
        <f aca="false">U428-U432</f>
        <v>0</v>
      </c>
      <c r="V433" s="130" t="n">
        <f aca="false">V428-V432</f>
        <v>0</v>
      </c>
      <c r="W433" s="130" t="n">
        <f aca="false">W428-W432</f>
        <v>0</v>
      </c>
      <c r="X433" s="130" t="n">
        <f aca="false">X428-X432</f>
        <v>0</v>
      </c>
      <c r="Y433" s="130" t="n">
        <f aca="false">Y428-Y432</f>
        <v>0</v>
      </c>
      <c r="Z433" s="130" t="n">
        <f aca="false">Z428-Z432</f>
        <v>0</v>
      </c>
      <c r="AA433" s="130" t="n">
        <f aca="false">AA428-AA432</f>
        <v>0</v>
      </c>
      <c r="AB433" s="130" t="n">
        <f aca="false">AB428-AB432</f>
        <v>0</v>
      </c>
      <c r="AC433" s="130" t="n">
        <f aca="false">AC428-AC432</f>
        <v>0</v>
      </c>
      <c r="AD433" s="130" t="n">
        <f aca="false">AD428-AD432</f>
        <v>0</v>
      </c>
      <c r="AE433" s="130" t="n">
        <f aca="false">AE428-AE432</f>
        <v>0</v>
      </c>
      <c r="AF433" s="130" t="n">
        <f aca="false">AF428-AF432</f>
        <v>0</v>
      </c>
      <c r="AG433" s="130" t="n">
        <f aca="false">AG428-AG432</f>
        <v>0</v>
      </c>
      <c r="AH433" s="130" t="n">
        <f aca="false">AH428-AH432</f>
        <v>0</v>
      </c>
      <c r="AI433" s="130" t="n">
        <f aca="false">AI428-AI432</f>
        <v>0</v>
      </c>
      <c r="AJ433" s="130" t="n">
        <f aca="false">AJ428-AJ432</f>
        <v>0</v>
      </c>
      <c r="AK433" s="130" t="n">
        <f aca="false">AK428-AK432</f>
        <v>0</v>
      </c>
      <c r="AL433" s="130" t="n">
        <f aca="false">AL428-AL432</f>
        <v>0</v>
      </c>
      <c r="AM433" s="130" t="n">
        <f aca="false">AM428-AM432</f>
        <v>0</v>
      </c>
      <c r="AN433" s="130" t="n">
        <f aca="false">AN428-AN432</f>
        <v>0</v>
      </c>
      <c r="AO433" s="130" t="n">
        <f aca="false">AO428-AO432</f>
        <v>0</v>
      </c>
      <c r="AP433" s="130" t="n">
        <f aca="false">AP428-AP432</f>
        <v>0</v>
      </c>
      <c r="AQ433" s="130" t="n">
        <f aca="false">AQ428-AQ432</f>
        <v>0</v>
      </c>
    </row>
    <row r="434" customFormat="false" ht="15" hidden="false" customHeight="false" outlineLevel="0" collapsed="false">
      <c r="B434" s="3" t="s">
        <v>719</v>
      </c>
      <c r="D434" s="132" t="n">
        <f aca="false">IF(INPUTS!$T$96&gt;0,D432/INPUTS!$T$96,0)</f>
        <v>0</v>
      </c>
      <c r="E434" s="132" t="n">
        <f aca="false">IF(INPUTS!$T$96&gt;0,E432/INPUTS!$T$96,0)</f>
        <v>0</v>
      </c>
      <c r="F434" s="132" t="n">
        <f aca="false">IF(INPUTS!$T$96&gt;0,F432/INPUTS!$T$96,0)</f>
        <v>0</v>
      </c>
      <c r="G434" s="132" t="n">
        <f aca="false">IF(INPUTS!$T$96&gt;0,G432/INPUTS!$T$96,0)</f>
        <v>0</v>
      </c>
      <c r="H434" s="132" t="n">
        <f aca="false">IF(INPUTS!$T$96&gt;0,H432/INPUTS!$T$96,0)</f>
        <v>0</v>
      </c>
      <c r="I434" s="132" t="n">
        <f aca="false">IF(INPUTS!$T$96&gt;0,I432/INPUTS!$T$96,0)</f>
        <v>0</v>
      </c>
      <c r="J434" s="132" t="n">
        <f aca="false">IF(INPUTS!$T$96&gt;0,J432/INPUTS!$T$96,0)</f>
        <v>0</v>
      </c>
      <c r="K434" s="132" t="n">
        <f aca="false">IF(INPUTS!$T$96&gt;0,K432/INPUTS!$T$96,0)</f>
        <v>0</v>
      </c>
      <c r="L434" s="132" t="n">
        <f aca="false">IF(INPUTS!$T$96&gt;0,L432/INPUTS!$T$96,0)</f>
        <v>0</v>
      </c>
      <c r="M434" s="132" t="n">
        <f aca="false">IF(INPUTS!$T$96&gt;0,M432/INPUTS!$T$96,0)</f>
        <v>0</v>
      </c>
      <c r="N434" s="132" t="n">
        <f aca="false">IF(INPUTS!$T$96&gt;0,N432/INPUTS!$T$96,0)</f>
        <v>0</v>
      </c>
      <c r="O434" s="132" t="n">
        <f aca="false">IF(INPUTS!$T$96&gt;0,O432/INPUTS!$T$96,0)</f>
        <v>0</v>
      </c>
      <c r="P434" s="132" t="n">
        <f aca="false">IF(INPUTS!$T$96&gt;0,P432/INPUTS!$T$96,0)</f>
        <v>0</v>
      </c>
      <c r="Q434" s="132" t="n">
        <f aca="false">IF(INPUTS!$T$96&gt;0,Q432/INPUTS!$T$96,0)</f>
        <v>0</v>
      </c>
      <c r="R434" s="132" t="n">
        <f aca="false">IF(INPUTS!$T$96&gt;0,R432/INPUTS!$T$96,0)</f>
        <v>0</v>
      </c>
      <c r="S434" s="132" t="n">
        <f aca="false">IF(INPUTS!$T$96&gt;0,S432/INPUTS!$T$96,0)</f>
        <v>0</v>
      </c>
      <c r="T434" s="132" t="n">
        <f aca="false">IF(INPUTS!$T$96&gt;0,T432/INPUTS!$T$96,0)</f>
        <v>0</v>
      </c>
      <c r="U434" s="132" t="n">
        <f aca="false">IF(INPUTS!$T$96&gt;0,U432/INPUTS!$T$96,0)</f>
        <v>0</v>
      </c>
      <c r="V434" s="132" t="n">
        <f aca="false">IF(INPUTS!$T$96&gt;0,V432/INPUTS!$T$96,0)</f>
        <v>0</v>
      </c>
      <c r="W434" s="132" t="n">
        <f aca="false">IF(INPUTS!$T$96&gt;0,W432/INPUTS!$T$96,0)</f>
        <v>0</v>
      </c>
      <c r="X434" s="132" t="n">
        <f aca="false">IF(INPUTS!$T$96&gt;0,X432/INPUTS!$T$96,0)</f>
        <v>0</v>
      </c>
      <c r="Y434" s="132" t="n">
        <f aca="false">IF(INPUTS!$T$96&gt;0,Y432/INPUTS!$T$96,0)</f>
        <v>0</v>
      </c>
      <c r="Z434" s="132" t="n">
        <f aca="false">IF(INPUTS!$T$96&gt;0,Z432/INPUTS!$T$96,0)</f>
        <v>0</v>
      </c>
      <c r="AA434" s="132" t="n">
        <f aca="false">IF(INPUTS!$T$96&gt;0,AA432/INPUTS!$T$96,0)</f>
        <v>0</v>
      </c>
      <c r="AB434" s="132" t="n">
        <f aca="false">IF(INPUTS!$T$96&gt;0,AB432/INPUTS!$T$96,0)</f>
        <v>0</v>
      </c>
      <c r="AC434" s="132" t="n">
        <f aca="false">IF(INPUTS!$T$96&gt;0,AC432/INPUTS!$T$96,0)</f>
        <v>0</v>
      </c>
      <c r="AD434" s="132" t="n">
        <f aca="false">IF(INPUTS!$T$96&gt;0,AD432/INPUTS!$T$96,0)</f>
        <v>0</v>
      </c>
      <c r="AE434" s="132" t="n">
        <f aca="false">IF(INPUTS!$T$96&gt;0,AE432/INPUTS!$T$96,0)</f>
        <v>0</v>
      </c>
      <c r="AF434" s="132" t="n">
        <f aca="false">IF(INPUTS!$T$96&gt;0,AF432/INPUTS!$T$96,0)</f>
        <v>0</v>
      </c>
      <c r="AG434" s="132" t="n">
        <f aca="false">IF(INPUTS!$T$96&gt;0,AG432/INPUTS!$T$96,0)</f>
        <v>0</v>
      </c>
      <c r="AH434" s="132" t="n">
        <f aca="false">IF(INPUTS!$T$96&gt;0,AH432/INPUTS!$T$96,0)</f>
        <v>0</v>
      </c>
      <c r="AI434" s="132" t="n">
        <f aca="false">IF(INPUTS!$T$96&gt;0,AI432/INPUTS!$T$96,0)</f>
        <v>0</v>
      </c>
      <c r="AJ434" s="132" t="n">
        <f aca="false">IF(INPUTS!$T$96&gt;0,AJ432/INPUTS!$T$96,0)</f>
        <v>0</v>
      </c>
      <c r="AK434" s="132" t="n">
        <f aca="false">IF(INPUTS!$T$96&gt;0,AK432/INPUTS!$T$96,0)</f>
        <v>0</v>
      </c>
      <c r="AL434" s="132" t="n">
        <f aca="false">IF(INPUTS!$T$96&gt;0,AL432/INPUTS!$T$96,0)</f>
        <v>0</v>
      </c>
      <c r="AM434" s="132" t="n">
        <f aca="false">IF(INPUTS!$T$96&gt;0,AM432/INPUTS!$T$96,0)</f>
        <v>0</v>
      </c>
      <c r="AN434" s="132" t="n">
        <f aca="false">IF(INPUTS!$T$96&gt;0,AN432/INPUTS!$T$96,0)</f>
        <v>0</v>
      </c>
      <c r="AO434" s="132" t="n">
        <f aca="false">IF(INPUTS!$T$96&gt;0,AO432/INPUTS!$T$96,0)</f>
        <v>0</v>
      </c>
      <c r="AP434" s="132" t="n">
        <f aca="false">IF(INPUTS!$T$96&gt;0,AP432/INPUTS!$T$96,0)</f>
        <v>0</v>
      </c>
      <c r="AQ434" s="132" t="n">
        <f aca="false">IF(INPUTS!$T$96&gt;0,AQ432/INPUTS!$T$96,0)</f>
        <v>0</v>
      </c>
    </row>
    <row r="435" customFormat="false" ht="15" hidden="false" customHeight="false" outlineLevel="0" collapsed="false">
      <c r="B435" s="17" t="s">
        <v>689</v>
      </c>
      <c r="C435" s="105" t="str">
        <f aca="false">IF(INPUTS!$E$96&lt;&gt;"Yes","Off",IF(AND(ABS(C427-INPUTS!$T$96)&lt;0.000001,ABS(C431-INPUTS!$T$96)&lt;0.000001,MIN(D433:AQ433)&gt;-0.000001),"OK","ERROR"))</f>
        <v>Off</v>
      </c>
    </row>
    <row r="436" customFormat="false" ht="15" hidden="false" customHeight="false" outlineLevel="0" collapsed="false">
      <c r="B436" s="110" t="str">
        <f aca="false">IF(INPUTS!$E$97="Yes",INPUTS!$B$97,"Product row 10 (off)")</f>
        <v>Product row 10 (off)</v>
      </c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</row>
    <row r="437" customFormat="false" ht="15" hidden="false" customHeight="false" outlineLevel="0" collapsed="false">
      <c r="B437" s="2" t="s">
        <v>712</v>
      </c>
      <c r="C437" s="129" t="n">
        <f aca="false">SUM(D437:AQ437)</f>
        <v>0</v>
      </c>
      <c r="D437" s="130" t="n">
        <f aca="false">INPUTS!$T$97*CURVES!D92</f>
        <v>0</v>
      </c>
      <c r="E437" s="130" t="n">
        <f aca="false">INPUTS!$T$97*CURVES!E92</f>
        <v>0</v>
      </c>
      <c r="F437" s="130" t="n">
        <f aca="false">INPUTS!$T$97*CURVES!F92</f>
        <v>0</v>
      </c>
      <c r="G437" s="130" t="n">
        <f aca="false">INPUTS!$T$97*CURVES!G92</f>
        <v>0</v>
      </c>
      <c r="H437" s="130" t="n">
        <f aca="false">INPUTS!$T$97*CURVES!H92</f>
        <v>0</v>
      </c>
      <c r="I437" s="130" t="n">
        <f aca="false">INPUTS!$T$97*CURVES!I92</f>
        <v>0</v>
      </c>
      <c r="J437" s="130" t="n">
        <f aca="false">INPUTS!$T$97*CURVES!J92</f>
        <v>0</v>
      </c>
      <c r="K437" s="130" t="n">
        <f aca="false">INPUTS!$T$97*CURVES!K92</f>
        <v>0</v>
      </c>
      <c r="L437" s="130" t="n">
        <f aca="false">INPUTS!$T$97*CURVES!L92</f>
        <v>0</v>
      </c>
      <c r="M437" s="130" t="n">
        <f aca="false">INPUTS!$T$97*CURVES!M92</f>
        <v>0</v>
      </c>
      <c r="N437" s="130" t="n">
        <f aca="false">INPUTS!$T$97*CURVES!N92</f>
        <v>0</v>
      </c>
      <c r="O437" s="130" t="n">
        <f aca="false">INPUTS!$T$97*CURVES!O92</f>
        <v>0</v>
      </c>
      <c r="P437" s="130" t="n">
        <f aca="false">INPUTS!$T$97*CURVES!P92</f>
        <v>0</v>
      </c>
      <c r="Q437" s="130" t="n">
        <f aca="false">INPUTS!$T$97*CURVES!Q92</f>
        <v>0</v>
      </c>
      <c r="R437" s="130" t="n">
        <f aca="false">INPUTS!$T$97*CURVES!R92</f>
        <v>0</v>
      </c>
      <c r="S437" s="130" t="n">
        <f aca="false">INPUTS!$T$97*CURVES!S92</f>
        <v>0</v>
      </c>
      <c r="T437" s="130" t="n">
        <f aca="false">INPUTS!$T$97*CURVES!T92</f>
        <v>0</v>
      </c>
      <c r="U437" s="130" t="n">
        <f aca="false">INPUTS!$T$97*CURVES!U92</f>
        <v>0</v>
      </c>
      <c r="V437" s="130" t="n">
        <f aca="false">INPUTS!$T$97*CURVES!V92</f>
        <v>0</v>
      </c>
      <c r="W437" s="130" t="n">
        <f aca="false">INPUTS!$T$97*CURVES!W92</f>
        <v>0</v>
      </c>
      <c r="X437" s="130" t="n">
        <f aca="false">INPUTS!$T$97*CURVES!X92</f>
        <v>0</v>
      </c>
      <c r="Y437" s="130" t="n">
        <f aca="false">INPUTS!$T$97*CURVES!Y92</f>
        <v>0</v>
      </c>
      <c r="Z437" s="130" t="n">
        <f aca="false">INPUTS!$T$97*CURVES!Z92</f>
        <v>0</v>
      </c>
      <c r="AA437" s="130" t="n">
        <f aca="false">INPUTS!$T$97*CURVES!AA92</f>
        <v>0</v>
      </c>
      <c r="AB437" s="130" t="n">
        <f aca="false">INPUTS!$T$97*CURVES!AB92</f>
        <v>0</v>
      </c>
      <c r="AC437" s="130" t="n">
        <f aca="false">INPUTS!$T$97*CURVES!AC92</f>
        <v>0</v>
      </c>
      <c r="AD437" s="130" t="n">
        <f aca="false">INPUTS!$T$97*CURVES!AD92</f>
        <v>0</v>
      </c>
      <c r="AE437" s="130" t="n">
        <f aca="false">INPUTS!$T$97*CURVES!AE92</f>
        <v>0</v>
      </c>
      <c r="AF437" s="130" t="n">
        <f aca="false">INPUTS!$T$97*CURVES!AF92</f>
        <v>0</v>
      </c>
      <c r="AG437" s="130" t="n">
        <f aca="false">INPUTS!$T$97*CURVES!AG92</f>
        <v>0</v>
      </c>
      <c r="AH437" s="130" t="n">
        <f aca="false">INPUTS!$T$97*CURVES!AH92</f>
        <v>0</v>
      </c>
      <c r="AI437" s="130" t="n">
        <f aca="false">INPUTS!$T$97*CURVES!AI92</f>
        <v>0</v>
      </c>
      <c r="AJ437" s="130" t="n">
        <f aca="false">INPUTS!$T$97*CURVES!AJ92</f>
        <v>0</v>
      </c>
      <c r="AK437" s="130" t="n">
        <f aca="false">INPUTS!$T$97*CURVES!AK92</f>
        <v>0</v>
      </c>
      <c r="AL437" s="130" t="n">
        <f aca="false">INPUTS!$T$97*CURVES!AL92</f>
        <v>0</v>
      </c>
      <c r="AM437" s="130" t="n">
        <f aca="false">INPUTS!$T$97*CURVES!AM92</f>
        <v>0</v>
      </c>
      <c r="AN437" s="130" t="n">
        <f aca="false">INPUTS!$T$97*CURVES!AN92</f>
        <v>0</v>
      </c>
      <c r="AO437" s="130" t="n">
        <f aca="false">INPUTS!$T$97*CURVES!AO92</f>
        <v>0</v>
      </c>
      <c r="AP437" s="130" t="n">
        <f aca="false">INPUTS!$T$97*CURVES!AP92</f>
        <v>0</v>
      </c>
      <c r="AQ437" s="130" t="n">
        <f aca="false">INPUTS!$T$97*CURVES!AQ92</f>
        <v>0</v>
      </c>
    </row>
    <row r="438" customFormat="false" ht="15" hidden="false" customHeight="false" outlineLevel="0" collapsed="false">
      <c r="B438" s="3" t="s">
        <v>713</v>
      </c>
      <c r="D438" s="130" t="n">
        <f aca="false">SUM($D437:D437)</f>
        <v>0</v>
      </c>
      <c r="E438" s="130" t="n">
        <f aca="false">SUM($D437:E437)</f>
        <v>0</v>
      </c>
      <c r="F438" s="130" t="n">
        <f aca="false">SUM($D437:F437)</f>
        <v>0</v>
      </c>
      <c r="G438" s="130" t="n">
        <f aca="false">SUM($D437:G437)</f>
        <v>0</v>
      </c>
      <c r="H438" s="130" t="n">
        <f aca="false">SUM($D437:H437)</f>
        <v>0</v>
      </c>
      <c r="I438" s="130" t="n">
        <f aca="false">SUM($D437:I437)</f>
        <v>0</v>
      </c>
      <c r="J438" s="130" t="n">
        <f aca="false">SUM($D437:J437)</f>
        <v>0</v>
      </c>
      <c r="K438" s="130" t="n">
        <f aca="false">SUM($D437:K437)</f>
        <v>0</v>
      </c>
      <c r="L438" s="130" t="n">
        <f aca="false">SUM($D437:L437)</f>
        <v>0</v>
      </c>
      <c r="M438" s="130" t="n">
        <f aca="false">SUM($D437:M437)</f>
        <v>0</v>
      </c>
      <c r="N438" s="130" t="n">
        <f aca="false">SUM($D437:N437)</f>
        <v>0</v>
      </c>
      <c r="O438" s="130" t="n">
        <f aca="false">SUM($D437:O437)</f>
        <v>0</v>
      </c>
      <c r="P438" s="130" t="n">
        <f aca="false">SUM($D437:P437)</f>
        <v>0</v>
      </c>
      <c r="Q438" s="130" t="n">
        <f aca="false">SUM($D437:Q437)</f>
        <v>0</v>
      </c>
      <c r="R438" s="130" t="n">
        <f aca="false">SUM($D437:R437)</f>
        <v>0</v>
      </c>
      <c r="S438" s="130" t="n">
        <f aca="false">SUM($D437:S437)</f>
        <v>0</v>
      </c>
      <c r="T438" s="130" t="n">
        <f aca="false">SUM($D437:T437)</f>
        <v>0</v>
      </c>
      <c r="U438" s="130" t="n">
        <f aca="false">SUM($D437:U437)</f>
        <v>0</v>
      </c>
      <c r="V438" s="130" t="n">
        <f aca="false">SUM($D437:V437)</f>
        <v>0</v>
      </c>
      <c r="W438" s="130" t="n">
        <f aca="false">SUM($D437:W437)</f>
        <v>0</v>
      </c>
      <c r="X438" s="130" t="n">
        <f aca="false">SUM($D437:X437)</f>
        <v>0</v>
      </c>
      <c r="Y438" s="130" t="n">
        <f aca="false">SUM($D437:Y437)</f>
        <v>0</v>
      </c>
      <c r="Z438" s="130" t="n">
        <f aca="false">SUM($D437:Z437)</f>
        <v>0</v>
      </c>
      <c r="AA438" s="130" t="n">
        <f aca="false">SUM($D437:AA437)</f>
        <v>0</v>
      </c>
      <c r="AB438" s="130" t="n">
        <f aca="false">SUM($D437:AB437)</f>
        <v>0</v>
      </c>
      <c r="AC438" s="130" t="n">
        <f aca="false">SUM($D437:AC437)</f>
        <v>0</v>
      </c>
      <c r="AD438" s="130" t="n">
        <f aca="false">SUM($D437:AD437)</f>
        <v>0</v>
      </c>
      <c r="AE438" s="130" t="n">
        <f aca="false">SUM($D437:AE437)</f>
        <v>0</v>
      </c>
      <c r="AF438" s="130" t="n">
        <f aca="false">SUM($D437:AF437)</f>
        <v>0</v>
      </c>
      <c r="AG438" s="130" t="n">
        <f aca="false">SUM($D437:AG437)</f>
        <v>0</v>
      </c>
      <c r="AH438" s="130" t="n">
        <f aca="false">SUM($D437:AH437)</f>
        <v>0</v>
      </c>
      <c r="AI438" s="130" t="n">
        <f aca="false">SUM($D437:AI437)</f>
        <v>0</v>
      </c>
      <c r="AJ438" s="130" t="n">
        <f aca="false">SUM($D437:AJ437)</f>
        <v>0</v>
      </c>
      <c r="AK438" s="130" t="n">
        <f aca="false">SUM($D437:AK437)</f>
        <v>0</v>
      </c>
      <c r="AL438" s="130" t="n">
        <f aca="false">SUM($D437:AL437)</f>
        <v>0</v>
      </c>
      <c r="AM438" s="130" t="n">
        <f aca="false">SUM($D437:AM437)</f>
        <v>0</v>
      </c>
      <c r="AN438" s="130" t="n">
        <f aca="false">SUM($D437:AN437)</f>
        <v>0</v>
      </c>
      <c r="AO438" s="130" t="n">
        <f aca="false">SUM($D437:AO437)</f>
        <v>0</v>
      </c>
      <c r="AP438" s="130" t="n">
        <f aca="false">SUM($D437:AP437)</f>
        <v>0</v>
      </c>
      <c r="AQ438" s="130" t="n">
        <f aca="false">SUM($D437:AQ437)</f>
        <v>0</v>
      </c>
    </row>
    <row r="439" customFormat="false" ht="15" hidden="false" customHeight="false" outlineLevel="0" collapsed="false">
      <c r="B439" s="131" t="s">
        <v>714</v>
      </c>
      <c r="C439" s="129" t="n">
        <f aca="false">SUM(D439:AQ439)</f>
        <v>0</v>
      </c>
      <c r="D439" s="130" t="n">
        <f aca="false">$D$341*IF(D$7-0&gt;=1,INDEX($D$437:$AQ$437,D$7-0),0)+$E$341*IF(D$7-1&gt;=1,INDEX($D$437:$AQ$437,D$7-1),0)+$F$341*IF(D$7-2&gt;=1,INDEX($D$437:$AQ$437,D$7-2),0)+$G$341*IF(D$7-3&gt;=1,INDEX($D$437:$AQ$437,D$7-3),0)+$H$341*IF(D$7-4&gt;=1,INDEX($D$437:$AQ$437,D$7-4),0)+$I$341*IF(D$7-5&gt;=1,INDEX($D$437:$AQ$437,D$7-5),0)+$J$341*IF(D$7-6&gt;=1,INDEX($D$437:$AQ$437,D$7-6),0)+$K$341*IF(D$7-7&gt;=1,INDEX($D$437:$AQ$437,D$7-7),0)+$L$341*IF(D$7-8&gt;=1,INDEX($D$437:$AQ$437,D$7-8),0)+$M$341*IF(D$7-9&gt;=1,INDEX($D$437:$AQ$437,D$7-9),0)+$N$341*IF(D$7-10&gt;=1,INDEX($D$437:$AQ$437,D$7-10),0)+$O$341*IF(D$7-11&gt;=1,INDEX($D$437:$AQ$437,D$7-11),0)+$P$341*IF(D$7-12&gt;=1,INDEX($D$437:$AQ$437,D$7-12),0)</f>
        <v>0</v>
      </c>
      <c r="E439" s="130" t="n">
        <f aca="false">$D$341*IF(E$7-0&gt;=1,INDEX($D$437:$AQ$437,E$7-0),0)+$E$341*IF(E$7-1&gt;=1,INDEX($D$437:$AQ$437,E$7-1),0)+$F$341*IF(E$7-2&gt;=1,INDEX($D$437:$AQ$437,E$7-2),0)+$G$341*IF(E$7-3&gt;=1,INDEX($D$437:$AQ$437,E$7-3),0)+$H$341*IF(E$7-4&gt;=1,INDEX($D$437:$AQ$437,E$7-4),0)+$I$341*IF(E$7-5&gt;=1,INDEX($D$437:$AQ$437,E$7-5),0)+$J$341*IF(E$7-6&gt;=1,INDEX($D$437:$AQ$437,E$7-6),0)+$K$341*IF(E$7-7&gt;=1,INDEX($D$437:$AQ$437,E$7-7),0)+$L$341*IF(E$7-8&gt;=1,INDEX($D$437:$AQ$437,E$7-8),0)+$M$341*IF(E$7-9&gt;=1,INDEX($D$437:$AQ$437,E$7-9),0)+$N$341*IF(E$7-10&gt;=1,INDEX($D$437:$AQ$437,E$7-10),0)+$O$341*IF(E$7-11&gt;=1,INDEX($D$437:$AQ$437,E$7-11),0)+$P$341*IF(E$7-12&gt;=1,INDEX($D$437:$AQ$437,E$7-12),0)</f>
        <v>0</v>
      </c>
      <c r="F439" s="130" t="n">
        <f aca="false">$D$341*IF(F$7-0&gt;=1,INDEX($D$437:$AQ$437,F$7-0),0)+$E$341*IF(F$7-1&gt;=1,INDEX($D$437:$AQ$437,F$7-1),0)+$F$341*IF(F$7-2&gt;=1,INDEX($D$437:$AQ$437,F$7-2),0)+$G$341*IF(F$7-3&gt;=1,INDEX($D$437:$AQ$437,F$7-3),0)+$H$341*IF(F$7-4&gt;=1,INDEX($D$437:$AQ$437,F$7-4),0)+$I$341*IF(F$7-5&gt;=1,INDEX($D$437:$AQ$437,F$7-5),0)+$J$341*IF(F$7-6&gt;=1,INDEX($D$437:$AQ$437,F$7-6),0)+$K$341*IF(F$7-7&gt;=1,INDEX($D$437:$AQ$437,F$7-7),0)+$L$341*IF(F$7-8&gt;=1,INDEX($D$437:$AQ$437,F$7-8),0)+$M$341*IF(F$7-9&gt;=1,INDEX($D$437:$AQ$437,F$7-9),0)+$N$341*IF(F$7-10&gt;=1,INDEX($D$437:$AQ$437,F$7-10),0)+$O$341*IF(F$7-11&gt;=1,INDEX($D$437:$AQ$437,F$7-11),0)+$P$341*IF(F$7-12&gt;=1,INDEX($D$437:$AQ$437,F$7-12),0)</f>
        <v>0</v>
      </c>
      <c r="G439" s="130" t="n">
        <f aca="false">$D$341*IF(G$7-0&gt;=1,INDEX($D$437:$AQ$437,G$7-0),0)+$E$341*IF(G$7-1&gt;=1,INDEX($D$437:$AQ$437,G$7-1),0)+$F$341*IF(G$7-2&gt;=1,INDEX($D$437:$AQ$437,G$7-2),0)+$G$341*IF(G$7-3&gt;=1,INDEX($D$437:$AQ$437,G$7-3),0)+$H$341*IF(G$7-4&gt;=1,INDEX($D$437:$AQ$437,G$7-4),0)+$I$341*IF(G$7-5&gt;=1,INDEX($D$437:$AQ$437,G$7-5),0)+$J$341*IF(G$7-6&gt;=1,INDEX($D$437:$AQ$437,G$7-6),0)+$K$341*IF(G$7-7&gt;=1,INDEX($D$437:$AQ$437,G$7-7),0)+$L$341*IF(G$7-8&gt;=1,INDEX($D$437:$AQ$437,G$7-8),0)+$M$341*IF(G$7-9&gt;=1,INDEX($D$437:$AQ$437,G$7-9),0)+$N$341*IF(G$7-10&gt;=1,INDEX($D$437:$AQ$437,G$7-10),0)+$O$341*IF(G$7-11&gt;=1,INDEX($D$437:$AQ$437,G$7-11),0)+$P$341*IF(G$7-12&gt;=1,INDEX($D$437:$AQ$437,G$7-12),0)</f>
        <v>0</v>
      </c>
      <c r="H439" s="130" t="n">
        <f aca="false">$D$341*IF(H$7-0&gt;=1,INDEX($D$437:$AQ$437,H$7-0),0)+$E$341*IF(H$7-1&gt;=1,INDEX($D$437:$AQ$437,H$7-1),0)+$F$341*IF(H$7-2&gt;=1,INDEX($D$437:$AQ$437,H$7-2),0)+$G$341*IF(H$7-3&gt;=1,INDEX($D$437:$AQ$437,H$7-3),0)+$H$341*IF(H$7-4&gt;=1,INDEX($D$437:$AQ$437,H$7-4),0)+$I$341*IF(H$7-5&gt;=1,INDEX($D$437:$AQ$437,H$7-5),0)+$J$341*IF(H$7-6&gt;=1,INDEX($D$437:$AQ$437,H$7-6),0)+$K$341*IF(H$7-7&gt;=1,INDEX($D$437:$AQ$437,H$7-7),0)+$L$341*IF(H$7-8&gt;=1,INDEX($D$437:$AQ$437,H$7-8),0)+$M$341*IF(H$7-9&gt;=1,INDEX($D$437:$AQ$437,H$7-9),0)+$N$341*IF(H$7-10&gt;=1,INDEX($D$437:$AQ$437,H$7-10),0)+$O$341*IF(H$7-11&gt;=1,INDEX($D$437:$AQ$437,H$7-11),0)+$P$341*IF(H$7-12&gt;=1,INDEX($D$437:$AQ$437,H$7-12),0)</f>
        <v>0</v>
      </c>
      <c r="I439" s="130" t="n">
        <f aca="false">$D$341*IF(I$7-0&gt;=1,INDEX($D$437:$AQ$437,I$7-0),0)+$E$341*IF(I$7-1&gt;=1,INDEX($D$437:$AQ$437,I$7-1),0)+$F$341*IF(I$7-2&gt;=1,INDEX($D$437:$AQ$437,I$7-2),0)+$G$341*IF(I$7-3&gt;=1,INDEX($D$437:$AQ$437,I$7-3),0)+$H$341*IF(I$7-4&gt;=1,INDEX($D$437:$AQ$437,I$7-4),0)+$I$341*IF(I$7-5&gt;=1,INDEX($D$437:$AQ$437,I$7-5),0)+$J$341*IF(I$7-6&gt;=1,INDEX($D$437:$AQ$437,I$7-6),0)+$K$341*IF(I$7-7&gt;=1,INDEX($D$437:$AQ$437,I$7-7),0)+$L$341*IF(I$7-8&gt;=1,INDEX($D$437:$AQ$437,I$7-8),0)+$M$341*IF(I$7-9&gt;=1,INDEX($D$437:$AQ$437,I$7-9),0)+$N$341*IF(I$7-10&gt;=1,INDEX($D$437:$AQ$437,I$7-10),0)+$O$341*IF(I$7-11&gt;=1,INDEX($D$437:$AQ$437,I$7-11),0)+$P$341*IF(I$7-12&gt;=1,INDEX($D$437:$AQ$437,I$7-12),0)</f>
        <v>0</v>
      </c>
      <c r="J439" s="130" t="n">
        <f aca="false">$D$341*IF(J$7-0&gt;=1,INDEX($D$437:$AQ$437,J$7-0),0)+$E$341*IF(J$7-1&gt;=1,INDEX($D$437:$AQ$437,J$7-1),0)+$F$341*IF(J$7-2&gt;=1,INDEX($D$437:$AQ$437,J$7-2),0)+$G$341*IF(J$7-3&gt;=1,INDEX($D$437:$AQ$437,J$7-3),0)+$H$341*IF(J$7-4&gt;=1,INDEX($D$437:$AQ$437,J$7-4),0)+$I$341*IF(J$7-5&gt;=1,INDEX($D$437:$AQ$437,J$7-5),0)+$J$341*IF(J$7-6&gt;=1,INDEX($D$437:$AQ$437,J$7-6),0)+$K$341*IF(J$7-7&gt;=1,INDEX($D$437:$AQ$437,J$7-7),0)+$L$341*IF(J$7-8&gt;=1,INDEX($D$437:$AQ$437,J$7-8),0)+$M$341*IF(J$7-9&gt;=1,INDEX($D$437:$AQ$437,J$7-9),0)+$N$341*IF(J$7-10&gt;=1,INDEX($D$437:$AQ$437,J$7-10),0)+$O$341*IF(J$7-11&gt;=1,INDEX($D$437:$AQ$437,J$7-11),0)+$P$341*IF(J$7-12&gt;=1,INDEX($D$437:$AQ$437,J$7-12),0)</f>
        <v>0</v>
      </c>
      <c r="K439" s="130" t="n">
        <f aca="false">$D$341*IF(K$7-0&gt;=1,INDEX($D$437:$AQ$437,K$7-0),0)+$E$341*IF(K$7-1&gt;=1,INDEX($D$437:$AQ$437,K$7-1),0)+$F$341*IF(K$7-2&gt;=1,INDEX($D$437:$AQ$437,K$7-2),0)+$G$341*IF(K$7-3&gt;=1,INDEX($D$437:$AQ$437,K$7-3),0)+$H$341*IF(K$7-4&gt;=1,INDEX($D$437:$AQ$437,K$7-4),0)+$I$341*IF(K$7-5&gt;=1,INDEX($D$437:$AQ$437,K$7-5),0)+$J$341*IF(K$7-6&gt;=1,INDEX($D$437:$AQ$437,K$7-6),0)+$K$341*IF(K$7-7&gt;=1,INDEX($D$437:$AQ$437,K$7-7),0)+$L$341*IF(K$7-8&gt;=1,INDEX($D$437:$AQ$437,K$7-8),0)+$M$341*IF(K$7-9&gt;=1,INDEX($D$437:$AQ$437,K$7-9),0)+$N$341*IF(K$7-10&gt;=1,INDEX($D$437:$AQ$437,K$7-10),0)+$O$341*IF(K$7-11&gt;=1,INDEX($D$437:$AQ$437,K$7-11),0)+$P$341*IF(K$7-12&gt;=1,INDEX($D$437:$AQ$437,K$7-12),0)</f>
        <v>0</v>
      </c>
      <c r="L439" s="130" t="n">
        <f aca="false">$D$341*IF(L$7-0&gt;=1,INDEX($D$437:$AQ$437,L$7-0),0)+$E$341*IF(L$7-1&gt;=1,INDEX($D$437:$AQ$437,L$7-1),0)+$F$341*IF(L$7-2&gt;=1,INDEX($D$437:$AQ$437,L$7-2),0)+$G$341*IF(L$7-3&gt;=1,INDEX($D$437:$AQ$437,L$7-3),0)+$H$341*IF(L$7-4&gt;=1,INDEX($D$437:$AQ$437,L$7-4),0)+$I$341*IF(L$7-5&gt;=1,INDEX($D$437:$AQ$437,L$7-5),0)+$J$341*IF(L$7-6&gt;=1,INDEX($D$437:$AQ$437,L$7-6),0)+$K$341*IF(L$7-7&gt;=1,INDEX($D$437:$AQ$437,L$7-7),0)+$L$341*IF(L$7-8&gt;=1,INDEX($D$437:$AQ$437,L$7-8),0)+$M$341*IF(L$7-9&gt;=1,INDEX($D$437:$AQ$437,L$7-9),0)+$N$341*IF(L$7-10&gt;=1,INDEX($D$437:$AQ$437,L$7-10),0)+$O$341*IF(L$7-11&gt;=1,INDEX($D$437:$AQ$437,L$7-11),0)+$P$341*IF(L$7-12&gt;=1,INDEX($D$437:$AQ$437,L$7-12),0)</f>
        <v>0</v>
      </c>
      <c r="M439" s="130" t="n">
        <f aca="false">$D$341*IF(M$7-0&gt;=1,INDEX($D$437:$AQ$437,M$7-0),0)+$E$341*IF(M$7-1&gt;=1,INDEX($D$437:$AQ$437,M$7-1),0)+$F$341*IF(M$7-2&gt;=1,INDEX($D$437:$AQ$437,M$7-2),0)+$G$341*IF(M$7-3&gt;=1,INDEX($D$437:$AQ$437,M$7-3),0)+$H$341*IF(M$7-4&gt;=1,INDEX($D$437:$AQ$437,M$7-4),0)+$I$341*IF(M$7-5&gt;=1,INDEX($D$437:$AQ$437,M$7-5),0)+$J$341*IF(M$7-6&gt;=1,INDEX($D$437:$AQ$437,M$7-6),0)+$K$341*IF(M$7-7&gt;=1,INDEX($D$437:$AQ$437,M$7-7),0)+$L$341*IF(M$7-8&gt;=1,INDEX($D$437:$AQ$437,M$7-8),0)+$M$341*IF(M$7-9&gt;=1,INDEX($D$437:$AQ$437,M$7-9),0)+$N$341*IF(M$7-10&gt;=1,INDEX($D$437:$AQ$437,M$7-10),0)+$O$341*IF(M$7-11&gt;=1,INDEX($D$437:$AQ$437,M$7-11),0)+$P$341*IF(M$7-12&gt;=1,INDEX($D$437:$AQ$437,M$7-12),0)</f>
        <v>0</v>
      </c>
      <c r="N439" s="130" t="n">
        <f aca="false">$D$341*IF(N$7-0&gt;=1,INDEX($D$437:$AQ$437,N$7-0),0)+$E$341*IF(N$7-1&gt;=1,INDEX($D$437:$AQ$437,N$7-1),0)+$F$341*IF(N$7-2&gt;=1,INDEX($D$437:$AQ$437,N$7-2),0)+$G$341*IF(N$7-3&gt;=1,INDEX($D$437:$AQ$437,N$7-3),0)+$H$341*IF(N$7-4&gt;=1,INDEX($D$437:$AQ$437,N$7-4),0)+$I$341*IF(N$7-5&gt;=1,INDEX($D$437:$AQ$437,N$7-5),0)+$J$341*IF(N$7-6&gt;=1,INDEX($D$437:$AQ$437,N$7-6),0)+$K$341*IF(N$7-7&gt;=1,INDEX($D$437:$AQ$437,N$7-7),0)+$L$341*IF(N$7-8&gt;=1,INDEX($D$437:$AQ$437,N$7-8),0)+$M$341*IF(N$7-9&gt;=1,INDEX($D$437:$AQ$437,N$7-9),0)+$N$341*IF(N$7-10&gt;=1,INDEX($D$437:$AQ$437,N$7-10),0)+$O$341*IF(N$7-11&gt;=1,INDEX($D$437:$AQ$437,N$7-11),0)+$P$341*IF(N$7-12&gt;=1,INDEX($D$437:$AQ$437,N$7-12),0)</f>
        <v>0</v>
      </c>
      <c r="O439" s="130" t="n">
        <f aca="false">$D$341*IF(O$7-0&gt;=1,INDEX($D$437:$AQ$437,O$7-0),0)+$E$341*IF(O$7-1&gt;=1,INDEX($D$437:$AQ$437,O$7-1),0)+$F$341*IF(O$7-2&gt;=1,INDEX($D$437:$AQ$437,O$7-2),0)+$G$341*IF(O$7-3&gt;=1,INDEX($D$437:$AQ$437,O$7-3),0)+$H$341*IF(O$7-4&gt;=1,INDEX($D$437:$AQ$437,O$7-4),0)+$I$341*IF(O$7-5&gt;=1,INDEX($D$437:$AQ$437,O$7-5),0)+$J$341*IF(O$7-6&gt;=1,INDEX($D$437:$AQ$437,O$7-6),0)+$K$341*IF(O$7-7&gt;=1,INDEX($D$437:$AQ$437,O$7-7),0)+$L$341*IF(O$7-8&gt;=1,INDEX($D$437:$AQ$437,O$7-8),0)+$M$341*IF(O$7-9&gt;=1,INDEX($D$437:$AQ$437,O$7-9),0)+$N$341*IF(O$7-10&gt;=1,INDEX($D$437:$AQ$437,O$7-10),0)+$O$341*IF(O$7-11&gt;=1,INDEX($D$437:$AQ$437,O$7-11),0)+$P$341*IF(O$7-12&gt;=1,INDEX($D$437:$AQ$437,O$7-12),0)</f>
        <v>0</v>
      </c>
      <c r="P439" s="130" t="n">
        <f aca="false">$D$341*IF(P$7-0&gt;=1,INDEX($D$437:$AQ$437,P$7-0),0)+$E$341*IF(P$7-1&gt;=1,INDEX($D$437:$AQ$437,P$7-1),0)+$F$341*IF(P$7-2&gt;=1,INDEX($D$437:$AQ$437,P$7-2),0)+$G$341*IF(P$7-3&gt;=1,INDEX($D$437:$AQ$437,P$7-3),0)+$H$341*IF(P$7-4&gt;=1,INDEX($D$437:$AQ$437,P$7-4),0)+$I$341*IF(P$7-5&gt;=1,INDEX($D$437:$AQ$437,P$7-5),0)+$J$341*IF(P$7-6&gt;=1,INDEX($D$437:$AQ$437,P$7-6),0)+$K$341*IF(P$7-7&gt;=1,INDEX($D$437:$AQ$437,P$7-7),0)+$L$341*IF(P$7-8&gt;=1,INDEX($D$437:$AQ$437,P$7-8),0)+$M$341*IF(P$7-9&gt;=1,INDEX($D$437:$AQ$437,P$7-9),0)+$N$341*IF(P$7-10&gt;=1,INDEX($D$437:$AQ$437,P$7-10),0)+$O$341*IF(P$7-11&gt;=1,INDEX($D$437:$AQ$437,P$7-11),0)+$P$341*IF(P$7-12&gt;=1,INDEX($D$437:$AQ$437,P$7-12),0)</f>
        <v>0</v>
      </c>
      <c r="Q439" s="130" t="n">
        <f aca="false">$D$341*IF(Q$7-0&gt;=1,INDEX($D$437:$AQ$437,Q$7-0),0)+$E$341*IF(Q$7-1&gt;=1,INDEX($D$437:$AQ$437,Q$7-1),0)+$F$341*IF(Q$7-2&gt;=1,INDEX($D$437:$AQ$437,Q$7-2),0)+$G$341*IF(Q$7-3&gt;=1,INDEX($D$437:$AQ$437,Q$7-3),0)+$H$341*IF(Q$7-4&gt;=1,INDEX($D$437:$AQ$437,Q$7-4),0)+$I$341*IF(Q$7-5&gt;=1,INDEX($D$437:$AQ$437,Q$7-5),0)+$J$341*IF(Q$7-6&gt;=1,INDEX($D$437:$AQ$437,Q$7-6),0)+$K$341*IF(Q$7-7&gt;=1,INDEX($D$437:$AQ$437,Q$7-7),0)+$L$341*IF(Q$7-8&gt;=1,INDEX($D$437:$AQ$437,Q$7-8),0)+$M$341*IF(Q$7-9&gt;=1,INDEX($D$437:$AQ$437,Q$7-9),0)+$N$341*IF(Q$7-10&gt;=1,INDEX($D$437:$AQ$437,Q$7-10),0)+$O$341*IF(Q$7-11&gt;=1,INDEX($D$437:$AQ$437,Q$7-11),0)+$P$341*IF(Q$7-12&gt;=1,INDEX($D$437:$AQ$437,Q$7-12),0)</f>
        <v>0</v>
      </c>
      <c r="R439" s="130" t="n">
        <f aca="false">$D$341*IF(R$7-0&gt;=1,INDEX($D$437:$AQ$437,R$7-0),0)+$E$341*IF(R$7-1&gt;=1,INDEX($D$437:$AQ$437,R$7-1),0)+$F$341*IF(R$7-2&gt;=1,INDEX($D$437:$AQ$437,R$7-2),0)+$G$341*IF(R$7-3&gt;=1,INDEX($D$437:$AQ$437,R$7-3),0)+$H$341*IF(R$7-4&gt;=1,INDEX($D$437:$AQ$437,R$7-4),0)+$I$341*IF(R$7-5&gt;=1,INDEX($D$437:$AQ$437,R$7-5),0)+$J$341*IF(R$7-6&gt;=1,INDEX($D$437:$AQ$437,R$7-6),0)+$K$341*IF(R$7-7&gt;=1,INDEX($D$437:$AQ$437,R$7-7),0)+$L$341*IF(R$7-8&gt;=1,INDEX($D$437:$AQ$437,R$7-8),0)+$M$341*IF(R$7-9&gt;=1,INDEX($D$437:$AQ$437,R$7-9),0)+$N$341*IF(R$7-10&gt;=1,INDEX($D$437:$AQ$437,R$7-10),0)+$O$341*IF(R$7-11&gt;=1,INDEX($D$437:$AQ$437,R$7-11),0)+$P$341*IF(R$7-12&gt;=1,INDEX($D$437:$AQ$437,R$7-12),0)</f>
        <v>0</v>
      </c>
      <c r="S439" s="130" t="n">
        <f aca="false">$D$341*IF(S$7-0&gt;=1,INDEX($D$437:$AQ$437,S$7-0),0)+$E$341*IF(S$7-1&gt;=1,INDEX($D$437:$AQ$437,S$7-1),0)+$F$341*IF(S$7-2&gt;=1,INDEX($D$437:$AQ$437,S$7-2),0)+$G$341*IF(S$7-3&gt;=1,INDEX($D$437:$AQ$437,S$7-3),0)+$H$341*IF(S$7-4&gt;=1,INDEX($D$437:$AQ$437,S$7-4),0)+$I$341*IF(S$7-5&gt;=1,INDEX($D$437:$AQ$437,S$7-5),0)+$J$341*IF(S$7-6&gt;=1,INDEX($D$437:$AQ$437,S$7-6),0)+$K$341*IF(S$7-7&gt;=1,INDEX($D$437:$AQ$437,S$7-7),0)+$L$341*IF(S$7-8&gt;=1,INDEX($D$437:$AQ$437,S$7-8),0)+$M$341*IF(S$7-9&gt;=1,INDEX($D$437:$AQ$437,S$7-9),0)+$N$341*IF(S$7-10&gt;=1,INDEX($D$437:$AQ$437,S$7-10),0)+$O$341*IF(S$7-11&gt;=1,INDEX($D$437:$AQ$437,S$7-11),0)+$P$341*IF(S$7-12&gt;=1,INDEX($D$437:$AQ$437,S$7-12),0)</f>
        <v>0</v>
      </c>
      <c r="T439" s="130" t="n">
        <f aca="false">$D$341*IF(T$7-0&gt;=1,INDEX($D$437:$AQ$437,T$7-0),0)+$E$341*IF(T$7-1&gt;=1,INDEX($D$437:$AQ$437,T$7-1),0)+$F$341*IF(T$7-2&gt;=1,INDEX($D$437:$AQ$437,T$7-2),0)+$G$341*IF(T$7-3&gt;=1,INDEX($D$437:$AQ$437,T$7-3),0)+$H$341*IF(T$7-4&gt;=1,INDEX($D$437:$AQ$437,T$7-4),0)+$I$341*IF(T$7-5&gt;=1,INDEX($D$437:$AQ$437,T$7-5),0)+$J$341*IF(T$7-6&gt;=1,INDEX($D$437:$AQ$437,T$7-6),0)+$K$341*IF(T$7-7&gt;=1,INDEX($D$437:$AQ$437,T$7-7),0)+$L$341*IF(T$7-8&gt;=1,INDEX($D$437:$AQ$437,T$7-8),0)+$M$341*IF(T$7-9&gt;=1,INDEX($D$437:$AQ$437,T$7-9),0)+$N$341*IF(T$7-10&gt;=1,INDEX($D$437:$AQ$437,T$7-10),0)+$O$341*IF(T$7-11&gt;=1,INDEX($D$437:$AQ$437,T$7-11),0)+$P$341*IF(T$7-12&gt;=1,INDEX($D$437:$AQ$437,T$7-12),0)</f>
        <v>0</v>
      </c>
      <c r="U439" s="130" t="n">
        <f aca="false">$D$341*IF(U$7-0&gt;=1,INDEX($D$437:$AQ$437,U$7-0),0)+$E$341*IF(U$7-1&gt;=1,INDEX($D$437:$AQ$437,U$7-1),0)+$F$341*IF(U$7-2&gt;=1,INDEX($D$437:$AQ$437,U$7-2),0)+$G$341*IF(U$7-3&gt;=1,INDEX($D$437:$AQ$437,U$7-3),0)+$H$341*IF(U$7-4&gt;=1,INDEX($D$437:$AQ$437,U$7-4),0)+$I$341*IF(U$7-5&gt;=1,INDEX($D$437:$AQ$437,U$7-5),0)+$J$341*IF(U$7-6&gt;=1,INDEX($D$437:$AQ$437,U$7-6),0)+$K$341*IF(U$7-7&gt;=1,INDEX($D$437:$AQ$437,U$7-7),0)+$L$341*IF(U$7-8&gt;=1,INDEX($D$437:$AQ$437,U$7-8),0)+$M$341*IF(U$7-9&gt;=1,INDEX($D$437:$AQ$437,U$7-9),0)+$N$341*IF(U$7-10&gt;=1,INDEX($D$437:$AQ$437,U$7-10),0)+$O$341*IF(U$7-11&gt;=1,INDEX($D$437:$AQ$437,U$7-11),0)+$P$341*IF(U$7-12&gt;=1,INDEX($D$437:$AQ$437,U$7-12),0)</f>
        <v>0</v>
      </c>
      <c r="V439" s="130" t="n">
        <f aca="false">$D$341*IF(V$7-0&gt;=1,INDEX($D$437:$AQ$437,V$7-0),0)+$E$341*IF(V$7-1&gt;=1,INDEX($D$437:$AQ$437,V$7-1),0)+$F$341*IF(V$7-2&gt;=1,INDEX($D$437:$AQ$437,V$7-2),0)+$G$341*IF(V$7-3&gt;=1,INDEX($D$437:$AQ$437,V$7-3),0)+$H$341*IF(V$7-4&gt;=1,INDEX($D$437:$AQ$437,V$7-4),0)+$I$341*IF(V$7-5&gt;=1,INDEX($D$437:$AQ$437,V$7-5),0)+$J$341*IF(V$7-6&gt;=1,INDEX($D$437:$AQ$437,V$7-6),0)+$K$341*IF(V$7-7&gt;=1,INDEX($D$437:$AQ$437,V$7-7),0)+$L$341*IF(V$7-8&gt;=1,INDEX($D$437:$AQ$437,V$7-8),0)+$M$341*IF(V$7-9&gt;=1,INDEX($D$437:$AQ$437,V$7-9),0)+$N$341*IF(V$7-10&gt;=1,INDEX($D$437:$AQ$437,V$7-10),0)+$O$341*IF(V$7-11&gt;=1,INDEX($D$437:$AQ$437,V$7-11),0)+$P$341*IF(V$7-12&gt;=1,INDEX($D$437:$AQ$437,V$7-12),0)</f>
        <v>0</v>
      </c>
      <c r="W439" s="130" t="n">
        <f aca="false">$D$341*IF(W$7-0&gt;=1,INDEX($D$437:$AQ$437,W$7-0),0)+$E$341*IF(W$7-1&gt;=1,INDEX($D$437:$AQ$437,W$7-1),0)+$F$341*IF(W$7-2&gt;=1,INDEX($D$437:$AQ$437,W$7-2),0)+$G$341*IF(W$7-3&gt;=1,INDEX($D$437:$AQ$437,W$7-3),0)+$H$341*IF(W$7-4&gt;=1,INDEX($D$437:$AQ$437,W$7-4),0)+$I$341*IF(W$7-5&gt;=1,INDEX($D$437:$AQ$437,W$7-5),0)+$J$341*IF(W$7-6&gt;=1,INDEX($D$437:$AQ$437,W$7-6),0)+$K$341*IF(W$7-7&gt;=1,INDEX($D$437:$AQ$437,W$7-7),0)+$L$341*IF(W$7-8&gt;=1,INDEX($D$437:$AQ$437,W$7-8),0)+$M$341*IF(W$7-9&gt;=1,INDEX($D$437:$AQ$437,W$7-9),0)+$N$341*IF(W$7-10&gt;=1,INDEX($D$437:$AQ$437,W$7-10),0)+$O$341*IF(W$7-11&gt;=1,INDEX($D$437:$AQ$437,W$7-11),0)+$P$341*IF(W$7-12&gt;=1,INDEX($D$437:$AQ$437,W$7-12),0)</f>
        <v>0</v>
      </c>
      <c r="X439" s="130" t="n">
        <f aca="false">$D$341*IF(X$7-0&gt;=1,INDEX($D$437:$AQ$437,X$7-0),0)+$E$341*IF(X$7-1&gt;=1,INDEX($D$437:$AQ$437,X$7-1),0)+$F$341*IF(X$7-2&gt;=1,INDEX($D$437:$AQ$437,X$7-2),0)+$G$341*IF(X$7-3&gt;=1,INDEX($D$437:$AQ$437,X$7-3),0)+$H$341*IF(X$7-4&gt;=1,INDEX($D$437:$AQ$437,X$7-4),0)+$I$341*IF(X$7-5&gt;=1,INDEX($D$437:$AQ$437,X$7-5),0)+$J$341*IF(X$7-6&gt;=1,INDEX($D$437:$AQ$437,X$7-6),0)+$K$341*IF(X$7-7&gt;=1,INDEX($D$437:$AQ$437,X$7-7),0)+$L$341*IF(X$7-8&gt;=1,INDEX($D$437:$AQ$437,X$7-8),0)+$M$341*IF(X$7-9&gt;=1,INDEX($D$437:$AQ$437,X$7-9),0)+$N$341*IF(X$7-10&gt;=1,INDEX($D$437:$AQ$437,X$7-10),0)+$O$341*IF(X$7-11&gt;=1,INDEX($D$437:$AQ$437,X$7-11),0)+$P$341*IF(X$7-12&gt;=1,INDEX($D$437:$AQ$437,X$7-12),0)</f>
        <v>0</v>
      </c>
      <c r="Y439" s="130" t="n">
        <f aca="false">$D$341*IF(Y$7-0&gt;=1,INDEX($D$437:$AQ$437,Y$7-0),0)+$E$341*IF(Y$7-1&gt;=1,INDEX($D$437:$AQ$437,Y$7-1),0)+$F$341*IF(Y$7-2&gt;=1,INDEX($D$437:$AQ$437,Y$7-2),0)+$G$341*IF(Y$7-3&gt;=1,INDEX($D$437:$AQ$437,Y$7-3),0)+$H$341*IF(Y$7-4&gt;=1,INDEX($D$437:$AQ$437,Y$7-4),0)+$I$341*IF(Y$7-5&gt;=1,INDEX($D$437:$AQ$437,Y$7-5),0)+$J$341*IF(Y$7-6&gt;=1,INDEX($D$437:$AQ$437,Y$7-6),0)+$K$341*IF(Y$7-7&gt;=1,INDEX($D$437:$AQ$437,Y$7-7),0)+$L$341*IF(Y$7-8&gt;=1,INDEX($D$437:$AQ$437,Y$7-8),0)+$M$341*IF(Y$7-9&gt;=1,INDEX($D$437:$AQ$437,Y$7-9),0)+$N$341*IF(Y$7-10&gt;=1,INDEX($D$437:$AQ$437,Y$7-10),0)+$O$341*IF(Y$7-11&gt;=1,INDEX($D$437:$AQ$437,Y$7-11),0)+$P$341*IF(Y$7-12&gt;=1,INDEX($D$437:$AQ$437,Y$7-12),0)</f>
        <v>0</v>
      </c>
      <c r="Z439" s="130" t="n">
        <f aca="false">$D$341*IF(Z$7-0&gt;=1,INDEX($D$437:$AQ$437,Z$7-0),0)+$E$341*IF(Z$7-1&gt;=1,INDEX($D$437:$AQ$437,Z$7-1),0)+$F$341*IF(Z$7-2&gt;=1,INDEX($D$437:$AQ$437,Z$7-2),0)+$G$341*IF(Z$7-3&gt;=1,INDEX($D$437:$AQ$437,Z$7-3),0)+$H$341*IF(Z$7-4&gt;=1,INDEX($D$437:$AQ$437,Z$7-4),0)+$I$341*IF(Z$7-5&gt;=1,INDEX($D$437:$AQ$437,Z$7-5),0)+$J$341*IF(Z$7-6&gt;=1,INDEX($D$437:$AQ$437,Z$7-6),0)+$K$341*IF(Z$7-7&gt;=1,INDEX($D$437:$AQ$437,Z$7-7),0)+$L$341*IF(Z$7-8&gt;=1,INDEX($D$437:$AQ$437,Z$7-8),0)+$M$341*IF(Z$7-9&gt;=1,INDEX($D$437:$AQ$437,Z$7-9),0)+$N$341*IF(Z$7-10&gt;=1,INDEX($D$437:$AQ$437,Z$7-10),0)+$O$341*IF(Z$7-11&gt;=1,INDEX($D$437:$AQ$437,Z$7-11),0)+$P$341*IF(Z$7-12&gt;=1,INDEX($D$437:$AQ$437,Z$7-12),0)</f>
        <v>0</v>
      </c>
      <c r="AA439" s="130" t="n">
        <f aca="false">$D$341*IF(AA$7-0&gt;=1,INDEX($D$437:$AQ$437,AA$7-0),0)+$E$341*IF(AA$7-1&gt;=1,INDEX($D$437:$AQ$437,AA$7-1),0)+$F$341*IF(AA$7-2&gt;=1,INDEX($D$437:$AQ$437,AA$7-2),0)+$G$341*IF(AA$7-3&gt;=1,INDEX($D$437:$AQ$437,AA$7-3),0)+$H$341*IF(AA$7-4&gt;=1,INDEX($D$437:$AQ$437,AA$7-4),0)+$I$341*IF(AA$7-5&gt;=1,INDEX($D$437:$AQ$437,AA$7-5),0)+$J$341*IF(AA$7-6&gt;=1,INDEX($D$437:$AQ$437,AA$7-6),0)+$K$341*IF(AA$7-7&gt;=1,INDEX($D$437:$AQ$437,AA$7-7),0)+$L$341*IF(AA$7-8&gt;=1,INDEX($D$437:$AQ$437,AA$7-8),0)+$M$341*IF(AA$7-9&gt;=1,INDEX($D$437:$AQ$437,AA$7-9),0)+$N$341*IF(AA$7-10&gt;=1,INDEX($D$437:$AQ$437,AA$7-10),0)+$O$341*IF(AA$7-11&gt;=1,INDEX($D$437:$AQ$437,AA$7-11),0)+$P$341*IF(AA$7-12&gt;=1,INDEX($D$437:$AQ$437,AA$7-12),0)</f>
        <v>0</v>
      </c>
      <c r="AB439" s="130" t="n">
        <f aca="false">$D$341*IF(AB$7-0&gt;=1,INDEX($D$437:$AQ$437,AB$7-0),0)+$E$341*IF(AB$7-1&gt;=1,INDEX($D$437:$AQ$437,AB$7-1),0)+$F$341*IF(AB$7-2&gt;=1,INDEX($D$437:$AQ$437,AB$7-2),0)+$G$341*IF(AB$7-3&gt;=1,INDEX($D$437:$AQ$437,AB$7-3),0)+$H$341*IF(AB$7-4&gt;=1,INDEX($D$437:$AQ$437,AB$7-4),0)+$I$341*IF(AB$7-5&gt;=1,INDEX($D$437:$AQ$437,AB$7-5),0)+$J$341*IF(AB$7-6&gt;=1,INDEX($D$437:$AQ$437,AB$7-6),0)+$K$341*IF(AB$7-7&gt;=1,INDEX($D$437:$AQ$437,AB$7-7),0)+$L$341*IF(AB$7-8&gt;=1,INDEX($D$437:$AQ$437,AB$7-8),0)+$M$341*IF(AB$7-9&gt;=1,INDEX($D$437:$AQ$437,AB$7-9),0)+$N$341*IF(AB$7-10&gt;=1,INDEX($D$437:$AQ$437,AB$7-10),0)+$O$341*IF(AB$7-11&gt;=1,INDEX($D$437:$AQ$437,AB$7-11),0)+$P$341*IF(AB$7-12&gt;=1,INDEX($D$437:$AQ$437,AB$7-12),0)</f>
        <v>0</v>
      </c>
      <c r="AC439" s="130" t="n">
        <f aca="false">$D$341*IF(AC$7-0&gt;=1,INDEX($D$437:$AQ$437,AC$7-0),0)+$E$341*IF(AC$7-1&gt;=1,INDEX($D$437:$AQ$437,AC$7-1),0)+$F$341*IF(AC$7-2&gt;=1,INDEX($D$437:$AQ$437,AC$7-2),0)+$G$341*IF(AC$7-3&gt;=1,INDEX($D$437:$AQ$437,AC$7-3),0)+$H$341*IF(AC$7-4&gt;=1,INDEX($D$437:$AQ$437,AC$7-4),0)+$I$341*IF(AC$7-5&gt;=1,INDEX($D$437:$AQ$437,AC$7-5),0)+$J$341*IF(AC$7-6&gt;=1,INDEX($D$437:$AQ$437,AC$7-6),0)+$K$341*IF(AC$7-7&gt;=1,INDEX($D$437:$AQ$437,AC$7-7),0)+$L$341*IF(AC$7-8&gt;=1,INDEX($D$437:$AQ$437,AC$7-8),0)+$M$341*IF(AC$7-9&gt;=1,INDEX($D$437:$AQ$437,AC$7-9),0)+$N$341*IF(AC$7-10&gt;=1,INDEX($D$437:$AQ$437,AC$7-10),0)+$O$341*IF(AC$7-11&gt;=1,INDEX($D$437:$AQ$437,AC$7-11),0)+$P$341*IF(AC$7-12&gt;=1,INDEX($D$437:$AQ$437,AC$7-12),0)</f>
        <v>0</v>
      </c>
      <c r="AD439" s="130" t="n">
        <f aca="false">$D$341*IF(AD$7-0&gt;=1,INDEX($D$437:$AQ$437,AD$7-0),0)+$E$341*IF(AD$7-1&gt;=1,INDEX($D$437:$AQ$437,AD$7-1),0)+$F$341*IF(AD$7-2&gt;=1,INDEX($D$437:$AQ$437,AD$7-2),0)+$G$341*IF(AD$7-3&gt;=1,INDEX($D$437:$AQ$437,AD$7-3),0)+$H$341*IF(AD$7-4&gt;=1,INDEX($D$437:$AQ$437,AD$7-4),0)+$I$341*IF(AD$7-5&gt;=1,INDEX($D$437:$AQ$437,AD$7-5),0)+$J$341*IF(AD$7-6&gt;=1,INDEX($D$437:$AQ$437,AD$7-6),0)+$K$341*IF(AD$7-7&gt;=1,INDEX($D$437:$AQ$437,AD$7-7),0)+$L$341*IF(AD$7-8&gt;=1,INDEX($D$437:$AQ$437,AD$7-8),0)+$M$341*IF(AD$7-9&gt;=1,INDEX($D$437:$AQ$437,AD$7-9),0)+$N$341*IF(AD$7-10&gt;=1,INDEX($D$437:$AQ$437,AD$7-10),0)+$O$341*IF(AD$7-11&gt;=1,INDEX($D$437:$AQ$437,AD$7-11),0)+$P$341*IF(AD$7-12&gt;=1,INDEX($D$437:$AQ$437,AD$7-12),0)</f>
        <v>0</v>
      </c>
      <c r="AE439" s="130" t="n">
        <f aca="false">$D$341*IF(AE$7-0&gt;=1,INDEX($D$437:$AQ$437,AE$7-0),0)+$E$341*IF(AE$7-1&gt;=1,INDEX($D$437:$AQ$437,AE$7-1),0)+$F$341*IF(AE$7-2&gt;=1,INDEX($D$437:$AQ$437,AE$7-2),0)+$G$341*IF(AE$7-3&gt;=1,INDEX($D$437:$AQ$437,AE$7-3),0)+$H$341*IF(AE$7-4&gt;=1,INDEX($D$437:$AQ$437,AE$7-4),0)+$I$341*IF(AE$7-5&gt;=1,INDEX($D$437:$AQ$437,AE$7-5),0)+$J$341*IF(AE$7-6&gt;=1,INDEX($D$437:$AQ$437,AE$7-6),0)+$K$341*IF(AE$7-7&gt;=1,INDEX($D$437:$AQ$437,AE$7-7),0)+$L$341*IF(AE$7-8&gt;=1,INDEX($D$437:$AQ$437,AE$7-8),0)+$M$341*IF(AE$7-9&gt;=1,INDEX($D$437:$AQ$437,AE$7-9),0)+$N$341*IF(AE$7-10&gt;=1,INDEX($D$437:$AQ$437,AE$7-10),0)+$O$341*IF(AE$7-11&gt;=1,INDEX($D$437:$AQ$437,AE$7-11),0)+$P$341*IF(AE$7-12&gt;=1,INDEX($D$437:$AQ$437,AE$7-12),0)</f>
        <v>0</v>
      </c>
      <c r="AF439" s="130" t="n">
        <f aca="false">$D$341*IF(AF$7-0&gt;=1,INDEX($D$437:$AQ$437,AF$7-0),0)+$E$341*IF(AF$7-1&gt;=1,INDEX($D$437:$AQ$437,AF$7-1),0)+$F$341*IF(AF$7-2&gt;=1,INDEX($D$437:$AQ$437,AF$7-2),0)+$G$341*IF(AF$7-3&gt;=1,INDEX($D$437:$AQ$437,AF$7-3),0)+$H$341*IF(AF$7-4&gt;=1,INDEX($D$437:$AQ$437,AF$7-4),0)+$I$341*IF(AF$7-5&gt;=1,INDEX($D$437:$AQ$437,AF$7-5),0)+$J$341*IF(AF$7-6&gt;=1,INDEX($D$437:$AQ$437,AF$7-6),0)+$K$341*IF(AF$7-7&gt;=1,INDEX($D$437:$AQ$437,AF$7-7),0)+$L$341*IF(AF$7-8&gt;=1,INDEX($D$437:$AQ$437,AF$7-8),0)+$M$341*IF(AF$7-9&gt;=1,INDEX($D$437:$AQ$437,AF$7-9),0)+$N$341*IF(AF$7-10&gt;=1,INDEX($D$437:$AQ$437,AF$7-10),0)+$O$341*IF(AF$7-11&gt;=1,INDEX($D$437:$AQ$437,AF$7-11),0)+$P$341*IF(AF$7-12&gt;=1,INDEX($D$437:$AQ$437,AF$7-12),0)</f>
        <v>0</v>
      </c>
      <c r="AG439" s="130" t="n">
        <f aca="false">$D$341*IF(AG$7-0&gt;=1,INDEX($D$437:$AQ$437,AG$7-0),0)+$E$341*IF(AG$7-1&gt;=1,INDEX($D$437:$AQ$437,AG$7-1),0)+$F$341*IF(AG$7-2&gt;=1,INDEX($D$437:$AQ$437,AG$7-2),0)+$G$341*IF(AG$7-3&gt;=1,INDEX($D$437:$AQ$437,AG$7-3),0)+$H$341*IF(AG$7-4&gt;=1,INDEX($D$437:$AQ$437,AG$7-4),0)+$I$341*IF(AG$7-5&gt;=1,INDEX($D$437:$AQ$437,AG$7-5),0)+$J$341*IF(AG$7-6&gt;=1,INDEX($D$437:$AQ$437,AG$7-6),0)+$K$341*IF(AG$7-7&gt;=1,INDEX($D$437:$AQ$437,AG$7-7),0)+$L$341*IF(AG$7-8&gt;=1,INDEX($D$437:$AQ$437,AG$7-8),0)+$M$341*IF(AG$7-9&gt;=1,INDEX($D$437:$AQ$437,AG$7-9),0)+$N$341*IF(AG$7-10&gt;=1,INDEX($D$437:$AQ$437,AG$7-10),0)+$O$341*IF(AG$7-11&gt;=1,INDEX($D$437:$AQ$437,AG$7-11),0)+$P$341*IF(AG$7-12&gt;=1,INDEX($D$437:$AQ$437,AG$7-12),0)</f>
        <v>0</v>
      </c>
      <c r="AH439" s="130" t="n">
        <f aca="false">$D$341*IF(AH$7-0&gt;=1,INDEX($D$437:$AQ$437,AH$7-0),0)+$E$341*IF(AH$7-1&gt;=1,INDEX($D$437:$AQ$437,AH$7-1),0)+$F$341*IF(AH$7-2&gt;=1,INDEX($D$437:$AQ$437,AH$7-2),0)+$G$341*IF(AH$7-3&gt;=1,INDEX($D$437:$AQ$437,AH$7-3),0)+$H$341*IF(AH$7-4&gt;=1,INDEX($D$437:$AQ$437,AH$7-4),0)+$I$341*IF(AH$7-5&gt;=1,INDEX($D$437:$AQ$437,AH$7-5),0)+$J$341*IF(AH$7-6&gt;=1,INDEX($D$437:$AQ$437,AH$7-6),0)+$K$341*IF(AH$7-7&gt;=1,INDEX($D$437:$AQ$437,AH$7-7),0)+$L$341*IF(AH$7-8&gt;=1,INDEX($D$437:$AQ$437,AH$7-8),0)+$M$341*IF(AH$7-9&gt;=1,INDEX($D$437:$AQ$437,AH$7-9),0)+$N$341*IF(AH$7-10&gt;=1,INDEX($D$437:$AQ$437,AH$7-10),0)+$O$341*IF(AH$7-11&gt;=1,INDEX($D$437:$AQ$437,AH$7-11),0)+$P$341*IF(AH$7-12&gt;=1,INDEX($D$437:$AQ$437,AH$7-12),0)</f>
        <v>0</v>
      </c>
      <c r="AI439" s="130" t="n">
        <f aca="false">$D$341*IF(AI$7-0&gt;=1,INDEX($D$437:$AQ$437,AI$7-0),0)+$E$341*IF(AI$7-1&gt;=1,INDEX($D$437:$AQ$437,AI$7-1),0)+$F$341*IF(AI$7-2&gt;=1,INDEX($D$437:$AQ$437,AI$7-2),0)+$G$341*IF(AI$7-3&gt;=1,INDEX($D$437:$AQ$437,AI$7-3),0)+$H$341*IF(AI$7-4&gt;=1,INDEX($D$437:$AQ$437,AI$7-4),0)+$I$341*IF(AI$7-5&gt;=1,INDEX($D$437:$AQ$437,AI$7-5),0)+$J$341*IF(AI$7-6&gt;=1,INDEX($D$437:$AQ$437,AI$7-6),0)+$K$341*IF(AI$7-7&gt;=1,INDEX($D$437:$AQ$437,AI$7-7),0)+$L$341*IF(AI$7-8&gt;=1,INDEX($D$437:$AQ$437,AI$7-8),0)+$M$341*IF(AI$7-9&gt;=1,INDEX($D$437:$AQ$437,AI$7-9),0)+$N$341*IF(AI$7-10&gt;=1,INDEX($D$437:$AQ$437,AI$7-10),0)+$O$341*IF(AI$7-11&gt;=1,INDEX($D$437:$AQ$437,AI$7-11),0)+$P$341*IF(AI$7-12&gt;=1,INDEX($D$437:$AQ$437,AI$7-12),0)</f>
        <v>0</v>
      </c>
      <c r="AJ439" s="130" t="n">
        <f aca="false">$D$341*IF(AJ$7-0&gt;=1,INDEX($D$437:$AQ$437,AJ$7-0),0)+$E$341*IF(AJ$7-1&gt;=1,INDEX($D$437:$AQ$437,AJ$7-1),0)+$F$341*IF(AJ$7-2&gt;=1,INDEX($D$437:$AQ$437,AJ$7-2),0)+$G$341*IF(AJ$7-3&gt;=1,INDEX($D$437:$AQ$437,AJ$7-3),0)+$H$341*IF(AJ$7-4&gt;=1,INDEX($D$437:$AQ$437,AJ$7-4),0)+$I$341*IF(AJ$7-5&gt;=1,INDEX($D$437:$AQ$437,AJ$7-5),0)+$J$341*IF(AJ$7-6&gt;=1,INDEX($D$437:$AQ$437,AJ$7-6),0)+$K$341*IF(AJ$7-7&gt;=1,INDEX($D$437:$AQ$437,AJ$7-7),0)+$L$341*IF(AJ$7-8&gt;=1,INDEX($D$437:$AQ$437,AJ$7-8),0)+$M$341*IF(AJ$7-9&gt;=1,INDEX($D$437:$AQ$437,AJ$7-9),0)+$N$341*IF(AJ$7-10&gt;=1,INDEX($D$437:$AQ$437,AJ$7-10),0)+$O$341*IF(AJ$7-11&gt;=1,INDEX($D$437:$AQ$437,AJ$7-11),0)+$P$341*IF(AJ$7-12&gt;=1,INDEX($D$437:$AQ$437,AJ$7-12),0)</f>
        <v>0</v>
      </c>
      <c r="AK439" s="130" t="n">
        <f aca="false">$D$341*IF(AK$7-0&gt;=1,INDEX($D$437:$AQ$437,AK$7-0),0)+$E$341*IF(AK$7-1&gt;=1,INDEX($D$437:$AQ$437,AK$7-1),0)+$F$341*IF(AK$7-2&gt;=1,INDEX($D$437:$AQ$437,AK$7-2),0)+$G$341*IF(AK$7-3&gt;=1,INDEX($D$437:$AQ$437,AK$7-3),0)+$H$341*IF(AK$7-4&gt;=1,INDEX($D$437:$AQ$437,AK$7-4),0)+$I$341*IF(AK$7-5&gt;=1,INDEX($D$437:$AQ$437,AK$7-5),0)+$J$341*IF(AK$7-6&gt;=1,INDEX($D$437:$AQ$437,AK$7-6),0)+$K$341*IF(AK$7-7&gt;=1,INDEX($D$437:$AQ$437,AK$7-7),0)+$L$341*IF(AK$7-8&gt;=1,INDEX($D$437:$AQ$437,AK$7-8),0)+$M$341*IF(AK$7-9&gt;=1,INDEX($D$437:$AQ$437,AK$7-9),0)+$N$341*IF(AK$7-10&gt;=1,INDEX($D$437:$AQ$437,AK$7-10),0)+$O$341*IF(AK$7-11&gt;=1,INDEX($D$437:$AQ$437,AK$7-11),0)+$P$341*IF(AK$7-12&gt;=1,INDEX($D$437:$AQ$437,AK$7-12),0)</f>
        <v>0</v>
      </c>
      <c r="AL439" s="130" t="n">
        <f aca="false">$D$341*IF(AL$7-0&gt;=1,INDEX($D$437:$AQ$437,AL$7-0),0)+$E$341*IF(AL$7-1&gt;=1,INDEX($D$437:$AQ$437,AL$7-1),0)+$F$341*IF(AL$7-2&gt;=1,INDEX($D$437:$AQ$437,AL$7-2),0)+$G$341*IF(AL$7-3&gt;=1,INDEX($D$437:$AQ$437,AL$7-3),0)+$H$341*IF(AL$7-4&gt;=1,INDEX($D$437:$AQ$437,AL$7-4),0)+$I$341*IF(AL$7-5&gt;=1,INDEX($D$437:$AQ$437,AL$7-5),0)+$J$341*IF(AL$7-6&gt;=1,INDEX($D$437:$AQ$437,AL$7-6),0)+$K$341*IF(AL$7-7&gt;=1,INDEX($D$437:$AQ$437,AL$7-7),0)+$L$341*IF(AL$7-8&gt;=1,INDEX($D$437:$AQ$437,AL$7-8),0)+$M$341*IF(AL$7-9&gt;=1,INDEX($D$437:$AQ$437,AL$7-9),0)+$N$341*IF(AL$7-10&gt;=1,INDEX($D$437:$AQ$437,AL$7-10),0)+$O$341*IF(AL$7-11&gt;=1,INDEX($D$437:$AQ$437,AL$7-11),0)+$P$341*IF(AL$7-12&gt;=1,INDEX($D$437:$AQ$437,AL$7-12),0)</f>
        <v>0</v>
      </c>
      <c r="AM439" s="130" t="n">
        <f aca="false">$D$341*IF(AM$7-0&gt;=1,INDEX($D$437:$AQ$437,AM$7-0),0)+$E$341*IF(AM$7-1&gt;=1,INDEX($D$437:$AQ$437,AM$7-1),0)+$F$341*IF(AM$7-2&gt;=1,INDEX($D$437:$AQ$437,AM$7-2),0)+$G$341*IF(AM$7-3&gt;=1,INDEX($D$437:$AQ$437,AM$7-3),0)+$H$341*IF(AM$7-4&gt;=1,INDEX($D$437:$AQ$437,AM$7-4),0)+$I$341*IF(AM$7-5&gt;=1,INDEX($D$437:$AQ$437,AM$7-5),0)+$J$341*IF(AM$7-6&gt;=1,INDEX($D$437:$AQ$437,AM$7-6),0)+$K$341*IF(AM$7-7&gt;=1,INDEX($D$437:$AQ$437,AM$7-7),0)+$L$341*IF(AM$7-8&gt;=1,INDEX($D$437:$AQ$437,AM$7-8),0)+$M$341*IF(AM$7-9&gt;=1,INDEX($D$437:$AQ$437,AM$7-9),0)+$N$341*IF(AM$7-10&gt;=1,INDEX($D$437:$AQ$437,AM$7-10),0)+$O$341*IF(AM$7-11&gt;=1,INDEX($D$437:$AQ$437,AM$7-11),0)+$P$341*IF(AM$7-12&gt;=1,INDEX($D$437:$AQ$437,AM$7-12),0)</f>
        <v>0</v>
      </c>
      <c r="AN439" s="130" t="n">
        <f aca="false">$D$341*IF(AN$7-0&gt;=1,INDEX($D$437:$AQ$437,AN$7-0),0)+$E$341*IF(AN$7-1&gt;=1,INDEX($D$437:$AQ$437,AN$7-1),0)+$F$341*IF(AN$7-2&gt;=1,INDEX($D$437:$AQ$437,AN$7-2),0)+$G$341*IF(AN$7-3&gt;=1,INDEX($D$437:$AQ$437,AN$7-3),0)+$H$341*IF(AN$7-4&gt;=1,INDEX($D$437:$AQ$437,AN$7-4),0)+$I$341*IF(AN$7-5&gt;=1,INDEX($D$437:$AQ$437,AN$7-5),0)+$J$341*IF(AN$7-6&gt;=1,INDEX($D$437:$AQ$437,AN$7-6),0)+$K$341*IF(AN$7-7&gt;=1,INDEX($D$437:$AQ$437,AN$7-7),0)+$L$341*IF(AN$7-8&gt;=1,INDEX($D$437:$AQ$437,AN$7-8),0)+$M$341*IF(AN$7-9&gt;=1,INDEX($D$437:$AQ$437,AN$7-9),0)+$N$341*IF(AN$7-10&gt;=1,INDEX($D$437:$AQ$437,AN$7-10),0)+$O$341*IF(AN$7-11&gt;=1,INDEX($D$437:$AQ$437,AN$7-11),0)+$P$341*IF(AN$7-12&gt;=1,INDEX($D$437:$AQ$437,AN$7-12),0)</f>
        <v>0</v>
      </c>
      <c r="AO439" s="130" t="n">
        <f aca="false">$D$341*IF(AO$7-0&gt;=1,INDEX($D$437:$AQ$437,AO$7-0),0)+$E$341*IF(AO$7-1&gt;=1,INDEX($D$437:$AQ$437,AO$7-1),0)+$F$341*IF(AO$7-2&gt;=1,INDEX($D$437:$AQ$437,AO$7-2),0)+$G$341*IF(AO$7-3&gt;=1,INDEX($D$437:$AQ$437,AO$7-3),0)+$H$341*IF(AO$7-4&gt;=1,INDEX($D$437:$AQ$437,AO$7-4),0)+$I$341*IF(AO$7-5&gt;=1,INDEX($D$437:$AQ$437,AO$7-5),0)+$J$341*IF(AO$7-6&gt;=1,INDEX($D$437:$AQ$437,AO$7-6),0)+$K$341*IF(AO$7-7&gt;=1,INDEX($D$437:$AQ$437,AO$7-7),0)+$L$341*IF(AO$7-8&gt;=1,INDEX($D$437:$AQ$437,AO$7-8),0)+$M$341*IF(AO$7-9&gt;=1,INDEX($D$437:$AQ$437,AO$7-9),0)+$N$341*IF(AO$7-10&gt;=1,INDEX($D$437:$AQ$437,AO$7-10),0)+$O$341*IF(AO$7-11&gt;=1,INDEX($D$437:$AQ$437,AO$7-11),0)+$P$341*IF(AO$7-12&gt;=1,INDEX($D$437:$AQ$437,AO$7-12),0)</f>
        <v>0</v>
      </c>
      <c r="AP439" s="130" t="n">
        <f aca="false">$D$341*IF(AP$7-0&gt;=1,INDEX($D$437:$AQ$437,AP$7-0),0)+$E$341*IF(AP$7-1&gt;=1,INDEX($D$437:$AQ$437,AP$7-1),0)+$F$341*IF(AP$7-2&gt;=1,INDEX($D$437:$AQ$437,AP$7-2),0)+$G$341*IF(AP$7-3&gt;=1,INDEX($D$437:$AQ$437,AP$7-3),0)+$H$341*IF(AP$7-4&gt;=1,INDEX($D$437:$AQ$437,AP$7-4),0)+$I$341*IF(AP$7-5&gt;=1,INDEX($D$437:$AQ$437,AP$7-5),0)+$J$341*IF(AP$7-6&gt;=1,INDEX($D$437:$AQ$437,AP$7-6),0)+$K$341*IF(AP$7-7&gt;=1,INDEX($D$437:$AQ$437,AP$7-7),0)+$L$341*IF(AP$7-8&gt;=1,INDEX($D$437:$AQ$437,AP$7-8),0)+$M$341*IF(AP$7-9&gt;=1,INDEX($D$437:$AQ$437,AP$7-9),0)+$N$341*IF(AP$7-10&gt;=1,INDEX($D$437:$AQ$437,AP$7-10),0)+$O$341*IF(AP$7-11&gt;=1,INDEX($D$437:$AQ$437,AP$7-11),0)+$P$341*IF(AP$7-12&gt;=1,INDEX($D$437:$AQ$437,AP$7-12),0)</f>
        <v>0</v>
      </c>
      <c r="AQ439" s="130" t="n">
        <f aca="false">$D$341*IF(AQ$7-0&gt;=1,INDEX($D$437:$AQ$437,AQ$7-0),0)+$E$341*IF(AQ$7-1&gt;=1,INDEX($D$437:$AQ$437,AQ$7-1),0)+$F$341*IF(AQ$7-2&gt;=1,INDEX($D$437:$AQ$437,AQ$7-2),0)+$G$341*IF(AQ$7-3&gt;=1,INDEX($D$437:$AQ$437,AQ$7-3),0)+$H$341*IF(AQ$7-4&gt;=1,INDEX($D$437:$AQ$437,AQ$7-4),0)+$I$341*IF(AQ$7-5&gt;=1,INDEX($D$437:$AQ$437,AQ$7-5),0)+$J$341*IF(AQ$7-6&gt;=1,INDEX($D$437:$AQ$437,AQ$7-6),0)+$K$341*IF(AQ$7-7&gt;=1,INDEX($D$437:$AQ$437,AQ$7-7),0)+$L$341*IF(AQ$7-8&gt;=1,INDEX($D$437:$AQ$437,AQ$7-8),0)+$M$341*IF(AQ$7-9&gt;=1,INDEX($D$437:$AQ$437,AQ$7-9),0)+$N$341*IF(AQ$7-10&gt;=1,INDEX($D$437:$AQ$437,AQ$7-10),0)+$O$341*IF(AQ$7-11&gt;=1,INDEX($D$437:$AQ$437,AQ$7-11),0)+$P$341*IF(AQ$7-12&gt;=1,INDEX($D$437:$AQ$437,AQ$7-12),0)</f>
        <v>0</v>
      </c>
    </row>
    <row r="440" customFormat="false" ht="15" hidden="false" customHeight="false" outlineLevel="0" collapsed="false">
      <c r="B440" s="131" t="s">
        <v>715</v>
      </c>
      <c r="C440" s="129" t="n">
        <f aca="false">SUM(D440:AQ440)</f>
        <v>0</v>
      </c>
      <c r="D440" s="130" t="n">
        <f aca="false">SUMIFS($E$311:$E$340,$C$311:$C$340,"Construction % complete",$F$311:$F$340,D$7)*IF(D$7-INPUTS!$C$215&gt;=1,INDEX($D$438:$AQ$438,D$7-INPUTS!$C$215),0)+SUMIFS($E$311:$E$340,$C$311:$C$340,"Construction % complete",$F$311:$F$340,"&lt;"&amp;D$7)*IF(D$7-INPUTS!$C$215&gt;=1,INDEX($D$437:$AQ$437,D$7-INPUTS!$C$215),0)</f>
        <v>0</v>
      </c>
      <c r="E440" s="130" t="n">
        <f aca="false">SUMIFS($E$311:$E$340,$C$311:$C$340,"Construction % complete",$F$311:$F$340,E$7)*IF(E$7-INPUTS!$C$215&gt;=1,INDEX($D$438:$AQ$438,E$7-INPUTS!$C$215),0)+SUMIFS($E$311:$E$340,$C$311:$C$340,"Construction % complete",$F$311:$F$340,"&lt;"&amp;E$7)*IF(E$7-INPUTS!$C$215&gt;=1,INDEX($D$437:$AQ$437,E$7-INPUTS!$C$215),0)</f>
        <v>0</v>
      </c>
      <c r="F440" s="130" t="n">
        <f aca="false">SUMIFS($E$311:$E$340,$C$311:$C$340,"Construction % complete",$F$311:$F$340,F$7)*IF(F$7-INPUTS!$C$215&gt;=1,INDEX($D$438:$AQ$438,F$7-INPUTS!$C$215),0)+SUMIFS($E$311:$E$340,$C$311:$C$340,"Construction % complete",$F$311:$F$340,"&lt;"&amp;F$7)*IF(F$7-INPUTS!$C$215&gt;=1,INDEX($D$437:$AQ$437,F$7-INPUTS!$C$215),0)</f>
        <v>0</v>
      </c>
      <c r="G440" s="130" t="n">
        <f aca="false">SUMIFS($E$311:$E$340,$C$311:$C$340,"Construction % complete",$F$311:$F$340,G$7)*IF(G$7-INPUTS!$C$215&gt;=1,INDEX($D$438:$AQ$438,G$7-INPUTS!$C$215),0)+SUMIFS($E$311:$E$340,$C$311:$C$340,"Construction % complete",$F$311:$F$340,"&lt;"&amp;G$7)*IF(G$7-INPUTS!$C$215&gt;=1,INDEX($D$437:$AQ$437,G$7-INPUTS!$C$215),0)</f>
        <v>0</v>
      </c>
      <c r="H440" s="130" t="n">
        <f aca="false">SUMIFS($E$311:$E$340,$C$311:$C$340,"Construction % complete",$F$311:$F$340,H$7)*IF(H$7-INPUTS!$C$215&gt;=1,INDEX($D$438:$AQ$438,H$7-INPUTS!$C$215),0)+SUMIFS($E$311:$E$340,$C$311:$C$340,"Construction % complete",$F$311:$F$340,"&lt;"&amp;H$7)*IF(H$7-INPUTS!$C$215&gt;=1,INDEX($D$437:$AQ$437,H$7-INPUTS!$C$215),0)</f>
        <v>0</v>
      </c>
      <c r="I440" s="130" t="n">
        <f aca="false">SUMIFS($E$311:$E$340,$C$311:$C$340,"Construction % complete",$F$311:$F$340,I$7)*IF(I$7-INPUTS!$C$215&gt;=1,INDEX($D$438:$AQ$438,I$7-INPUTS!$C$215),0)+SUMIFS($E$311:$E$340,$C$311:$C$340,"Construction % complete",$F$311:$F$340,"&lt;"&amp;I$7)*IF(I$7-INPUTS!$C$215&gt;=1,INDEX($D$437:$AQ$437,I$7-INPUTS!$C$215),0)</f>
        <v>0</v>
      </c>
      <c r="J440" s="130" t="n">
        <f aca="false">SUMIFS($E$311:$E$340,$C$311:$C$340,"Construction % complete",$F$311:$F$340,J$7)*IF(J$7-INPUTS!$C$215&gt;=1,INDEX($D$438:$AQ$438,J$7-INPUTS!$C$215),0)+SUMIFS($E$311:$E$340,$C$311:$C$340,"Construction % complete",$F$311:$F$340,"&lt;"&amp;J$7)*IF(J$7-INPUTS!$C$215&gt;=1,INDEX($D$437:$AQ$437,J$7-INPUTS!$C$215),0)</f>
        <v>0</v>
      </c>
      <c r="K440" s="130" t="n">
        <f aca="false">SUMIFS($E$311:$E$340,$C$311:$C$340,"Construction % complete",$F$311:$F$340,K$7)*IF(K$7-INPUTS!$C$215&gt;=1,INDEX($D$438:$AQ$438,K$7-INPUTS!$C$215),0)+SUMIFS($E$311:$E$340,$C$311:$C$340,"Construction % complete",$F$311:$F$340,"&lt;"&amp;K$7)*IF(K$7-INPUTS!$C$215&gt;=1,INDEX($D$437:$AQ$437,K$7-INPUTS!$C$215),0)</f>
        <v>0</v>
      </c>
      <c r="L440" s="130" t="n">
        <f aca="false">SUMIFS($E$311:$E$340,$C$311:$C$340,"Construction % complete",$F$311:$F$340,L$7)*IF(L$7-INPUTS!$C$215&gt;=1,INDEX($D$438:$AQ$438,L$7-INPUTS!$C$215),0)+SUMIFS($E$311:$E$340,$C$311:$C$340,"Construction % complete",$F$311:$F$340,"&lt;"&amp;L$7)*IF(L$7-INPUTS!$C$215&gt;=1,INDEX($D$437:$AQ$437,L$7-INPUTS!$C$215),0)</f>
        <v>0</v>
      </c>
      <c r="M440" s="130" t="n">
        <f aca="false">SUMIFS($E$311:$E$340,$C$311:$C$340,"Construction % complete",$F$311:$F$340,M$7)*IF(M$7-INPUTS!$C$215&gt;=1,INDEX($D$438:$AQ$438,M$7-INPUTS!$C$215),0)+SUMIFS($E$311:$E$340,$C$311:$C$340,"Construction % complete",$F$311:$F$340,"&lt;"&amp;M$7)*IF(M$7-INPUTS!$C$215&gt;=1,INDEX($D$437:$AQ$437,M$7-INPUTS!$C$215),0)</f>
        <v>0</v>
      </c>
      <c r="N440" s="130" t="n">
        <f aca="false">SUMIFS($E$311:$E$340,$C$311:$C$340,"Construction % complete",$F$311:$F$340,N$7)*IF(N$7-INPUTS!$C$215&gt;=1,INDEX($D$438:$AQ$438,N$7-INPUTS!$C$215),0)+SUMIFS($E$311:$E$340,$C$311:$C$340,"Construction % complete",$F$311:$F$340,"&lt;"&amp;N$7)*IF(N$7-INPUTS!$C$215&gt;=1,INDEX($D$437:$AQ$437,N$7-INPUTS!$C$215),0)</f>
        <v>0</v>
      </c>
      <c r="O440" s="130" t="n">
        <f aca="false">SUMIFS($E$311:$E$340,$C$311:$C$340,"Construction % complete",$F$311:$F$340,O$7)*IF(O$7-INPUTS!$C$215&gt;=1,INDEX($D$438:$AQ$438,O$7-INPUTS!$C$215),0)+SUMIFS($E$311:$E$340,$C$311:$C$340,"Construction % complete",$F$311:$F$340,"&lt;"&amp;O$7)*IF(O$7-INPUTS!$C$215&gt;=1,INDEX($D$437:$AQ$437,O$7-INPUTS!$C$215),0)</f>
        <v>0</v>
      </c>
      <c r="P440" s="130" t="n">
        <f aca="false">SUMIFS($E$311:$E$340,$C$311:$C$340,"Construction % complete",$F$311:$F$340,P$7)*IF(P$7-INPUTS!$C$215&gt;=1,INDEX($D$438:$AQ$438,P$7-INPUTS!$C$215),0)+SUMIFS($E$311:$E$340,$C$311:$C$340,"Construction % complete",$F$311:$F$340,"&lt;"&amp;P$7)*IF(P$7-INPUTS!$C$215&gt;=1,INDEX($D$437:$AQ$437,P$7-INPUTS!$C$215),0)</f>
        <v>0</v>
      </c>
      <c r="Q440" s="130" t="n">
        <f aca="false">SUMIFS($E$311:$E$340,$C$311:$C$340,"Construction % complete",$F$311:$F$340,Q$7)*IF(Q$7-INPUTS!$C$215&gt;=1,INDEX($D$438:$AQ$438,Q$7-INPUTS!$C$215),0)+SUMIFS($E$311:$E$340,$C$311:$C$340,"Construction % complete",$F$311:$F$340,"&lt;"&amp;Q$7)*IF(Q$7-INPUTS!$C$215&gt;=1,INDEX($D$437:$AQ$437,Q$7-INPUTS!$C$215),0)</f>
        <v>0</v>
      </c>
      <c r="R440" s="130" t="n">
        <f aca="false">SUMIFS($E$311:$E$340,$C$311:$C$340,"Construction % complete",$F$311:$F$340,R$7)*IF(R$7-INPUTS!$C$215&gt;=1,INDEX($D$438:$AQ$438,R$7-INPUTS!$C$215),0)+SUMIFS($E$311:$E$340,$C$311:$C$340,"Construction % complete",$F$311:$F$340,"&lt;"&amp;R$7)*IF(R$7-INPUTS!$C$215&gt;=1,INDEX($D$437:$AQ$437,R$7-INPUTS!$C$215),0)</f>
        <v>0</v>
      </c>
      <c r="S440" s="130" t="n">
        <f aca="false">SUMIFS($E$311:$E$340,$C$311:$C$340,"Construction % complete",$F$311:$F$340,S$7)*IF(S$7-INPUTS!$C$215&gt;=1,INDEX($D$438:$AQ$438,S$7-INPUTS!$C$215),0)+SUMIFS($E$311:$E$340,$C$311:$C$340,"Construction % complete",$F$311:$F$340,"&lt;"&amp;S$7)*IF(S$7-INPUTS!$C$215&gt;=1,INDEX($D$437:$AQ$437,S$7-INPUTS!$C$215),0)</f>
        <v>0</v>
      </c>
      <c r="T440" s="130" t="n">
        <f aca="false">SUMIFS($E$311:$E$340,$C$311:$C$340,"Construction % complete",$F$311:$F$340,T$7)*IF(T$7-INPUTS!$C$215&gt;=1,INDEX($D$438:$AQ$438,T$7-INPUTS!$C$215),0)+SUMIFS($E$311:$E$340,$C$311:$C$340,"Construction % complete",$F$311:$F$340,"&lt;"&amp;T$7)*IF(T$7-INPUTS!$C$215&gt;=1,INDEX($D$437:$AQ$437,T$7-INPUTS!$C$215),0)</f>
        <v>0</v>
      </c>
      <c r="U440" s="130" t="n">
        <f aca="false">SUMIFS($E$311:$E$340,$C$311:$C$340,"Construction % complete",$F$311:$F$340,U$7)*IF(U$7-INPUTS!$C$215&gt;=1,INDEX($D$438:$AQ$438,U$7-INPUTS!$C$215),0)+SUMIFS($E$311:$E$340,$C$311:$C$340,"Construction % complete",$F$311:$F$340,"&lt;"&amp;U$7)*IF(U$7-INPUTS!$C$215&gt;=1,INDEX($D$437:$AQ$437,U$7-INPUTS!$C$215),0)</f>
        <v>0</v>
      </c>
      <c r="V440" s="130" t="n">
        <f aca="false">SUMIFS($E$311:$E$340,$C$311:$C$340,"Construction % complete",$F$311:$F$340,V$7)*IF(V$7-INPUTS!$C$215&gt;=1,INDEX($D$438:$AQ$438,V$7-INPUTS!$C$215),0)+SUMIFS($E$311:$E$340,$C$311:$C$340,"Construction % complete",$F$311:$F$340,"&lt;"&amp;V$7)*IF(V$7-INPUTS!$C$215&gt;=1,INDEX($D$437:$AQ$437,V$7-INPUTS!$C$215),0)</f>
        <v>0</v>
      </c>
      <c r="W440" s="130" t="n">
        <f aca="false">SUMIFS($E$311:$E$340,$C$311:$C$340,"Construction % complete",$F$311:$F$340,W$7)*IF(W$7-INPUTS!$C$215&gt;=1,INDEX($D$438:$AQ$438,W$7-INPUTS!$C$215),0)+SUMIFS($E$311:$E$340,$C$311:$C$340,"Construction % complete",$F$311:$F$340,"&lt;"&amp;W$7)*IF(W$7-INPUTS!$C$215&gt;=1,INDEX($D$437:$AQ$437,W$7-INPUTS!$C$215),0)</f>
        <v>0</v>
      </c>
      <c r="X440" s="130" t="n">
        <f aca="false">SUMIFS($E$311:$E$340,$C$311:$C$340,"Construction % complete",$F$311:$F$340,X$7)*IF(X$7-INPUTS!$C$215&gt;=1,INDEX($D$438:$AQ$438,X$7-INPUTS!$C$215),0)+SUMIFS($E$311:$E$340,$C$311:$C$340,"Construction % complete",$F$311:$F$340,"&lt;"&amp;X$7)*IF(X$7-INPUTS!$C$215&gt;=1,INDEX($D$437:$AQ$437,X$7-INPUTS!$C$215),0)</f>
        <v>0</v>
      </c>
      <c r="Y440" s="130" t="n">
        <f aca="false">SUMIFS($E$311:$E$340,$C$311:$C$340,"Construction % complete",$F$311:$F$340,Y$7)*IF(Y$7-INPUTS!$C$215&gt;=1,INDEX($D$438:$AQ$438,Y$7-INPUTS!$C$215),0)+SUMIFS($E$311:$E$340,$C$311:$C$340,"Construction % complete",$F$311:$F$340,"&lt;"&amp;Y$7)*IF(Y$7-INPUTS!$C$215&gt;=1,INDEX($D$437:$AQ$437,Y$7-INPUTS!$C$215),0)</f>
        <v>0</v>
      </c>
      <c r="Z440" s="130" t="n">
        <f aca="false">SUMIFS($E$311:$E$340,$C$311:$C$340,"Construction % complete",$F$311:$F$340,Z$7)*IF(Z$7-INPUTS!$C$215&gt;=1,INDEX($D$438:$AQ$438,Z$7-INPUTS!$C$215),0)+SUMIFS($E$311:$E$340,$C$311:$C$340,"Construction % complete",$F$311:$F$340,"&lt;"&amp;Z$7)*IF(Z$7-INPUTS!$C$215&gt;=1,INDEX($D$437:$AQ$437,Z$7-INPUTS!$C$215),0)</f>
        <v>0</v>
      </c>
      <c r="AA440" s="130" t="n">
        <f aca="false">SUMIFS($E$311:$E$340,$C$311:$C$340,"Construction % complete",$F$311:$F$340,AA$7)*IF(AA$7-INPUTS!$C$215&gt;=1,INDEX($D$438:$AQ$438,AA$7-INPUTS!$C$215),0)+SUMIFS($E$311:$E$340,$C$311:$C$340,"Construction % complete",$F$311:$F$340,"&lt;"&amp;AA$7)*IF(AA$7-INPUTS!$C$215&gt;=1,INDEX($D$437:$AQ$437,AA$7-INPUTS!$C$215),0)</f>
        <v>0</v>
      </c>
      <c r="AB440" s="130" t="n">
        <f aca="false">SUMIFS($E$311:$E$340,$C$311:$C$340,"Construction % complete",$F$311:$F$340,AB$7)*IF(AB$7-INPUTS!$C$215&gt;=1,INDEX($D$438:$AQ$438,AB$7-INPUTS!$C$215),0)+SUMIFS($E$311:$E$340,$C$311:$C$340,"Construction % complete",$F$311:$F$340,"&lt;"&amp;AB$7)*IF(AB$7-INPUTS!$C$215&gt;=1,INDEX($D$437:$AQ$437,AB$7-INPUTS!$C$215),0)</f>
        <v>0</v>
      </c>
      <c r="AC440" s="130" t="n">
        <f aca="false">SUMIFS($E$311:$E$340,$C$311:$C$340,"Construction % complete",$F$311:$F$340,AC$7)*IF(AC$7-INPUTS!$C$215&gt;=1,INDEX($D$438:$AQ$438,AC$7-INPUTS!$C$215),0)+SUMIFS($E$311:$E$340,$C$311:$C$340,"Construction % complete",$F$311:$F$340,"&lt;"&amp;AC$7)*IF(AC$7-INPUTS!$C$215&gt;=1,INDEX($D$437:$AQ$437,AC$7-INPUTS!$C$215),0)</f>
        <v>0</v>
      </c>
      <c r="AD440" s="130" t="n">
        <f aca="false">SUMIFS($E$311:$E$340,$C$311:$C$340,"Construction % complete",$F$311:$F$340,AD$7)*IF(AD$7-INPUTS!$C$215&gt;=1,INDEX($D$438:$AQ$438,AD$7-INPUTS!$C$215),0)+SUMIFS($E$311:$E$340,$C$311:$C$340,"Construction % complete",$F$311:$F$340,"&lt;"&amp;AD$7)*IF(AD$7-INPUTS!$C$215&gt;=1,INDEX($D$437:$AQ$437,AD$7-INPUTS!$C$215),0)</f>
        <v>0</v>
      </c>
      <c r="AE440" s="130" t="n">
        <f aca="false">SUMIFS($E$311:$E$340,$C$311:$C$340,"Construction % complete",$F$311:$F$340,AE$7)*IF(AE$7-INPUTS!$C$215&gt;=1,INDEX($D$438:$AQ$438,AE$7-INPUTS!$C$215),0)+SUMIFS($E$311:$E$340,$C$311:$C$340,"Construction % complete",$F$311:$F$340,"&lt;"&amp;AE$7)*IF(AE$7-INPUTS!$C$215&gt;=1,INDEX($D$437:$AQ$437,AE$7-INPUTS!$C$215),0)</f>
        <v>0</v>
      </c>
      <c r="AF440" s="130" t="n">
        <f aca="false">SUMIFS($E$311:$E$340,$C$311:$C$340,"Construction % complete",$F$311:$F$340,AF$7)*IF(AF$7-INPUTS!$C$215&gt;=1,INDEX($D$438:$AQ$438,AF$7-INPUTS!$C$215),0)+SUMIFS($E$311:$E$340,$C$311:$C$340,"Construction % complete",$F$311:$F$340,"&lt;"&amp;AF$7)*IF(AF$7-INPUTS!$C$215&gt;=1,INDEX($D$437:$AQ$437,AF$7-INPUTS!$C$215),0)</f>
        <v>0</v>
      </c>
      <c r="AG440" s="130" t="n">
        <f aca="false">SUMIFS($E$311:$E$340,$C$311:$C$340,"Construction % complete",$F$311:$F$340,AG$7)*IF(AG$7-INPUTS!$C$215&gt;=1,INDEX($D$438:$AQ$438,AG$7-INPUTS!$C$215),0)+SUMIFS($E$311:$E$340,$C$311:$C$340,"Construction % complete",$F$311:$F$340,"&lt;"&amp;AG$7)*IF(AG$7-INPUTS!$C$215&gt;=1,INDEX($D$437:$AQ$437,AG$7-INPUTS!$C$215),0)</f>
        <v>0</v>
      </c>
      <c r="AH440" s="130" t="n">
        <f aca="false">SUMIFS($E$311:$E$340,$C$311:$C$340,"Construction % complete",$F$311:$F$340,AH$7)*IF(AH$7-INPUTS!$C$215&gt;=1,INDEX($D$438:$AQ$438,AH$7-INPUTS!$C$215),0)+SUMIFS($E$311:$E$340,$C$311:$C$340,"Construction % complete",$F$311:$F$340,"&lt;"&amp;AH$7)*IF(AH$7-INPUTS!$C$215&gt;=1,INDEX($D$437:$AQ$437,AH$7-INPUTS!$C$215),0)</f>
        <v>0</v>
      </c>
      <c r="AI440" s="130" t="n">
        <f aca="false">SUMIFS($E$311:$E$340,$C$311:$C$340,"Construction % complete",$F$311:$F$340,AI$7)*IF(AI$7-INPUTS!$C$215&gt;=1,INDEX($D$438:$AQ$438,AI$7-INPUTS!$C$215),0)+SUMIFS($E$311:$E$340,$C$311:$C$340,"Construction % complete",$F$311:$F$340,"&lt;"&amp;AI$7)*IF(AI$7-INPUTS!$C$215&gt;=1,INDEX($D$437:$AQ$437,AI$7-INPUTS!$C$215),0)</f>
        <v>0</v>
      </c>
      <c r="AJ440" s="130" t="n">
        <f aca="false">SUMIFS($E$311:$E$340,$C$311:$C$340,"Construction % complete",$F$311:$F$340,AJ$7)*IF(AJ$7-INPUTS!$C$215&gt;=1,INDEX($D$438:$AQ$438,AJ$7-INPUTS!$C$215),0)+SUMIFS($E$311:$E$340,$C$311:$C$340,"Construction % complete",$F$311:$F$340,"&lt;"&amp;AJ$7)*IF(AJ$7-INPUTS!$C$215&gt;=1,INDEX($D$437:$AQ$437,AJ$7-INPUTS!$C$215),0)</f>
        <v>0</v>
      </c>
      <c r="AK440" s="130" t="n">
        <f aca="false">SUMIFS($E$311:$E$340,$C$311:$C$340,"Construction % complete",$F$311:$F$340,AK$7)*IF(AK$7-INPUTS!$C$215&gt;=1,INDEX($D$438:$AQ$438,AK$7-INPUTS!$C$215),0)+SUMIFS($E$311:$E$340,$C$311:$C$340,"Construction % complete",$F$311:$F$340,"&lt;"&amp;AK$7)*IF(AK$7-INPUTS!$C$215&gt;=1,INDEX($D$437:$AQ$437,AK$7-INPUTS!$C$215),0)</f>
        <v>0</v>
      </c>
      <c r="AL440" s="130" t="n">
        <f aca="false">SUMIFS($E$311:$E$340,$C$311:$C$340,"Construction % complete",$F$311:$F$340,AL$7)*IF(AL$7-INPUTS!$C$215&gt;=1,INDEX($D$438:$AQ$438,AL$7-INPUTS!$C$215),0)+SUMIFS($E$311:$E$340,$C$311:$C$340,"Construction % complete",$F$311:$F$340,"&lt;"&amp;AL$7)*IF(AL$7-INPUTS!$C$215&gt;=1,INDEX($D$437:$AQ$437,AL$7-INPUTS!$C$215),0)</f>
        <v>0</v>
      </c>
      <c r="AM440" s="130" t="n">
        <f aca="false">SUMIFS($E$311:$E$340,$C$311:$C$340,"Construction % complete",$F$311:$F$340,AM$7)*IF(AM$7-INPUTS!$C$215&gt;=1,INDEX($D$438:$AQ$438,AM$7-INPUTS!$C$215),0)+SUMIFS($E$311:$E$340,$C$311:$C$340,"Construction % complete",$F$311:$F$340,"&lt;"&amp;AM$7)*IF(AM$7-INPUTS!$C$215&gt;=1,INDEX($D$437:$AQ$437,AM$7-INPUTS!$C$215),0)</f>
        <v>0</v>
      </c>
      <c r="AN440" s="130" t="n">
        <f aca="false">SUMIFS($E$311:$E$340,$C$311:$C$340,"Construction % complete",$F$311:$F$340,AN$7)*IF(AN$7-INPUTS!$C$215&gt;=1,INDEX($D$438:$AQ$438,AN$7-INPUTS!$C$215),0)+SUMIFS($E$311:$E$340,$C$311:$C$340,"Construction % complete",$F$311:$F$340,"&lt;"&amp;AN$7)*IF(AN$7-INPUTS!$C$215&gt;=1,INDEX($D$437:$AQ$437,AN$7-INPUTS!$C$215),0)</f>
        <v>0</v>
      </c>
      <c r="AO440" s="130" t="n">
        <f aca="false">SUMIFS($E$311:$E$340,$C$311:$C$340,"Construction % complete",$F$311:$F$340,AO$7)*IF(AO$7-INPUTS!$C$215&gt;=1,INDEX($D$438:$AQ$438,AO$7-INPUTS!$C$215),0)+SUMIFS($E$311:$E$340,$C$311:$C$340,"Construction % complete",$F$311:$F$340,"&lt;"&amp;AO$7)*IF(AO$7-INPUTS!$C$215&gt;=1,INDEX($D$437:$AQ$437,AO$7-INPUTS!$C$215),0)</f>
        <v>0</v>
      </c>
      <c r="AP440" s="130" t="n">
        <f aca="false">SUMIFS($E$311:$E$340,$C$311:$C$340,"Construction % complete",$F$311:$F$340,AP$7)*IF(AP$7-INPUTS!$C$215&gt;=1,INDEX($D$438:$AQ$438,AP$7-INPUTS!$C$215),0)+SUMIFS($E$311:$E$340,$C$311:$C$340,"Construction % complete",$F$311:$F$340,"&lt;"&amp;AP$7)*IF(AP$7-INPUTS!$C$215&gt;=1,INDEX($D$437:$AQ$437,AP$7-INPUTS!$C$215),0)</f>
        <v>0</v>
      </c>
      <c r="AQ440" s="130" t="n">
        <f aca="false">SUMIFS($E$311:$E$340,$C$311:$C$340,"Construction % complete",$F$311:$F$340,AQ$7)*IF(AQ$7-INPUTS!$C$215&gt;=1,INDEX($D$438:$AQ$438,AQ$7-INPUTS!$C$215),0)+SUMIFS($E$311:$E$340,$C$311:$C$340,"Construction % complete",$F$311:$F$340,"&lt;"&amp;AQ$7)*IF(AQ$7-INPUTS!$C$215&gt;=1,INDEX($D$437:$AQ$437,AQ$7-INPUTS!$C$215),0)</f>
        <v>0</v>
      </c>
    </row>
    <row r="441" customFormat="false" ht="15" hidden="false" customHeight="false" outlineLevel="0" collapsed="false">
      <c r="B441" s="2" t="s">
        <v>716</v>
      </c>
      <c r="C441" s="129" t="n">
        <f aca="false">SUM(D441:AQ441)</f>
        <v>0</v>
      </c>
      <c r="D441" s="130" t="n">
        <f aca="false">D439+D440</f>
        <v>0</v>
      </c>
      <c r="E441" s="130" t="n">
        <f aca="false">E439+E440</f>
        <v>0</v>
      </c>
      <c r="F441" s="130" t="n">
        <f aca="false">F439+F440</f>
        <v>0</v>
      </c>
      <c r="G441" s="130" t="n">
        <f aca="false">G439+G440</f>
        <v>0</v>
      </c>
      <c r="H441" s="130" t="n">
        <f aca="false">H439+H440</f>
        <v>0</v>
      </c>
      <c r="I441" s="130" t="n">
        <f aca="false">I439+I440</f>
        <v>0</v>
      </c>
      <c r="J441" s="130" t="n">
        <f aca="false">J439+J440</f>
        <v>0</v>
      </c>
      <c r="K441" s="130" t="n">
        <f aca="false">K439+K440</f>
        <v>0</v>
      </c>
      <c r="L441" s="130" t="n">
        <f aca="false">L439+L440</f>
        <v>0</v>
      </c>
      <c r="M441" s="130" t="n">
        <f aca="false">M439+M440</f>
        <v>0</v>
      </c>
      <c r="N441" s="130" t="n">
        <f aca="false">N439+N440</f>
        <v>0</v>
      </c>
      <c r="O441" s="130" t="n">
        <f aca="false">O439+O440</f>
        <v>0</v>
      </c>
      <c r="P441" s="130" t="n">
        <f aca="false">P439+P440</f>
        <v>0</v>
      </c>
      <c r="Q441" s="130" t="n">
        <f aca="false">Q439+Q440</f>
        <v>0</v>
      </c>
      <c r="R441" s="130" t="n">
        <f aca="false">R439+R440</f>
        <v>0</v>
      </c>
      <c r="S441" s="130" t="n">
        <f aca="false">S439+S440</f>
        <v>0</v>
      </c>
      <c r="T441" s="130" t="n">
        <f aca="false">T439+T440</f>
        <v>0</v>
      </c>
      <c r="U441" s="130" t="n">
        <f aca="false">U439+U440</f>
        <v>0</v>
      </c>
      <c r="V441" s="130" t="n">
        <f aca="false">V439+V440</f>
        <v>0</v>
      </c>
      <c r="W441" s="130" t="n">
        <f aca="false">W439+W440</f>
        <v>0</v>
      </c>
      <c r="X441" s="130" t="n">
        <f aca="false">X439+X440</f>
        <v>0</v>
      </c>
      <c r="Y441" s="130" t="n">
        <f aca="false">Y439+Y440</f>
        <v>0</v>
      </c>
      <c r="Z441" s="130" t="n">
        <f aca="false">Z439+Z440</f>
        <v>0</v>
      </c>
      <c r="AA441" s="130" t="n">
        <f aca="false">AA439+AA440</f>
        <v>0</v>
      </c>
      <c r="AB441" s="130" t="n">
        <f aca="false">AB439+AB440</f>
        <v>0</v>
      </c>
      <c r="AC441" s="130" t="n">
        <f aca="false">AC439+AC440</f>
        <v>0</v>
      </c>
      <c r="AD441" s="130" t="n">
        <f aca="false">AD439+AD440</f>
        <v>0</v>
      </c>
      <c r="AE441" s="130" t="n">
        <f aca="false">AE439+AE440</f>
        <v>0</v>
      </c>
      <c r="AF441" s="130" t="n">
        <f aca="false">AF439+AF440</f>
        <v>0</v>
      </c>
      <c r="AG441" s="130" t="n">
        <f aca="false">AG439+AG440</f>
        <v>0</v>
      </c>
      <c r="AH441" s="130" t="n">
        <f aca="false">AH439+AH440</f>
        <v>0</v>
      </c>
      <c r="AI441" s="130" t="n">
        <f aca="false">AI439+AI440</f>
        <v>0</v>
      </c>
      <c r="AJ441" s="130" t="n">
        <f aca="false">AJ439+AJ440</f>
        <v>0</v>
      </c>
      <c r="AK441" s="130" t="n">
        <f aca="false">AK439+AK440</f>
        <v>0</v>
      </c>
      <c r="AL441" s="130" t="n">
        <f aca="false">AL439+AL440</f>
        <v>0</v>
      </c>
      <c r="AM441" s="130" t="n">
        <f aca="false">AM439+AM440</f>
        <v>0</v>
      </c>
      <c r="AN441" s="130" t="n">
        <f aca="false">AN439+AN440</f>
        <v>0</v>
      </c>
      <c r="AO441" s="130" t="n">
        <f aca="false">AO439+AO440</f>
        <v>0</v>
      </c>
      <c r="AP441" s="130" t="n">
        <f aca="false">AP439+AP440</f>
        <v>0</v>
      </c>
      <c r="AQ441" s="130" t="n">
        <f aca="false">AQ439+AQ440</f>
        <v>0</v>
      </c>
    </row>
    <row r="442" customFormat="false" ht="15" hidden="false" customHeight="false" outlineLevel="0" collapsed="false">
      <c r="B442" s="3" t="s">
        <v>717</v>
      </c>
      <c r="D442" s="130" t="n">
        <f aca="false">SUM($D441:D441)</f>
        <v>0</v>
      </c>
      <c r="E442" s="130" t="n">
        <f aca="false">SUM($D441:E441)</f>
        <v>0</v>
      </c>
      <c r="F442" s="130" t="n">
        <f aca="false">SUM($D441:F441)</f>
        <v>0</v>
      </c>
      <c r="G442" s="130" t="n">
        <f aca="false">SUM($D441:G441)</f>
        <v>0</v>
      </c>
      <c r="H442" s="130" t="n">
        <f aca="false">SUM($D441:H441)</f>
        <v>0</v>
      </c>
      <c r="I442" s="130" t="n">
        <f aca="false">SUM($D441:I441)</f>
        <v>0</v>
      </c>
      <c r="J442" s="130" t="n">
        <f aca="false">SUM($D441:J441)</f>
        <v>0</v>
      </c>
      <c r="K442" s="130" t="n">
        <f aca="false">SUM($D441:K441)</f>
        <v>0</v>
      </c>
      <c r="L442" s="130" t="n">
        <f aca="false">SUM($D441:L441)</f>
        <v>0</v>
      </c>
      <c r="M442" s="130" t="n">
        <f aca="false">SUM($D441:M441)</f>
        <v>0</v>
      </c>
      <c r="N442" s="130" t="n">
        <f aca="false">SUM($D441:N441)</f>
        <v>0</v>
      </c>
      <c r="O442" s="130" t="n">
        <f aca="false">SUM($D441:O441)</f>
        <v>0</v>
      </c>
      <c r="P442" s="130" t="n">
        <f aca="false">SUM($D441:P441)</f>
        <v>0</v>
      </c>
      <c r="Q442" s="130" t="n">
        <f aca="false">SUM($D441:Q441)</f>
        <v>0</v>
      </c>
      <c r="R442" s="130" t="n">
        <f aca="false">SUM($D441:R441)</f>
        <v>0</v>
      </c>
      <c r="S442" s="130" t="n">
        <f aca="false">SUM($D441:S441)</f>
        <v>0</v>
      </c>
      <c r="T442" s="130" t="n">
        <f aca="false">SUM($D441:T441)</f>
        <v>0</v>
      </c>
      <c r="U442" s="130" t="n">
        <f aca="false">SUM($D441:U441)</f>
        <v>0</v>
      </c>
      <c r="V442" s="130" t="n">
        <f aca="false">SUM($D441:V441)</f>
        <v>0</v>
      </c>
      <c r="W442" s="130" t="n">
        <f aca="false">SUM($D441:W441)</f>
        <v>0</v>
      </c>
      <c r="X442" s="130" t="n">
        <f aca="false">SUM($D441:X441)</f>
        <v>0</v>
      </c>
      <c r="Y442" s="130" t="n">
        <f aca="false">SUM($D441:Y441)</f>
        <v>0</v>
      </c>
      <c r="Z442" s="130" t="n">
        <f aca="false">SUM($D441:Z441)</f>
        <v>0</v>
      </c>
      <c r="AA442" s="130" t="n">
        <f aca="false">SUM($D441:AA441)</f>
        <v>0</v>
      </c>
      <c r="AB442" s="130" t="n">
        <f aca="false">SUM($D441:AB441)</f>
        <v>0</v>
      </c>
      <c r="AC442" s="130" t="n">
        <f aca="false">SUM($D441:AC441)</f>
        <v>0</v>
      </c>
      <c r="AD442" s="130" t="n">
        <f aca="false">SUM($D441:AD441)</f>
        <v>0</v>
      </c>
      <c r="AE442" s="130" t="n">
        <f aca="false">SUM($D441:AE441)</f>
        <v>0</v>
      </c>
      <c r="AF442" s="130" t="n">
        <f aca="false">SUM($D441:AF441)</f>
        <v>0</v>
      </c>
      <c r="AG442" s="130" t="n">
        <f aca="false">SUM($D441:AG441)</f>
        <v>0</v>
      </c>
      <c r="AH442" s="130" t="n">
        <f aca="false">SUM($D441:AH441)</f>
        <v>0</v>
      </c>
      <c r="AI442" s="130" t="n">
        <f aca="false">SUM($D441:AI441)</f>
        <v>0</v>
      </c>
      <c r="AJ442" s="130" t="n">
        <f aca="false">SUM($D441:AJ441)</f>
        <v>0</v>
      </c>
      <c r="AK442" s="130" t="n">
        <f aca="false">SUM($D441:AK441)</f>
        <v>0</v>
      </c>
      <c r="AL442" s="130" t="n">
        <f aca="false">SUM($D441:AL441)</f>
        <v>0</v>
      </c>
      <c r="AM442" s="130" t="n">
        <f aca="false">SUM($D441:AM441)</f>
        <v>0</v>
      </c>
      <c r="AN442" s="130" t="n">
        <f aca="false">SUM($D441:AN441)</f>
        <v>0</v>
      </c>
      <c r="AO442" s="130" t="n">
        <f aca="false">SUM($D441:AO441)</f>
        <v>0</v>
      </c>
      <c r="AP442" s="130" t="n">
        <f aca="false">SUM($D441:AP441)</f>
        <v>0</v>
      </c>
      <c r="AQ442" s="130" t="n">
        <f aca="false">SUM($D441:AQ441)</f>
        <v>0</v>
      </c>
    </row>
    <row r="443" customFormat="false" ht="15" hidden="false" customHeight="false" outlineLevel="0" collapsed="false">
      <c r="B443" s="3" t="s">
        <v>718</v>
      </c>
      <c r="D443" s="130" t="n">
        <f aca="false">D438-D442</f>
        <v>0</v>
      </c>
      <c r="E443" s="130" t="n">
        <f aca="false">E438-E442</f>
        <v>0</v>
      </c>
      <c r="F443" s="130" t="n">
        <f aca="false">F438-F442</f>
        <v>0</v>
      </c>
      <c r="G443" s="130" t="n">
        <f aca="false">G438-G442</f>
        <v>0</v>
      </c>
      <c r="H443" s="130" t="n">
        <f aca="false">H438-H442</f>
        <v>0</v>
      </c>
      <c r="I443" s="130" t="n">
        <f aca="false">I438-I442</f>
        <v>0</v>
      </c>
      <c r="J443" s="130" t="n">
        <f aca="false">J438-J442</f>
        <v>0</v>
      </c>
      <c r="K443" s="130" t="n">
        <f aca="false">K438-K442</f>
        <v>0</v>
      </c>
      <c r="L443" s="130" t="n">
        <f aca="false">L438-L442</f>
        <v>0</v>
      </c>
      <c r="M443" s="130" t="n">
        <f aca="false">M438-M442</f>
        <v>0</v>
      </c>
      <c r="N443" s="130" t="n">
        <f aca="false">N438-N442</f>
        <v>0</v>
      </c>
      <c r="O443" s="130" t="n">
        <f aca="false">O438-O442</f>
        <v>0</v>
      </c>
      <c r="P443" s="130" t="n">
        <f aca="false">P438-P442</f>
        <v>0</v>
      </c>
      <c r="Q443" s="130" t="n">
        <f aca="false">Q438-Q442</f>
        <v>0</v>
      </c>
      <c r="R443" s="130" t="n">
        <f aca="false">R438-R442</f>
        <v>0</v>
      </c>
      <c r="S443" s="130" t="n">
        <f aca="false">S438-S442</f>
        <v>0</v>
      </c>
      <c r="T443" s="130" t="n">
        <f aca="false">T438-T442</f>
        <v>0</v>
      </c>
      <c r="U443" s="130" t="n">
        <f aca="false">U438-U442</f>
        <v>0</v>
      </c>
      <c r="V443" s="130" t="n">
        <f aca="false">V438-V442</f>
        <v>0</v>
      </c>
      <c r="W443" s="130" t="n">
        <f aca="false">W438-W442</f>
        <v>0</v>
      </c>
      <c r="X443" s="130" t="n">
        <f aca="false">X438-X442</f>
        <v>0</v>
      </c>
      <c r="Y443" s="130" t="n">
        <f aca="false">Y438-Y442</f>
        <v>0</v>
      </c>
      <c r="Z443" s="130" t="n">
        <f aca="false">Z438-Z442</f>
        <v>0</v>
      </c>
      <c r="AA443" s="130" t="n">
        <f aca="false">AA438-AA442</f>
        <v>0</v>
      </c>
      <c r="AB443" s="130" t="n">
        <f aca="false">AB438-AB442</f>
        <v>0</v>
      </c>
      <c r="AC443" s="130" t="n">
        <f aca="false">AC438-AC442</f>
        <v>0</v>
      </c>
      <c r="AD443" s="130" t="n">
        <f aca="false">AD438-AD442</f>
        <v>0</v>
      </c>
      <c r="AE443" s="130" t="n">
        <f aca="false">AE438-AE442</f>
        <v>0</v>
      </c>
      <c r="AF443" s="130" t="n">
        <f aca="false">AF438-AF442</f>
        <v>0</v>
      </c>
      <c r="AG443" s="130" t="n">
        <f aca="false">AG438-AG442</f>
        <v>0</v>
      </c>
      <c r="AH443" s="130" t="n">
        <f aca="false">AH438-AH442</f>
        <v>0</v>
      </c>
      <c r="AI443" s="130" t="n">
        <f aca="false">AI438-AI442</f>
        <v>0</v>
      </c>
      <c r="AJ443" s="130" t="n">
        <f aca="false">AJ438-AJ442</f>
        <v>0</v>
      </c>
      <c r="AK443" s="130" t="n">
        <f aca="false">AK438-AK442</f>
        <v>0</v>
      </c>
      <c r="AL443" s="130" t="n">
        <f aca="false">AL438-AL442</f>
        <v>0</v>
      </c>
      <c r="AM443" s="130" t="n">
        <f aca="false">AM438-AM442</f>
        <v>0</v>
      </c>
      <c r="AN443" s="130" t="n">
        <f aca="false">AN438-AN442</f>
        <v>0</v>
      </c>
      <c r="AO443" s="130" t="n">
        <f aca="false">AO438-AO442</f>
        <v>0</v>
      </c>
      <c r="AP443" s="130" t="n">
        <f aca="false">AP438-AP442</f>
        <v>0</v>
      </c>
      <c r="AQ443" s="130" t="n">
        <f aca="false">AQ438-AQ442</f>
        <v>0</v>
      </c>
    </row>
    <row r="444" customFormat="false" ht="15" hidden="false" customHeight="false" outlineLevel="0" collapsed="false">
      <c r="B444" s="3" t="s">
        <v>719</v>
      </c>
      <c r="D444" s="132" t="n">
        <f aca="false">IF(INPUTS!$T$97&gt;0,D442/INPUTS!$T$97,0)</f>
        <v>0</v>
      </c>
      <c r="E444" s="132" t="n">
        <f aca="false">IF(INPUTS!$T$97&gt;0,E442/INPUTS!$T$97,0)</f>
        <v>0</v>
      </c>
      <c r="F444" s="132" t="n">
        <f aca="false">IF(INPUTS!$T$97&gt;0,F442/INPUTS!$T$97,0)</f>
        <v>0</v>
      </c>
      <c r="G444" s="132" t="n">
        <f aca="false">IF(INPUTS!$T$97&gt;0,G442/INPUTS!$T$97,0)</f>
        <v>0</v>
      </c>
      <c r="H444" s="132" t="n">
        <f aca="false">IF(INPUTS!$T$97&gt;0,H442/INPUTS!$T$97,0)</f>
        <v>0</v>
      </c>
      <c r="I444" s="132" t="n">
        <f aca="false">IF(INPUTS!$T$97&gt;0,I442/INPUTS!$T$97,0)</f>
        <v>0</v>
      </c>
      <c r="J444" s="132" t="n">
        <f aca="false">IF(INPUTS!$T$97&gt;0,J442/INPUTS!$T$97,0)</f>
        <v>0</v>
      </c>
      <c r="K444" s="132" t="n">
        <f aca="false">IF(INPUTS!$T$97&gt;0,K442/INPUTS!$T$97,0)</f>
        <v>0</v>
      </c>
      <c r="L444" s="132" t="n">
        <f aca="false">IF(INPUTS!$T$97&gt;0,L442/INPUTS!$T$97,0)</f>
        <v>0</v>
      </c>
      <c r="M444" s="132" t="n">
        <f aca="false">IF(INPUTS!$T$97&gt;0,M442/INPUTS!$T$97,0)</f>
        <v>0</v>
      </c>
      <c r="N444" s="132" t="n">
        <f aca="false">IF(INPUTS!$T$97&gt;0,N442/INPUTS!$T$97,0)</f>
        <v>0</v>
      </c>
      <c r="O444" s="132" t="n">
        <f aca="false">IF(INPUTS!$T$97&gt;0,O442/INPUTS!$T$97,0)</f>
        <v>0</v>
      </c>
      <c r="P444" s="132" t="n">
        <f aca="false">IF(INPUTS!$T$97&gt;0,P442/INPUTS!$T$97,0)</f>
        <v>0</v>
      </c>
      <c r="Q444" s="132" t="n">
        <f aca="false">IF(INPUTS!$T$97&gt;0,Q442/INPUTS!$T$97,0)</f>
        <v>0</v>
      </c>
      <c r="R444" s="132" t="n">
        <f aca="false">IF(INPUTS!$T$97&gt;0,R442/INPUTS!$T$97,0)</f>
        <v>0</v>
      </c>
      <c r="S444" s="132" t="n">
        <f aca="false">IF(INPUTS!$T$97&gt;0,S442/INPUTS!$T$97,0)</f>
        <v>0</v>
      </c>
      <c r="T444" s="132" t="n">
        <f aca="false">IF(INPUTS!$T$97&gt;0,T442/INPUTS!$T$97,0)</f>
        <v>0</v>
      </c>
      <c r="U444" s="132" t="n">
        <f aca="false">IF(INPUTS!$T$97&gt;0,U442/INPUTS!$T$97,0)</f>
        <v>0</v>
      </c>
      <c r="V444" s="132" t="n">
        <f aca="false">IF(INPUTS!$T$97&gt;0,V442/INPUTS!$T$97,0)</f>
        <v>0</v>
      </c>
      <c r="W444" s="132" t="n">
        <f aca="false">IF(INPUTS!$T$97&gt;0,W442/INPUTS!$T$97,0)</f>
        <v>0</v>
      </c>
      <c r="X444" s="132" t="n">
        <f aca="false">IF(INPUTS!$T$97&gt;0,X442/INPUTS!$T$97,0)</f>
        <v>0</v>
      </c>
      <c r="Y444" s="132" t="n">
        <f aca="false">IF(INPUTS!$T$97&gt;0,Y442/INPUTS!$T$97,0)</f>
        <v>0</v>
      </c>
      <c r="Z444" s="132" t="n">
        <f aca="false">IF(INPUTS!$T$97&gt;0,Z442/INPUTS!$T$97,0)</f>
        <v>0</v>
      </c>
      <c r="AA444" s="132" t="n">
        <f aca="false">IF(INPUTS!$T$97&gt;0,AA442/INPUTS!$T$97,0)</f>
        <v>0</v>
      </c>
      <c r="AB444" s="132" t="n">
        <f aca="false">IF(INPUTS!$T$97&gt;0,AB442/INPUTS!$T$97,0)</f>
        <v>0</v>
      </c>
      <c r="AC444" s="132" t="n">
        <f aca="false">IF(INPUTS!$T$97&gt;0,AC442/INPUTS!$T$97,0)</f>
        <v>0</v>
      </c>
      <c r="AD444" s="132" t="n">
        <f aca="false">IF(INPUTS!$T$97&gt;0,AD442/INPUTS!$T$97,0)</f>
        <v>0</v>
      </c>
      <c r="AE444" s="132" t="n">
        <f aca="false">IF(INPUTS!$T$97&gt;0,AE442/INPUTS!$T$97,0)</f>
        <v>0</v>
      </c>
      <c r="AF444" s="132" t="n">
        <f aca="false">IF(INPUTS!$T$97&gt;0,AF442/INPUTS!$T$97,0)</f>
        <v>0</v>
      </c>
      <c r="AG444" s="132" t="n">
        <f aca="false">IF(INPUTS!$T$97&gt;0,AG442/INPUTS!$T$97,0)</f>
        <v>0</v>
      </c>
      <c r="AH444" s="132" t="n">
        <f aca="false">IF(INPUTS!$T$97&gt;0,AH442/INPUTS!$T$97,0)</f>
        <v>0</v>
      </c>
      <c r="AI444" s="132" t="n">
        <f aca="false">IF(INPUTS!$T$97&gt;0,AI442/INPUTS!$T$97,0)</f>
        <v>0</v>
      </c>
      <c r="AJ444" s="132" t="n">
        <f aca="false">IF(INPUTS!$T$97&gt;0,AJ442/INPUTS!$T$97,0)</f>
        <v>0</v>
      </c>
      <c r="AK444" s="132" t="n">
        <f aca="false">IF(INPUTS!$T$97&gt;0,AK442/INPUTS!$T$97,0)</f>
        <v>0</v>
      </c>
      <c r="AL444" s="132" t="n">
        <f aca="false">IF(INPUTS!$T$97&gt;0,AL442/INPUTS!$T$97,0)</f>
        <v>0</v>
      </c>
      <c r="AM444" s="132" t="n">
        <f aca="false">IF(INPUTS!$T$97&gt;0,AM442/INPUTS!$T$97,0)</f>
        <v>0</v>
      </c>
      <c r="AN444" s="132" t="n">
        <f aca="false">IF(INPUTS!$T$97&gt;0,AN442/INPUTS!$T$97,0)</f>
        <v>0</v>
      </c>
      <c r="AO444" s="132" t="n">
        <f aca="false">IF(INPUTS!$T$97&gt;0,AO442/INPUTS!$T$97,0)</f>
        <v>0</v>
      </c>
      <c r="AP444" s="132" t="n">
        <f aca="false">IF(INPUTS!$T$97&gt;0,AP442/INPUTS!$T$97,0)</f>
        <v>0</v>
      </c>
      <c r="AQ444" s="132" t="n">
        <f aca="false">IF(INPUTS!$T$97&gt;0,AQ442/INPUTS!$T$97,0)</f>
        <v>0</v>
      </c>
    </row>
    <row r="445" customFormat="false" ht="15" hidden="false" customHeight="false" outlineLevel="0" collapsed="false">
      <c r="B445" s="17" t="s">
        <v>689</v>
      </c>
      <c r="C445" s="105" t="str">
        <f aca="false">IF(INPUTS!$E$97&lt;&gt;"Yes","Off",IF(AND(ABS(C437-INPUTS!$T$97)&lt;0.000001,ABS(C441-INPUTS!$T$97)&lt;0.000001,MIN(D443:AQ443)&gt;-0.000001),"OK","ERROR"))</f>
        <v>Off</v>
      </c>
    </row>
    <row r="447" customFormat="false" ht="19.5" hidden="false" customHeight="true" outlineLevel="0" collapsed="false">
      <c r="B447" s="4" t="s">
        <v>720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customFormat="false" ht="15" hidden="false" customHeight="false" outlineLevel="0" collapsed="false">
      <c r="B448" s="2" t="s">
        <v>721</v>
      </c>
      <c r="C448" s="129" t="n">
        <f aca="false">SUM(D448:AQ448)</f>
        <v>803</v>
      </c>
      <c r="D448" s="130" t="n">
        <f aca="false">D347+D357+D367+D377+D387+D397+D407+D417+D427+D437</f>
        <v>0</v>
      </c>
      <c r="E448" s="130" t="n">
        <f aca="false">E347+E357+E367+E377+E387+E397+E407+E417+E427+E437</f>
        <v>0</v>
      </c>
      <c r="F448" s="130" t="n">
        <f aca="false">F347+F357+F367+F377+F387+F397+F407+F417+F427+F437</f>
        <v>61.1111111111111</v>
      </c>
      <c r="G448" s="130" t="n">
        <f aca="false">G347+G357+G367+G377+G387+G397+G407+G417+G427+G437</f>
        <v>90.9722222222222</v>
      </c>
      <c r="H448" s="130" t="n">
        <f aca="false">H347+H357+H367+H377+H387+H397+H407+H417+H427+H437</f>
        <v>83.3333333333333</v>
      </c>
      <c r="I448" s="130" t="n">
        <f aca="false">I347+I357+I367+I377+I387+I397+I407+I417+I427+I437</f>
        <v>80.1944444444444</v>
      </c>
      <c r="J448" s="130" t="n">
        <f aca="false">J347+J357+J367+J377+J387+J397+J407+J417+J427+J437</f>
        <v>72.5555555555556</v>
      </c>
      <c r="K448" s="130" t="n">
        <f aca="false">K347+K357+K367+K377+K387+K397+K407+K417+K427+K437</f>
        <v>66.0833333333333</v>
      </c>
      <c r="L448" s="130" t="n">
        <f aca="false">L347+L357+L367+L377+L387+L397+L407+L417+L427+L437</f>
        <v>59.6111111111111</v>
      </c>
      <c r="M448" s="130" t="n">
        <f aca="false">M347+M357+M367+M377+M387+M397+M407+M417+M427+M437</f>
        <v>53.1388888888889</v>
      </c>
      <c r="N448" s="130" t="n">
        <f aca="false">N347+N357+N367+N377+N387+N397+N407+N417+N427+N437</f>
        <v>46.6666666666667</v>
      </c>
      <c r="O448" s="130" t="n">
        <f aca="false">O347+O357+O367+O377+O387+O397+O407+O417+O427+O437</f>
        <v>47.8333333333333</v>
      </c>
      <c r="P448" s="130" t="n">
        <f aca="false">P347+P357+P367+P377+P387+P397+P407+P417+P427+P437</f>
        <v>49</v>
      </c>
      <c r="Q448" s="130" t="n">
        <f aca="false">Q347+Q357+Q367+Q377+Q387+Q397+Q407+Q417+Q427+Q437</f>
        <v>45.6666666666667</v>
      </c>
      <c r="R448" s="130" t="n">
        <f aca="false">R347+R357+R367+R377+R387+R397+R407+R417+R427+R437</f>
        <v>46.8333333333333</v>
      </c>
      <c r="S448" s="130" t="n">
        <f aca="false">S347+S357+S367+S377+S387+S397+S407+S417+S427+S437</f>
        <v>0</v>
      </c>
      <c r="T448" s="130" t="n">
        <f aca="false">T347+T357+T367+T377+T387+T397+T407+T417+T427+T437</f>
        <v>0</v>
      </c>
      <c r="U448" s="130" t="n">
        <f aca="false">U347+U357+U367+U377+U387+U397+U407+U417+U427+U437</f>
        <v>0</v>
      </c>
      <c r="V448" s="130" t="n">
        <f aca="false">V347+V357+V367+V377+V387+V397+V407+V417+V427+V437</f>
        <v>0</v>
      </c>
      <c r="W448" s="130" t="n">
        <f aca="false">W347+W357+W367+W377+W387+W397+W407+W417+W427+W437</f>
        <v>0</v>
      </c>
      <c r="X448" s="130" t="n">
        <f aca="false">X347+X357+X367+X377+X387+X397+X407+X417+X427+X437</f>
        <v>0</v>
      </c>
      <c r="Y448" s="130" t="n">
        <f aca="false">Y347+Y357+Y367+Y377+Y387+Y397+Y407+Y417+Y427+Y437</f>
        <v>0</v>
      </c>
      <c r="Z448" s="130" t="n">
        <f aca="false">Z347+Z357+Z367+Z377+Z387+Z397+Z407+Z417+Z427+Z437</f>
        <v>0</v>
      </c>
      <c r="AA448" s="130" t="n">
        <f aca="false">AA347+AA357+AA367+AA377+AA387+AA397+AA407+AA417+AA427+AA437</f>
        <v>0</v>
      </c>
      <c r="AB448" s="130" t="n">
        <f aca="false">AB347+AB357+AB367+AB377+AB387+AB397+AB407+AB417+AB427+AB437</f>
        <v>0</v>
      </c>
      <c r="AC448" s="130" t="n">
        <f aca="false">AC347+AC357+AC367+AC377+AC387+AC397+AC407+AC417+AC427+AC437</f>
        <v>0</v>
      </c>
      <c r="AD448" s="130" t="n">
        <f aca="false">AD347+AD357+AD367+AD377+AD387+AD397+AD407+AD417+AD427+AD437</f>
        <v>0</v>
      </c>
      <c r="AE448" s="130" t="n">
        <f aca="false">AE347+AE357+AE367+AE377+AE387+AE397+AE407+AE417+AE427+AE437</f>
        <v>0</v>
      </c>
      <c r="AF448" s="130" t="n">
        <f aca="false">AF347+AF357+AF367+AF377+AF387+AF397+AF407+AF417+AF427+AF437</f>
        <v>0</v>
      </c>
      <c r="AG448" s="130" t="n">
        <f aca="false">AG347+AG357+AG367+AG377+AG387+AG397+AG407+AG417+AG427+AG437</f>
        <v>0</v>
      </c>
      <c r="AH448" s="130" t="n">
        <f aca="false">AH347+AH357+AH367+AH377+AH387+AH397+AH407+AH417+AH427+AH437</f>
        <v>0</v>
      </c>
      <c r="AI448" s="130" t="n">
        <f aca="false">AI347+AI357+AI367+AI377+AI387+AI397+AI407+AI417+AI427+AI437</f>
        <v>0</v>
      </c>
      <c r="AJ448" s="130" t="n">
        <f aca="false">AJ347+AJ357+AJ367+AJ377+AJ387+AJ397+AJ407+AJ417+AJ427+AJ437</f>
        <v>0</v>
      </c>
      <c r="AK448" s="130" t="n">
        <f aca="false">AK347+AK357+AK367+AK377+AK387+AK397+AK407+AK417+AK427+AK437</f>
        <v>0</v>
      </c>
      <c r="AL448" s="130" t="n">
        <f aca="false">AL347+AL357+AL367+AL377+AL387+AL397+AL407+AL417+AL427+AL437</f>
        <v>0</v>
      </c>
      <c r="AM448" s="130" t="n">
        <f aca="false">AM347+AM357+AM367+AM377+AM387+AM397+AM407+AM417+AM427+AM437</f>
        <v>0</v>
      </c>
      <c r="AN448" s="130" t="n">
        <f aca="false">AN347+AN357+AN367+AN377+AN387+AN397+AN407+AN417+AN427+AN437</f>
        <v>0</v>
      </c>
      <c r="AO448" s="130" t="n">
        <f aca="false">AO347+AO357+AO367+AO377+AO387+AO397+AO407+AO417+AO427+AO437</f>
        <v>0</v>
      </c>
      <c r="AP448" s="130" t="n">
        <f aca="false">AP347+AP357+AP367+AP377+AP387+AP397+AP407+AP417+AP427+AP437</f>
        <v>0</v>
      </c>
      <c r="AQ448" s="130" t="n">
        <f aca="false">AQ347+AQ357+AQ367+AQ377+AQ387+AQ397+AQ407+AQ417+AQ427+AQ437</f>
        <v>0</v>
      </c>
    </row>
    <row r="449" customFormat="false" ht="15" hidden="false" customHeight="false" outlineLevel="0" collapsed="false">
      <c r="B449" s="2" t="s">
        <v>722</v>
      </c>
      <c r="C449" s="129" t="n">
        <f aca="false">SUM(D449:AQ449)</f>
        <v>803</v>
      </c>
      <c r="D449" s="130" t="n">
        <f aca="false">D351+D361+D371+D381+D391+D401+D411+D421+D431+D441</f>
        <v>0</v>
      </c>
      <c r="E449" s="130" t="n">
        <f aca="false">E351+E361+E371+E381+E391+E401+E411+E421+E431+E441</f>
        <v>0</v>
      </c>
      <c r="F449" s="130" t="n">
        <f aca="false">F351+F361+F371+F381+F391+F401+F411+F421+F431+F441</f>
        <v>6.11111111111111</v>
      </c>
      <c r="G449" s="130" t="n">
        <f aca="false">G351+G361+G371+G381+G391+G401+G411+G421+G431+G441</f>
        <v>15.2083333333333</v>
      </c>
      <c r="H449" s="130" t="n">
        <f aca="false">H351+H361+H371+H381+H391+H401+H411+H421+H431+H441</f>
        <v>28.8888888888889</v>
      </c>
      <c r="I449" s="130" t="n">
        <f aca="false">I351+I361+I371+I381+I391+I401+I411+I421+I431+I441</f>
        <v>20.9361111111111</v>
      </c>
      <c r="J449" s="130" t="n">
        <f aca="false">J351+J361+J371+J381+J391+J401+J411+J421+J431+J441</f>
        <v>38.9555555555556</v>
      </c>
      <c r="K449" s="130" t="n">
        <f aca="false">K351+K361+K371+K381+K391+K401+K411+K421+K431+K441</f>
        <v>70.25</v>
      </c>
      <c r="L449" s="130" t="n">
        <f aca="false">L351+L361+L371+L381+L391+L401+L411+L421+L431+L441</f>
        <v>45.7069444444444</v>
      </c>
      <c r="M449" s="130" t="n">
        <f aca="false">M351+M361+M371+M381+M391+M401+M411+M421+M431+M441</f>
        <v>68.5597222222222</v>
      </c>
      <c r="N449" s="130" t="n">
        <f aca="false">N351+N361+N371+N381+N391+N401+N411+N421+N431+N441</f>
        <v>94.85</v>
      </c>
      <c r="O449" s="130" t="n">
        <f aca="false">O351+O361+O371+O381+O391+O401+O411+O421+O431+O441</f>
        <v>55.7666666666667</v>
      </c>
      <c r="P449" s="130" t="n">
        <f aca="false">P351+P361+P371+P381+P391+P401+P411+P421+P431+P441</f>
        <v>33.7166666666667</v>
      </c>
      <c r="Q449" s="130" t="n">
        <f aca="false">Q351+Q361+Q371+Q381+Q391+Q401+Q411+Q421+Q431+Q441</f>
        <v>86.4666666666667</v>
      </c>
      <c r="R449" s="130" t="n">
        <f aca="false">R351+R361+R371+R381+R391+R401+R411+R421+R431+R441</f>
        <v>63.0166666666667</v>
      </c>
      <c r="S449" s="130" t="n">
        <f aca="false">S351+S361+S371+S381+S391+S401+S411+S421+S431+S441</f>
        <v>76.7666666666667</v>
      </c>
      <c r="T449" s="130" t="n">
        <f aca="false">T351+T361+T371+T381+T391+T401+T411+T421+T431+T441</f>
        <v>30.3</v>
      </c>
      <c r="U449" s="130" t="n">
        <f aca="false">U351+U361+U371+U381+U391+U401+U411+U421+U431+U441</f>
        <v>22.5</v>
      </c>
      <c r="V449" s="130" t="n">
        <f aca="false">V351+V361+V371+V381+V391+V401+V411+V421+V431+V441</f>
        <v>0</v>
      </c>
      <c r="W449" s="130" t="n">
        <f aca="false">W351+W361+W371+W381+W391+W401+W411+W421+W431+W441</f>
        <v>45</v>
      </c>
      <c r="X449" s="130" t="n">
        <f aca="false">X351+X361+X371+X381+X391+X401+X411+X421+X431+X441</f>
        <v>0</v>
      </c>
      <c r="Y449" s="130" t="n">
        <f aca="false">Y351+Y361+Y371+Y381+Y391+Y401+Y411+Y421+Y431+Y441</f>
        <v>0</v>
      </c>
      <c r="Z449" s="130" t="n">
        <f aca="false">Z351+Z361+Z371+Z381+Z391+Z401+Z411+Z421+Z431+Z441</f>
        <v>0</v>
      </c>
      <c r="AA449" s="130" t="n">
        <f aca="false">AA351+AA361+AA371+AA381+AA391+AA401+AA411+AA421+AA431+AA441</f>
        <v>0</v>
      </c>
      <c r="AB449" s="130" t="n">
        <f aca="false">AB351+AB361+AB371+AB381+AB391+AB401+AB411+AB421+AB431+AB441</f>
        <v>0</v>
      </c>
      <c r="AC449" s="130" t="n">
        <f aca="false">AC351+AC361+AC371+AC381+AC391+AC401+AC411+AC421+AC431+AC441</f>
        <v>0</v>
      </c>
      <c r="AD449" s="130" t="n">
        <f aca="false">AD351+AD361+AD371+AD381+AD391+AD401+AD411+AD421+AD431+AD441</f>
        <v>0</v>
      </c>
      <c r="AE449" s="130" t="n">
        <f aca="false">AE351+AE361+AE371+AE381+AE391+AE401+AE411+AE421+AE431+AE441</f>
        <v>0</v>
      </c>
      <c r="AF449" s="130" t="n">
        <f aca="false">AF351+AF361+AF371+AF381+AF391+AF401+AF411+AF421+AF431+AF441</f>
        <v>0</v>
      </c>
      <c r="AG449" s="130" t="n">
        <f aca="false">AG351+AG361+AG371+AG381+AG391+AG401+AG411+AG421+AG431+AG441</f>
        <v>0</v>
      </c>
      <c r="AH449" s="130" t="n">
        <f aca="false">AH351+AH361+AH371+AH381+AH391+AH401+AH411+AH421+AH431+AH441</f>
        <v>0</v>
      </c>
      <c r="AI449" s="130" t="n">
        <f aca="false">AI351+AI361+AI371+AI381+AI391+AI401+AI411+AI421+AI431+AI441</f>
        <v>0</v>
      </c>
      <c r="AJ449" s="130" t="n">
        <f aca="false">AJ351+AJ361+AJ371+AJ381+AJ391+AJ401+AJ411+AJ421+AJ431+AJ441</f>
        <v>0</v>
      </c>
      <c r="AK449" s="130" t="n">
        <f aca="false">AK351+AK361+AK371+AK381+AK391+AK401+AK411+AK421+AK431+AK441</f>
        <v>0</v>
      </c>
      <c r="AL449" s="130" t="n">
        <f aca="false">AL351+AL361+AL371+AL381+AL391+AL401+AL411+AL421+AL431+AL441</f>
        <v>0</v>
      </c>
      <c r="AM449" s="130" t="n">
        <f aca="false">AM351+AM361+AM371+AM381+AM391+AM401+AM411+AM421+AM431+AM441</f>
        <v>0</v>
      </c>
      <c r="AN449" s="130" t="n">
        <f aca="false">AN351+AN361+AN371+AN381+AN391+AN401+AN411+AN421+AN431+AN441</f>
        <v>0</v>
      </c>
      <c r="AO449" s="130" t="n">
        <f aca="false">AO351+AO361+AO371+AO381+AO391+AO401+AO411+AO421+AO431+AO441</f>
        <v>0</v>
      </c>
      <c r="AP449" s="130" t="n">
        <f aca="false">AP351+AP361+AP371+AP381+AP391+AP401+AP411+AP421+AP431+AP441</f>
        <v>0</v>
      </c>
      <c r="AQ449" s="130" t="n">
        <f aca="false">AQ351+AQ361+AQ371+AQ381+AQ391+AQ401+AQ411+AQ421+AQ431+AQ441</f>
        <v>0</v>
      </c>
    </row>
    <row r="450" customFormat="false" ht="15" hidden="false" customHeight="false" outlineLevel="0" collapsed="false">
      <c r="B450" s="3" t="s">
        <v>723</v>
      </c>
      <c r="D450" s="130" t="n">
        <f aca="false">SUM($D449:D449)</f>
        <v>0</v>
      </c>
      <c r="E450" s="130" t="n">
        <f aca="false">SUM($D449:E449)</f>
        <v>0</v>
      </c>
      <c r="F450" s="130" t="n">
        <f aca="false">SUM($D449:F449)</f>
        <v>6.11111111111111</v>
      </c>
      <c r="G450" s="130" t="n">
        <f aca="false">SUM($D449:G449)</f>
        <v>21.3194444444444</v>
      </c>
      <c r="H450" s="130" t="n">
        <f aca="false">SUM($D449:H449)</f>
        <v>50.2083333333333</v>
      </c>
      <c r="I450" s="130" t="n">
        <f aca="false">SUM($D449:I449)</f>
        <v>71.1444444444445</v>
      </c>
      <c r="J450" s="130" t="n">
        <f aca="false">SUM($D449:J449)</f>
        <v>110.1</v>
      </c>
      <c r="K450" s="130" t="n">
        <f aca="false">SUM($D449:K449)</f>
        <v>180.35</v>
      </c>
      <c r="L450" s="130" t="n">
        <f aca="false">SUM($D449:L449)</f>
        <v>226.056944444444</v>
      </c>
      <c r="M450" s="130" t="n">
        <f aca="false">SUM($D449:M449)</f>
        <v>294.616666666667</v>
      </c>
      <c r="N450" s="130" t="n">
        <f aca="false">SUM($D449:N449)</f>
        <v>389.466666666667</v>
      </c>
      <c r="O450" s="130" t="n">
        <f aca="false">SUM($D449:O449)</f>
        <v>445.233333333333</v>
      </c>
      <c r="P450" s="130" t="n">
        <f aca="false">SUM($D449:P449)</f>
        <v>478.95</v>
      </c>
      <c r="Q450" s="130" t="n">
        <f aca="false">SUM($D449:Q449)</f>
        <v>565.416666666667</v>
      </c>
      <c r="R450" s="130" t="n">
        <f aca="false">SUM($D449:R449)</f>
        <v>628.433333333333</v>
      </c>
      <c r="S450" s="130" t="n">
        <f aca="false">SUM($D449:S449)</f>
        <v>705.2</v>
      </c>
      <c r="T450" s="130" t="n">
        <f aca="false">SUM($D449:T449)</f>
        <v>735.5</v>
      </c>
      <c r="U450" s="130" t="n">
        <f aca="false">SUM($D449:U449)</f>
        <v>758</v>
      </c>
      <c r="V450" s="130" t="n">
        <f aca="false">SUM($D449:V449)</f>
        <v>758</v>
      </c>
      <c r="W450" s="130" t="n">
        <f aca="false">SUM($D449:W449)</f>
        <v>803</v>
      </c>
      <c r="X450" s="130" t="n">
        <f aca="false">SUM($D449:X449)</f>
        <v>803</v>
      </c>
      <c r="Y450" s="130" t="n">
        <f aca="false">SUM($D449:Y449)</f>
        <v>803</v>
      </c>
      <c r="Z450" s="130" t="n">
        <f aca="false">SUM($D449:Z449)</f>
        <v>803</v>
      </c>
      <c r="AA450" s="130" t="n">
        <f aca="false">SUM($D449:AA449)</f>
        <v>803</v>
      </c>
      <c r="AB450" s="130" t="n">
        <f aca="false">SUM($D449:AB449)</f>
        <v>803</v>
      </c>
      <c r="AC450" s="130" t="n">
        <f aca="false">SUM($D449:AC449)</f>
        <v>803</v>
      </c>
      <c r="AD450" s="130" t="n">
        <f aca="false">SUM($D449:AD449)</f>
        <v>803</v>
      </c>
      <c r="AE450" s="130" t="n">
        <f aca="false">SUM($D449:AE449)</f>
        <v>803</v>
      </c>
      <c r="AF450" s="130" t="n">
        <f aca="false">SUM($D449:AF449)</f>
        <v>803</v>
      </c>
      <c r="AG450" s="130" t="n">
        <f aca="false">SUM($D449:AG449)</f>
        <v>803</v>
      </c>
      <c r="AH450" s="130" t="n">
        <f aca="false">SUM($D449:AH449)</f>
        <v>803</v>
      </c>
      <c r="AI450" s="130" t="n">
        <f aca="false">SUM($D449:AI449)</f>
        <v>803</v>
      </c>
      <c r="AJ450" s="130" t="n">
        <f aca="false">SUM($D449:AJ449)</f>
        <v>803</v>
      </c>
      <c r="AK450" s="130" t="n">
        <f aca="false">SUM($D449:AK449)</f>
        <v>803</v>
      </c>
      <c r="AL450" s="130" t="n">
        <f aca="false">SUM($D449:AL449)</f>
        <v>803</v>
      </c>
      <c r="AM450" s="130" t="n">
        <f aca="false">SUM($D449:AM449)</f>
        <v>803</v>
      </c>
      <c r="AN450" s="130" t="n">
        <f aca="false">SUM($D449:AN449)</f>
        <v>803</v>
      </c>
      <c r="AO450" s="130" t="n">
        <f aca="false">SUM($D449:AO449)</f>
        <v>803</v>
      </c>
      <c r="AP450" s="130" t="n">
        <f aca="false">SUM($D449:AP449)</f>
        <v>803</v>
      </c>
      <c r="AQ450" s="130" t="n">
        <f aca="false">SUM($D449:AQ449)</f>
        <v>803</v>
      </c>
    </row>
    <row r="451" customFormat="false" ht="15" hidden="false" customHeight="false" outlineLevel="0" collapsed="false">
      <c r="B451" s="3" t="s">
        <v>724</v>
      </c>
      <c r="D451" s="130" t="n">
        <f aca="false">SUM($D448:D448)-D450</f>
        <v>0</v>
      </c>
      <c r="E451" s="130" t="n">
        <f aca="false">SUM($D448:E448)-E450</f>
        <v>0</v>
      </c>
      <c r="F451" s="130" t="n">
        <f aca="false">SUM($D448:F448)-F450</f>
        <v>55</v>
      </c>
      <c r="G451" s="130" t="n">
        <f aca="false">SUM($D448:G448)-G450</f>
        <v>130.763888888889</v>
      </c>
      <c r="H451" s="130" t="n">
        <f aca="false">SUM($D448:H448)-H450</f>
        <v>185.208333333333</v>
      </c>
      <c r="I451" s="130" t="n">
        <f aca="false">SUM($D448:I448)-I450</f>
        <v>244.466666666667</v>
      </c>
      <c r="J451" s="130" t="n">
        <f aca="false">SUM($D448:J448)-J450</f>
        <v>278.066666666667</v>
      </c>
      <c r="K451" s="130" t="n">
        <f aca="false">SUM($D448:K448)-K450</f>
        <v>273.9</v>
      </c>
      <c r="L451" s="130" t="n">
        <f aca="false">SUM($D448:L448)-L450</f>
        <v>287.804166666667</v>
      </c>
      <c r="M451" s="130" t="n">
        <f aca="false">SUM($D448:M448)-M450</f>
        <v>272.383333333333</v>
      </c>
      <c r="N451" s="130" t="n">
        <f aca="false">SUM($D448:N448)-N450</f>
        <v>224.2</v>
      </c>
      <c r="O451" s="130" t="n">
        <f aca="false">SUM($D448:O448)-O450</f>
        <v>216.266666666667</v>
      </c>
      <c r="P451" s="130" t="n">
        <f aca="false">SUM($D448:P448)-P450</f>
        <v>231.55</v>
      </c>
      <c r="Q451" s="130" t="n">
        <f aca="false">SUM($D448:Q448)-Q450</f>
        <v>190.75</v>
      </c>
      <c r="R451" s="130" t="n">
        <f aca="false">SUM($D448:R448)-R450</f>
        <v>174.566666666667</v>
      </c>
      <c r="S451" s="130" t="n">
        <f aca="false">SUM($D448:S448)-S450</f>
        <v>97.8000000000001</v>
      </c>
      <c r="T451" s="130" t="n">
        <f aca="false">SUM($D448:T448)-T450</f>
        <v>67.5000000000001</v>
      </c>
      <c r="U451" s="130" t="n">
        <f aca="false">SUM($D448:U448)-U450</f>
        <v>45</v>
      </c>
      <c r="V451" s="130" t="n">
        <f aca="false">SUM($D448:V448)-V450</f>
        <v>45</v>
      </c>
      <c r="W451" s="130" t="n">
        <f aca="false">SUM($D448:W448)-W450</f>
        <v>0</v>
      </c>
      <c r="X451" s="130" t="n">
        <f aca="false">SUM($D448:X448)-X450</f>
        <v>0</v>
      </c>
      <c r="Y451" s="130" t="n">
        <f aca="false">SUM($D448:Y448)-Y450</f>
        <v>0</v>
      </c>
      <c r="Z451" s="130" t="n">
        <f aca="false">SUM($D448:Z448)-Z450</f>
        <v>0</v>
      </c>
      <c r="AA451" s="130" t="n">
        <f aca="false">SUM($D448:AA448)-AA450</f>
        <v>0</v>
      </c>
      <c r="AB451" s="130" t="n">
        <f aca="false">SUM($D448:AB448)-AB450</f>
        <v>0</v>
      </c>
      <c r="AC451" s="130" t="n">
        <f aca="false">SUM($D448:AC448)-AC450</f>
        <v>0</v>
      </c>
      <c r="AD451" s="130" t="n">
        <f aca="false">SUM($D448:AD448)-AD450</f>
        <v>0</v>
      </c>
      <c r="AE451" s="130" t="n">
        <f aca="false">SUM($D448:AE448)-AE450</f>
        <v>0</v>
      </c>
      <c r="AF451" s="130" t="n">
        <f aca="false">SUM($D448:AF448)-AF450</f>
        <v>0</v>
      </c>
      <c r="AG451" s="130" t="n">
        <f aca="false">SUM($D448:AG448)-AG450</f>
        <v>0</v>
      </c>
      <c r="AH451" s="130" t="n">
        <f aca="false">SUM($D448:AH448)-AH450</f>
        <v>0</v>
      </c>
      <c r="AI451" s="130" t="n">
        <f aca="false">SUM($D448:AI448)-AI450</f>
        <v>0</v>
      </c>
      <c r="AJ451" s="130" t="n">
        <f aca="false">SUM($D448:AJ448)-AJ450</f>
        <v>0</v>
      </c>
      <c r="AK451" s="130" t="n">
        <f aca="false">SUM($D448:AK448)-AK450</f>
        <v>0</v>
      </c>
      <c r="AL451" s="130" t="n">
        <f aca="false">SUM($D448:AL448)-AL450</f>
        <v>0</v>
      </c>
      <c r="AM451" s="130" t="n">
        <f aca="false">SUM($D448:AM448)-AM450</f>
        <v>0</v>
      </c>
      <c r="AN451" s="130" t="n">
        <f aca="false">SUM($D448:AN448)-AN450</f>
        <v>0</v>
      </c>
      <c r="AO451" s="130" t="n">
        <f aca="false">SUM($D448:AO448)-AO450</f>
        <v>0</v>
      </c>
      <c r="AP451" s="130" t="n">
        <f aca="false">SUM($D448:AP448)-AP450</f>
        <v>0</v>
      </c>
      <c r="AQ451" s="130" t="n">
        <f aca="false">SUM($D448:AQ448)-AQ450</f>
        <v>0</v>
      </c>
    </row>
    <row r="452" customFormat="false" ht="15" hidden="false" customHeight="false" outlineLevel="0" collapsed="false">
      <c r="B452" s="3" t="s">
        <v>725</v>
      </c>
      <c r="C452" s="129" t="n">
        <f aca="false">SUM(D452:AQ452)</f>
        <v>256.96</v>
      </c>
      <c r="D452" s="130" t="n">
        <f aca="false">IF(INPUTS!$C$21="JV",D449*INPUTS!$C$45,0)</f>
        <v>0</v>
      </c>
      <c r="E452" s="130" t="n">
        <f aca="false">IF(INPUTS!$C$21="JV",E449*INPUTS!$C$45,0)</f>
        <v>0</v>
      </c>
      <c r="F452" s="130" t="n">
        <f aca="false">IF(INPUTS!$C$21="JV",F449*INPUTS!$C$45,0)</f>
        <v>1.95555555555556</v>
      </c>
      <c r="G452" s="130" t="n">
        <f aca="false">IF(INPUTS!$C$21="JV",G449*INPUTS!$C$45,0)</f>
        <v>4.86666666666667</v>
      </c>
      <c r="H452" s="130" t="n">
        <f aca="false">IF(INPUTS!$C$21="JV",H449*INPUTS!$C$45,0)</f>
        <v>9.24444444444445</v>
      </c>
      <c r="I452" s="130" t="n">
        <f aca="false">IF(INPUTS!$C$21="JV",I449*INPUTS!$C$45,0)</f>
        <v>6.69955555555556</v>
      </c>
      <c r="J452" s="130" t="n">
        <f aca="false">IF(INPUTS!$C$21="JV",J449*INPUTS!$C$45,0)</f>
        <v>12.4657777777778</v>
      </c>
      <c r="K452" s="130" t="n">
        <f aca="false">IF(INPUTS!$C$21="JV",K449*INPUTS!$C$45,0)</f>
        <v>22.48</v>
      </c>
      <c r="L452" s="130" t="n">
        <f aca="false">IF(INPUTS!$C$21="JV",L449*INPUTS!$C$45,0)</f>
        <v>14.6262222222222</v>
      </c>
      <c r="M452" s="130" t="n">
        <f aca="false">IF(INPUTS!$C$21="JV",M449*INPUTS!$C$45,0)</f>
        <v>21.9391111111111</v>
      </c>
      <c r="N452" s="130" t="n">
        <f aca="false">IF(INPUTS!$C$21="JV",N449*INPUTS!$C$45,0)</f>
        <v>30.352</v>
      </c>
      <c r="O452" s="130" t="n">
        <f aca="false">IF(INPUTS!$C$21="JV",O449*INPUTS!$C$45,0)</f>
        <v>17.8453333333333</v>
      </c>
      <c r="P452" s="130" t="n">
        <f aca="false">IF(INPUTS!$C$21="JV",P449*INPUTS!$C$45,0)</f>
        <v>10.7893333333333</v>
      </c>
      <c r="Q452" s="130" t="n">
        <f aca="false">IF(INPUTS!$C$21="JV",Q449*INPUTS!$C$45,0)</f>
        <v>27.6693333333333</v>
      </c>
      <c r="R452" s="130" t="n">
        <f aca="false">IF(INPUTS!$C$21="JV",R449*INPUTS!$C$45,0)</f>
        <v>20.1653333333333</v>
      </c>
      <c r="S452" s="130" t="n">
        <f aca="false">IF(INPUTS!$C$21="JV",S449*INPUTS!$C$45,0)</f>
        <v>24.5653333333333</v>
      </c>
      <c r="T452" s="130" t="n">
        <f aca="false">IF(INPUTS!$C$21="JV",T449*INPUTS!$C$45,0)</f>
        <v>9.696</v>
      </c>
      <c r="U452" s="130" t="n">
        <f aca="false">IF(INPUTS!$C$21="JV",U449*INPUTS!$C$45,0)</f>
        <v>7.2</v>
      </c>
      <c r="V452" s="130" t="n">
        <f aca="false">IF(INPUTS!$C$21="JV",V449*INPUTS!$C$45,0)</f>
        <v>0</v>
      </c>
      <c r="W452" s="130" t="n">
        <f aca="false">IF(INPUTS!$C$21="JV",W449*INPUTS!$C$45,0)</f>
        <v>14.4</v>
      </c>
      <c r="X452" s="130" t="n">
        <f aca="false">IF(INPUTS!$C$21="JV",X449*INPUTS!$C$45,0)</f>
        <v>0</v>
      </c>
      <c r="Y452" s="130" t="n">
        <f aca="false">IF(INPUTS!$C$21="JV",Y449*INPUTS!$C$45,0)</f>
        <v>0</v>
      </c>
      <c r="Z452" s="130" t="n">
        <f aca="false">IF(INPUTS!$C$21="JV",Z449*INPUTS!$C$45,0)</f>
        <v>0</v>
      </c>
      <c r="AA452" s="130" t="n">
        <f aca="false">IF(INPUTS!$C$21="JV",AA449*INPUTS!$C$45,0)</f>
        <v>0</v>
      </c>
      <c r="AB452" s="130" t="n">
        <f aca="false">IF(INPUTS!$C$21="JV",AB449*INPUTS!$C$45,0)</f>
        <v>0</v>
      </c>
      <c r="AC452" s="130" t="n">
        <f aca="false">IF(INPUTS!$C$21="JV",AC449*INPUTS!$C$45,0)</f>
        <v>0</v>
      </c>
      <c r="AD452" s="130" t="n">
        <f aca="false">IF(INPUTS!$C$21="JV",AD449*INPUTS!$C$45,0)</f>
        <v>0</v>
      </c>
      <c r="AE452" s="130" t="n">
        <f aca="false">IF(INPUTS!$C$21="JV",AE449*INPUTS!$C$45,0)</f>
        <v>0</v>
      </c>
      <c r="AF452" s="130" t="n">
        <f aca="false">IF(INPUTS!$C$21="JV",AF449*INPUTS!$C$45,0)</f>
        <v>0</v>
      </c>
      <c r="AG452" s="130" t="n">
        <f aca="false">IF(INPUTS!$C$21="JV",AG449*INPUTS!$C$45,0)</f>
        <v>0</v>
      </c>
      <c r="AH452" s="130" t="n">
        <f aca="false">IF(INPUTS!$C$21="JV",AH449*INPUTS!$C$45,0)</f>
        <v>0</v>
      </c>
      <c r="AI452" s="130" t="n">
        <f aca="false">IF(INPUTS!$C$21="JV",AI449*INPUTS!$C$45,0)</f>
        <v>0</v>
      </c>
      <c r="AJ452" s="130" t="n">
        <f aca="false">IF(INPUTS!$C$21="JV",AJ449*INPUTS!$C$45,0)</f>
        <v>0</v>
      </c>
      <c r="AK452" s="130" t="n">
        <f aca="false">IF(INPUTS!$C$21="JV",AK449*INPUTS!$C$45,0)</f>
        <v>0</v>
      </c>
      <c r="AL452" s="130" t="n">
        <f aca="false">IF(INPUTS!$C$21="JV",AL449*INPUTS!$C$45,0)</f>
        <v>0</v>
      </c>
      <c r="AM452" s="130" t="n">
        <f aca="false">IF(INPUTS!$C$21="JV",AM449*INPUTS!$C$45,0)</f>
        <v>0</v>
      </c>
      <c r="AN452" s="130" t="n">
        <f aca="false">IF(INPUTS!$C$21="JV",AN449*INPUTS!$C$45,0)</f>
        <v>0</v>
      </c>
      <c r="AO452" s="130" t="n">
        <f aca="false">IF(INPUTS!$C$21="JV",AO449*INPUTS!$C$45,0)</f>
        <v>0</v>
      </c>
      <c r="AP452" s="130" t="n">
        <f aca="false">IF(INPUTS!$C$21="JV",AP449*INPUTS!$C$45,0)</f>
        <v>0</v>
      </c>
      <c r="AQ452" s="130" t="n">
        <f aca="false">IF(INPUTS!$C$21="JV",AQ449*INPUTS!$C$45,0)</f>
        <v>0</v>
      </c>
    </row>
    <row r="453" customFormat="false" ht="15" hidden="false" customHeight="false" outlineLevel="0" collapsed="false">
      <c r="B453" s="3" t="s">
        <v>726</v>
      </c>
      <c r="C453" s="129" t="n">
        <f aca="false">SUM(D453:AQ453)</f>
        <v>546.04</v>
      </c>
      <c r="D453" s="130" t="n">
        <f aca="false">D449-D452</f>
        <v>0</v>
      </c>
      <c r="E453" s="130" t="n">
        <f aca="false">E449-E452</f>
        <v>0</v>
      </c>
      <c r="F453" s="130" t="n">
        <f aca="false">F449-F452</f>
        <v>4.15555555555556</v>
      </c>
      <c r="G453" s="130" t="n">
        <f aca="false">G449-G452</f>
        <v>10.3416666666667</v>
      </c>
      <c r="H453" s="130" t="n">
        <f aca="false">H449-H452</f>
        <v>19.6444444444444</v>
      </c>
      <c r="I453" s="130" t="n">
        <f aca="false">I449-I452</f>
        <v>14.2365555555556</v>
      </c>
      <c r="J453" s="130" t="n">
        <f aca="false">J449-J452</f>
        <v>26.4897777777778</v>
      </c>
      <c r="K453" s="130" t="n">
        <f aca="false">K449-K452</f>
        <v>47.77</v>
      </c>
      <c r="L453" s="130" t="n">
        <f aca="false">L449-L452</f>
        <v>31.0807222222222</v>
      </c>
      <c r="M453" s="130" t="n">
        <f aca="false">M449-M452</f>
        <v>46.6206111111111</v>
      </c>
      <c r="N453" s="130" t="n">
        <f aca="false">N449-N452</f>
        <v>64.498</v>
      </c>
      <c r="O453" s="130" t="n">
        <f aca="false">O449-O452</f>
        <v>37.9213333333333</v>
      </c>
      <c r="P453" s="130" t="n">
        <f aca="false">P449-P452</f>
        <v>22.9273333333333</v>
      </c>
      <c r="Q453" s="130" t="n">
        <f aca="false">Q449-Q452</f>
        <v>58.7973333333333</v>
      </c>
      <c r="R453" s="130" t="n">
        <f aca="false">R449-R452</f>
        <v>42.8513333333333</v>
      </c>
      <c r="S453" s="130" t="n">
        <f aca="false">S449-S452</f>
        <v>52.2013333333333</v>
      </c>
      <c r="T453" s="130" t="n">
        <f aca="false">T449-T452</f>
        <v>20.604</v>
      </c>
      <c r="U453" s="130" t="n">
        <f aca="false">U449-U452</f>
        <v>15.3</v>
      </c>
      <c r="V453" s="130" t="n">
        <f aca="false">V449-V452</f>
        <v>0</v>
      </c>
      <c r="W453" s="130" t="n">
        <f aca="false">W449-W452</f>
        <v>30.6</v>
      </c>
      <c r="X453" s="130" t="n">
        <f aca="false">X449-X452</f>
        <v>0</v>
      </c>
      <c r="Y453" s="130" t="n">
        <f aca="false">Y449-Y452</f>
        <v>0</v>
      </c>
      <c r="Z453" s="130" t="n">
        <f aca="false">Z449-Z452</f>
        <v>0</v>
      </c>
      <c r="AA453" s="130" t="n">
        <f aca="false">AA449-AA452</f>
        <v>0</v>
      </c>
      <c r="AB453" s="130" t="n">
        <f aca="false">AB449-AB452</f>
        <v>0</v>
      </c>
      <c r="AC453" s="130" t="n">
        <f aca="false">AC449-AC452</f>
        <v>0</v>
      </c>
      <c r="AD453" s="130" t="n">
        <f aca="false">AD449-AD452</f>
        <v>0</v>
      </c>
      <c r="AE453" s="130" t="n">
        <f aca="false">AE449-AE452</f>
        <v>0</v>
      </c>
      <c r="AF453" s="130" t="n">
        <f aca="false">AF449-AF452</f>
        <v>0</v>
      </c>
      <c r="AG453" s="130" t="n">
        <f aca="false">AG449-AG452</f>
        <v>0</v>
      </c>
      <c r="AH453" s="130" t="n">
        <f aca="false">AH449-AH452</f>
        <v>0</v>
      </c>
      <c r="AI453" s="130" t="n">
        <f aca="false">AI449-AI452</f>
        <v>0</v>
      </c>
      <c r="AJ453" s="130" t="n">
        <f aca="false">AJ449-AJ452</f>
        <v>0</v>
      </c>
      <c r="AK453" s="130" t="n">
        <f aca="false">AK449-AK452</f>
        <v>0</v>
      </c>
      <c r="AL453" s="130" t="n">
        <f aca="false">AL449-AL452</f>
        <v>0</v>
      </c>
      <c r="AM453" s="130" t="n">
        <f aca="false">AM449-AM452</f>
        <v>0</v>
      </c>
      <c r="AN453" s="130" t="n">
        <f aca="false">AN449-AN452</f>
        <v>0</v>
      </c>
      <c r="AO453" s="130" t="n">
        <f aca="false">AO449-AO452</f>
        <v>0</v>
      </c>
      <c r="AP453" s="130" t="n">
        <f aca="false">AP449-AP452</f>
        <v>0</v>
      </c>
      <c r="AQ453" s="130" t="n">
        <f aca="false">AQ449-AQ452</f>
        <v>0</v>
      </c>
    </row>
    <row r="454" customFormat="false" ht="15" hidden="false" customHeight="false" outlineLevel="0" collapsed="false">
      <c r="B454" s="3" t="s">
        <v>727</v>
      </c>
      <c r="C454" s="116" t="n">
        <f aca="false">SUM(D454:AQ454)</f>
        <v>1</v>
      </c>
      <c r="D454" s="118" t="n">
        <f aca="false">IF($C$449&gt;0,D449/$C$449,0)</f>
        <v>0</v>
      </c>
      <c r="E454" s="118" t="n">
        <f aca="false">IF($C$449&gt;0,E449/$C$449,0)</f>
        <v>0</v>
      </c>
      <c r="F454" s="118" t="n">
        <f aca="false">IF($C$449&gt;0,F449/$C$449,0)</f>
        <v>0.0076103500761035</v>
      </c>
      <c r="G454" s="118" t="n">
        <f aca="false">IF($C$449&gt;0,G449/$C$449,0)</f>
        <v>0.0189393939393939</v>
      </c>
      <c r="H454" s="118" t="n">
        <f aca="false">IF($C$449&gt;0,H449/$C$449,0)</f>
        <v>0.035976200359762</v>
      </c>
      <c r="I454" s="118" t="n">
        <f aca="false">IF($C$449&gt;0,I449/$C$449,0)</f>
        <v>0.0260723675107237</v>
      </c>
      <c r="J454" s="118" t="n">
        <f aca="false">IF($C$449&gt;0,J449/$C$449,0)</f>
        <v>0.0485125224851252</v>
      </c>
      <c r="K454" s="118" t="n">
        <f aca="false">IF($C$449&gt;0,K449/$C$449,0)</f>
        <v>0.0874844333748443</v>
      </c>
      <c r="L454" s="118" t="n">
        <f aca="false">IF($C$449&gt;0,L449/$C$449,0)</f>
        <v>0.0569202296942023</v>
      </c>
      <c r="M454" s="118" t="n">
        <f aca="false">IF($C$449&gt;0,M449/$C$449,0)</f>
        <v>0.0853794797287948</v>
      </c>
      <c r="N454" s="118" t="n">
        <f aca="false">IF($C$449&gt;0,N449/$C$449,0)</f>
        <v>0.118119551681196</v>
      </c>
      <c r="O454" s="118" t="n">
        <f aca="false">IF($C$449&gt;0,O449/$C$449,0)</f>
        <v>0.069447903694479</v>
      </c>
      <c r="P454" s="118" t="n">
        <f aca="false">IF($C$449&gt;0,P449/$C$449,0)</f>
        <v>0.0419883769198838</v>
      </c>
      <c r="Q454" s="118" t="n">
        <f aca="false">IF($C$449&gt;0,Q449/$C$449,0)</f>
        <v>0.107679535076795</v>
      </c>
      <c r="R454" s="118" t="n">
        <f aca="false">IF($C$449&gt;0,R449/$C$449,0)</f>
        <v>0.0784765462847655</v>
      </c>
      <c r="S454" s="118" t="n">
        <f aca="false">IF($C$449&gt;0,S449/$C$449,0)</f>
        <v>0.0955998339559984</v>
      </c>
      <c r="T454" s="118" t="n">
        <f aca="false">IF($C$449&gt;0,T449/$C$449,0)</f>
        <v>0.037733499377335</v>
      </c>
      <c r="U454" s="118" t="n">
        <f aca="false">IF($C$449&gt;0,U449/$C$449,0)</f>
        <v>0.0280199252801993</v>
      </c>
      <c r="V454" s="118" t="n">
        <f aca="false">IF($C$449&gt;0,V449/$C$449,0)</f>
        <v>0</v>
      </c>
      <c r="W454" s="118" t="n">
        <f aca="false">IF($C$449&gt;0,W449/$C$449,0)</f>
        <v>0.0560398505603985</v>
      </c>
      <c r="X454" s="118" t="n">
        <f aca="false">IF($C$449&gt;0,X449/$C$449,0)</f>
        <v>0</v>
      </c>
      <c r="Y454" s="118" t="n">
        <f aca="false">IF($C$449&gt;0,Y449/$C$449,0)</f>
        <v>0</v>
      </c>
      <c r="Z454" s="118" t="n">
        <f aca="false">IF($C$449&gt;0,Z449/$C$449,0)</f>
        <v>0</v>
      </c>
      <c r="AA454" s="118" t="n">
        <f aca="false">IF($C$449&gt;0,AA449/$C$449,0)</f>
        <v>0</v>
      </c>
      <c r="AB454" s="118" t="n">
        <f aca="false">IF($C$449&gt;0,AB449/$C$449,0)</f>
        <v>0</v>
      </c>
      <c r="AC454" s="118" t="n">
        <f aca="false">IF($C$449&gt;0,AC449/$C$449,0)</f>
        <v>0</v>
      </c>
      <c r="AD454" s="118" t="n">
        <f aca="false">IF($C$449&gt;0,AD449/$C$449,0)</f>
        <v>0</v>
      </c>
      <c r="AE454" s="118" t="n">
        <f aca="false">IF($C$449&gt;0,AE449/$C$449,0)</f>
        <v>0</v>
      </c>
      <c r="AF454" s="118" t="n">
        <f aca="false">IF($C$449&gt;0,AF449/$C$449,0)</f>
        <v>0</v>
      </c>
      <c r="AG454" s="118" t="n">
        <f aca="false">IF($C$449&gt;0,AG449/$C$449,0)</f>
        <v>0</v>
      </c>
      <c r="AH454" s="118" t="n">
        <f aca="false">IF($C$449&gt;0,AH449/$C$449,0)</f>
        <v>0</v>
      </c>
      <c r="AI454" s="118" t="n">
        <f aca="false">IF($C$449&gt;0,AI449/$C$449,0)</f>
        <v>0</v>
      </c>
      <c r="AJ454" s="118" t="n">
        <f aca="false">IF($C$449&gt;0,AJ449/$C$449,0)</f>
        <v>0</v>
      </c>
      <c r="AK454" s="118" t="n">
        <f aca="false">IF($C$449&gt;0,AK449/$C$449,0)</f>
        <v>0</v>
      </c>
      <c r="AL454" s="118" t="n">
        <f aca="false">IF($C$449&gt;0,AL449/$C$449,0)</f>
        <v>0</v>
      </c>
      <c r="AM454" s="118" t="n">
        <f aca="false">IF($C$449&gt;0,AM449/$C$449,0)</f>
        <v>0</v>
      </c>
      <c r="AN454" s="118" t="n">
        <f aca="false">IF($C$449&gt;0,AN449/$C$449,0)</f>
        <v>0</v>
      </c>
      <c r="AO454" s="118" t="n">
        <f aca="false">IF($C$449&gt;0,AO449/$C$449,0)</f>
        <v>0</v>
      </c>
      <c r="AP454" s="118" t="n">
        <f aca="false">IF($C$449&gt;0,AP449/$C$449,0)</f>
        <v>0</v>
      </c>
      <c r="AQ454" s="118" t="n">
        <f aca="false">IF($C$449&gt;0,AQ449/$C$449,0)</f>
        <v>0</v>
      </c>
    </row>
    <row r="455" customFormat="false" ht="15" hidden="false" customHeight="false" outlineLevel="0" collapsed="false">
      <c r="B455" s="17" t="s">
        <v>728</v>
      </c>
    </row>
    <row r="457" customFormat="false" ht="19.5" hidden="false" customHeight="true" outlineLevel="0" collapsed="false">
      <c r="B457" s="4" t="s">
        <v>729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customFormat="false" ht="15" hidden="false" customHeight="false" outlineLevel="0" collapsed="false">
      <c r="B458" s="3" t="s">
        <v>730</v>
      </c>
      <c r="C458" s="105" t="str">
        <f aca="false">IF(--(C355="ERROR")+--(C365="ERROR")+--(C375="ERROR")+--(C385="ERROR")+--(C395="ERROR")+--(C405="ERROR")+--(C415="ERROR")+--(C425="ERROR")+--(C435="ERROR")+--(C445="ERROR")=0,"OK","ERROR")</f>
        <v>OK</v>
      </c>
    </row>
    <row r="459" customFormat="false" ht="15" hidden="false" customHeight="false" outlineLevel="0" collapsed="false">
      <c r="B459" s="3" t="s">
        <v>731</v>
      </c>
      <c r="C459" s="105" t="str">
        <f aca="false">IF(ABS(C449-INPUTS!$T$98)&lt;0.000001,"OK","ERROR")</f>
        <v>OK</v>
      </c>
    </row>
    <row r="460" customFormat="false" ht="15" hidden="false" customHeight="false" outlineLevel="0" collapsed="false">
      <c r="B460" s="3" t="s">
        <v>732</v>
      </c>
      <c r="C460" s="105" t="str">
        <f aca="false">IF(MIN(D451:AQ451)&gt;-0.000001,"OK","ERROR")</f>
        <v>OK</v>
      </c>
    </row>
    <row r="461" customFormat="false" ht="15" hidden="false" customHeight="false" outlineLevel="0" collapsed="false">
      <c r="B461" s="3" t="s">
        <v>733</v>
      </c>
      <c r="C461" s="105" t="str">
        <f aca="false">IF(ABS(AQ451)&lt;0.000001,"OK","ERROR")</f>
        <v>OK</v>
      </c>
    </row>
    <row r="462" customFormat="false" ht="15" hidden="false" customHeight="false" outlineLevel="0" collapsed="false">
      <c r="B462" s="3" t="s">
        <v>734</v>
      </c>
      <c r="C462" s="105" t="str">
        <f aca="false">IF(COUNTIF(G14:G340,"NOT*")=0,"OK","ERROR")</f>
        <v>OK</v>
      </c>
    </row>
    <row r="463" customFormat="false" ht="15" hidden="false" customHeight="false" outlineLevel="0" collapsed="false">
      <c r="B463" s="3" t="s">
        <v>735</v>
      </c>
      <c r="C463" s="105" t="str">
        <f aca="false">IF(--(C45="ERROR")+--(C78="ERROR")+--(C111="ERROR")+--(C144="ERROR")+--(C177="ERROR")+--(C210="ERROR")+--(C243="ERROR")+--(C276="ERROR")+--(C309="ERROR")+--(C342="ERROR")=0,"OK","ERROR")</f>
        <v>OK</v>
      </c>
    </row>
    <row r="464" customFormat="false" ht="15" hidden="false" customHeight="false" outlineLevel="0" collapsed="false">
      <c r="B464" s="3" t="s">
        <v>736</v>
      </c>
      <c r="C464" s="105" t="str">
        <f aca="false">IF(ABS(C452+C453-C449)&lt;0.000001,"OK","ERROR")</f>
        <v>OK</v>
      </c>
    </row>
  </sheetData>
  <mergeCells count="300">
    <mergeCell ref="G14:L14"/>
    <mergeCell ref="G15:L15"/>
    <mergeCell ref="G16:L16"/>
    <mergeCell ref="G17:L17"/>
    <mergeCell ref="G18:L18"/>
    <mergeCell ref="G19:L19"/>
    <mergeCell ref="G20:L20"/>
    <mergeCell ref="G21:L21"/>
    <mergeCell ref="G22:L22"/>
    <mergeCell ref="G23:L23"/>
    <mergeCell ref="G24:L24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G40:L40"/>
    <mergeCell ref="G41:L41"/>
    <mergeCell ref="G42:L42"/>
    <mergeCell ref="G43:L43"/>
    <mergeCell ref="G47:L47"/>
    <mergeCell ref="G48:L48"/>
    <mergeCell ref="G49:L49"/>
    <mergeCell ref="G50:L50"/>
    <mergeCell ref="G51:L51"/>
    <mergeCell ref="G52:L52"/>
    <mergeCell ref="G53:L53"/>
    <mergeCell ref="G54:L54"/>
    <mergeCell ref="G55:L55"/>
    <mergeCell ref="G56:L56"/>
    <mergeCell ref="G57:L57"/>
    <mergeCell ref="G58:L58"/>
    <mergeCell ref="G59:L59"/>
    <mergeCell ref="G60:L60"/>
    <mergeCell ref="G61:L61"/>
    <mergeCell ref="G62:L62"/>
    <mergeCell ref="G63:L63"/>
    <mergeCell ref="G64:L64"/>
    <mergeCell ref="G65:L65"/>
    <mergeCell ref="G66:L66"/>
    <mergeCell ref="G67:L67"/>
    <mergeCell ref="G68:L68"/>
    <mergeCell ref="G69:L69"/>
    <mergeCell ref="G70:L70"/>
    <mergeCell ref="G71:L71"/>
    <mergeCell ref="G72:L72"/>
    <mergeCell ref="G73:L73"/>
    <mergeCell ref="G74:L74"/>
    <mergeCell ref="G75:L75"/>
    <mergeCell ref="G76:L76"/>
    <mergeCell ref="G80:L80"/>
    <mergeCell ref="G81:L81"/>
    <mergeCell ref="G82:L82"/>
    <mergeCell ref="G83:L83"/>
    <mergeCell ref="G84:L84"/>
    <mergeCell ref="G85:L85"/>
    <mergeCell ref="G86:L86"/>
    <mergeCell ref="G87:L87"/>
    <mergeCell ref="G88:L88"/>
    <mergeCell ref="G89:L89"/>
    <mergeCell ref="G90:L90"/>
    <mergeCell ref="G91:L91"/>
    <mergeCell ref="G92:L92"/>
    <mergeCell ref="G93:L93"/>
    <mergeCell ref="G94:L94"/>
    <mergeCell ref="G95:L95"/>
    <mergeCell ref="G96:L96"/>
    <mergeCell ref="G97:L97"/>
    <mergeCell ref="G98:L98"/>
    <mergeCell ref="G99:L99"/>
    <mergeCell ref="G100:L100"/>
    <mergeCell ref="G101:L101"/>
    <mergeCell ref="G102:L102"/>
    <mergeCell ref="G103:L103"/>
    <mergeCell ref="G104:L104"/>
    <mergeCell ref="G105:L105"/>
    <mergeCell ref="G106:L106"/>
    <mergeCell ref="G107:L107"/>
    <mergeCell ref="G108:L108"/>
    <mergeCell ref="G109:L109"/>
    <mergeCell ref="G113:L113"/>
    <mergeCell ref="G114:L114"/>
    <mergeCell ref="G115:L115"/>
    <mergeCell ref="G116:L116"/>
    <mergeCell ref="G117:L117"/>
    <mergeCell ref="G118:L118"/>
    <mergeCell ref="G119:L119"/>
    <mergeCell ref="G120:L120"/>
    <mergeCell ref="G121:L121"/>
    <mergeCell ref="G122:L122"/>
    <mergeCell ref="G123:L123"/>
    <mergeCell ref="G124:L124"/>
    <mergeCell ref="G125:L125"/>
    <mergeCell ref="G126:L126"/>
    <mergeCell ref="G127:L127"/>
    <mergeCell ref="G128:L128"/>
    <mergeCell ref="G129:L129"/>
    <mergeCell ref="G130:L130"/>
    <mergeCell ref="G131:L131"/>
    <mergeCell ref="G132:L132"/>
    <mergeCell ref="G133:L133"/>
    <mergeCell ref="G134:L134"/>
    <mergeCell ref="G135:L135"/>
    <mergeCell ref="G136:L136"/>
    <mergeCell ref="G137:L137"/>
    <mergeCell ref="G138:L138"/>
    <mergeCell ref="G139:L139"/>
    <mergeCell ref="G140:L140"/>
    <mergeCell ref="G141:L141"/>
    <mergeCell ref="G142:L142"/>
    <mergeCell ref="G146:L146"/>
    <mergeCell ref="G147:L147"/>
    <mergeCell ref="G148:L148"/>
    <mergeCell ref="G149:L149"/>
    <mergeCell ref="G150:L150"/>
    <mergeCell ref="G151:L151"/>
    <mergeCell ref="G152:L152"/>
    <mergeCell ref="G153:L153"/>
    <mergeCell ref="G154:L154"/>
    <mergeCell ref="G155:L155"/>
    <mergeCell ref="G156:L156"/>
    <mergeCell ref="G157:L157"/>
    <mergeCell ref="G158:L158"/>
    <mergeCell ref="G159:L159"/>
    <mergeCell ref="G160:L160"/>
    <mergeCell ref="G161:L161"/>
    <mergeCell ref="G162:L162"/>
    <mergeCell ref="G163:L163"/>
    <mergeCell ref="G164:L164"/>
    <mergeCell ref="G165:L165"/>
    <mergeCell ref="G166:L166"/>
    <mergeCell ref="G167:L167"/>
    <mergeCell ref="G168:L168"/>
    <mergeCell ref="G169:L169"/>
    <mergeCell ref="G170:L170"/>
    <mergeCell ref="G171:L171"/>
    <mergeCell ref="G172:L172"/>
    <mergeCell ref="G173:L173"/>
    <mergeCell ref="G174:L174"/>
    <mergeCell ref="G175:L175"/>
    <mergeCell ref="G179:L179"/>
    <mergeCell ref="G180:L180"/>
    <mergeCell ref="G181:L181"/>
    <mergeCell ref="G182:L182"/>
    <mergeCell ref="G183:L183"/>
    <mergeCell ref="G184:L184"/>
    <mergeCell ref="G185:L185"/>
    <mergeCell ref="G186:L186"/>
    <mergeCell ref="G187:L187"/>
    <mergeCell ref="G188:L188"/>
    <mergeCell ref="G189:L189"/>
    <mergeCell ref="G190:L190"/>
    <mergeCell ref="G191:L191"/>
    <mergeCell ref="G192:L192"/>
    <mergeCell ref="G193:L193"/>
    <mergeCell ref="G194:L194"/>
    <mergeCell ref="G195:L195"/>
    <mergeCell ref="G196:L196"/>
    <mergeCell ref="G197:L197"/>
    <mergeCell ref="G198:L198"/>
    <mergeCell ref="G199:L199"/>
    <mergeCell ref="G200:L200"/>
    <mergeCell ref="G201:L201"/>
    <mergeCell ref="G202:L202"/>
    <mergeCell ref="G203:L203"/>
    <mergeCell ref="G204:L204"/>
    <mergeCell ref="G205:L205"/>
    <mergeCell ref="G206:L206"/>
    <mergeCell ref="G207:L207"/>
    <mergeCell ref="G208:L208"/>
    <mergeCell ref="G212:L212"/>
    <mergeCell ref="G213:L213"/>
    <mergeCell ref="G214:L214"/>
    <mergeCell ref="G215:L215"/>
    <mergeCell ref="G216:L216"/>
    <mergeCell ref="G217:L217"/>
    <mergeCell ref="G218:L218"/>
    <mergeCell ref="G219:L219"/>
    <mergeCell ref="G220:L220"/>
    <mergeCell ref="G221:L221"/>
    <mergeCell ref="G222:L222"/>
    <mergeCell ref="G223:L223"/>
    <mergeCell ref="G224:L224"/>
    <mergeCell ref="G225:L225"/>
    <mergeCell ref="G226:L226"/>
    <mergeCell ref="G227:L227"/>
    <mergeCell ref="G228:L228"/>
    <mergeCell ref="G229:L229"/>
    <mergeCell ref="G230:L230"/>
    <mergeCell ref="G231:L231"/>
    <mergeCell ref="G232:L232"/>
    <mergeCell ref="G233:L233"/>
    <mergeCell ref="G234:L234"/>
    <mergeCell ref="G235:L235"/>
    <mergeCell ref="G236:L236"/>
    <mergeCell ref="G237:L237"/>
    <mergeCell ref="G238:L238"/>
    <mergeCell ref="G239:L239"/>
    <mergeCell ref="G240:L240"/>
    <mergeCell ref="G241:L241"/>
    <mergeCell ref="G245:L245"/>
    <mergeCell ref="G246:L246"/>
    <mergeCell ref="G247:L247"/>
    <mergeCell ref="G248:L248"/>
    <mergeCell ref="G249:L249"/>
    <mergeCell ref="G250:L250"/>
    <mergeCell ref="G251:L251"/>
    <mergeCell ref="G252:L252"/>
    <mergeCell ref="G253:L253"/>
    <mergeCell ref="G254:L254"/>
    <mergeCell ref="G255:L255"/>
    <mergeCell ref="G256:L256"/>
    <mergeCell ref="G257:L257"/>
    <mergeCell ref="G258:L258"/>
    <mergeCell ref="G259:L259"/>
    <mergeCell ref="G260:L260"/>
    <mergeCell ref="G261:L261"/>
    <mergeCell ref="G262:L262"/>
    <mergeCell ref="G263:L263"/>
    <mergeCell ref="G264:L264"/>
    <mergeCell ref="G265:L265"/>
    <mergeCell ref="G266:L266"/>
    <mergeCell ref="G267:L267"/>
    <mergeCell ref="G268:L268"/>
    <mergeCell ref="G269:L269"/>
    <mergeCell ref="G270:L270"/>
    <mergeCell ref="G271:L271"/>
    <mergeCell ref="G272:L272"/>
    <mergeCell ref="G273:L273"/>
    <mergeCell ref="G274:L274"/>
    <mergeCell ref="G278:L278"/>
    <mergeCell ref="G279:L279"/>
    <mergeCell ref="G280:L280"/>
    <mergeCell ref="G281:L281"/>
    <mergeCell ref="G282:L282"/>
    <mergeCell ref="G283:L283"/>
    <mergeCell ref="G284:L284"/>
    <mergeCell ref="G285:L285"/>
    <mergeCell ref="G286:L286"/>
    <mergeCell ref="G287:L287"/>
    <mergeCell ref="G288:L288"/>
    <mergeCell ref="G289:L289"/>
    <mergeCell ref="G290:L290"/>
    <mergeCell ref="G291:L291"/>
    <mergeCell ref="G292:L292"/>
    <mergeCell ref="G293:L293"/>
    <mergeCell ref="G294:L294"/>
    <mergeCell ref="G295:L295"/>
    <mergeCell ref="G296:L296"/>
    <mergeCell ref="G297:L297"/>
    <mergeCell ref="G298:L298"/>
    <mergeCell ref="G299:L299"/>
    <mergeCell ref="G300:L300"/>
    <mergeCell ref="G301:L301"/>
    <mergeCell ref="G302:L302"/>
    <mergeCell ref="G303:L303"/>
    <mergeCell ref="G304:L304"/>
    <mergeCell ref="G305:L305"/>
    <mergeCell ref="G306:L306"/>
    <mergeCell ref="G307:L307"/>
    <mergeCell ref="G311:L311"/>
    <mergeCell ref="G312:L312"/>
    <mergeCell ref="G313:L313"/>
    <mergeCell ref="G314:L314"/>
    <mergeCell ref="G315:L315"/>
    <mergeCell ref="G316:L316"/>
    <mergeCell ref="G317:L317"/>
    <mergeCell ref="G318:L318"/>
    <mergeCell ref="G319:L319"/>
    <mergeCell ref="G320:L320"/>
    <mergeCell ref="G321:L321"/>
    <mergeCell ref="G322:L322"/>
    <mergeCell ref="G323:L323"/>
    <mergeCell ref="G324:L324"/>
    <mergeCell ref="G325:L325"/>
    <mergeCell ref="G326:L326"/>
    <mergeCell ref="G327:L327"/>
    <mergeCell ref="G328:L328"/>
    <mergeCell ref="G329:L329"/>
    <mergeCell ref="G330:L330"/>
    <mergeCell ref="G331:L331"/>
    <mergeCell ref="G332:L332"/>
    <mergeCell ref="G333:L333"/>
    <mergeCell ref="G334:L334"/>
    <mergeCell ref="G335:L335"/>
    <mergeCell ref="G336:L336"/>
    <mergeCell ref="G337:L337"/>
    <mergeCell ref="G338:L338"/>
    <mergeCell ref="G339:L339"/>
    <mergeCell ref="G340:L340"/>
  </mergeCells>
  <conditionalFormatting sqref="G14:G340">
    <cfRule type="expression" priority="2" aboveAverage="0" equalAverage="0" bottom="0" percent="0" rank="0" text="" dxfId="21">
      <formula>LEFT($G14,3)="NOT"</formula>
    </cfRule>
  </conditionalFormatting>
  <conditionalFormatting sqref="D347:AQ347">
    <cfRule type="cellIs" priority="3" operator="greaterThan" aboveAverage="0" equalAverage="0" bottom="0" percent="0" rank="0" text="" dxfId="22">
      <formula>0</formula>
    </cfRule>
  </conditionalFormatting>
  <conditionalFormatting sqref="D351:AQ351">
    <cfRule type="cellIs" priority="4" operator="greaterThan" aboveAverage="0" equalAverage="0" bottom="0" percent="0" rank="0" text="" dxfId="22">
      <formula>0</formula>
    </cfRule>
  </conditionalFormatting>
  <conditionalFormatting sqref="D357:AQ357">
    <cfRule type="cellIs" priority="5" operator="greaterThan" aboveAverage="0" equalAverage="0" bottom="0" percent="0" rank="0" text="" dxfId="22">
      <formula>0</formula>
    </cfRule>
  </conditionalFormatting>
  <conditionalFormatting sqref="D361:AQ361">
    <cfRule type="cellIs" priority="6" operator="greaterThan" aboveAverage="0" equalAverage="0" bottom="0" percent="0" rank="0" text="" dxfId="22">
      <formula>0</formula>
    </cfRule>
  </conditionalFormatting>
  <conditionalFormatting sqref="D367:AQ367">
    <cfRule type="cellIs" priority="7" operator="greaterThan" aboveAverage="0" equalAverage="0" bottom="0" percent="0" rank="0" text="" dxfId="22">
      <formula>0</formula>
    </cfRule>
  </conditionalFormatting>
  <conditionalFormatting sqref="D371:AQ371">
    <cfRule type="cellIs" priority="8" operator="greaterThan" aboveAverage="0" equalAverage="0" bottom="0" percent="0" rank="0" text="" dxfId="22">
      <formula>0</formula>
    </cfRule>
  </conditionalFormatting>
  <conditionalFormatting sqref="D377:AQ377">
    <cfRule type="cellIs" priority="9" operator="greaterThan" aboveAverage="0" equalAverage="0" bottom="0" percent="0" rank="0" text="" dxfId="22">
      <formula>0</formula>
    </cfRule>
  </conditionalFormatting>
  <conditionalFormatting sqref="D381:AQ381">
    <cfRule type="cellIs" priority="10" operator="greaterThan" aboveAverage="0" equalAverage="0" bottom="0" percent="0" rank="0" text="" dxfId="22">
      <formula>0</formula>
    </cfRule>
  </conditionalFormatting>
  <conditionalFormatting sqref="D387:AQ387">
    <cfRule type="cellIs" priority="11" operator="greaterThan" aboveAverage="0" equalAverage="0" bottom="0" percent="0" rank="0" text="" dxfId="22">
      <formula>0</formula>
    </cfRule>
  </conditionalFormatting>
  <conditionalFormatting sqref="D391:AQ391">
    <cfRule type="cellIs" priority="12" operator="greaterThan" aboveAverage="0" equalAverage="0" bottom="0" percent="0" rank="0" text="" dxfId="22">
      <formula>0</formula>
    </cfRule>
  </conditionalFormatting>
  <conditionalFormatting sqref="D397:AQ397">
    <cfRule type="cellIs" priority="13" operator="greaterThan" aboveAverage="0" equalAverage="0" bottom="0" percent="0" rank="0" text="" dxfId="22">
      <formula>0</formula>
    </cfRule>
  </conditionalFormatting>
  <conditionalFormatting sqref="D401:AQ401">
    <cfRule type="cellIs" priority="14" operator="greaterThan" aboveAverage="0" equalAverage="0" bottom="0" percent="0" rank="0" text="" dxfId="22">
      <formula>0</formula>
    </cfRule>
  </conditionalFormatting>
  <conditionalFormatting sqref="D407:AQ407">
    <cfRule type="cellIs" priority="15" operator="greaterThan" aboveAverage="0" equalAverage="0" bottom="0" percent="0" rank="0" text="" dxfId="22">
      <formula>0</formula>
    </cfRule>
  </conditionalFormatting>
  <conditionalFormatting sqref="D411:AQ411">
    <cfRule type="cellIs" priority="16" operator="greaterThan" aboveAverage="0" equalAverage="0" bottom="0" percent="0" rank="0" text="" dxfId="22">
      <formula>0</formula>
    </cfRule>
  </conditionalFormatting>
  <conditionalFormatting sqref="D417:AQ417">
    <cfRule type="cellIs" priority="17" operator="greaterThan" aboveAverage="0" equalAverage="0" bottom="0" percent="0" rank="0" text="" dxfId="22">
      <formula>0</formula>
    </cfRule>
  </conditionalFormatting>
  <conditionalFormatting sqref="D421:AQ421">
    <cfRule type="cellIs" priority="18" operator="greaterThan" aboveAverage="0" equalAverage="0" bottom="0" percent="0" rank="0" text="" dxfId="22">
      <formula>0</formula>
    </cfRule>
  </conditionalFormatting>
  <conditionalFormatting sqref="D427:AQ427">
    <cfRule type="cellIs" priority="19" operator="greaterThan" aboveAverage="0" equalAverage="0" bottom="0" percent="0" rank="0" text="" dxfId="22">
      <formula>0</formula>
    </cfRule>
  </conditionalFormatting>
  <conditionalFormatting sqref="D431:AQ431">
    <cfRule type="cellIs" priority="20" operator="greaterThan" aboveAverage="0" equalAverage="0" bottom="0" percent="0" rank="0" text="" dxfId="22">
      <formula>0</formula>
    </cfRule>
  </conditionalFormatting>
  <conditionalFormatting sqref="D437:AQ437">
    <cfRule type="cellIs" priority="21" operator="greaterThan" aboveAverage="0" equalAverage="0" bottom="0" percent="0" rank="0" text="" dxfId="22">
      <formula>0</formula>
    </cfRule>
  </conditionalFormatting>
  <conditionalFormatting sqref="D441:AQ441">
    <cfRule type="cellIs" priority="22" operator="greaterThan" aboveAverage="0" equalAverage="0" bottom="0" percent="0" rank="0" text="" dxfId="22">
      <formula>0</formula>
    </cfRule>
  </conditionalFormatting>
  <conditionalFormatting sqref="C458:C464">
    <cfRule type="cellIs" priority="23" operator="equal" aboveAverage="0" equalAverage="0" bottom="0" percent="0" rank="0" text="" dxfId="8">
      <formula>"ERROR"</formula>
    </cfRule>
    <cfRule type="cellIs" priority="24" operator="equal" aboveAverage="0" equalAverage="0" bottom="0" percent="0" rank="0" text="" dxfId="9">
      <formula>"OK"</formula>
    </cfRule>
    <cfRule type="cellIs" priority="25" operator="equal" aboveAverage="0" equalAverage="0" bottom="0" percent="0" rank="0" text="" dxfId="10">
      <formula>"Off"</formula>
    </cfRule>
    <cfRule type="cellIs" priority="26" operator="equal" aboveAverage="0" equalAverage="0" bottom="0" percent="0" rank="0" text="" dxfId="10">
      <formula>"Unused"</formula>
    </cfRule>
    <cfRule type="cellIs" priority="27" operator="equal" aboveAverage="0" equalAverage="0" bottom="0" percent="0" rank="0" text="" dxfId="10">
      <formula>"Excluded"</formula>
    </cfRule>
  </conditionalFormatting>
  <conditionalFormatting sqref="C3">
    <cfRule type="cellIs" priority="28" operator="equal" aboveAverage="0" equalAverage="0" bottom="0" percent="0" rank="0" text="" dxfId="8">
      <formula>"ERROR"</formula>
    </cfRule>
    <cfRule type="cellIs" priority="29" operator="equal" aboveAverage="0" equalAverage="0" bottom="0" percent="0" rank="0" text="" dxfId="9">
      <formula>"OK"</formula>
    </cfRule>
    <cfRule type="cellIs" priority="30" operator="equal" aboveAverage="0" equalAverage="0" bottom="0" percent="0" rank="0" text="" dxfId="10">
      <formula>"Off"</formula>
    </cfRule>
    <cfRule type="cellIs" priority="31" operator="equal" aboveAverage="0" equalAverage="0" bottom="0" percent="0" rank="0" text="" dxfId="10">
      <formula>"Unused"</formula>
    </cfRule>
    <cfRule type="cellIs" priority="32" operator="equal" aboveAverage="0" equalAverage="0" bottom="0" percent="0" rank="0" text="" dxfId="10">
      <formula>"Excluded"</formula>
    </cfRule>
  </conditionalFormatting>
  <conditionalFormatting sqref="C355">
    <cfRule type="cellIs" priority="33" operator="equal" aboveAverage="0" equalAverage="0" bottom="0" percent="0" rank="0" text="" dxfId="8">
      <formula>"ERROR"</formula>
    </cfRule>
    <cfRule type="cellIs" priority="34" operator="equal" aboveAverage="0" equalAverage="0" bottom="0" percent="0" rank="0" text="" dxfId="9">
      <formula>"OK"</formula>
    </cfRule>
    <cfRule type="cellIs" priority="35" operator="equal" aboveAverage="0" equalAverage="0" bottom="0" percent="0" rank="0" text="" dxfId="10">
      <formula>"Off"</formula>
    </cfRule>
    <cfRule type="cellIs" priority="36" operator="equal" aboveAverage="0" equalAverage="0" bottom="0" percent="0" rank="0" text="" dxfId="10">
      <formula>"Unused"</formula>
    </cfRule>
    <cfRule type="cellIs" priority="37" operator="equal" aboveAverage="0" equalAverage="0" bottom="0" percent="0" rank="0" text="" dxfId="10">
      <formula>"Excluded"</formula>
    </cfRule>
  </conditionalFormatting>
  <conditionalFormatting sqref="C365">
    <cfRule type="cellIs" priority="38" operator="equal" aboveAverage="0" equalAverage="0" bottom="0" percent="0" rank="0" text="" dxfId="8">
      <formula>"ERROR"</formula>
    </cfRule>
    <cfRule type="cellIs" priority="39" operator="equal" aboveAverage="0" equalAverage="0" bottom="0" percent="0" rank="0" text="" dxfId="9">
      <formula>"OK"</formula>
    </cfRule>
    <cfRule type="cellIs" priority="40" operator="equal" aboveAverage="0" equalAverage="0" bottom="0" percent="0" rank="0" text="" dxfId="10">
      <formula>"Off"</formula>
    </cfRule>
    <cfRule type="cellIs" priority="41" operator="equal" aboveAverage="0" equalAverage="0" bottom="0" percent="0" rank="0" text="" dxfId="10">
      <formula>"Unused"</formula>
    </cfRule>
    <cfRule type="cellIs" priority="42" operator="equal" aboveAverage="0" equalAverage="0" bottom="0" percent="0" rank="0" text="" dxfId="10">
      <formula>"Excluded"</formula>
    </cfRule>
  </conditionalFormatting>
  <conditionalFormatting sqref="C375">
    <cfRule type="cellIs" priority="43" operator="equal" aboveAverage="0" equalAverage="0" bottom="0" percent="0" rank="0" text="" dxfId="8">
      <formula>"ERROR"</formula>
    </cfRule>
    <cfRule type="cellIs" priority="44" operator="equal" aboveAverage="0" equalAverage="0" bottom="0" percent="0" rank="0" text="" dxfId="9">
      <formula>"OK"</formula>
    </cfRule>
    <cfRule type="cellIs" priority="45" operator="equal" aboveAverage="0" equalAverage="0" bottom="0" percent="0" rank="0" text="" dxfId="10">
      <formula>"Off"</formula>
    </cfRule>
    <cfRule type="cellIs" priority="46" operator="equal" aboveAverage="0" equalAverage="0" bottom="0" percent="0" rank="0" text="" dxfId="10">
      <formula>"Unused"</formula>
    </cfRule>
    <cfRule type="cellIs" priority="47" operator="equal" aboveAverage="0" equalAverage="0" bottom="0" percent="0" rank="0" text="" dxfId="10">
      <formula>"Excluded"</formula>
    </cfRule>
  </conditionalFormatting>
  <conditionalFormatting sqref="C385">
    <cfRule type="cellIs" priority="48" operator="equal" aboveAverage="0" equalAverage="0" bottom="0" percent="0" rank="0" text="" dxfId="8">
      <formula>"ERROR"</formula>
    </cfRule>
    <cfRule type="cellIs" priority="49" operator="equal" aboveAverage="0" equalAverage="0" bottom="0" percent="0" rank="0" text="" dxfId="9">
      <formula>"OK"</formula>
    </cfRule>
    <cfRule type="cellIs" priority="50" operator="equal" aboveAverage="0" equalAverage="0" bottom="0" percent="0" rank="0" text="" dxfId="10">
      <formula>"Off"</formula>
    </cfRule>
    <cfRule type="cellIs" priority="51" operator="equal" aboveAverage="0" equalAverage="0" bottom="0" percent="0" rank="0" text="" dxfId="10">
      <formula>"Unused"</formula>
    </cfRule>
    <cfRule type="cellIs" priority="52" operator="equal" aboveAverage="0" equalAverage="0" bottom="0" percent="0" rank="0" text="" dxfId="10">
      <formula>"Excluded"</formula>
    </cfRule>
  </conditionalFormatting>
  <conditionalFormatting sqref="C395">
    <cfRule type="cellIs" priority="53" operator="equal" aboveAverage="0" equalAverage="0" bottom="0" percent="0" rank="0" text="" dxfId="8">
      <formula>"ERROR"</formula>
    </cfRule>
    <cfRule type="cellIs" priority="54" operator="equal" aboveAverage="0" equalAverage="0" bottom="0" percent="0" rank="0" text="" dxfId="9">
      <formula>"OK"</formula>
    </cfRule>
    <cfRule type="cellIs" priority="55" operator="equal" aboveAverage="0" equalAverage="0" bottom="0" percent="0" rank="0" text="" dxfId="10">
      <formula>"Off"</formula>
    </cfRule>
    <cfRule type="cellIs" priority="56" operator="equal" aboveAverage="0" equalAverage="0" bottom="0" percent="0" rank="0" text="" dxfId="10">
      <formula>"Unused"</formula>
    </cfRule>
    <cfRule type="cellIs" priority="57" operator="equal" aboveAverage="0" equalAverage="0" bottom="0" percent="0" rank="0" text="" dxfId="10">
      <formula>"Excluded"</formula>
    </cfRule>
  </conditionalFormatting>
  <conditionalFormatting sqref="C405">
    <cfRule type="cellIs" priority="58" operator="equal" aboveAverage="0" equalAverage="0" bottom="0" percent="0" rank="0" text="" dxfId="8">
      <formula>"ERROR"</formula>
    </cfRule>
    <cfRule type="cellIs" priority="59" operator="equal" aboveAverage="0" equalAverage="0" bottom="0" percent="0" rank="0" text="" dxfId="9">
      <formula>"OK"</formula>
    </cfRule>
    <cfRule type="cellIs" priority="60" operator="equal" aboveAverage="0" equalAverage="0" bottom="0" percent="0" rank="0" text="" dxfId="10">
      <formula>"Off"</formula>
    </cfRule>
    <cfRule type="cellIs" priority="61" operator="equal" aboveAverage="0" equalAverage="0" bottom="0" percent="0" rank="0" text="" dxfId="10">
      <formula>"Unused"</formula>
    </cfRule>
    <cfRule type="cellIs" priority="62" operator="equal" aboveAverage="0" equalAverage="0" bottom="0" percent="0" rank="0" text="" dxfId="10">
      <formula>"Excluded"</formula>
    </cfRule>
  </conditionalFormatting>
  <conditionalFormatting sqref="C415">
    <cfRule type="cellIs" priority="63" operator="equal" aboveAverage="0" equalAverage="0" bottom="0" percent="0" rank="0" text="" dxfId="8">
      <formula>"ERROR"</formula>
    </cfRule>
    <cfRule type="cellIs" priority="64" operator="equal" aboveAverage="0" equalAverage="0" bottom="0" percent="0" rank="0" text="" dxfId="9">
      <formula>"OK"</formula>
    </cfRule>
    <cfRule type="cellIs" priority="65" operator="equal" aboveAverage="0" equalAverage="0" bottom="0" percent="0" rank="0" text="" dxfId="10">
      <formula>"Off"</formula>
    </cfRule>
    <cfRule type="cellIs" priority="66" operator="equal" aboveAverage="0" equalAverage="0" bottom="0" percent="0" rank="0" text="" dxfId="10">
      <formula>"Unused"</formula>
    </cfRule>
    <cfRule type="cellIs" priority="67" operator="equal" aboveAverage="0" equalAverage="0" bottom="0" percent="0" rank="0" text="" dxfId="10">
      <formula>"Excluded"</formula>
    </cfRule>
  </conditionalFormatting>
  <conditionalFormatting sqref="C425">
    <cfRule type="cellIs" priority="68" operator="equal" aboveAverage="0" equalAverage="0" bottom="0" percent="0" rank="0" text="" dxfId="8">
      <formula>"ERROR"</formula>
    </cfRule>
    <cfRule type="cellIs" priority="69" operator="equal" aboveAverage="0" equalAverage="0" bottom="0" percent="0" rank="0" text="" dxfId="9">
      <formula>"OK"</formula>
    </cfRule>
    <cfRule type="cellIs" priority="70" operator="equal" aboveAverage="0" equalAverage="0" bottom="0" percent="0" rank="0" text="" dxfId="10">
      <formula>"Off"</formula>
    </cfRule>
    <cfRule type="cellIs" priority="71" operator="equal" aboveAverage="0" equalAverage="0" bottom="0" percent="0" rank="0" text="" dxfId="10">
      <formula>"Unused"</formula>
    </cfRule>
    <cfRule type="cellIs" priority="72" operator="equal" aboveAverage="0" equalAverage="0" bottom="0" percent="0" rank="0" text="" dxfId="10">
      <formula>"Excluded"</formula>
    </cfRule>
  </conditionalFormatting>
  <conditionalFormatting sqref="C435">
    <cfRule type="cellIs" priority="73" operator="equal" aboveAverage="0" equalAverage="0" bottom="0" percent="0" rank="0" text="" dxfId="8">
      <formula>"ERROR"</formula>
    </cfRule>
    <cfRule type="cellIs" priority="74" operator="equal" aboveAverage="0" equalAverage="0" bottom="0" percent="0" rank="0" text="" dxfId="9">
      <formula>"OK"</formula>
    </cfRule>
    <cfRule type="cellIs" priority="75" operator="equal" aboveAverage="0" equalAverage="0" bottom="0" percent="0" rank="0" text="" dxfId="10">
      <formula>"Off"</formula>
    </cfRule>
    <cfRule type="cellIs" priority="76" operator="equal" aboveAverage="0" equalAverage="0" bottom="0" percent="0" rank="0" text="" dxfId="10">
      <formula>"Unused"</formula>
    </cfRule>
    <cfRule type="cellIs" priority="77" operator="equal" aboveAverage="0" equalAverage="0" bottom="0" percent="0" rank="0" text="" dxfId="10">
      <formula>"Excluded"</formula>
    </cfRule>
  </conditionalFormatting>
  <conditionalFormatting sqref="C445">
    <cfRule type="cellIs" priority="78" operator="equal" aboveAverage="0" equalAverage="0" bottom="0" percent="0" rank="0" text="" dxfId="8">
      <formula>"ERROR"</formula>
    </cfRule>
    <cfRule type="cellIs" priority="79" operator="equal" aboveAverage="0" equalAverage="0" bottom="0" percent="0" rank="0" text="" dxfId="9">
      <formula>"OK"</formula>
    </cfRule>
    <cfRule type="cellIs" priority="80" operator="equal" aboveAverage="0" equalAverage="0" bottom="0" percent="0" rank="0" text="" dxfId="10">
      <formula>"Off"</formula>
    </cfRule>
    <cfRule type="cellIs" priority="81" operator="equal" aboveAverage="0" equalAverage="0" bottom="0" percent="0" rank="0" text="" dxfId="10">
      <formula>"Unused"</formula>
    </cfRule>
    <cfRule type="cellIs" priority="82" operator="equal" aboveAverage="0" equalAverage="0" bottom="0" percent="0" rank="0" text="" dxfId="10">
      <formula>"Excluded"</formula>
    </cfRule>
  </conditionalFormatting>
  <conditionalFormatting sqref="C45">
    <cfRule type="cellIs" priority="83" operator="equal" aboveAverage="0" equalAverage="0" bottom="0" percent="0" rank="0" text="" dxfId="8">
      <formula>"ERROR"</formula>
    </cfRule>
    <cfRule type="cellIs" priority="84" operator="equal" aboveAverage="0" equalAverage="0" bottom="0" percent="0" rank="0" text="" dxfId="9">
      <formula>"OK"</formula>
    </cfRule>
    <cfRule type="cellIs" priority="85" operator="equal" aboveAverage="0" equalAverage="0" bottom="0" percent="0" rank="0" text="" dxfId="10">
      <formula>"Off"</formula>
    </cfRule>
    <cfRule type="cellIs" priority="86" operator="equal" aboveAverage="0" equalAverage="0" bottom="0" percent="0" rank="0" text="" dxfId="10">
      <formula>"Unused"</formula>
    </cfRule>
    <cfRule type="cellIs" priority="87" operator="equal" aboveAverage="0" equalAverage="0" bottom="0" percent="0" rank="0" text="" dxfId="10">
      <formula>"Excluded"</formula>
    </cfRule>
  </conditionalFormatting>
  <conditionalFormatting sqref="C78">
    <cfRule type="cellIs" priority="88" operator="equal" aboveAverage="0" equalAverage="0" bottom="0" percent="0" rank="0" text="" dxfId="8">
      <formula>"ERROR"</formula>
    </cfRule>
    <cfRule type="cellIs" priority="89" operator="equal" aboveAverage="0" equalAverage="0" bottom="0" percent="0" rank="0" text="" dxfId="9">
      <formula>"OK"</formula>
    </cfRule>
    <cfRule type="cellIs" priority="90" operator="equal" aboveAverage="0" equalAverage="0" bottom="0" percent="0" rank="0" text="" dxfId="10">
      <formula>"Off"</formula>
    </cfRule>
    <cfRule type="cellIs" priority="91" operator="equal" aboveAverage="0" equalAverage="0" bottom="0" percent="0" rank="0" text="" dxfId="10">
      <formula>"Unused"</formula>
    </cfRule>
    <cfRule type="cellIs" priority="92" operator="equal" aboveAverage="0" equalAverage="0" bottom="0" percent="0" rank="0" text="" dxfId="10">
      <formula>"Excluded"</formula>
    </cfRule>
  </conditionalFormatting>
  <conditionalFormatting sqref="C111">
    <cfRule type="cellIs" priority="93" operator="equal" aboveAverage="0" equalAverage="0" bottom="0" percent="0" rank="0" text="" dxfId="8">
      <formula>"ERROR"</formula>
    </cfRule>
    <cfRule type="cellIs" priority="94" operator="equal" aboveAverage="0" equalAverage="0" bottom="0" percent="0" rank="0" text="" dxfId="9">
      <formula>"OK"</formula>
    </cfRule>
    <cfRule type="cellIs" priority="95" operator="equal" aboveAverage="0" equalAverage="0" bottom="0" percent="0" rank="0" text="" dxfId="10">
      <formula>"Off"</formula>
    </cfRule>
    <cfRule type="cellIs" priority="96" operator="equal" aboveAverage="0" equalAverage="0" bottom="0" percent="0" rank="0" text="" dxfId="10">
      <formula>"Unused"</formula>
    </cfRule>
    <cfRule type="cellIs" priority="97" operator="equal" aboveAverage="0" equalAverage="0" bottom="0" percent="0" rank="0" text="" dxfId="10">
      <formula>"Excluded"</formula>
    </cfRule>
  </conditionalFormatting>
  <conditionalFormatting sqref="C144">
    <cfRule type="cellIs" priority="98" operator="equal" aboveAverage="0" equalAverage="0" bottom="0" percent="0" rank="0" text="" dxfId="8">
      <formula>"ERROR"</formula>
    </cfRule>
    <cfRule type="cellIs" priority="99" operator="equal" aboveAverage="0" equalAverage="0" bottom="0" percent="0" rank="0" text="" dxfId="9">
      <formula>"OK"</formula>
    </cfRule>
    <cfRule type="cellIs" priority="100" operator="equal" aboveAverage="0" equalAverage="0" bottom="0" percent="0" rank="0" text="" dxfId="10">
      <formula>"Off"</formula>
    </cfRule>
    <cfRule type="cellIs" priority="101" operator="equal" aboveAverage="0" equalAverage="0" bottom="0" percent="0" rank="0" text="" dxfId="10">
      <formula>"Unused"</formula>
    </cfRule>
    <cfRule type="cellIs" priority="102" operator="equal" aboveAverage="0" equalAverage="0" bottom="0" percent="0" rank="0" text="" dxfId="10">
      <formula>"Excluded"</formula>
    </cfRule>
  </conditionalFormatting>
  <conditionalFormatting sqref="C177">
    <cfRule type="cellIs" priority="103" operator="equal" aboveAverage="0" equalAverage="0" bottom="0" percent="0" rank="0" text="" dxfId="8">
      <formula>"ERROR"</formula>
    </cfRule>
    <cfRule type="cellIs" priority="104" operator="equal" aboveAverage="0" equalAverage="0" bottom="0" percent="0" rank="0" text="" dxfId="9">
      <formula>"OK"</formula>
    </cfRule>
    <cfRule type="cellIs" priority="105" operator="equal" aboveAverage="0" equalAverage="0" bottom="0" percent="0" rank="0" text="" dxfId="10">
      <formula>"Off"</formula>
    </cfRule>
    <cfRule type="cellIs" priority="106" operator="equal" aboveAverage="0" equalAverage="0" bottom="0" percent="0" rank="0" text="" dxfId="10">
      <formula>"Unused"</formula>
    </cfRule>
    <cfRule type="cellIs" priority="107" operator="equal" aboveAverage="0" equalAverage="0" bottom="0" percent="0" rank="0" text="" dxfId="10">
      <formula>"Excluded"</formula>
    </cfRule>
  </conditionalFormatting>
  <conditionalFormatting sqref="C210">
    <cfRule type="cellIs" priority="108" operator="equal" aboveAverage="0" equalAverage="0" bottom="0" percent="0" rank="0" text="" dxfId="8">
      <formula>"ERROR"</formula>
    </cfRule>
    <cfRule type="cellIs" priority="109" operator="equal" aboveAverage="0" equalAverage="0" bottom="0" percent="0" rank="0" text="" dxfId="9">
      <formula>"OK"</formula>
    </cfRule>
    <cfRule type="cellIs" priority="110" operator="equal" aboveAverage="0" equalAverage="0" bottom="0" percent="0" rank="0" text="" dxfId="10">
      <formula>"Off"</formula>
    </cfRule>
    <cfRule type="cellIs" priority="111" operator="equal" aboveAverage="0" equalAverage="0" bottom="0" percent="0" rank="0" text="" dxfId="10">
      <formula>"Unused"</formula>
    </cfRule>
    <cfRule type="cellIs" priority="112" operator="equal" aboveAverage="0" equalAverage="0" bottom="0" percent="0" rank="0" text="" dxfId="10">
      <formula>"Excluded"</formula>
    </cfRule>
  </conditionalFormatting>
  <conditionalFormatting sqref="C243">
    <cfRule type="cellIs" priority="113" operator="equal" aboveAverage="0" equalAverage="0" bottom="0" percent="0" rank="0" text="" dxfId="8">
      <formula>"ERROR"</formula>
    </cfRule>
    <cfRule type="cellIs" priority="114" operator="equal" aboveAverage="0" equalAverage="0" bottom="0" percent="0" rank="0" text="" dxfId="9">
      <formula>"OK"</formula>
    </cfRule>
    <cfRule type="cellIs" priority="115" operator="equal" aboveAverage="0" equalAverage="0" bottom="0" percent="0" rank="0" text="" dxfId="10">
      <formula>"Off"</formula>
    </cfRule>
    <cfRule type="cellIs" priority="116" operator="equal" aboveAverage="0" equalAverage="0" bottom="0" percent="0" rank="0" text="" dxfId="10">
      <formula>"Unused"</formula>
    </cfRule>
    <cfRule type="cellIs" priority="117" operator="equal" aboveAverage="0" equalAverage="0" bottom="0" percent="0" rank="0" text="" dxfId="10">
      <formula>"Excluded"</formula>
    </cfRule>
  </conditionalFormatting>
  <conditionalFormatting sqref="C276">
    <cfRule type="cellIs" priority="118" operator="equal" aboveAverage="0" equalAverage="0" bottom="0" percent="0" rank="0" text="" dxfId="8">
      <formula>"ERROR"</formula>
    </cfRule>
    <cfRule type="cellIs" priority="119" operator="equal" aboveAverage="0" equalAverage="0" bottom="0" percent="0" rank="0" text="" dxfId="9">
      <formula>"OK"</formula>
    </cfRule>
    <cfRule type="cellIs" priority="120" operator="equal" aboveAverage="0" equalAverage="0" bottom="0" percent="0" rank="0" text="" dxfId="10">
      <formula>"Off"</formula>
    </cfRule>
    <cfRule type="cellIs" priority="121" operator="equal" aboveAverage="0" equalAverage="0" bottom="0" percent="0" rank="0" text="" dxfId="10">
      <formula>"Unused"</formula>
    </cfRule>
    <cfRule type="cellIs" priority="122" operator="equal" aboveAverage="0" equalAverage="0" bottom="0" percent="0" rank="0" text="" dxfId="10">
      <formula>"Excluded"</formula>
    </cfRule>
  </conditionalFormatting>
  <conditionalFormatting sqref="C309">
    <cfRule type="cellIs" priority="123" operator="equal" aboveAverage="0" equalAverage="0" bottom="0" percent="0" rank="0" text="" dxfId="8">
      <formula>"ERROR"</formula>
    </cfRule>
    <cfRule type="cellIs" priority="124" operator="equal" aboveAverage="0" equalAverage="0" bottom="0" percent="0" rank="0" text="" dxfId="9">
      <formula>"OK"</formula>
    </cfRule>
    <cfRule type="cellIs" priority="125" operator="equal" aboveAverage="0" equalAverage="0" bottom="0" percent="0" rank="0" text="" dxfId="10">
      <formula>"Off"</formula>
    </cfRule>
    <cfRule type="cellIs" priority="126" operator="equal" aboveAverage="0" equalAverage="0" bottom="0" percent="0" rank="0" text="" dxfId="10">
      <formula>"Unused"</formula>
    </cfRule>
    <cfRule type="cellIs" priority="127" operator="equal" aboveAverage="0" equalAverage="0" bottom="0" percent="0" rank="0" text="" dxfId="10">
      <formula>"Excluded"</formula>
    </cfRule>
  </conditionalFormatting>
  <conditionalFormatting sqref="C342">
    <cfRule type="cellIs" priority="128" operator="equal" aboveAverage="0" equalAverage="0" bottom="0" percent="0" rank="0" text="" dxfId="8">
      <formula>"ERROR"</formula>
    </cfRule>
    <cfRule type="cellIs" priority="129" operator="equal" aboveAverage="0" equalAverage="0" bottom="0" percent="0" rank="0" text="" dxfId="9">
      <formula>"OK"</formula>
    </cfRule>
    <cfRule type="cellIs" priority="130" operator="equal" aboveAverage="0" equalAverage="0" bottom="0" percent="0" rank="0" text="" dxfId="10">
      <formula>"Off"</formula>
    </cfRule>
    <cfRule type="cellIs" priority="131" operator="equal" aboveAverage="0" equalAverage="0" bottom="0" percent="0" rank="0" text="" dxfId="10">
      <formula>"Unused"</formula>
    </cfRule>
    <cfRule type="cellIs" priority="132" operator="equal" aboveAverage="0" equalAverage="0" bottom="0" percent="0" rank="0" text="" dxfId="10">
      <formula>"Excluded"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B2:AQ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3" min="4" style="0" width="10"/>
  </cols>
  <sheetData>
    <row r="2" customFormat="false" ht="19.7" hidden="false" customHeight="false" outlineLevel="0" collapsed="false">
      <c r="B2" s="1" t="s">
        <v>737</v>
      </c>
    </row>
    <row r="3" customFormat="false" ht="15" hidden="false" customHeight="false" outlineLevel="0" collapsed="false">
      <c r="B3" s="2" t="s">
        <v>738</v>
      </c>
      <c r="C3" s="34" t="str">
        <f aca="false">IF(COUNTIF(C115:C122,"ERROR")=0,"OK","ERROR")</f>
        <v>OK</v>
      </c>
    </row>
    <row r="4" customFormat="false" ht="15" hidden="false" customHeight="false" outlineLevel="0" collapsed="false">
      <c r="B4" s="17" t="s">
        <v>739</v>
      </c>
    </row>
    <row r="6" customFormat="false" ht="15" hidden="false" customHeight="false" outlineLevel="0" collapsed="false">
      <c r="B6" s="112" t="s">
        <v>186</v>
      </c>
      <c r="C6" s="102" t="s">
        <v>662</v>
      </c>
      <c r="D6" s="113" t="str">
        <f aca="false">TIMELINE!D8</f>
        <v>Q1</v>
      </c>
      <c r="E6" s="113" t="str">
        <f aca="false">TIMELINE!E8</f>
        <v>Q2</v>
      </c>
      <c r="F6" s="113" t="str">
        <f aca="false">TIMELINE!F8</f>
        <v>Q3</v>
      </c>
      <c r="G6" s="113" t="str">
        <f aca="false">TIMELINE!G8</f>
        <v>Q4</v>
      </c>
      <c r="H6" s="113" t="str">
        <f aca="false">TIMELINE!H8</f>
        <v>Q5</v>
      </c>
      <c r="I6" s="113" t="str">
        <f aca="false">TIMELINE!I8</f>
        <v>Q6</v>
      </c>
      <c r="J6" s="113" t="str">
        <f aca="false">TIMELINE!J8</f>
        <v>Q7</v>
      </c>
      <c r="K6" s="113" t="str">
        <f aca="false">TIMELINE!K8</f>
        <v>Q8</v>
      </c>
      <c r="L6" s="113" t="str">
        <f aca="false">TIMELINE!L8</f>
        <v>Q9</v>
      </c>
      <c r="M6" s="113" t="str">
        <f aca="false">TIMELINE!M8</f>
        <v>Q10</v>
      </c>
      <c r="N6" s="113" t="str">
        <f aca="false">TIMELINE!N8</f>
        <v>Q11</v>
      </c>
      <c r="O6" s="113" t="str">
        <f aca="false">TIMELINE!O8</f>
        <v>Q12</v>
      </c>
      <c r="P6" s="113" t="str">
        <f aca="false">TIMELINE!P8</f>
        <v>Q13</v>
      </c>
      <c r="Q6" s="113" t="str">
        <f aca="false">TIMELINE!Q8</f>
        <v>Q14</v>
      </c>
      <c r="R6" s="113" t="str">
        <f aca="false">TIMELINE!R8</f>
        <v>Q15</v>
      </c>
      <c r="S6" s="113" t="str">
        <f aca="false">TIMELINE!S8</f>
        <v>Q16</v>
      </c>
      <c r="T6" s="113" t="str">
        <f aca="false">TIMELINE!T8</f>
        <v>Q17</v>
      </c>
      <c r="U6" s="113" t="str">
        <f aca="false">TIMELINE!U8</f>
        <v>Q18</v>
      </c>
      <c r="V6" s="113" t="str">
        <f aca="false">TIMELINE!V8</f>
        <v>Q19</v>
      </c>
      <c r="W6" s="113" t="str">
        <f aca="false">TIMELINE!W8</f>
        <v>Q20</v>
      </c>
      <c r="X6" s="113" t="str">
        <f aca="false">TIMELINE!X8</f>
        <v>Q21</v>
      </c>
      <c r="Y6" s="113" t="str">
        <f aca="false">TIMELINE!Y8</f>
        <v>Q22</v>
      </c>
      <c r="Z6" s="113" t="str">
        <f aca="false">TIMELINE!Z8</f>
        <v>Q23</v>
      </c>
      <c r="AA6" s="113" t="str">
        <f aca="false">TIMELINE!AA8</f>
        <v>Q24</v>
      </c>
      <c r="AB6" s="113" t="str">
        <f aca="false">TIMELINE!AB8</f>
        <v>Q25</v>
      </c>
      <c r="AC6" s="113" t="str">
        <f aca="false">TIMELINE!AC8</f>
        <v>Q26</v>
      </c>
      <c r="AD6" s="113" t="str">
        <f aca="false">TIMELINE!AD8</f>
        <v>Q27</v>
      </c>
      <c r="AE6" s="113" t="str">
        <f aca="false">TIMELINE!AE8</f>
        <v>Q28</v>
      </c>
      <c r="AF6" s="113" t="str">
        <f aca="false">TIMELINE!AF8</f>
        <v>Q29</v>
      </c>
      <c r="AG6" s="113" t="str">
        <f aca="false">TIMELINE!AG8</f>
        <v>Q30</v>
      </c>
      <c r="AH6" s="113" t="str">
        <f aca="false">TIMELINE!AH8</f>
        <v>Q31</v>
      </c>
      <c r="AI6" s="113" t="str">
        <f aca="false">TIMELINE!AI8</f>
        <v>Q32</v>
      </c>
      <c r="AJ6" s="113" t="str">
        <f aca="false">TIMELINE!AJ8</f>
        <v>Q33</v>
      </c>
      <c r="AK6" s="113" t="str">
        <f aca="false">TIMELINE!AK8</f>
        <v>Q34</v>
      </c>
      <c r="AL6" s="113" t="str">
        <f aca="false">TIMELINE!AL8</f>
        <v>Q35</v>
      </c>
      <c r="AM6" s="113" t="str">
        <f aca="false">TIMELINE!AM8</f>
        <v>Q36</v>
      </c>
      <c r="AN6" s="113" t="str">
        <f aca="false">TIMELINE!AN8</f>
        <v>Q37</v>
      </c>
      <c r="AO6" s="113" t="str">
        <f aca="false">TIMELINE!AO8</f>
        <v>Q38</v>
      </c>
      <c r="AP6" s="113" t="str">
        <f aca="false">TIMELINE!AP8</f>
        <v>Q39</v>
      </c>
      <c r="AQ6" s="113" t="str">
        <f aca="false">TIMELINE!AQ8</f>
        <v>Q40</v>
      </c>
    </row>
    <row r="7" customFormat="false" ht="15" hidden="false" customHeight="false" outlineLevel="0" collapsed="false">
      <c r="B7" s="17" t="s">
        <v>701</v>
      </c>
      <c r="D7" s="120" t="n">
        <f aca="false">TIMELINE!D7</f>
        <v>1</v>
      </c>
      <c r="E7" s="120" t="n">
        <f aca="false">TIMELINE!E7</f>
        <v>2</v>
      </c>
      <c r="F7" s="120" t="n">
        <f aca="false">TIMELINE!F7</f>
        <v>3</v>
      </c>
      <c r="G7" s="120" t="n">
        <f aca="false">TIMELINE!G7</f>
        <v>4</v>
      </c>
      <c r="H7" s="120" t="n">
        <f aca="false">TIMELINE!H7</f>
        <v>5</v>
      </c>
      <c r="I7" s="120" t="n">
        <f aca="false">TIMELINE!I7</f>
        <v>6</v>
      </c>
      <c r="J7" s="120" t="n">
        <f aca="false">TIMELINE!J7</f>
        <v>7</v>
      </c>
      <c r="K7" s="120" t="n">
        <f aca="false">TIMELINE!K7</f>
        <v>8</v>
      </c>
      <c r="L7" s="120" t="n">
        <f aca="false">TIMELINE!L7</f>
        <v>9</v>
      </c>
      <c r="M7" s="120" t="n">
        <f aca="false">TIMELINE!M7</f>
        <v>10</v>
      </c>
      <c r="N7" s="120" t="n">
        <f aca="false">TIMELINE!N7</f>
        <v>11</v>
      </c>
      <c r="O7" s="120" t="n">
        <f aca="false">TIMELINE!O7</f>
        <v>12</v>
      </c>
      <c r="P7" s="120" t="n">
        <f aca="false">TIMELINE!P7</f>
        <v>13</v>
      </c>
      <c r="Q7" s="120" t="n">
        <f aca="false">TIMELINE!Q7</f>
        <v>14</v>
      </c>
      <c r="R7" s="120" t="n">
        <f aca="false">TIMELINE!R7</f>
        <v>15</v>
      </c>
      <c r="S7" s="120" t="n">
        <f aca="false">TIMELINE!S7</f>
        <v>16</v>
      </c>
      <c r="T7" s="120" t="n">
        <f aca="false">TIMELINE!T7</f>
        <v>17</v>
      </c>
      <c r="U7" s="120" t="n">
        <f aca="false">TIMELINE!U7</f>
        <v>18</v>
      </c>
      <c r="V7" s="120" t="n">
        <f aca="false">TIMELINE!V7</f>
        <v>19</v>
      </c>
      <c r="W7" s="120" t="n">
        <f aca="false">TIMELINE!W7</f>
        <v>20</v>
      </c>
      <c r="X7" s="120" t="n">
        <f aca="false">TIMELINE!X7</f>
        <v>21</v>
      </c>
      <c r="Y7" s="120" t="n">
        <f aca="false">TIMELINE!Y7</f>
        <v>22</v>
      </c>
      <c r="Z7" s="120" t="n">
        <f aca="false">TIMELINE!Z7</f>
        <v>23</v>
      </c>
      <c r="AA7" s="120" t="n">
        <f aca="false">TIMELINE!AA7</f>
        <v>24</v>
      </c>
      <c r="AB7" s="120" t="n">
        <f aca="false">TIMELINE!AB7</f>
        <v>25</v>
      </c>
      <c r="AC7" s="120" t="n">
        <f aca="false">TIMELINE!AC7</f>
        <v>26</v>
      </c>
      <c r="AD7" s="120" t="n">
        <f aca="false">TIMELINE!AD7</f>
        <v>27</v>
      </c>
      <c r="AE7" s="120" t="n">
        <f aca="false">TIMELINE!AE7</f>
        <v>28</v>
      </c>
      <c r="AF7" s="120" t="n">
        <f aca="false">TIMELINE!AF7</f>
        <v>29</v>
      </c>
      <c r="AG7" s="120" t="n">
        <f aca="false">TIMELINE!AG7</f>
        <v>30</v>
      </c>
      <c r="AH7" s="120" t="n">
        <f aca="false">TIMELINE!AH7</f>
        <v>31</v>
      </c>
      <c r="AI7" s="120" t="n">
        <f aca="false">TIMELINE!AI7</f>
        <v>32</v>
      </c>
      <c r="AJ7" s="120" t="n">
        <f aca="false">TIMELINE!AJ7</f>
        <v>33</v>
      </c>
      <c r="AK7" s="120" t="n">
        <f aca="false">TIMELINE!AK7</f>
        <v>34</v>
      </c>
      <c r="AL7" s="120" t="n">
        <f aca="false">TIMELINE!AL7</f>
        <v>35</v>
      </c>
      <c r="AM7" s="120" t="n">
        <f aca="false">TIMELINE!AM7</f>
        <v>36</v>
      </c>
      <c r="AN7" s="120" t="n">
        <f aca="false">TIMELINE!AN7</f>
        <v>37</v>
      </c>
      <c r="AO7" s="120" t="n">
        <f aca="false">TIMELINE!AO7</f>
        <v>38</v>
      </c>
      <c r="AP7" s="120" t="n">
        <f aca="false">TIMELINE!AP7</f>
        <v>39</v>
      </c>
      <c r="AQ7" s="120" t="n">
        <f aca="false">TIMELINE!AQ7</f>
        <v>40</v>
      </c>
    </row>
    <row r="8" customFormat="false" ht="15" hidden="false" customHeight="false" outlineLevel="0" collapsed="false">
      <c r="B8" s="17" t="s">
        <v>663</v>
      </c>
      <c r="D8" s="114" t="n">
        <f aca="false">TIMELINE!D9</f>
        <v>46568</v>
      </c>
      <c r="E8" s="114" t="n">
        <f aca="false">TIMELINE!E9</f>
        <v>46660</v>
      </c>
      <c r="F8" s="114" t="n">
        <f aca="false">TIMELINE!F9</f>
        <v>46752</v>
      </c>
      <c r="G8" s="114" t="n">
        <f aca="false">TIMELINE!G9</f>
        <v>46843</v>
      </c>
      <c r="H8" s="114" t="n">
        <f aca="false">TIMELINE!H9</f>
        <v>46934</v>
      </c>
      <c r="I8" s="114" t="n">
        <f aca="false">TIMELINE!I9</f>
        <v>47026</v>
      </c>
      <c r="J8" s="114" t="n">
        <f aca="false">TIMELINE!J9</f>
        <v>47118</v>
      </c>
      <c r="K8" s="114" t="n">
        <f aca="false">TIMELINE!K9</f>
        <v>47208</v>
      </c>
      <c r="L8" s="114" t="n">
        <f aca="false">TIMELINE!L9</f>
        <v>47299</v>
      </c>
      <c r="M8" s="114" t="n">
        <f aca="false">TIMELINE!M9</f>
        <v>47391</v>
      </c>
      <c r="N8" s="114" t="n">
        <f aca="false">TIMELINE!N9</f>
        <v>47483</v>
      </c>
      <c r="O8" s="114" t="n">
        <f aca="false">TIMELINE!O9</f>
        <v>47573</v>
      </c>
      <c r="P8" s="114" t="n">
        <f aca="false">TIMELINE!P9</f>
        <v>47664</v>
      </c>
      <c r="Q8" s="114" t="n">
        <f aca="false">TIMELINE!Q9</f>
        <v>47756</v>
      </c>
      <c r="R8" s="114" t="n">
        <f aca="false">TIMELINE!R9</f>
        <v>47848</v>
      </c>
      <c r="S8" s="114" t="n">
        <f aca="false">TIMELINE!S9</f>
        <v>47938</v>
      </c>
      <c r="T8" s="114" t="n">
        <f aca="false">TIMELINE!T9</f>
        <v>48029</v>
      </c>
      <c r="U8" s="114" t="n">
        <f aca="false">TIMELINE!U9</f>
        <v>48121</v>
      </c>
      <c r="V8" s="114" t="n">
        <f aca="false">TIMELINE!V9</f>
        <v>48213</v>
      </c>
      <c r="W8" s="114" t="n">
        <f aca="false">TIMELINE!W9</f>
        <v>48304</v>
      </c>
      <c r="X8" s="114" t="n">
        <f aca="false">TIMELINE!X9</f>
        <v>48395</v>
      </c>
      <c r="Y8" s="114" t="n">
        <f aca="false">TIMELINE!Y9</f>
        <v>48487</v>
      </c>
      <c r="Z8" s="114" t="n">
        <f aca="false">TIMELINE!Z9</f>
        <v>48579</v>
      </c>
      <c r="AA8" s="114" t="n">
        <f aca="false">TIMELINE!AA9</f>
        <v>48669</v>
      </c>
      <c r="AB8" s="114" t="n">
        <f aca="false">TIMELINE!AB9</f>
        <v>48760</v>
      </c>
      <c r="AC8" s="114" t="n">
        <f aca="false">TIMELINE!AC9</f>
        <v>48852</v>
      </c>
      <c r="AD8" s="114" t="n">
        <f aca="false">TIMELINE!AD9</f>
        <v>48944</v>
      </c>
      <c r="AE8" s="114" t="n">
        <f aca="false">TIMELINE!AE9</f>
        <v>49034</v>
      </c>
      <c r="AF8" s="114" t="n">
        <f aca="false">TIMELINE!AF9</f>
        <v>49125</v>
      </c>
      <c r="AG8" s="114" t="n">
        <f aca="false">TIMELINE!AG9</f>
        <v>49217</v>
      </c>
      <c r="AH8" s="114" t="n">
        <f aca="false">TIMELINE!AH9</f>
        <v>49309</v>
      </c>
      <c r="AI8" s="114" t="n">
        <f aca="false">TIMELINE!AI9</f>
        <v>49399</v>
      </c>
      <c r="AJ8" s="114" t="n">
        <f aca="false">TIMELINE!AJ9</f>
        <v>49490</v>
      </c>
      <c r="AK8" s="114" t="n">
        <f aca="false">TIMELINE!AK9</f>
        <v>49582</v>
      </c>
      <c r="AL8" s="114" t="n">
        <f aca="false">TIMELINE!AL9</f>
        <v>49674</v>
      </c>
      <c r="AM8" s="114" t="n">
        <f aca="false">TIMELINE!AM9</f>
        <v>49765</v>
      </c>
      <c r="AN8" s="114" t="n">
        <f aca="false">TIMELINE!AN9</f>
        <v>49856</v>
      </c>
      <c r="AO8" s="114" t="n">
        <f aca="false">TIMELINE!AO9</f>
        <v>49948</v>
      </c>
      <c r="AP8" s="114" t="n">
        <f aca="false">TIMELINE!AP9</f>
        <v>50040</v>
      </c>
      <c r="AQ8" s="114" t="n">
        <f aca="false">TIMELINE!AQ9</f>
        <v>50130</v>
      </c>
    </row>
    <row r="10" customFormat="false" ht="19.5" hidden="false" customHeight="true" outlineLevel="0" collapsed="false">
      <c r="B10" s="4" t="s">
        <v>740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customFormat="false" ht="15" hidden="false" customHeight="false" outlineLevel="0" collapsed="false">
      <c r="B11" s="2" t="s">
        <v>741</v>
      </c>
      <c r="C11" s="129" t="n">
        <f aca="false">SUM(D11:AQ11)</f>
        <v>803</v>
      </c>
      <c r="D11" s="130" t="n">
        <f aca="false">COLLECTIONS!D449</f>
        <v>0</v>
      </c>
      <c r="E11" s="130" t="n">
        <f aca="false">COLLECTIONS!E449</f>
        <v>0</v>
      </c>
      <c r="F11" s="130" t="n">
        <f aca="false">COLLECTIONS!F449</f>
        <v>6.11111111111111</v>
      </c>
      <c r="G11" s="130" t="n">
        <f aca="false">COLLECTIONS!G449</f>
        <v>15.2083333333333</v>
      </c>
      <c r="H11" s="130" t="n">
        <f aca="false">COLLECTIONS!H449</f>
        <v>28.8888888888889</v>
      </c>
      <c r="I11" s="130" t="n">
        <f aca="false">COLLECTIONS!I449</f>
        <v>20.9361111111111</v>
      </c>
      <c r="J11" s="130" t="n">
        <f aca="false">COLLECTIONS!J449</f>
        <v>38.9555555555556</v>
      </c>
      <c r="K11" s="130" t="n">
        <f aca="false">COLLECTIONS!K449</f>
        <v>70.25</v>
      </c>
      <c r="L11" s="130" t="n">
        <f aca="false">COLLECTIONS!L449</f>
        <v>45.7069444444444</v>
      </c>
      <c r="M11" s="130" t="n">
        <f aca="false">COLLECTIONS!M449</f>
        <v>68.5597222222222</v>
      </c>
      <c r="N11" s="130" t="n">
        <f aca="false">COLLECTIONS!N449</f>
        <v>94.85</v>
      </c>
      <c r="O11" s="130" t="n">
        <f aca="false">COLLECTIONS!O449</f>
        <v>55.7666666666667</v>
      </c>
      <c r="P11" s="130" t="n">
        <f aca="false">COLLECTIONS!P449</f>
        <v>33.7166666666667</v>
      </c>
      <c r="Q11" s="130" t="n">
        <f aca="false">COLLECTIONS!Q449</f>
        <v>86.4666666666667</v>
      </c>
      <c r="R11" s="130" t="n">
        <f aca="false">COLLECTIONS!R449</f>
        <v>63.0166666666667</v>
      </c>
      <c r="S11" s="130" t="n">
        <f aca="false">COLLECTIONS!S449</f>
        <v>76.7666666666667</v>
      </c>
      <c r="T11" s="130" t="n">
        <f aca="false">COLLECTIONS!T449</f>
        <v>30.3</v>
      </c>
      <c r="U11" s="130" t="n">
        <f aca="false">COLLECTIONS!U449</f>
        <v>22.5</v>
      </c>
      <c r="V11" s="130" t="n">
        <f aca="false">COLLECTIONS!V449</f>
        <v>0</v>
      </c>
      <c r="W11" s="130" t="n">
        <f aca="false">COLLECTIONS!W449</f>
        <v>45</v>
      </c>
      <c r="X11" s="130" t="n">
        <f aca="false">COLLECTIONS!X449</f>
        <v>0</v>
      </c>
      <c r="Y11" s="130" t="n">
        <f aca="false">COLLECTIONS!Y449</f>
        <v>0</v>
      </c>
      <c r="Z11" s="130" t="n">
        <f aca="false">COLLECTIONS!Z449</f>
        <v>0</v>
      </c>
      <c r="AA11" s="130" t="n">
        <f aca="false">COLLECTIONS!AA449</f>
        <v>0</v>
      </c>
      <c r="AB11" s="130" t="n">
        <f aca="false">COLLECTIONS!AB449</f>
        <v>0</v>
      </c>
      <c r="AC11" s="130" t="n">
        <f aca="false">COLLECTIONS!AC449</f>
        <v>0</v>
      </c>
      <c r="AD11" s="130" t="n">
        <f aca="false">COLLECTIONS!AD449</f>
        <v>0</v>
      </c>
      <c r="AE11" s="130" t="n">
        <f aca="false">COLLECTIONS!AE449</f>
        <v>0</v>
      </c>
      <c r="AF11" s="130" t="n">
        <f aca="false">COLLECTIONS!AF449</f>
        <v>0</v>
      </c>
      <c r="AG11" s="130" t="n">
        <f aca="false">COLLECTIONS!AG449</f>
        <v>0</v>
      </c>
      <c r="AH11" s="130" t="n">
        <f aca="false">COLLECTIONS!AH449</f>
        <v>0</v>
      </c>
      <c r="AI11" s="130" t="n">
        <f aca="false">COLLECTIONS!AI449</f>
        <v>0</v>
      </c>
      <c r="AJ11" s="130" t="n">
        <f aca="false">COLLECTIONS!AJ449</f>
        <v>0</v>
      </c>
      <c r="AK11" s="130" t="n">
        <f aca="false">COLLECTIONS!AK449</f>
        <v>0</v>
      </c>
      <c r="AL11" s="130" t="n">
        <f aca="false">COLLECTIONS!AL449</f>
        <v>0</v>
      </c>
      <c r="AM11" s="130" t="n">
        <f aca="false">COLLECTIONS!AM449</f>
        <v>0</v>
      </c>
      <c r="AN11" s="130" t="n">
        <f aca="false">COLLECTIONS!AN449</f>
        <v>0</v>
      </c>
      <c r="AO11" s="130" t="n">
        <f aca="false">COLLECTIONS!AO449</f>
        <v>0</v>
      </c>
      <c r="AP11" s="130" t="n">
        <f aca="false">COLLECTIONS!AP449</f>
        <v>0</v>
      </c>
      <c r="AQ11" s="130" t="n">
        <f aca="false">COLLECTIONS!AQ449</f>
        <v>0</v>
      </c>
    </row>
    <row r="12" customFormat="false" ht="15" hidden="false" customHeight="false" outlineLevel="0" collapsed="false">
      <c r="B12" s="3" t="s">
        <v>742</v>
      </c>
      <c r="C12" s="129" t="n">
        <f aca="false">SUM(D12:AQ12)</f>
        <v>256.96</v>
      </c>
      <c r="D12" s="130" t="n">
        <f aca="false">COLLECTIONS!D452</f>
        <v>0</v>
      </c>
      <c r="E12" s="130" t="n">
        <f aca="false">COLLECTIONS!E452</f>
        <v>0</v>
      </c>
      <c r="F12" s="130" t="n">
        <f aca="false">COLLECTIONS!F452</f>
        <v>1.95555555555556</v>
      </c>
      <c r="G12" s="130" t="n">
        <f aca="false">COLLECTIONS!G452</f>
        <v>4.86666666666667</v>
      </c>
      <c r="H12" s="130" t="n">
        <f aca="false">COLLECTIONS!H452</f>
        <v>9.24444444444445</v>
      </c>
      <c r="I12" s="130" t="n">
        <f aca="false">COLLECTIONS!I452</f>
        <v>6.69955555555556</v>
      </c>
      <c r="J12" s="130" t="n">
        <f aca="false">COLLECTIONS!J452</f>
        <v>12.4657777777778</v>
      </c>
      <c r="K12" s="130" t="n">
        <f aca="false">COLLECTIONS!K452</f>
        <v>22.48</v>
      </c>
      <c r="L12" s="130" t="n">
        <f aca="false">COLLECTIONS!L452</f>
        <v>14.6262222222222</v>
      </c>
      <c r="M12" s="130" t="n">
        <f aca="false">COLLECTIONS!M452</f>
        <v>21.9391111111111</v>
      </c>
      <c r="N12" s="130" t="n">
        <f aca="false">COLLECTIONS!N452</f>
        <v>30.352</v>
      </c>
      <c r="O12" s="130" t="n">
        <f aca="false">COLLECTIONS!O452</f>
        <v>17.8453333333333</v>
      </c>
      <c r="P12" s="130" t="n">
        <f aca="false">COLLECTIONS!P452</f>
        <v>10.7893333333333</v>
      </c>
      <c r="Q12" s="130" t="n">
        <f aca="false">COLLECTIONS!Q452</f>
        <v>27.6693333333333</v>
      </c>
      <c r="R12" s="130" t="n">
        <f aca="false">COLLECTIONS!R452</f>
        <v>20.1653333333333</v>
      </c>
      <c r="S12" s="130" t="n">
        <f aca="false">COLLECTIONS!S452</f>
        <v>24.5653333333333</v>
      </c>
      <c r="T12" s="130" t="n">
        <f aca="false">COLLECTIONS!T452</f>
        <v>9.696</v>
      </c>
      <c r="U12" s="130" t="n">
        <f aca="false">COLLECTIONS!U452</f>
        <v>7.2</v>
      </c>
      <c r="V12" s="130" t="n">
        <f aca="false">COLLECTIONS!V452</f>
        <v>0</v>
      </c>
      <c r="W12" s="130" t="n">
        <f aca="false">COLLECTIONS!W452</f>
        <v>14.4</v>
      </c>
      <c r="X12" s="130" t="n">
        <f aca="false">COLLECTIONS!X452</f>
        <v>0</v>
      </c>
      <c r="Y12" s="130" t="n">
        <f aca="false">COLLECTIONS!Y452</f>
        <v>0</v>
      </c>
      <c r="Z12" s="130" t="n">
        <f aca="false">COLLECTIONS!Z452</f>
        <v>0</v>
      </c>
      <c r="AA12" s="130" t="n">
        <f aca="false">COLLECTIONS!AA452</f>
        <v>0</v>
      </c>
      <c r="AB12" s="130" t="n">
        <f aca="false">COLLECTIONS!AB452</f>
        <v>0</v>
      </c>
      <c r="AC12" s="130" t="n">
        <f aca="false">COLLECTIONS!AC452</f>
        <v>0</v>
      </c>
      <c r="AD12" s="130" t="n">
        <f aca="false">COLLECTIONS!AD452</f>
        <v>0</v>
      </c>
      <c r="AE12" s="130" t="n">
        <f aca="false">COLLECTIONS!AE452</f>
        <v>0</v>
      </c>
      <c r="AF12" s="130" t="n">
        <f aca="false">COLLECTIONS!AF452</f>
        <v>0</v>
      </c>
      <c r="AG12" s="130" t="n">
        <f aca="false">COLLECTIONS!AG452</f>
        <v>0</v>
      </c>
      <c r="AH12" s="130" t="n">
        <f aca="false">COLLECTIONS!AH452</f>
        <v>0</v>
      </c>
      <c r="AI12" s="130" t="n">
        <f aca="false">COLLECTIONS!AI452</f>
        <v>0</v>
      </c>
      <c r="AJ12" s="130" t="n">
        <f aca="false">COLLECTIONS!AJ452</f>
        <v>0</v>
      </c>
      <c r="AK12" s="130" t="n">
        <f aca="false">COLLECTIONS!AK452</f>
        <v>0</v>
      </c>
      <c r="AL12" s="130" t="n">
        <f aca="false">COLLECTIONS!AL452</f>
        <v>0</v>
      </c>
      <c r="AM12" s="130" t="n">
        <f aca="false">COLLECTIONS!AM452</f>
        <v>0</v>
      </c>
      <c r="AN12" s="130" t="n">
        <f aca="false">COLLECTIONS!AN452</f>
        <v>0</v>
      </c>
      <c r="AO12" s="130" t="n">
        <f aca="false">COLLECTIONS!AO452</f>
        <v>0</v>
      </c>
      <c r="AP12" s="130" t="n">
        <f aca="false">COLLECTIONS!AP452</f>
        <v>0</v>
      </c>
      <c r="AQ12" s="130" t="n">
        <f aca="false">COLLECTIONS!AQ452</f>
        <v>0</v>
      </c>
    </row>
    <row r="13" customFormat="false" ht="15" hidden="false" customHeight="false" outlineLevel="0" collapsed="false">
      <c r="B13" s="3" t="s">
        <v>743</v>
      </c>
      <c r="C13" s="129" t="n">
        <f aca="false">SUM(D13:AQ13)</f>
        <v>546.04</v>
      </c>
      <c r="D13" s="130" t="n">
        <f aca="false">COLLECTIONS!D453</f>
        <v>0</v>
      </c>
      <c r="E13" s="130" t="n">
        <f aca="false">COLLECTIONS!E453</f>
        <v>0</v>
      </c>
      <c r="F13" s="130" t="n">
        <f aca="false">COLLECTIONS!F453</f>
        <v>4.15555555555556</v>
      </c>
      <c r="G13" s="130" t="n">
        <f aca="false">COLLECTIONS!G453</f>
        <v>10.3416666666667</v>
      </c>
      <c r="H13" s="130" t="n">
        <f aca="false">COLLECTIONS!H453</f>
        <v>19.6444444444444</v>
      </c>
      <c r="I13" s="130" t="n">
        <f aca="false">COLLECTIONS!I453</f>
        <v>14.2365555555556</v>
      </c>
      <c r="J13" s="130" t="n">
        <f aca="false">COLLECTIONS!J453</f>
        <v>26.4897777777778</v>
      </c>
      <c r="K13" s="130" t="n">
        <f aca="false">COLLECTIONS!K453</f>
        <v>47.77</v>
      </c>
      <c r="L13" s="130" t="n">
        <f aca="false">COLLECTIONS!L453</f>
        <v>31.0807222222222</v>
      </c>
      <c r="M13" s="130" t="n">
        <f aca="false">COLLECTIONS!M453</f>
        <v>46.6206111111111</v>
      </c>
      <c r="N13" s="130" t="n">
        <f aca="false">COLLECTIONS!N453</f>
        <v>64.498</v>
      </c>
      <c r="O13" s="130" t="n">
        <f aca="false">COLLECTIONS!O453</f>
        <v>37.9213333333333</v>
      </c>
      <c r="P13" s="130" t="n">
        <f aca="false">COLLECTIONS!P453</f>
        <v>22.9273333333333</v>
      </c>
      <c r="Q13" s="130" t="n">
        <f aca="false">COLLECTIONS!Q453</f>
        <v>58.7973333333333</v>
      </c>
      <c r="R13" s="130" t="n">
        <f aca="false">COLLECTIONS!R453</f>
        <v>42.8513333333333</v>
      </c>
      <c r="S13" s="130" t="n">
        <f aca="false">COLLECTIONS!S453</f>
        <v>52.2013333333333</v>
      </c>
      <c r="T13" s="130" t="n">
        <f aca="false">COLLECTIONS!T453</f>
        <v>20.604</v>
      </c>
      <c r="U13" s="130" t="n">
        <f aca="false">COLLECTIONS!U453</f>
        <v>15.3</v>
      </c>
      <c r="V13" s="130" t="n">
        <f aca="false">COLLECTIONS!V453</f>
        <v>0</v>
      </c>
      <c r="W13" s="130" t="n">
        <f aca="false">COLLECTIONS!W453</f>
        <v>30.6</v>
      </c>
      <c r="X13" s="130" t="n">
        <f aca="false">COLLECTIONS!X453</f>
        <v>0</v>
      </c>
      <c r="Y13" s="130" t="n">
        <f aca="false">COLLECTIONS!Y453</f>
        <v>0</v>
      </c>
      <c r="Z13" s="130" t="n">
        <f aca="false">COLLECTIONS!Z453</f>
        <v>0</v>
      </c>
      <c r="AA13" s="130" t="n">
        <f aca="false">COLLECTIONS!AA453</f>
        <v>0</v>
      </c>
      <c r="AB13" s="130" t="n">
        <f aca="false">COLLECTIONS!AB453</f>
        <v>0</v>
      </c>
      <c r="AC13" s="130" t="n">
        <f aca="false">COLLECTIONS!AC453</f>
        <v>0</v>
      </c>
      <c r="AD13" s="130" t="n">
        <f aca="false">COLLECTIONS!AD453</f>
        <v>0</v>
      </c>
      <c r="AE13" s="130" t="n">
        <f aca="false">COLLECTIONS!AE453</f>
        <v>0</v>
      </c>
      <c r="AF13" s="130" t="n">
        <f aca="false">COLLECTIONS!AF453</f>
        <v>0</v>
      </c>
      <c r="AG13" s="130" t="n">
        <f aca="false">COLLECTIONS!AG453</f>
        <v>0</v>
      </c>
      <c r="AH13" s="130" t="n">
        <f aca="false">COLLECTIONS!AH453</f>
        <v>0</v>
      </c>
      <c r="AI13" s="130" t="n">
        <f aca="false">COLLECTIONS!AI453</f>
        <v>0</v>
      </c>
      <c r="AJ13" s="130" t="n">
        <f aca="false">COLLECTIONS!AJ453</f>
        <v>0</v>
      </c>
      <c r="AK13" s="130" t="n">
        <f aca="false">COLLECTIONS!AK453</f>
        <v>0</v>
      </c>
      <c r="AL13" s="130" t="n">
        <f aca="false">COLLECTIONS!AL453</f>
        <v>0</v>
      </c>
      <c r="AM13" s="130" t="n">
        <f aca="false">COLLECTIONS!AM453</f>
        <v>0</v>
      </c>
      <c r="AN13" s="130" t="n">
        <f aca="false">COLLECTIONS!AN453</f>
        <v>0</v>
      </c>
      <c r="AO13" s="130" t="n">
        <f aca="false">COLLECTIONS!AO453</f>
        <v>0</v>
      </c>
      <c r="AP13" s="130" t="n">
        <f aca="false">COLLECTIONS!AP453</f>
        <v>0</v>
      </c>
      <c r="AQ13" s="130" t="n">
        <f aca="false">COLLECTIONS!AQ453</f>
        <v>0</v>
      </c>
    </row>
    <row r="15" customFormat="false" ht="19.5" hidden="false" customHeight="true" outlineLevel="0" collapsed="false">
      <c r="B15" s="4" t="s">
        <v>744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customFormat="false" ht="15" hidden="false" customHeight="false" outlineLevel="0" collapsed="false">
      <c r="C16" s="102" t="s">
        <v>662</v>
      </c>
    </row>
    <row r="17" customFormat="false" ht="15" hidden="false" customHeight="false" outlineLevel="0" collapsed="false">
      <c r="B17" s="121" t="str">
        <f aca="false">IF(INPUTS!$C$21="JV","Land cost – JV: paid as landowner share (Section C)",INPUTS!$B$128)</f>
        <v>Land cost – JV: paid as landowner share (Section C)</v>
      </c>
      <c r="C17" s="129" t="n">
        <f aca="false">SUM(D17:AQ17)</f>
        <v>0</v>
      </c>
      <c r="D17" s="130" t="n">
        <f aca="false">IF(INPUTS!$C$21="JV",0,INPUTS!$G$128*CURVES!D113)</f>
        <v>0</v>
      </c>
      <c r="E17" s="130" t="n">
        <f aca="false">IF(INPUTS!$C$21="JV",0,INPUTS!$G$128*CURVES!E113)</f>
        <v>0</v>
      </c>
      <c r="F17" s="130" t="n">
        <f aca="false">IF(INPUTS!$C$21="JV",0,INPUTS!$G$128*CURVES!F113)</f>
        <v>0</v>
      </c>
      <c r="G17" s="130" t="n">
        <f aca="false">IF(INPUTS!$C$21="JV",0,INPUTS!$G$128*CURVES!G113)</f>
        <v>0</v>
      </c>
      <c r="H17" s="130" t="n">
        <f aca="false">IF(INPUTS!$C$21="JV",0,INPUTS!$G$128*CURVES!H113)</f>
        <v>0</v>
      </c>
      <c r="I17" s="130" t="n">
        <f aca="false">IF(INPUTS!$C$21="JV",0,INPUTS!$G$128*CURVES!I113)</f>
        <v>0</v>
      </c>
      <c r="J17" s="130" t="n">
        <f aca="false">IF(INPUTS!$C$21="JV",0,INPUTS!$G$128*CURVES!J113)</f>
        <v>0</v>
      </c>
      <c r="K17" s="130" t="n">
        <f aca="false">IF(INPUTS!$C$21="JV",0,INPUTS!$G$128*CURVES!K113)</f>
        <v>0</v>
      </c>
      <c r="L17" s="130" t="n">
        <f aca="false">IF(INPUTS!$C$21="JV",0,INPUTS!$G$128*CURVES!L113)</f>
        <v>0</v>
      </c>
      <c r="M17" s="130" t="n">
        <f aca="false">IF(INPUTS!$C$21="JV",0,INPUTS!$G$128*CURVES!M113)</f>
        <v>0</v>
      </c>
      <c r="N17" s="130" t="n">
        <f aca="false">IF(INPUTS!$C$21="JV",0,INPUTS!$G$128*CURVES!N113)</f>
        <v>0</v>
      </c>
      <c r="O17" s="130" t="n">
        <f aca="false">IF(INPUTS!$C$21="JV",0,INPUTS!$G$128*CURVES!O113)</f>
        <v>0</v>
      </c>
      <c r="P17" s="130" t="n">
        <f aca="false">IF(INPUTS!$C$21="JV",0,INPUTS!$G$128*CURVES!P113)</f>
        <v>0</v>
      </c>
      <c r="Q17" s="130" t="n">
        <f aca="false">IF(INPUTS!$C$21="JV",0,INPUTS!$G$128*CURVES!Q113)</f>
        <v>0</v>
      </c>
      <c r="R17" s="130" t="n">
        <f aca="false">IF(INPUTS!$C$21="JV",0,INPUTS!$G$128*CURVES!R113)</f>
        <v>0</v>
      </c>
      <c r="S17" s="130" t="n">
        <f aca="false">IF(INPUTS!$C$21="JV",0,INPUTS!$G$128*CURVES!S113)</f>
        <v>0</v>
      </c>
      <c r="T17" s="130" t="n">
        <f aca="false">IF(INPUTS!$C$21="JV",0,INPUTS!$G$128*CURVES!T113)</f>
        <v>0</v>
      </c>
      <c r="U17" s="130" t="n">
        <f aca="false">IF(INPUTS!$C$21="JV",0,INPUTS!$G$128*CURVES!U113)</f>
        <v>0</v>
      </c>
      <c r="V17" s="130" t="n">
        <f aca="false">IF(INPUTS!$C$21="JV",0,INPUTS!$G$128*CURVES!V113)</f>
        <v>0</v>
      </c>
      <c r="W17" s="130" t="n">
        <f aca="false">IF(INPUTS!$C$21="JV",0,INPUTS!$G$128*CURVES!W113)</f>
        <v>0</v>
      </c>
      <c r="X17" s="130" t="n">
        <f aca="false">IF(INPUTS!$C$21="JV",0,INPUTS!$G$128*CURVES!X113)</f>
        <v>0</v>
      </c>
      <c r="Y17" s="130" t="n">
        <f aca="false">IF(INPUTS!$C$21="JV",0,INPUTS!$G$128*CURVES!Y113)</f>
        <v>0</v>
      </c>
      <c r="Z17" s="130" t="n">
        <f aca="false">IF(INPUTS!$C$21="JV",0,INPUTS!$G$128*CURVES!Z113)</f>
        <v>0</v>
      </c>
      <c r="AA17" s="130" t="n">
        <f aca="false">IF(INPUTS!$C$21="JV",0,INPUTS!$G$128*CURVES!AA113)</f>
        <v>0</v>
      </c>
      <c r="AB17" s="130" t="n">
        <f aca="false">IF(INPUTS!$C$21="JV",0,INPUTS!$G$128*CURVES!AB113)</f>
        <v>0</v>
      </c>
      <c r="AC17" s="130" t="n">
        <f aca="false">IF(INPUTS!$C$21="JV",0,INPUTS!$G$128*CURVES!AC113)</f>
        <v>0</v>
      </c>
      <c r="AD17" s="130" t="n">
        <f aca="false">IF(INPUTS!$C$21="JV",0,INPUTS!$G$128*CURVES!AD113)</f>
        <v>0</v>
      </c>
      <c r="AE17" s="130" t="n">
        <f aca="false">IF(INPUTS!$C$21="JV",0,INPUTS!$G$128*CURVES!AE113)</f>
        <v>0</v>
      </c>
      <c r="AF17" s="130" t="n">
        <f aca="false">IF(INPUTS!$C$21="JV",0,INPUTS!$G$128*CURVES!AF113)</f>
        <v>0</v>
      </c>
      <c r="AG17" s="130" t="n">
        <f aca="false">IF(INPUTS!$C$21="JV",0,INPUTS!$G$128*CURVES!AG113)</f>
        <v>0</v>
      </c>
      <c r="AH17" s="130" t="n">
        <f aca="false">IF(INPUTS!$C$21="JV",0,INPUTS!$G$128*CURVES!AH113)</f>
        <v>0</v>
      </c>
      <c r="AI17" s="130" t="n">
        <f aca="false">IF(INPUTS!$C$21="JV",0,INPUTS!$G$128*CURVES!AI113)</f>
        <v>0</v>
      </c>
      <c r="AJ17" s="130" t="n">
        <f aca="false">IF(INPUTS!$C$21="JV",0,INPUTS!$G$128*CURVES!AJ113)</f>
        <v>0</v>
      </c>
      <c r="AK17" s="130" t="n">
        <f aca="false">IF(INPUTS!$C$21="JV",0,INPUTS!$G$128*CURVES!AK113)</f>
        <v>0</v>
      </c>
      <c r="AL17" s="130" t="n">
        <f aca="false">IF(INPUTS!$C$21="JV",0,INPUTS!$G$128*CURVES!AL113)</f>
        <v>0</v>
      </c>
      <c r="AM17" s="130" t="n">
        <f aca="false">IF(INPUTS!$C$21="JV",0,INPUTS!$G$128*CURVES!AM113)</f>
        <v>0</v>
      </c>
      <c r="AN17" s="130" t="n">
        <f aca="false">IF(INPUTS!$C$21="JV",0,INPUTS!$G$128*CURVES!AN113)</f>
        <v>0</v>
      </c>
      <c r="AO17" s="130" t="n">
        <f aca="false">IF(INPUTS!$C$21="JV",0,INPUTS!$G$128*CURVES!AO113)</f>
        <v>0</v>
      </c>
      <c r="AP17" s="130" t="n">
        <f aca="false">IF(INPUTS!$C$21="JV",0,INPUTS!$G$128*CURVES!AP113)</f>
        <v>0</v>
      </c>
      <c r="AQ17" s="130" t="n">
        <f aca="false">IF(INPUTS!$C$21="JV",0,INPUTS!$G$128*CURVES!AQ113)</f>
        <v>0</v>
      </c>
    </row>
    <row r="18" customFormat="false" ht="15" hidden="false" customHeight="false" outlineLevel="0" collapsed="false">
      <c r="B18" s="121" t="str">
        <f aca="false">INPUTS!$B$129</f>
        <v>Stamp Duty</v>
      </c>
      <c r="C18" s="129" t="n">
        <f aca="false">SUM(D18:AQ18)</f>
        <v>0.8967465936</v>
      </c>
      <c r="D18" s="130" t="n">
        <f aca="false">IF(INPUTS!$C$21="JV",INPUTS!$D$197,0)*--(D$7=INPUTS!$E$197)+(INPUTS!$G$129-IF(INPUTS!$C$21="JV",INPUTS!$D$197,0))*CURVES!D116</f>
        <v>0</v>
      </c>
      <c r="E18" s="130" t="n">
        <f aca="false">IF(INPUTS!$C$21="JV",INPUTS!$D$197,0)*--(E$7=INPUTS!$E$197)+(INPUTS!$G$129-IF(INPUTS!$C$21="JV",INPUTS!$D$197,0))*CURVES!E116</f>
        <v>0.8967465936</v>
      </c>
      <c r="F18" s="130" t="n">
        <f aca="false">IF(INPUTS!$C$21="JV",INPUTS!$D$197,0)*--(F$7=INPUTS!$E$197)+(INPUTS!$G$129-IF(INPUTS!$C$21="JV",INPUTS!$D$197,0))*CURVES!F116</f>
        <v>0</v>
      </c>
      <c r="G18" s="130" t="n">
        <f aca="false">IF(INPUTS!$C$21="JV",INPUTS!$D$197,0)*--(G$7=INPUTS!$E$197)+(INPUTS!$G$129-IF(INPUTS!$C$21="JV",INPUTS!$D$197,0))*CURVES!G116</f>
        <v>0</v>
      </c>
      <c r="H18" s="130" t="n">
        <f aca="false">IF(INPUTS!$C$21="JV",INPUTS!$D$197,0)*--(H$7=INPUTS!$E$197)+(INPUTS!$G$129-IF(INPUTS!$C$21="JV",INPUTS!$D$197,0))*CURVES!H116</f>
        <v>0</v>
      </c>
      <c r="I18" s="130" t="n">
        <f aca="false">IF(INPUTS!$C$21="JV",INPUTS!$D$197,0)*--(I$7=INPUTS!$E$197)+(INPUTS!$G$129-IF(INPUTS!$C$21="JV",INPUTS!$D$197,0))*CURVES!I116</f>
        <v>0</v>
      </c>
      <c r="J18" s="130" t="n">
        <f aca="false">IF(INPUTS!$C$21="JV",INPUTS!$D$197,0)*--(J$7=INPUTS!$E$197)+(INPUTS!$G$129-IF(INPUTS!$C$21="JV",INPUTS!$D$197,0))*CURVES!J116</f>
        <v>0</v>
      </c>
      <c r="K18" s="130" t="n">
        <f aca="false">IF(INPUTS!$C$21="JV",INPUTS!$D$197,0)*--(K$7=INPUTS!$E$197)+(INPUTS!$G$129-IF(INPUTS!$C$21="JV",INPUTS!$D$197,0))*CURVES!K116</f>
        <v>0</v>
      </c>
      <c r="L18" s="130" t="n">
        <f aca="false">IF(INPUTS!$C$21="JV",INPUTS!$D$197,0)*--(L$7=INPUTS!$E$197)+(INPUTS!$G$129-IF(INPUTS!$C$21="JV",INPUTS!$D$197,0))*CURVES!L116</f>
        <v>0</v>
      </c>
      <c r="M18" s="130" t="n">
        <f aca="false">IF(INPUTS!$C$21="JV",INPUTS!$D$197,0)*--(M$7=INPUTS!$E$197)+(INPUTS!$G$129-IF(INPUTS!$C$21="JV",INPUTS!$D$197,0))*CURVES!M116</f>
        <v>0</v>
      </c>
      <c r="N18" s="130" t="n">
        <f aca="false">IF(INPUTS!$C$21="JV",INPUTS!$D$197,0)*--(N$7=INPUTS!$E$197)+(INPUTS!$G$129-IF(INPUTS!$C$21="JV",INPUTS!$D$197,0))*CURVES!N116</f>
        <v>0</v>
      </c>
      <c r="O18" s="130" t="n">
        <f aca="false">IF(INPUTS!$C$21="JV",INPUTS!$D$197,0)*--(O$7=INPUTS!$E$197)+(INPUTS!$G$129-IF(INPUTS!$C$21="JV",INPUTS!$D$197,0))*CURVES!O116</f>
        <v>0</v>
      </c>
      <c r="P18" s="130" t="n">
        <f aca="false">IF(INPUTS!$C$21="JV",INPUTS!$D$197,0)*--(P$7=INPUTS!$E$197)+(INPUTS!$G$129-IF(INPUTS!$C$21="JV",INPUTS!$D$197,0))*CURVES!P116</f>
        <v>0</v>
      </c>
      <c r="Q18" s="130" t="n">
        <f aca="false">IF(INPUTS!$C$21="JV",INPUTS!$D$197,0)*--(Q$7=INPUTS!$E$197)+(INPUTS!$G$129-IF(INPUTS!$C$21="JV",INPUTS!$D$197,0))*CURVES!Q116</f>
        <v>0</v>
      </c>
      <c r="R18" s="130" t="n">
        <f aca="false">IF(INPUTS!$C$21="JV",INPUTS!$D$197,0)*--(R$7=INPUTS!$E$197)+(INPUTS!$G$129-IF(INPUTS!$C$21="JV",INPUTS!$D$197,0))*CURVES!R116</f>
        <v>0</v>
      </c>
      <c r="S18" s="130" t="n">
        <f aca="false">IF(INPUTS!$C$21="JV",INPUTS!$D$197,0)*--(S$7=INPUTS!$E$197)+(INPUTS!$G$129-IF(INPUTS!$C$21="JV",INPUTS!$D$197,0))*CURVES!S116</f>
        <v>0</v>
      </c>
      <c r="T18" s="130" t="n">
        <f aca="false">IF(INPUTS!$C$21="JV",INPUTS!$D$197,0)*--(T$7=INPUTS!$E$197)+(INPUTS!$G$129-IF(INPUTS!$C$21="JV",INPUTS!$D$197,0))*CURVES!T116</f>
        <v>0</v>
      </c>
      <c r="U18" s="130" t="n">
        <f aca="false">IF(INPUTS!$C$21="JV",INPUTS!$D$197,0)*--(U$7=INPUTS!$E$197)+(INPUTS!$G$129-IF(INPUTS!$C$21="JV",INPUTS!$D$197,0))*CURVES!U116</f>
        <v>0</v>
      </c>
      <c r="V18" s="130" t="n">
        <f aca="false">IF(INPUTS!$C$21="JV",INPUTS!$D$197,0)*--(V$7=INPUTS!$E$197)+(INPUTS!$G$129-IF(INPUTS!$C$21="JV",INPUTS!$D$197,0))*CURVES!V116</f>
        <v>0</v>
      </c>
      <c r="W18" s="130" t="n">
        <f aca="false">IF(INPUTS!$C$21="JV",INPUTS!$D$197,0)*--(W$7=INPUTS!$E$197)+(INPUTS!$G$129-IF(INPUTS!$C$21="JV",INPUTS!$D$197,0))*CURVES!W116</f>
        <v>0</v>
      </c>
      <c r="X18" s="130" t="n">
        <f aca="false">IF(INPUTS!$C$21="JV",INPUTS!$D$197,0)*--(X$7=INPUTS!$E$197)+(INPUTS!$G$129-IF(INPUTS!$C$21="JV",INPUTS!$D$197,0))*CURVES!X116</f>
        <v>0</v>
      </c>
      <c r="Y18" s="130" t="n">
        <f aca="false">IF(INPUTS!$C$21="JV",INPUTS!$D$197,0)*--(Y$7=INPUTS!$E$197)+(INPUTS!$G$129-IF(INPUTS!$C$21="JV",INPUTS!$D$197,0))*CURVES!Y116</f>
        <v>0</v>
      </c>
      <c r="Z18" s="130" t="n">
        <f aca="false">IF(INPUTS!$C$21="JV",INPUTS!$D$197,0)*--(Z$7=INPUTS!$E$197)+(INPUTS!$G$129-IF(INPUTS!$C$21="JV",INPUTS!$D$197,0))*CURVES!Z116</f>
        <v>0</v>
      </c>
      <c r="AA18" s="130" t="n">
        <f aca="false">IF(INPUTS!$C$21="JV",INPUTS!$D$197,0)*--(AA$7=INPUTS!$E$197)+(INPUTS!$G$129-IF(INPUTS!$C$21="JV",INPUTS!$D$197,0))*CURVES!AA116</f>
        <v>0</v>
      </c>
      <c r="AB18" s="130" t="n">
        <f aca="false">IF(INPUTS!$C$21="JV",INPUTS!$D$197,0)*--(AB$7=INPUTS!$E$197)+(INPUTS!$G$129-IF(INPUTS!$C$21="JV",INPUTS!$D$197,0))*CURVES!AB116</f>
        <v>0</v>
      </c>
      <c r="AC18" s="130" t="n">
        <f aca="false">IF(INPUTS!$C$21="JV",INPUTS!$D$197,0)*--(AC$7=INPUTS!$E$197)+(INPUTS!$G$129-IF(INPUTS!$C$21="JV",INPUTS!$D$197,0))*CURVES!AC116</f>
        <v>0</v>
      </c>
      <c r="AD18" s="130" t="n">
        <f aca="false">IF(INPUTS!$C$21="JV",INPUTS!$D$197,0)*--(AD$7=INPUTS!$E$197)+(INPUTS!$G$129-IF(INPUTS!$C$21="JV",INPUTS!$D$197,0))*CURVES!AD116</f>
        <v>0</v>
      </c>
      <c r="AE18" s="130" t="n">
        <f aca="false">IF(INPUTS!$C$21="JV",INPUTS!$D$197,0)*--(AE$7=INPUTS!$E$197)+(INPUTS!$G$129-IF(INPUTS!$C$21="JV",INPUTS!$D$197,0))*CURVES!AE116</f>
        <v>0</v>
      </c>
      <c r="AF18" s="130" t="n">
        <f aca="false">IF(INPUTS!$C$21="JV",INPUTS!$D$197,0)*--(AF$7=INPUTS!$E$197)+(INPUTS!$G$129-IF(INPUTS!$C$21="JV",INPUTS!$D$197,0))*CURVES!AF116</f>
        <v>0</v>
      </c>
      <c r="AG18" s="130" t="n">
        <f aca="false">IF(INPUTS!$C$21="JV",INPUTS!$D$197,0)*--(AG$7=INPUTS!$E$197)+(INPUTS!$G$129-IF(INPUTS!$C$21="JV",INPUTS!$D$197,0))*CURVES!AG116</f>
        <v>0</v>
      </c>
      <c r="AH18" s="130" t="n">
        <f aca="false">IF(INPUTS!$C$21="JV",INPUTS!$D$197,0)*--(AH$7=INPUTS!$E$197)+(INPUTS!$G$129-IF(INPUTS!$C$21="JV",INPUTS!$D$197,0))*CURVES!AH116</f>
        <v>0</v>
      </c>
      <c r="AI18" s="130" t="n">
        <f aca="false">IF(INPUTS!$C$21="JV",INPUTS!$D$197,0)*--(AI$7=INPUTS!$E$197)+(INPUTS!$G$129-IF(INPUTS!$C$21="JV",INPUTS!$D$197,0))*CURVES!AI116</f>
        <v>0</v>
      </c>
      <c r="AJ18" s="130" t="n">
        <f aca="false">IF(INPUTS!$C$21="JV",INPUTS!$D$197,0)*--(AJ$7=INPUTS!$E$197)+(INPUTS!$G$129-IF(INPUTS!$C$21="JV",INPUTS!$D$197,0))*CURVES!AJ116</f>
        <v>0</v>
      </c>
      <c r="AK18" s="130" t="n">
        <f aca="false">IF(INPUTS!$C$21="JV",INPUTS!$D$197,0)*--(AK$7=INPUTS!$E$197)+(INPUTS!$G$129-IF(INPUTS!$C$21="JV",INPUTS!$D$197,0))*CURVES!AK116</f>
        <v>0</v>
      </c>
      <c r="AL18" s="130" t="n">
        <f aca="false">IF(INPUTS!$C$21="JV",INPUTS!$D$197,0)*--(AL$7=INPUTS!$E$197)+(INPUTS!$G$129-IF(INPUTS!$C$21="JV",INPUTS!$D$197,0))*CURVES!AL116</f>
        <v>0</v>
      </c>
      <c r="AM18" s="130" t="n">
        <f aca="false">IF(INPUTS!$C$21="JV",INPUTS!$D$197,0)*--(AM$7=INPUTS!$E$197)+(INPUTS!$G$129-IF(INPUTS!$C$21="JV",INPUTS!$D$197,0))*CURVES!AM116</f>
        <v>0</v>
      </c>
      <c r="AN18" s="130" t="n">
        <f aca="false">IF(INPUTS!$C$21="JV",INPUTS!$D$197,0)*--(AN$7=INPUTS!$E$197)+(INPUTS!$G$129-IF(INPUTS!$C$21="JV",INPUTS!$D$197,0))*CURVES!AN116</f>
        <v>0</v>
      </c>
      <c r="AO18" s="130" t="n">
        <f aca="false">IF(INPUTS!$C$21="JV",INPUTS!$D$197,0)*--(AO$7=INPUTS!$E$197)+(INPUTS!$G$129-IF(INPUTS!$C$21="JV",INPUTS!$D$197,0))*CURVES!AO116</f>
        <v>0</v>
      </c>
      <c r="AP18" s="130" t="n">
        <f aca="false">IF(INPUTS!$C$21="JV",INPUTS!$D$197,0)*--(AP$7=INPUTS!$E$197)+(INPUTS!$G$129-IF(INPUTS!$C$21="JV",INPUTS!$D$197,0))*CURVES!AP116</f>
        <v>0</v>
      </c>
      <c r="AQ18" s="130" t="n">
        <f aca="false">IF(INPUTS!$C$21="JV",INPUTS!$D$197,0)*--(AQ$7=INPUTS!$E$197)+(INPUTS!$G$129-IF(INPUTS!$C$21="JV",INPUTS!$D$197,0))*CURVES!AQ116</f>
        <v>0</v>
      </c>
    </row>
    <row r="19" customFormat="false" ht="15" hidden="false" customHeight="false" outlineLevel="0" collapsed="false">
      <c r="B19" s="121" t="str">
        <f aca="false">INPUTS!$B$130</f>
        <v>Brokerage</v>
      </c>
      <c r="C19" s="129" t="n">
        <f aca="false">SUM(D19:AQ19)</f>
        <v>2.124</v>
      </c>
      <c r="D19" s="130" t="n">
        <f aca="false">IF(INPUTS!$C$21="JV",INPUTS!$D$198,0)*--(D$7=INPUTS!$E$198)+(INPUTS!$G$130-IF(INPUTS!$C$21="JV",INPUTS!$D$198,0))*CURVES!D119</f>
        <v>0</v>
      </c>
      <c r="E19" s="130" t="n">
        <f aca="false">IF(INPUTS!$C$21="JV",INPUTS!$D$198,0)*--(E$7=INPUTS!$E$198)+(INPUTS!$G$130-IF(INPUTS!$C$21="JV",INPUTS!$D$198,0))*CURVES!E119</f>
        <v>2.124</v>
      </c>
      <c r="F19" s="130" t="n">
        <f aca="false">IF(INPUTS!$C$21="JV",INPUTS!$D$198,0)*--(F$7=INPUTS!$E$198)+(INPUTS!$G$130-IF(INPUTS!$C$21="JV",INPUTS!$D$198,0))*CURVES!F119</f>
        <v>0</v>
      </c>
      <c r="G19" s="130" t="n">
        <f aca="false">IF(INPUTS!$C$21="JV",INPUTS!$D$198,0)*--(G$7=INPUTS!$E$198)+(INPUTS!$G$130-IF(INPUTS!$C$21="JV",INPUTS!$D$198,0))*CURVES!G119</f>
        <v>0</v>
      </c>
      <c r="H19" s="130" t="n">
        <f aca="false">IF(INPUTS!$C$21="JV",INPUTS!$D$198,0)*--(H$7=INPUTS!$E$198)+(INPUTS!$G$130-IF(INPUTS!$C$21="JV",INPUTS!$D$198,0))*CURVES!H119</f>
        <v>0</v>
      </c>
      <c r="I19" s="130" t="n">
        <f aca="false">IF(INPUTS!$C$21="JV",INPUTS!$D$198,0)*--(I$7=INPUTS!$E$198)+(INPUTS!$G$130-IF(INPUTS!$C$21="JV",INPUTS!$D$198,0))*CURVES!I119</f>
        <v>0</v>
      </c>
      <c r="J19" s="130" t="n">
        <f aca="false">IF(INPUTS!$C$21="JV",INPUTS!$D$198,0)*--(J$7=INPUTS!$E$198)+(INPUTS!$G$130-IF(INPUTS!$C$21="JV",INPUTS!$D$198,0))*CURVES!J119</f>
        <v>0</v>
      </c>
      <c r="K19" s="130" t="n">
        <f aca="false">IF(INPUTS!$C$21="JV",INPUTS!$D$198,0)*--(K$7=INPUTS!$E$198)+(INPUTS!$G$130-IF(INPUTS!$C$21="JV",INPUTS!$D$198,0))*CURVES!K119</f>
        <v>0</v>
      </c>
      <c r="L19" s="130" t="n">
        <f aca="false">IF(INPUTS!$C$21="JV",INPUTS!$D$198,0)*--(L$7=INPUTS!$E$198)+(INPUTS!$G$130-IF(INPUTS!$C$21="JV",INPUTS!$D$198,0))*CURVES!L119</f>
        <v>0</v>
      </c>
      <c r="M19" s="130" t="n">
        <f aca="false">IF(INPUTS!$C$21="JV",INPUTS!$D$198,0)*--(M$7=INPUTS!$E$198)+(INPUTS!$G$130-IF(INPUTS!$C$21="JV",INPUTS!$D$198,0))*CURVES!M119</f>
        <v>0</v>
      </c>
      <c r="N19" s="130" t="n">
        <f aca="false">IF(INPUTS!$C$21="JV",INPUTS!$D$198,0)*--(N$7=INPUTS!$E$198)+(INPUTS!$G$130-IF(INPUTS!$C$21="JV",INPUTS!$D$198,0))*CURVES!N119</f>
        <v>0</v>
      </c>
      <c r="O19" s="130" t="n">
        <f aca="false">IF(INPUTS!$C$21="JV",INPUTS!$D$198,0)*--(O$7=INPUTS!$E$198)+(INPUTS!$G$130-IF(INPUTS!$C$21="JV",INPUTS!$D$198,0))*CURVES!O119</f>
        <v>0</v>
      </c>
      <c r="P19" s="130" t="n">
        <f aca="false">IF(INPUTS!$C$21="JV",INPUTS!$D$198,0)*--(P$7=INPUTS!$E$198)+(INPUTS!$G$130-IF(INPUTS!$C$21="JV",INPUTS!$D$198,0))*CURVES!P119</f>
        <v>0</v>
      </c>
      <c r="Q19" s="130" t="n">
        <f aca="false">IF(INPUTS!$C$21="JV",INPUTS!$D$198,0)*--(Q$7=INPUTS!$E$198)+(INPUTS!$G$130-IF(INPUTS!$C$21="JV",INPUTS!$D$198,0))*CURVES!Q119</f>
        <v>0</v>
      </c>
      <c r="R19" s="130" t="n">
        <f aca="false">IF(INPUTS!$C$21="JV",INPUTS!$D$198,0)*--(R$7=INPUTS!$E$198)+(INPUTS!$G$130-IF(INPUTS!$C$21="JV",INPUTS!$D$198,0))*CURVES!R119</f>
        <v>0</v>
      </c>
      <c r="S19" s="130" t="n">
        <f aca="false">IF(INPUTS!$C$21="JV",INPUTS!$D$198,0)*--(S$7=INPUTS!$E$198)+(INPUTS!$G$130-IF(INPUTS!$C$21="JV",INPUTS!$D$198,0))*CURVES!S119</f>
        <v>0</v>
      </c>
      <c r="T19" s="130" t="n">
        <f aca="false">IF(INPUTS!$C$21="JV",INPUTS!$D$198,0)*--(T$7=INPUTS!$E$198)+(INPUTS!$G$130-IF(INPUTS!$C$21="JV",INPUTS!$D$198,0))*CURVES!T119</f>
        <v>0</v>
      </c>
      <c r="U19" s="130" t="n">
        <f aca="false">IF(INPUTS!$C$21="JV",INPUTS!$D$198,0)*--(U$7=INPUTS!$E$198)+(INPUTS!$G$130-IF(INPUTS!$C$21="JV",INPUTS!$D$198,0))*CURVES!U119</f>
        <v>0</v>
      </c>
      <c r="V19" s="130" t="n">
        <f aca="false">IF(INPUTS!$C$21="JV",INPUTS!$D$198,0)*--(V$7=INPUTS!$E$198)+(INPUTS!$G$130-IF(INPUTS!$C$21="JV",INPUTS!$D$198,0))*CURVES!V119</f>
        <v>0</v>
      </c>
      <c r="W19" s="130" t="n">
        <f aca="false">IF(INPUTS!$C$21="JV",INPUTS!$D$198,0)*--(W$7=INPUTS!$E$198)+(INPUTS!$G$130-IF(INPUTS!$C$21="JV",INPUTS!$D$198,0))*CURVES!W119</f>
        <v>0</v>
      </c>
      <c r="X19" s="130" t="n">
        <f aca="false">IF(INPUTS!$C$21="JV",INPUTS!$D$198,0)*--(X$7=INPUTS!$E$198)+(INPUTS!$G$130-IF(INPUTS!$C$21="JV",INPUTS!$D$198,0))*CURVES!X119</f>
        <v>0</v>
      </c>
      <c r="Y19" s="130" t="n">
        <f aca="false">IF(INPUTS!$C$21="JV",INPUTS!$D$198,0)*--(Y$7=INPUTS!$E$198)+(INPUTS!$G$130-IF(INPUTS!$C$21="JV",INPUTS!$D$198,0))*CURVES!Y119</f>
        <v>0</v>
      </c>
      <c r="Z19" s="130" t="n">
        <f aca="false">IF(INPUTS!$C$21="JV",INPUTS!$D$198,0)*--(Z$7=INPUTS!$E$198)+(INPUTS!$G$130-IF(INPUTS!$C$21="JV",INPUTS!$D$198,0))*CURVES!Z119</f>
        <v>0</v>
      </c>
      <c r="AA19" s="130" t="n">
        <f aca="false">IF(INPUTS!$C$21="JV",INPUTS!$D$198,0)*--(AA$7=INPUTS!$E$198)+(INPUTS!$G$130-IF(INPUTS!$C$21="JV",INPUTS!$D$198,0))*CURVES!AA119</f>
        <v>0</v>
      </c>
      <c r="AB19" s="130" t="n">
        <f aca="false">IF(INPUTS!$C$21="JV",INPUTS!$D$198,0)*--(AB$7=INPUTS!$E$198)+(INPUTS!$G$130-IF(INPUTS!$C$21="JV",INPUTS!$D$198,0))*CURVES!AB119</f>
        <v>0</v>
      </c>
      <c r="AC19" s="130" t="n">
        <f aca="false">IF(INPUTS!$C$21="JV",INPUTS!$D$198,0)*--(AC$7=INPUTS!$E$198)+(INPUTS!$G$130-IF(INPUTS!$C$21="JV",INPUTS!$D$198,0))*CURVES!AC119</f>
        <v>0</v>
      </c>
      <c r="AD19" s="130" t="n">
        <f aca="false">IF(INPUTS!$C$21="JV",INPUTS!$D$198,0)*--(AD$7=INPUTS!$E$198)+(INPUTS!$G$130-IF(INPUTS!$C$21="JV",INPUTS!$D$198,0))*CURVES!AD119</f>
        <v>0</v>
      </c>
      <c r="AE19" s="130" t="n">
        <f aca="false">IF(INPUTS!$C$21="JV",INPUTS!$D$198,0)*--(AE$7=INPUTS!$E$198)+(INPUTS!$G$130-IF(INPUTS!$C$21="JV",INPUTS!$D$198,0))*CURVES!AE119</f>
        <v>0</v>
      </c>
      <c r="AF19" s="130" t="n">
        <f aca="false">IF(INPUTS!$C$21="JV",INPUTS!$D$198,0)*--(AF$7=INPUTS!$E$198)+(INPUTS!$G$130-IF(INPUTS!$C$21="JV",INPUTS!$D$198,0))*CURVES!AF119</f>
        <v>0</v>
      </c>
      <c r="AG19" s="130" t="n">
        <f aca="false">IF(INPUTS!$C$21="JV",INPUTS!$D$198,0)*--(AG$7=INPUTS!$E$198)+(INPUTS!$G$130-IF(INPUTS!$C$21="JV",INPUTS!$D$198,0))*CURVES!AG119</f>
        <v>0</v>
      </c>
      <c r="AH19" s="130" t="n">
        <f aca="false">IF(INPUTS!$C$21="JV",INPUTS!$D$198,0)*--(AH$7=INPUTS!$E$198)+(INPUTS!$G$130-IF(INPUTS!$C$21="JV",INPUTS!$D$198,0))*CURVES!AH119</f>
        <v>0</v>
      </c>
      <c r="AI19" s="130" t="n">
        <f aca="false">IF(INPUTS!$C$21="JV",INPUTS!$D$198,0)*--(AI$7=INPUTS!$E$198)+(INPUTS!$G$130-IF(INPUTS!$C$21="JV",INPUTS!$D$198,0))*CURVES!AI119</f>
        <v>0</v>
      </c>
      <c r="AJ19" s="130" t="n">
        <f aca="false">IF(INPUTS!$C$21="JV",INPUTS!$D$198,0)*--(AJ$7=INPUTS!$E$198)+(INPUTS!$G$130-IF(INPUTS!$C$21="JV",INPUTS!$D$198,0))*CURVES!AJ119</f>
        <v>0</v>
      </c>
      <c r="AK19" s="130" t="n">
        <f aca="false">IF(INPUTS!$C$21="JV",INPUTS!$D$198,0)*--(AK$7=INPUTS!$E$198)+(INPUTS!$G$130-IF(INPUTS!$C$21="JV",INPUTS!$D$198,0))*CURVES!AK119</f>
        <v>0</v>
      </c>
      <c r="AL19" s="130" t="n">
        <f aca="false">IF(INPUTS!$C$21="JV",INPUTS!$D$198,0)*--(AL$7=INPUTS!$E$198)+(INPUTS!$G$130-IF(INPUTS!$C$21="JV",INPUTS!$D$198,0))*CURVES!AL119</f>
        <v>0</v>
      </c>
      <c r="AM19" s="130" t="n">
        <f aca="false">IF(INPUTS!$C$21="JV",INPUTS!$D$198,0)*--(AM$7=INPUTS!$E$198)+(INPUTS!$G$130-IF(INPUTS!$C$21="JV",INPUTS!$D$198,0))*CURVES!AM119</f>
        <v>0</v>
      </c>
      <c r="AN19" s="130" t="n">
        <f aca="false">IF(INPUTS!$C$21="JV",INPUTS!$D$198,0)*--(AN$7=INPUTS!$E$198)+(INPUTS!$G$130-IF(INPUTS!$C$21="JV",INPUTS!$D$198,0))*CURVES!AN119</f>
        <v>0</v>
      </c>
      <c r="AO19" s="130" t="n">
        <f aca="false">IF(INPUTS!$C$21="JV",INPUTS!$D$198,0)*--(AO$7=INPUTS!$E$198)+(INPUTS!$G$130-IF(INPUTS!$C$21="JV",INPUTS!$D$198,0))*CURVES!AO119</f>
        <v>0</v>
      </c>
      <c r="AP19" s="130" t="n">
        <f aca="false">IF(INPUTS!$C$21="JV",INPUTS!$D$198,0)*--(AP$7=INPUTS!$E$198)+(INPUTS!$G$130-IF(INPUTS!$C$21="JV",INPUTS!$D$198,0))*CURVES!AP119</f>
        <v>0</v>
      </c>
      <c r="AQ19" s="130" t="n">
        <f aca="false">IF(INPUTS!$C$21="JV",INPUTS!$D$198,0)*--(AQ$7=INPUTS!$E$198)+(INPUTS!$G$130-IF(INPUTS!$C$21="JV",INPUTS!$D$198,0))*CURVES!AQ119</f>
        <v>0</v>
      </c>
    </row>
    <row r="20" customFormat="false" ht="15" hidden="false" customHeight="false" outlineLevel="0" collapsed="false">
      <c r="B20" s="121" t="str">
        <f aca="false">INPUTS!$B$131</f>
        <v>Villa Construction Cost</v>
      </c>
      <c r="C20" s="129" t="n">
        <f aca="false">SUM(D20:AQ20)</f>
        <v>72.5</v>
      </c>
      <c r="D20" s="130" t="n">
        <f aca="false">IF(AND(INPUTS!$C$21="JV",INPUTS!$G$153&gt;0),INPUTS!$D$195*INPUTS!$G$131/INPUTS!$G$153,0)*--(D$7=INPUTS!$E$195)+(INPUTS!$G$131-IF(AND(INPUTS!$C$21="JV",INPUTS!$G$153&gt;0),INPUTS!$D$195*INPUTS!$G$131/INPUTS!$G$153,0))*CURVES!D122</f>
        <v>0</v>
      </c>
      <c r="E20" s="130" t="n">
        <f aca="false">IF(AND(INPUTS!$C$21="JV",INPUTS!$G$153&gt;0),INPUTS!$D$195*INPUTS!$G$131/INPUTS!$G$153,0)*--(E$7=INPUTS!$E$195)+(INPUTS!$G$131-IF(AND(INPUTS!$C$21="JV",INPUTS!$G$153&gt;0),INPUTS!$D$195*INPUTS!$G$131/INPUTS!$G$153,0))*CURVES!E122</f>
        <v>0</v>
      </c>
      <c r="F20" s="130" t="n">
        <f aca="false">IF(AND(INPUTS!$C$21="JV",INPUTS!$G$153&gt;0),INPUTS!$D$195*INPUTS!$G$131/INPUTS!$G$153,0)*--(F$7=INPUTS!$E$195)+(INPUTS!$G$131-IF(AND(INPUTS!$C$21="JV",INPUTS!$G$153&gt;0),INPUTS!$D$195*INPUTS!$G$131/INPUTS!$G$153,0))*CURVES!F122</f>
        <v>0</v>
      </c>
      <c r="G20" s="130" t="n">
        <f aca="false">IF(AND(INPUTS!$C$21="JV",INPUTS!$G$153&gt;0),INPUTS!$D$195*INPUTS!$G$131/INPUTS!$G$153,0)*--(G$7=INPUTS!$E$195)+(INPUTS!$G$131-IF(AND(INPUTS!$C$21="JV",INPUTS!$G$153&gt;0),INPUTS!$D$195*INPUTS!$G$131/INPUTS!$G$153,0))*CURVES!G122</f>
        <v>1.23518879702127</v>
      </c>
      <c r="H20" s="130" t="n">
        <f aca="false">IF(AND(INPUTS!$C$21="JV",INPUTS!$G$153&gt;0),INPUTS!$D$195*INPUTS!$G$131/INPUTS!$G$153,0)*--(H$7=INPUTS!$E$195)+(INPUTS!$G$131-IF(AND(INPUTS!$C$21="JV",INPUTS!$G$153&gt;0),INPUTS!$D$195*INPUTS!$G$131/INPUTS!$G$153,0))*CURVES!H122</f>
        <v>3.62139031579282</v>
      </c>
      <c r="I20" s="130" t="n">
        <f aca="false">IF(AND(INPUTS!$C$21="JV",INPUTS!$G$153&gt;0),INPUTS!$D$195*INPUTS!$G$131/INPUTS!$G$153,0)*--(I$7=INPUTS!$E$195)+(INPUTS!$G$131-IF(AND(INPUTS!$C$21="JV",INPUTS!$G$153&gt;0),INPUTS!$D$195*INPUTS!$G$131/INPUTS!$G$153,0))*CURVES!I122</f>
        <v>5.76080006917355</v>
      </c>
      <c r="J20" s="130" t="n">
        <f aca="false">IF(AND(INPUTS!$C$21="JV",INPUTS!$G$153&gt;0),INPUTS!$D$195*INPUTS!$G$131/INPUTS!$G$153,0)*--(J$7=INPUTS!$E$195)+(INPUTS!$G$131-IF(AND(INPUTS!$C$21="JV",INPUTS!$G$153&gt;0),INPUTS!$D$195*INPUTS!$G$131/INPUTS!$G$153,0))*CURVES!J122</f>
        <v>7.50762081801235</v>
      </c>
      <c r="K20" s="130" t="n">
        <f aca="false">IF(AND(INPUTS!$C$21="JV",INPUTS!$G$153&gt;0),INPUTS!$D$195*INPUTS!$G$131/INPUTS!$G$153,0)*--(K$7=INPUTS!$E$195)+(INPUTS!$G$131-IF(AND(INPUTS!$C$21="JV",INPUTS!$G$153&gt;0),INPUTS!$D$195*INPUTS!$G$131/INPUTS!$G$153,0))*CURVES!K122</f>
        <v>8.74280961503362</v>
      </c>
      <c r="L20" s="130" t="n">
        <f aca="false">IF(AND(INPUTS!$C$21="JV",INPUTS!$G$153&gt;0),INPUTS!$D$195*INPUTS!$G$131/INPUTS!$G$153,0)*--(L$7=INPUTS!$E$195)+(INPUTS!$G$131-IF(AND(INPUTS!$C$21="JV",INPUTS!$G$153&gt;0),INPUTS!$D$195*INPUTS!$G$131/INPUTS!$G$153,0))*CURVES!L122</f>
        <v>9.38219038496638</v>
      </c>
      <c r="M20" s="130" t="n">
        <f aca="false">IF(AND(INPUTS!$C$21="JV",INPUTS!$G$153&gt;0),INPUTS!$D$195*INPUTS!$G$131/INPUTS!$G$153,0)*--(M$7=INPUTS!$E$195)+(INPUTS!$G$131-IF(AND(INPUTS!$C$21="JV",INPUTS!$G$153&gt;0),INPUTS!$D$195*INPUTS!$G$131/INPUTS!$G$153,0))*CURVES!M122</f>
        <v>9.38219038496638</v>
      </c>
      <c r="N20" s="130" t="n">
        <f aca="false">IF(AND(INPUTS!$C$21="JV",INPUTS!$G$153&gt;0),INPUTS!$D$195*INPUTS!$G$131/INPUTS!$G$153,0)*--(N$7=INPUTS!$E$195)+(INPUTS!$G$131-IF(AND(INPUTS!$C$21="JV",INPUTS!$G$153&gt;0),INPUTS!$D$195*INPUTS!$G$131/INPUTS!$G$153,0))*CURVES!N122</f>
        <v>8.74280961503362</v>
      </c>
      <c r="O20" s="130" t="n">
        <f aca="false">IF(AND(INPUTS!$C$21="JV",INPUTS!$G$153&gt;0),INPUTS!$D$195*INPUTS!$G$131/INPUTS!$G$153,0)*--(O$7=INPUTS!$E$195)+(INPUTS!$G$131-IF(AND(INPUTS!$C$21="JV",INPUTS!$G$153&gt;0),INPUTS!$D$195*INPUTS!$G$131/INPUTS!$G$153,0))*CURVES!O122</f>
        <v>7.50762081801235</v>
      </c>
      <c r="P20" s="130" t="n">
        <f aca="false">IF(AND(INPUTS!$C$21="JV",INPUTS!$G$153&gt;0),INPUTS!$D$195*INPUTS!$G$131/INPUTS!$G$153,0)*--(P$7=INPUTS!$E$195)+(INPUTS!$G$131-IF(AND(INPUTS!$C$21="JV",INPUTS!$G$153&gt;0),INPUTS!$D$195*INPUTS!$G$131/INPUTS!$G$153,0))*CURVES!P122</f>
        <v>5.76080006917356</v>
      </c>
      <c r="Q20" s="130" t="n">
        <f aca="false">IF(AND(INPUTS!$C$21="JV",INPUTS!$G$153&gt;0),INPUTS!$D$195*INPUTS!$G$131/INPUTS!$G$153,0)*--(Q$7=INPUTS!$E$195)+(INPUTS!$G$131-IF(AND(INPUTS!$C$21="JV",INPUTS!$G$153&gt;0),INPUTS!$D$195*INPUTS!$G$131/INPUTS!$G$153,0))*CURVES!Q122</f>
        <v>3.62139031579283</v>
      </c>
      <c r="R20" s="130" t="n">
        <f aca="false">IF(AND(INPUTS!$C$21="JV",INPUTS!$G$153&gt;0),INPUTS!$D$195*INPUTS!$G$131/INPUTS!$G$153,0)*--(R$7=INPUTS!$E$195)+(INPUTS!$G$131-IF(AND(INPUTS!$C$21="JV",INPUTS!$G$153&gt;0),INPUTS!$D$195*INPUTS!$G$131/INPUTS!$G$153,0))*CURVES!R122</f>
        <v>1.23518879702128</v>
      </c>
      <c r="S20" s="130" t="n">
        <f aca="false">IF(AND(INPUTS!$C$21="JV",INPUTS!$G$153&gt;0),INPUTS!$D$195*INPUTS!$G$131/INPUTS!$G$153,0)*--(S$7=INPUTS!$E$195)+(INPUTS!$G$131-IF(AND(INPUTS!$C$21="JV",INPUTS!$G$153&gt;0),INPUTS!$D$195*INPUTS!$G$131/INPUTS!$G$153,0))*CURVES!S122</f>
        <v>0</v>
      </c>
      <c r="T20" s="130" t="n">
        <f aca="false">IF(AND(INPUTS!$C$21="JV",INPUTS!$G$153&gt;0),INPUTS!$D$195*INPUTS!$G$131/INPUTS!$G$153,0)*--(T$7=INPUTS!$E$195)+(INPUTS!$G$131-IF(AND(INPUTS!$C$21="JV",INPUTS!$G$153&gt;0),INPUTS!$D$195*INPUTS!$G$131/INPUTS!$G$153,0))*CURVES!T122</f>
        <v>0</v>
      </c>
      <c r="U20" s="130" t="n">
        <f aca="false">IF(AND(INPUTS!$C$21="JV",INPUTS!$G$153&gt;0),INPUTS!$D$195*INPUTS!$G$131/INPUTS!$G$153,0)*--(U$7=INPUTS!$E$195)+(INPUTS!$G$131-IF(AND(INPUTS!$C$21="JV",INPUTS!$G$153&gt;0),INPUTS!$D$195*INPUTS!$G$131/INPUTS!$G$153,0))*CURVES!U122</f>
        <v>0</v>
      </c>
      <c r="V20" s="130" t="n">
        <f aca="false">IF(AND(INPUTS!$C$21="JV",INPUTS!$G$153&gt;0),INPUTS!$D$195*INPUTS!$G$131/INPUTS!$G$153,0)*--(V$7=INPUTS!$E$195)+(INPUTS!$G$131-IF(AND(INPUTS!$C$21="JV",INPUTS!$G$153&gt;0),INPUTS!$D$195*INPUTS!$G$131/INPUTS!$G$153,0))*CURVES!V122</f>
        <v>0</v>
      </c>
      <c r="W20" s="130" t="n">
        <f aca="false">IF(AND(INPUTS!$C$21="JV",INPUTS!$G$153&gt;0),INPUTS!$D$195*INPUTS!$G$131/INPUTS!$G$153,0)*--(W$7=INPUTS!$E$195)+(INPUTS!$G$131-IF(AND(INPUTS!$C$21="JV",INPUTS!$G$153&gt;0),INPUTS!$D$195*INPUTS!$G$131/INPUTS!$G$153,0))*CURVES!W122</f>
        <v>0</v>
      </c>
      <c r="X20" s="130" t="n">
        <f aca="false">IF(AND(INPUTS!$C$21="JV",INPUTS!$G$153&gt;0),INPUTS!$D$195*INPUTS!$G$131/INPUTS!$G$153,0)*--(X$7=INPUTS!$E$195)+(INPUTS!$G$131-IF(AND(INPUTS!$C$21="JV",INPUTS!$G$153&gt;0),INPUTS!$D$195*INPUTS!$G$131/INPUTS!$G$153,0))*CURVES!X122</f>
        <v>0</v>
      </c>
      <c r="Y20" s="130" t="n">
        <f aca="false">IF(AND(INPUTS!$C$21="JV",INPUTS!$G$153&gt;0),INPUTS!$D$195*INPUTS!$G$131/INPUTS!$G$153,0)*--(Y$7=INPUTS!$E$195)+(INPUTS!$G$131-IF(AND(INPUTS!$C$21="JV",INPUTS!$G$153&gt;0),INPUTS!$D$195*INPUTS!$G$131/INPUTS!$G$153,0))*CURVES!Y122</f>
        <v>0</v>
      </c>
      <c r="Z20" s="130" t="n">
        <f aca="false">IF(AND(INPUTS!$C$21="JV",INPUTS!$G$153&gt;0),INPUTS!$D$195*INPUTS!$G$131/INPUTS!$G$153,0)*--(Z$7=INPUTS!$E$195)+(INPUTS!$G$131-IF(AND(INPUTS!$C$21="JV",INPUTS!$G$153&gt;0),INPUTS!$D$195*INPUTS!$G$131/INPUTS!$G$153,0))*CURVES!Z122</f>
        <v>0</v>
      </c>
      <c r="AA20" s="130" t="n">
        <f aca="false">IF(AND(INPUTS!$C$21="JV",INPUTS!$G$153&gt;0),INPUTS!$D$195*INPUTS!$G$131/INPUTS!$G$153,0)*--(AA$7=INPUTS!$E$195)+(INPUTS!$G$131-IF(AND(INPUTS!$C$21="JV",INPUTS!$G$153&gt;0),INPUTS!$D$195*INPUTS!$G$131/INPUTS!$G$153,0))*CURVES!AA122</f>
        <v>0</v>
      </c>
      <c r="AB20" s="130" t="n">
        <f aca="false">IF(AND(INPUTS!$C$21="JV",INPUTS!$G$153&gt;0),INPUTS!$D$195*INPUTS!$G$131/INPUTS!$G$153,0)*--(AB$7=INPUTS!$E$195)+(INPUTS!$G$131-IF(AND(INPUTS!$C$21="JV",INPUTS!$G$153&gt;0),INPUTS!$D$195*INPUTS!$G$131/INPUTS!$G$153,0))*CURVES!AB122</f>
        <v>0</v>
      </c>
      <c r="AC20" s="130" t="n">
        <f aca="false">IF(AND(INPUTS!$C$21="JV",INPUTS!$G$153&gt;0),INPUTS!$D$195*INPUTS!$G$131/INPUTS!$G$153,0)*--(AC$7=INPUTS!$E$195)+(INPUTS!$G$131-IF(AND(INPUTS!$C$21="JV",INPUTS!$G$153&gt;0),INPUTS!$D$195*INPUTS!$G$131/INPUTS!$G$153,0))*CURVES!AC122</f>
        <v>0</v>
      </c>
      <c r="AD20" s="130" t="n">
        <f aca="false">IF(AND(INPUTS!$C$21="JV",INPUTS!$G$153&gt;0),INPUTS!$D$195*INPUTS!$G$131/INPUTS!$G$153,0)*--(AD$7=INPUTS!$E$195)+(INPUTS!$G$131-IF(AND(INPUTS!$C$21="JV",INPUTS!$G$153&gt;0),INPUTS!$D$195*INPUTS!$G$131/INPUTS!$G$153,0))*CURVES!AD122</f>
        <v>0</v>
      </c>
      <c r="AE20" s="130" t="n">
        <f aca="false">IF(AND(INPUTS!$C$21="JV",INPUTS!$G$153&gt;0),INPUTS!$D$195*INPUTS!$G$131/INPUTS!$G$153,0)*--(AE$7=INPUTS!$E$195)+(INPUTS!$G$131-IF(AND(INPUTS!$C$21="JV",INPUTS!$G$153&gt;0),INPUTS!$D$195*INPUTS!$G$131/INPUTS!$G$153,0))*CURVES!AE122</f>
        <v>0</v>
      </c>
      <c r="AF20" s="130" t="n">
        <f aca="false">IF(AND(INPUTS!$C$21="JV",INPUTS!$G$153&gt;0),INPUTS!$D$195*INPUTS!$G$131/INPUTS!$G$153,0)*--(AF$7=INPUTS!$E$195)+(INPUTS!$G$131-IF(AND(INPUTS!$C$21="JV",INPUTS!$G$153&gt;0),INPUTS!$D$195*INPUTS!$G$131/INPUTS!$G$153,0))*CURVES!AF122</f>
        <v>0</v>
      </c>
      <c r="AG20" s="130" t="n">
        <f aca="false">IF(AND(INPUTS!$C$21="JV",INPUTS!$G$153&gt;0),INPUTS!$D$195*INPUTS!$G$131/INPUTS!$G$153,0)*--(AG$7=INPUTS!$E$195)+(INPUTS!$G$131-IF(AND(INPUTS!$C$21="JV",INPUTS!$G$153&gt;0),INPUTS!$D$195*INPUTS!$G$131/INPUTS!$G$153,0))*CURVES!AG122</f>
        <v>0</v>
      </c>
      <c r="AH20" s="130" t="n">
        <f aca="false">IF(AND(INPUTS!$C$21="JV",INPUTS!$G$153&gt;0),INPUTS!$D$195*INPUTS!$G$131/INPUTS!$G$153,0)*--(AH$7=INPUTS!$E$195)+(INPUTS!$G$131-IF(AND(INPUTS!$C$21="JV",INPUTS!$G$153&gt;0),INPUTS!$D$195*INPUTS!$G$131/INPUTS!$G$153,0))*CURVES!AH122</f>
        <v>0</v>
      </c>
      <c r="AI20" s="130" t="n">
        <f aca="false">IF(AND(INPUTS!$C$21="JV",INPUTS!$G$153&gt;0),INPUTS!$D$195*INPUTS!$G$131/INPUTS!$G$153,0)*--(AI$7=INPUTS!$E$195)+(INPUTS!$G$131-IF(AND(INPUTS!$C$21="JV",INPUTS!$G$153&gt;0),INPUTS!$D$195*INPUTS!$G$131/INPUTS!$G$153,0))*CURVES!AI122</f>
        <v>0</v>
      </c>
      <c r="AJ20" s="130" t="n">
        <f aca="false">IF(AND(INPUTS!$C$21="JV",INPUTS!$G$153&gt;0),INPUTS!$D$195*INPUTS!$G$131/INPUTS!$G$153,0)*--(AJ$7=INPUTS!$E$195)+(INPUTS!$G$131-IF(AND(INPUTS!$C$21="JV",INPUTS!$G$153&gt;0),INPUTS!$D$195*INPUTS!$G$131/INPUTS!$G$153,0))*CURVES!AJ122</f>
        <v>0</v>
      </c>
      <c r="AK20" s="130" t="n">
        <f aca="false">IF(AND(INPUTS!$C$21="JV",INPUTS!$G$153&gt;0),INPUTS!$D$195*INPUTS!$G$131/INPUTS!$G$153,0)*--(AK$7=INPUTS!$E$195)+(INPUTS!$G$131-IF(AND(INPUTS!$C$21="JV",INPUTS!$G$153&gt;0),INPUTS!$D$195*INPUTS!$G$131/INPUTS!$G$153,0))*CURVES!AK122</f>
        <v>0</v>
      </c>
      <c r="AL20" s="130" t="n">
        <f aca="false">IF(AND(INPUTS!$C$21="JV",INPUTS!$G$153&gt;0),INPUTS!$D$195*INPUTS!$G$131/INPUTS!$G$153,0)*--(AL$7=INPUTS!$E$195)+(INPUTS!$G$131-IF(AND(INPUTS!$C$21="JV",INPUTS!$G$153&gt;0),INPUTS!$D$195*INPUTS!$G$131/INPUTS!$G$153,0))*CURVES!AL122</f>
        <v>0</v>
      </c>
      <c r="AM20" s="130" t="n">
        <f aca="false">IF(AND(INPUTS!$C$21="JV",INPUTS!$G$153&gt;0),INPUTS!$D$195*INPUTS!$G$131/INPUTS!$G$153,0)*--(AM$7=INPUTS!$E$195)+(INPUTS!$G$131-IF(AND(INPUTS!$C$21="JV",INPUTS!$G$153&gt;0),INPUTS!$D$195*INPUTS!$G$131/INPUTS!$G$153,0))*CURVES!AM122</f>
        <v>0</v>
      </c>
      <c r="AN20" s="130" t="n">
        <f aca="false">IF(AND(INPUTS!$C$21="JV",INPUTS!$G$153&gt;0),INPUTS!$D$195*INPUTS!$G$131/INPUTS!$G$153,0)*--(AN$7=INPUTS!$E$195)+(INPUTS!$G$131-IF(AND(INPUTS!$C$21="JV",INPUTS!$G$153&gt;0),INPUTS!$D$195*INPUTS!$G$131/INPUTS!$G$153,0))*CURVES!AN122</f>
        <v>0</v>
      </c>
      <c r="AO20" s="130" t="n">
        <f aca="false">IF(AND(INPUTS!$C$21="JV",INPUTS!$G$153&gt;0),INPUTS!$D$195*INPUTS!$G$131/INPUTS!$G$153,0)*--(AO$7=INPUTS!$E$195)+(INPUTS!$G$131-IF(AND(INPUTS!$C$21="JV",INPUTS!$G$153&gt;0),INPUTS!$D$195*INPUTS!$G$131/INPUTS!$G$153,0))*CURVES!AO122</f>
        <v>0</v>
      </c>
      <c r="AP20" s="130" t="n">
        <f aca="false">IF(AND(INPUTS!$C$21="JV",INPUTS!$G$153&gt;0),INPUTS!$D$195*INPUTS!$G$131/INPUTS!$G$153,0)*--(AP$7=INPUTS!$E$195)+(INPUTS!$G$131-IF(AND(INPUTS!$C$21="JV",INPUTS!$G$153&gt;0),INPUTS!$D$195*INPUTS!$G$131/INPUTS!$G$153,0))*CURVES!AP122</f>
        <v>0</v>
      </c>
      <c r="AQ20" s="130" t="n">
        <f aca="false">IF(AND(INPUTS!$C$21="JV",INPUTS!$G$153&gt;0),INPUTS!$D$195*INPUTS!$G$131/INPUTS!$G$153,0)*--(AQ$7=INPUTS!$E$195)+(INPUTS!$G$131-IF(AND(INPUTS!$C$21="JV",INPUTS!$G$153&gt;0),INPUTS!$D$195*INPUTS!$G$131/INPUTS!$G$153,0))*CURVES!AQ122</f>
        <v>0</v>
      </c>
    </row>
    <row r="21" customFormat="false" ht="15" hidden="false" customHeight="false" outlineLevel="0" collapsed="false">
      <c r="B21" s="121" t="str">
        <f aca="false">INPUTS!$B$132</f>
        <v>APT Construction Cost</v>
      </c>
      <c r="C21" s="129" t="n">
        <f aca="false">SUM(D21:AQ21)</f>
        <v>174</v>
      </c>
      <c r="D21" s="130" t="n">
        <f aca="false">IF(AND(INPUTS!$C$21="JV",INPUTS!$G$153&gt;0),INPUTS!$D$195*INPUTS!$G$132/INPUTS!$G$153,0)*--(D$7=INPUTS!$E$195)+(INPUTS!$G$132-IF(AND(INPUTS!$C$21="JV",INPUTS!$G$153&gt;0),INPUTS!$D$195*INPUTS!$G$132/INPUTS!$G$153,0))*CURVES!D125</f>
        <v>0</v>
      </c>
      <c r="E21" s="130" t="n">
        <f aca="false">IF(AND(INPUTS!$C$21="JV",INPUTS!$G$153&gt;0),INPUTS!$D$195*INPUTS!$G$132/INPUTS!$G$153,0)*--(E$7=INPUTS!$E$195)+(INPUTS!$G$132-IF(AND(INPUTS!$C$21="JV",INPUTS!$G$153&gt;0),INPUTS!$D$195*INPUTS!$G$132/INPUTS!$G$153,0))*CURVES!E125</f>
        <v>0</v>
      </c>
      <c r="F21" s="130" t="n">
        <f aca="false">IF(AND(INPUTS!$C$21="JV",INPUTS!$G$153&gt;0),INPUTS!$D$195*INPUTS!$G$132/INPUTS!$G$153,0)*--(F$7=INPUTS!$E$195)+(INPUTS!$G$132-IF(AND(INPUTS!$C$21="JV",INPUTS!$G$153&gt;0),INPUTS!$D$195*INPUTS!$G$132/INPUTS!$G$153,0))*CURVES!F125</f>
        <v>0</v>
      </c>
      <c r="G21" s="130" t="n">
        <f aca="false">IF(AND(INPUTS!$C$21="JV",INPUTS!$G$153&gt;0),INPUTS!$D$195*INPUTS!$G$132/INPUTS!$G$153,0)*--(G$7=INPUTS!$E$195)+(INPUTS!$G$132-IF(AND(INPUTS!$C$21="JV",INPUTS!$G$153&gt;0),INPUTS!$D$195*INPUTS!$G$132/INPUTS!$G$153,0))*CURVES!G125</f>
        <v>0</v>
      </c>
      <c r="H21" s="130" t="n">
        <f aca="false">IF(AND(INPUTS!$C$21="JV",INPUTS!$G$153&gt;0),INPUTS!$D$195*INPUTS!$G$132/INPUTS!$G$153,0)*--(H$7=INPUTS!$E$195)+(INPUTS!$G$132-IF(AND(INPUTS!$C$21="JV",INPUTS!$G$153&gt;0),INPUTS!$D$195*INPUTS!$G$132/INPUTS!$G$153,0))*CURVES!H125</f>
        <v>1.67168060491895</v>
      </c>
      <c r="I21" s="130" t="n">
        <f aca="false">IF(AND(INPUTS!$C$21="JV",INPUTS!$G$153&gt;0),INPUTS!$D$195*INPUTS!$G$132/INPUTS!$G$153,0)*--(I$7=INPUTS!$E$195)+(INPUTS!$G$132-IF(AND(INPUTS!$C$21="JV",INPUTS!$G$153&gt;0),INPUTS!$D$195*INPUTS!$G$132/INPUTS!$G$153,0))*CURVES!I125</f>
        <v>4.9508000665991</v>
      </c>
      <c r="J21" s="130" t="n">
        <f aca="false">IF(AND(INPUTS!$C$21="JV",INPUTS!$G$153&gt;0),INPUTS!$D$195*INPUTS!$G$132/INPUTS!$G$153,0)*--(J$7=INPUTS!$E$195)+(INPUTS!$G$132-IF(AND(INPUTS!$C$21="JV",INPUTS!$G$153&gt;0),INPUTS!$D$195*INPUTS!$G$132/INPUTS!$G$153,0))*CURVES!J125</f>
        <v>8.03966305816051</v>
      </c>
      <c r="K21" s="130" t="n">
        <f aca="false">IF(AND(INPUTS!$C$21="JV",INPUTS!$G$153&gt;0),INPUTS!$D$195*INPUTS!$G$132/INPUTS!$G$153,0)*--(K$7=INPUTS!$E$195)+(INPUTS!$G$132-IF(AND(INPUTS!$C$21="JV",INPUTS!$G$153&gt;0),INPUTS!$D$195*INPUTS!$G$132/INPUTS!$G$153,0))*CURVES!K125</f>
        <v>10.8195663070918</v>
      </c>
      <c r="L21" s="130" t="n">
        <f aca="false">IF(AND(INPUTS!$C$21="JV",INPUTS!$G$153&gt;0),INPUTS!$D$195*INPUTS!$G$132/INPUTS!$G$153,0)*--(L$7=INPUTS!$E$195)+(INPUTS!$G$132-IF(AND(INPUTS!$C$21="JV",INPUTS!$G$153&gt;0),INPUTS!$D$195*INPUTS!$G$132/INPUTS!$G$153,0))*CURVES!L125</f>
        <v>13.1836796905242</v>
      </c>
      <c r="M21" s="130" t="n">
        <f aca="false">IF(AND(INPUTS!$C$21="JV",INPUTS!$G$153&gt;0),INPUTS!$D$195*INPUTS!$G$132/INPUTS!$G$153,0)*--(M$7=INPUTS!$E$195)+(INPUTS!$G$132-IF(AND(INPUTS!$C$21="JV",INPUTS!$G$153&gt;0),INPUTS!$D$195*INPUTS!$G$132/INPUTS!$G$153,0))*CURVES!M125</f>
        <v>15.0411516569426</v>
      </c>
      <c r="N21" s="130" t="n">
        <f aca="false">IF(AND(INPUTS!$C$21="JV",INPUTS!$G$153&gt;0),INPUTS!$D$195*INPUTS!$G$132/INPUTS!$G$153,0)*--(N$7=INPUTS!$E$195)+(INPUTS!$G$132-IF(AND(INPUTS!$C$21="JV",INPUTS!$G$153&gt;0),INPUTS!$D$195*INPUTS!$G$132/INPUTS!$G$153,0))*CURVES!N125</f>
        <v>16.3206006003597</v>
      </c>
      <c r="O21" s="130" t="n">
        <f aca="false">IF(AND(INPUTS!$C$21="JV",INPUTS!$G$153&gt;0),INPUTS!$D$195*INPUTS!$G$132/INPUTS!$G$153,0)*--(O$7=INPUTS!$E$195)+(INPUTS!$G$132-IF(AND(INPUTS!$C$21="JV",INPUTS!$G$153&gt;0),INPUTS!$D$195*INPUTS!$G$132/INPUTS!$G$153,0))*CURVES!O125</f>
        <v>16.9728580154032</v>
      </c>
      <c r="P21" s="130" t="n">
        <f aca="false">IF(AND(INPUTS!$C$21="JV",INPUTS!$G$153&gt;0),INPUTS!$D$195*INPUTS!$G$132/INPUTS!$G$153,0)*--(P$7=INPUTS!$E$195)+(INPUTS!$G$132-IF(AND(INPUTS!$C$21="JV",INPUTS!$G$153&gt;0),INPUTS!$D$195*INPUTS!$G$132/INPUTS!$G$153,0))*CURVES!P125</f>
        <v>16.9728580154032</v>
      </c>
      <c r="Q21" s="130" t="n">
        <f aca="false">IF(AND(INPUTS!$C$21="JV",INPUTS!$G$153&gt;0),INPUTS!$D$195*INPUTS!$G$132/INPUTS!$G$153,0)*--(Q$7=INPUTS!$E$195)+(INPUTS!$G$132-IF(AND(INPUTS!$C$21="JV",INPUTS!$G$153&gt;0),INPUTS!$D$195*INPUTS!$G$132/INPUTS!$G$153,0))*CURVES!Q125</f>
        <v>16.3206006003597</v>
      </c>
      <c r="R21" s="130" t="n">
        <f aca="false">IF(AND(INPUTS!$C$21="JV",INPUTS!$G$153&gt;0),INPUTS!$D$195*INPUTS!$G$132/INPUTS!$G$153,0)*--(R$7=INPUTS!$E$195)+(INPUTS!$G$132-IF(AND(INPUTS!$C$21="JV",INPUTS!$G$153&gt;0),INPUTS!$D$195*INPUTS!$G$132/INPUTS!$G$153,0))*CURVES!R125</f>
        <v>15.0411516569426</v>
      </c>
      <c r="S21" s="130" t="n">
        <f aca="false">IF(AND(INPUTS!$C$21="JV",INPUTS!$G$153&gt;0),INPUTS!$D$195*INPUTS!$G$132/INPUTS!$G$153,0)*--(S$7=INPUTS!$E$195)+(INPUTS!$G$132-IF(AND(INPUTS!$C$21="JV",INPUTS!$G$153&gt;0),INPUTS!$D$195*INPUTS!$G$132/INPUTS!$G$153,0))*CURVES!S125</f>
        <v>13.1836796905242</v>
      </c>
      <c r="T21" s="130" t="n">
        <f aca="false">IF(AND(INPUTS!$C$21="JV",INPUTS!$G$153&gt;0),INPUTS!$D$195*INPUTS!$G$132/INPUTS!$G$153,0)*--(T$7=INPUTS!$E$195)+(INPUTS!$G$132-IF(AND(INPUTS!$C$21="JV",INPUTS!$G$153&gt;0),INPUTS!$D$195*INPUTS!$G$132/INPUTS!$G$153,0))*CURVES!T125</f>
        <v>10.8195663070918</v>
      </c>
      <c r="U21" s="130" t="n">
        <f aca="false">IF(AND(INPUTS!$C$21="JV",INPUTS!$G$153&gt;0),INPUTS!$D$195*INPUTS!$G$132/INPUTS!$G$153,0)*--(U$7=INPUTS!$E$195)+(INPUTS!$G$132-IF(AND(INPUTS!$C$21="JV",INPUTS!$G$153&gt;0),INPUTS!$D$195*INPUTS!$G$132/INPUTS!$G$153,0))*CURVES!U125</f>
        <v>8.03966305816052</v>
      </c>
      <c r="V21" s="130" t="n">
        <f aca="false">IF(AND(INPUTS!$C$21="JV",INPUTS!$G$153&gt;0),INPUTS!$D$195*INPUTS!$G$132/INPUTS!$G$153,0)*--(V$7=INPUTS!$E$195)+(INPUTS!$G$132-IF(AND(INPUTS!$C$21="JV",INPUTS!$G$153&gt;0),INPUTS!$D$195*INPUTS!$G$132/INPUTS!$G$153,0))*CURVES!V125</f>
        <v>4.9508000665991</v>
      </c>
      <c r="W21" s="130" t="n">
        <f aca="false">IF(AND(INPUTS!$C$21="JV",INPUTS!$G$153&gt;0),INPUTS!$D$195*INPUTS!$G$132/INPUTS!$G$153,0)*--(W$7=INPUTS!$E$195)+(INPUTS!$G$132-IF(AND(INPUTS!$C$21="JV",INPUTS!$G$153&gt;0),INPUTS!$D$195*INPUTS!$G$132/INPUTS!$G$153,0))*CURVES!W125</f>
        <v>1.67168060491895</v>
      </c>
      <c r="X21" s="130" t="n">
        <f aca="false">IF(AND(INPUTS!$C$21="JV",INPUTS!$G$153&gt;0),INPUTS!$D$195*INPUTS!$G$132/INPUTS!$G$153,0)*--(X$7=INPUTS!$E$195)+(INPUTS!$G$132-IF(AND(INPUTS!$C$21="JV",INPUTS!$G$153&gt;0),INPUTS!$D$195*INPUTS!$G$132/INPUTS!$G$153,0))*CURVES!X125</f>
        <v>0</v>
      </c>
      <c r="Y21" s="130" t="n">
        <f aca="false">IF(AND(INPUTS!$C$21="JV",INPUTS!$G$153&gt;0),INPUTS!$D$195*INPUTS!$G$132/INPUTS!$G$153,0)*--(Y$7=INPUTS!$E$195)+(INPUTS!$G$132-IF(AND(INPUTS!$C$21="JV",INPUTS!$G$153&gt;0),INPUTS!$D$195*INPUTS!$G$132/INPUTS!$G$153,0))*CURVES!Y125</f>
        <v>0</v>
      </c>
      <c r="Z21" s="130" t="n">
        <f aca="false">IF(AND(INPUTS!$C$21="JV",INPUTS!$G$153&gt;0),INPUTS!$D$195*INPUTS!$G$132/INPUTS!$G$153,0)*--(Z$7=INPUTS!$E$195)+(INPUTS!$G$132-IF(AND(INPUTS!$C$21="JV",INPUTS!$G$153&gt;0),INPUTS!$D$195*INPUTS!$G$132/INPUTS!$G$153,0))*CURVES!Z125</f>
        <v>0</v>
      </c>
      <c r="AA21" s="130" t="n">
        <f aca="false">IF(AND(INPUTS!$C$21="JV",INPUTS!$G$153&gt;0),INPUTS!$D$195*INPUTS!$G$132/INPUTS!$G$153,0)*--(AA$7=INPUTS!$E$195)+(INPUTS!$G$132-IF(AND(INPUTS!$C$21="JV",INPUTS!$G$153&gt;0),INPUTS!$D$195*INPUTS!$G$132/INPUTS!$G$153,0))*CURVES!AA125</f>
        <v>0</v>
      </c>
      <c r="AB21" s="130" t="n">
        <f aca="false">IF(AND(INPUTS!$C$21="JV",INPUTS!$G$153&gt;0),INPUTS!$D$195*INPUTS!$G$132/INPUTS!$G$153,0)*--(AB$7=INPUTS!$E$195)+(INPUTS!$G$132-IF(AND(INPUTS!$C$21="JV",INPUTS!$G$153&gt;0),INPUTS!$D$195*INPUTS!$G$132/INPUTS!$G$153,0))*CURVES!AB125</f>
        <v>0</v>
      </c>
      <c r="AC21" s="130" t="n">
        <f aca="false">IF(AND(INPUTS!$C$21="JV",INPUTS!$G$153&gt;0),INPUTS!$D$195*INPUTS!$G$132/INPUTS!$G$153,0)*--(AC$7=INPUTS!$E$195)+(INPUTS!$G$132-IF(AND(INPUTS!$C$21="JV",INPUTS!$G$153&gt;0),INPUTS!$D$195*INPUTS!$G$132/INPUTS!$G$153,0))*CURVES!AC125</f>
        <v>0</v>
      </c>
      <c r="AD21" s="130" t="n">
        <f aca="false">IF(AND(INPUTS!$C$21="JV",INPUTS!$G$153&gt;0),INPUTS!$D$195*INPUTS!$G$132/INPUTS!$G$153,0)*--(AD$7=INPUTS!$E$195)+(INPUTS!$G$132-IF(AND(INPUTS!$C$21="JV",INPUTS!$G$153&gt;0),INPUTS!$D$195*INPUTS!$G$132/INPUTS!$G$153,0))*CURVES!AD125</f>
        <v>0</v>
      </c>
      <c r="AE21" s="130" t="n">
        <f aca="false">IF(AND(INPUTS!$C$21="JV",INPUTS!$G$153&gt;0),INPUTS!$D$195*INPUTS!$G$132/INPUTS!$G$153,0)*--(AE$7=INPUTS!$E$195)+(INPUTS!$G$132-IF(AND(INPUTS!$C$21="JV",INPUTS!$G$153&gt;0),INPUTS!$D$195*INPUTS!$G$132/INPUTS!$G$153,0))*CURVES!AE125</f>
        <v>0</v>
      </c>
      <c r="AF21" s="130" t="n">
        <f aca="false">IF(AND(INPUTS!$C$21="JV",INPUTS!$G$153&gt;0),INPUTS!$D$195*INPUTS!$G$132/INPUTS!$G$153,0)*--(AF$7=INPUTS!$E$195)+(INPUTS!$G$132-IF(AND(INPUTS!$C$21="JV",INPUTS!$G$153&gt;0),INPUTS!$D$195*INPUTS!$G$132/INPUTS!$G$153,0))*CURVES!AF125</f>
        <v>0</v>
      </c>
      <c r="AG21" s="130" t="n">
        <f aca="false">IF(AND(INPUTS!$C$21="JV",INPUTS!$G$153&gt;0),INPUTS!$D$195*INPUTS!$G$132/INPUTS!$G$153,0)*--(AG$7=INPUTS!$E$195)+(INPUTS!$G$132-IF(AND(INPUTS!$C$21="JV",INPUTS!$G$153&gt;0),INPUTS!$D$195*INPUTS!$G$132/INPUTS!$G$153,0))*CURVES!AG125</f>
        <v>0</v>
      </c>
      <c r="AH21" s="130" t="n">
        <f aca="false">IF(AND(INPUTS!$C$21="JV",INPUTS!$G$153&gt;0),INPUTS!$D$195*INPUTS!$G$132/INPUTS!$G$153,0)*--(AH$7=INPUTS!$E$195)+(INPUTS!$G$132-IF(AND(INPUTS!$C$21="JV",INPUTS!$G$153&gt;0),INPUTS!$D$195*INPUTS!$G$132/INPUTS!$G$153,0))*CURVES!AH125</f>
        <v>0</v>
      </c>
      <c r="AI21" s="130" t="n">
        <f aca="false">IF(AND(INPUTS!$C$21="JV",INPUTS!$G$153&gt;0),INPUTS!$D$195*INPUTS!$G$132/INPUTS!$G$153,0)*--(AI$7=INPUTS!$E$195)+(INPUTS!$G$132-IF(AND(INPUTS!$C$21="JV",INPUTS!$G$153&gt;0),INPUTS!$D$195*INPUTS!$G$132/INPUTS!$G$153,0))*CURVES!AI125</f>
        <v>0</v>
      </c>
      <c r="AJ21" s="130" t="n">
        <f aca="false">IF(AND(INPUTS!$C$21="JV",INPUTS!$G$153&gt;0),INPUTS!$D$195*INPUTS!$G$132/INPUTS!$G$153,0)*--(AJ$7=INPUTS!$E$195)+(INPUTS!$G$132-IF(AND(INPUTS!$C$21="JV",INPUTS!$G$153&gt;0),INPUTS!$D$195*INPUTS!$G$132/INPUTS!$G$153,0))*CURVES!AJ125</f>
        <v>0</v>
      </c>
      <c r="AK21" s="130" t="n">
        <f aca="false">IF(AND(INPUTS!$C$21="JV",INPUTS!$G$153&gt;0),INPUTS!$D$195*INPUTS!$G$132/INPUTS!$G$153,0)*--(AK$7=INPUTS!$E$195)+(INPUTS!$G$132-IF(AND(INPUTS!$C$21="JV",INPUTS!$G$153&gt;0),INPUTS!$D$195*INPUTS!$G$132/INPUTS!$G$153,0))*CURVES!AK125</f>
        <v>0</v>
      </c>
      <c r="AL21" s="130" t="n">
        <f aca="false">IF(AND(INPUTS!$C$21="JV",INPUTS!$G$153&gt;0),INPUTS!$D$195*INPUTS!$G$132/INPUTS!$G$153,0)*--(AL$7=INPUTS!$E$195)+(INPUTS!$G$132-IF(AND(INPUTS!$C$21="JV",INPUTS!$G$153&gt;0),INPUTS!$D$195*INPUTS!$G$132/INPUTS!$G$153,0))*CURVES!AL125</f>
        <v>0</v>
      </c>
      <c r="AM21" s="130" t="n">
        <f aca="false">IF(AND(INPUTS!$C$21="JV",INPUTS!$G$153&gt;0),INPUTS!$D$195*INPUTS!$G$132/INPUTS!$G$153,0)*--(AM$7=INPUTS!$E$195)+(INPUTS!$G$132-IF(AND(INPUTS!$C$21="JV",INPUTS!$G$153&gt;0),INPUTS!$D$195*INPUTS!$G$132/INPUTS!$G$153,0))*CURVES!AM125</f>
        <v>0</v>
      </c>
      <c r="AN21" s="130" t="n">
        <f aca="false">IF(AND(INPUTS!$C$21="JV",INPUTS!$G$153&gt;0),INPUTS!$D$195*INPUTS!$G$132/INPUTS!$G$153,0)*--(AN$7=INPUTS!$E$195)+(INPUTS!$G$132-IF(AND(INPUTS!$C$21="JV",INPUTS!$G$153&gt;0),INPUTS!$D$195*INPUTS!$G$132/INPUTS!$G$153,0))*CURVES!AN125</f>
        <v>0</v>
      </c>
      <c r="AO21" s="130" t="n">
        <f aca="false">IF(AND(INPUTS!$C$21="JV",INPUTS!$G$153&gt;0),INPUTS!$D$195*INPUTS!$G$132/INPUTS!$G$153,0)*--(AO$7=INPUTS!$E$195)+(INPUTS!$G$132-IF(AND(INPUTS!$C$21="JV",INPUTS!$G$153&gt;0),INPUTS!$D$195*INPUTS!$G$132/INPUTS!$G$153,0))*CURVES!AO125</f>
        <v>0</v>
      </c>
      <c r="AP21" s="130" t="n">
        <f aca="false">IF(AND(INPUTS!$C$21="JV",INPUTS!$G$153&gt;0),INPUTS!$D$195*INPUTS!$G$132/INPUTS!$G$153,0)*--(AP$7=INPUTS!$E$195)+(INPUTS!$G$132-IF(AND(INPUTS!$C$21="JV",INPUTS!$G$153&gt;0),INPUTS!$D$195*INPUTS!$G$132/INPUTS!$G$153,0))*CURVES!AP125</f>
        <v>0</v>
      </c>
      <c r="AQ21" s="130" t="n">
        <f aca="false">IF(AND(INPUTS!$C$21="JV",INPUTS!$G$153&gt;0),INPUTS!$D$195*INPUTS!$G$132/INPUTS!$G$153,0)*--(AQ$7=INPUTS!$E$195)+(INPUTS!$G$132-IF(AND(INPUTS!$C$21="JV",INPUTS!$G$153&gt;0),INPUTS!$D$195*INPUTS!$G$132/INPUTS!$G$153,0))*CURVES!AQ125</f>
        <v>0</v>
      </c>
    </row>
    <row r="22" customFormat="false" ht="15" hidden="false" customHeight="false" outlineLevel="0" collapsed="false">
      <c r="B22" s="121" t="str">
        <f aca="false">INPUTS!$B$133</f>
        <v>Studio Construction cost with furnishing</v>
      </c>
      <c r="C22" s="129" t="n">
        <f aca="false">SUM(D22:AQ22)</f>
        <v>15.2</v>
      </c>
      <c r="D22" s="130" t="n">
        <f aca="false">IF(AND(INPUTS!$C$21="JV",INPUTS!$G$153&gt;0),INPUTS!$D$195*INPUTS!$G$133/INPUTS!$G$153,0)*--(D$7=INPUTS!$E$195)+(INPUTS!$G$133-IF(AND(INPUTS!$C$21="JV",INPUTS!$G$153&gt;0),INPUTS!$D$195*INPUTS!$G$133/INPUTS!$G$153,0))*CURVES!D128</f>
        <v>0</v>
      </c>
      <c r="E22" s="130" t="n">
        <f aca="false">IF(AND(INPUTS!$C$21="JV",INPUTS!$G$153&gt;0),INPUTS!$D$195*INPUTS!$G$133/INPUTS!$G$153,0)*--(E$7=INPUTS!$E$195)+(INPUTS!$G$133-IF(AND(INPUTS!$C$21="JV",INPUTS!$G$153&gt;0),INPUTS!$D$195*INPUTS!$G$133/INPUTS!$G$153,0))*CURVES!E128</f>
        <v>0</v>
      </c>
      <c r="F22" s="130" t="n">
        <f aca="false">IF(AND(INPUTS!$C$21="JV",INPUTS!$G$153&gt;0),INPUTS!$D$195*INPUTS!$G$133/INPUTS!$G$153,0)*--(F$7=INPUTS!$E$195)+(INPUTS!$G$133-IF(AND(INPUTS!$C$21="JV",INPUTS!$G$153&gt;0),INPUTS!$D$195*INPUTS!$G$133/INPUTS!$G$153,0))*CURVES!F128</f>
        <v>0</v>
      </c>
      <c r="G22" s="130" t="n">
        <f aca="false">IF(AND(INPUTS!$C$21="JV",INPUTS!$G$153&gt;0),INPUTS!$D$195*INPUTS!$G$133/INPUTS!$G$153,0)*--(G$7=INPUTS!$E$195)+(INPUTS!$G$133-IF(AND(INPUTS!$C$21="JV",INPUTS!$G$153&gt;0),INPUTS!$D$195*INPUTS!$G$133/INPUTS!$G$153,0))*CURVES!G128</f>
        <v>0</v>
      </c>
      <c r="H22" s="130" t="n">
        <f aca="false">IF(AND(INPUTS!$C$21="JV",INPUTS!$G$153&gt;0),INPUTS!$D$195*INPUTS!$G$133/INPUTS!$G$153,0)*--(H$7=INPUTS!$E$195)+(INPUTS!$G$133-IF(AND(INPUTS!$C$21="JV",INPUTS!$G$153&gt;0),INPUTS!$D$195*INPUTS!$G$133/INPUTS!$G$153,0))*CURVES!H128</f>
        <v>0</v>
      </c>
      <c r="I22" s="130" t="n">
        <f aca="false">IF(AND(INPUTS!$C$21="JV",INPUTS!$G$153&gt;0),INPUTS!$D$195*INPUTS!$G$133/INPUTS!$G$153,0)*--(I$7=INPUTS!$E$195)+(INPUTS!$G$133-IF(AND(INPUTS!$C$21="JV",INPUTS!$G$153&gt;0),INPUTS!$D$195*INPUTS!$G$133/INPUTS!$G$153,0))*CURVES!I128</f>
        <v>0.258963720203081</v>
      </c>
      <c r="J22" s="130" t="n">
        <f aca="false">IF(AND(INPUTS!$C$21="JV",INPUTS!$G$153&gt;0),INPUTS!$D$195*INPUTS!$G$133/INPUTS!$G$153,0)*--(J$7=INPUTS!$E$195)+(INPUTS!$G$133-IF(AND(INPUTS!$C$21="JV",INPUTS!$G$153&gt;0),INPUTS!$D$195*INPUTS!$G$133/INPUTS!$G$153,0))*CURVES!J128</f>
        <v>0.759243211035185</v>
      </c>
      <c r="K22" s="130" t="n">
        <f aca="false">IF(AND(INPUTS!$C$21="JV",INPUTS!$G$153&gt;0),INPUTS!$D$195*INPUTS!$G$133/INPUTS!$G$153,0)*--(K$7=INPUTS!$E$195)+(INPUTS!$G$133-IF(AND(INPUTS!$C$21="JV",INPUTS!$G$153&gt;0),INPUTS!$D$195*INPUTS!$G$133/INPUTS!$G$153,0))*CURVES!K128</f>
        <v>1.20778153174397</v>
      </c>
      <c r="L22" s="130" t="n">
        <f aca="false">IF(AND(INPUTS!$C$21="JV",INPUTS!$G$153&gt;0),INPUTS!$D$195*INPUTS!$G$133/INPUTS!$G$153,0)*--(L$7=INPUTS!$E$195)+(INPUTS!$G$133-IF(AND(INPUTS!$C$21="JV",INPUTS!$G$153&gt;0),INPUTS!$D$195*INPUTS!$G$133/INPUTS!$G$153,0))*CURVES!L128</f>
        <v>1.57401153701776</v>
      </c>
      <c r="M22" s="130" t="n">
        <f aca="false">IF(AND(INPUTS!$C$21="JV",INPUTS!$G$153&gt;0),INPUTS!$D$195*INPUTS!$G$133/INPUTS!$G$153,0)*--(M$7=INPUTS!$E$195)+(INPUTS!$G$133-IF(AND(INPUTS!$C$21="JV",INPUTS!$G$153&gt;0),INPUTS!$D$195*INPUTS!$G$133/INPUTS!$G$153,0))*CURVES!M128</f>
        <v>1.83297525722084</v>
      </c>
      <c r="N22" s="130" t="n">
        <f aca="false">IF(AND(INPUTS!$C$21="JV",INPUTS!$G$153&gt;0),INPUTS!$D$195*INPUTS!$G$133/INPUTS!$G$153,0)*--(N$7=INPUTS!$E$195)+(INPUTS!$G$133-IF(AND(INPUTS!$C$21="JV",INPUTS!$G$153&gt;0),INPUTS!$D$195*INPUTS!$G$133/INPUTS!$G$153,0))*CURVES!N128</f>
        <v>1.96702474277916</v>
      </c>
      <c r="O22" s="130" t="n">
        <f aca="false">IF(AND(INPUTS!$C$21="JV",INPUTS!$G$153&gt;0),INPUTS!$D$195*INPUTS!$G$133/INPUTS!$G$153,0)*--(O$7=INPUTS!$E$195)+(INPUTS!$G$133-IF(AND(INPUTS!$C$21="JV",INPUTS!$G$153&gt;0),INPUTS!$D$195*INPUTS!$G$133/INPUTS!$G$153,0))*CURVES!O128</f>
        <v>1.96702474277916</v>
      </c>
      <c r="P22" s="130" t="n">
        <f aca="false">IF(AND(INPUTS!$C$21="JV",INPUTS!$G$153&gt;0),INPUTS!$D$195*INPUTS!$G$133/INPUTS!$G$153,0)*--(P$7=INPUTS!$E$195)+(INPUTS!$G$133-IF(AND(INPUTS!$C$21="JV",INPUTS!$G$153&gt;0),INPUTS!$D$195*INPUTS!$G$133/INPUTS!$G$153,0))*CURVES!P128</f>
        <v>1.83297525722084</v>
      </c>
      <c r="Q22" s="130" t="n">
        <f aca="false">IF(AND(INPUTS!$C$21="JV",INPUTS!$G$153&gt;0),INPUTS!$D$195*INPUTS!$G$133/INPUTS!$G$153,0)*--(Q$7=INPUTS!$E$195)+(INPUTS!$G$133-IF(AND(INPUTS!$C$21="JV",INPUTS!$G$153&gt;0),INPUTS!$D$195*INPUTS!$G$133/INPUTS!$G$153,0))*CURVES!Q128</f>
        <v>1.57401153701776</v>
      </c>
      <c r="R22" s="130" t="n">
        <f aca="false">IF(AND(INPUTS!$C$21="JV",INPUTS!$G$153&gt;0),INPUTS!$D$195*INPUTS!$G$133/INPUTS!$G$153,0)*--(R$7=INPUTS!$E$195)+(INPUTS!$G$133-IF(AND(INPUTS!$C$21="JV",INPUTS!$G$153&gt;0),INPUTS!$D$195*INPUTS!$G$133/INPUTS!$G$153,0))*CURVES!R128</f>
        <v>1.20778153174397</v>
      </c>
      <c r="S22" s="130" t="n">
        <f aca="false">IF(AND(INPUTS!$C$21="JV",INPUTS!$G$153&gt;0),INPUTS!$D$195*INPUTS!$G$133/INPUTS!$G$153,0)*--(S$7=INPUTS!$E$195)+(INPUTS!$G$133-IF(AND(INPUTS!$C$21="JV",INPUTS!$G$153&gt;0),INPUTS!$D$195*INPUTS!$G$133/INPUTS!$G$153,0))*CURVES!S128</f>
        <v>0.759243211035185</v>
      </c>
      <c r="T22" s="130" t="n">
        <f aca="false">IF(AND(INPUTS!$C$21="JV",INPUTS!$G$153&gt;0),INPUTS!$D$195*INPUTS!$G$133/INPUTS!$G$153,0)*--(T$7=INPUTS!$E$195)+(INPUTS!$G$133-IF(AND(INPUTS!$C$21="JV",INPUTS!$G$153&gt;0),INPUTS!$D$195*INPUTS!$G$133/INPUTS!$G$153,0))*CURVES!T128</f>
        <v>0.258963720203082</v>
      </c>
      <c r="U22" s="130" t="n">
        <f aca="false">IF(AND(INPUTS!$C$21="JV",INPUTS!$G$153&gt;0),INPUTS!$D$195*INPUTS!$G$133/INPUTS!$G$153,0)*--(U$7=INPUTS!$E$195)+(INPUTS!$G$133-IF(AND(INPUTS!$C$21="JV",INPUTS!$G$153&gt;0),INPUTS!$D$195*INPUTS!$G$133/INPUTS!$G$153,0))*CURVES!U128</f>
        <v>0</v>
      </c>
      <c r="V22" s="130" t="n">
        <f aca="false">IF(AND(INPUTS!$C$21="JV",INPUTS!$G$153&gt;0),INPUTS!$D$195*INPUTS!$G$133/INPUTS!$G$153,0)*--(V$7=INPUTS!$E$195)+(INPUTS!$G$133-IF(AND(INPUTS!$C$21="JV",INPUTS!$G$153&gt;0),INPUTS!$D$195*INPUTS!$G$133/INPUTS!$G$153,0))*CURVES!V128</f>
        <v>0</v>
      </c>
      <c r="W22" s="130" t="n">
        <f aca="false">IF(AND(INPUTS!$C$21="JV",INPUTS!$G$153&gt;0),INPUTS!$D$195*INPUTS!$G$133/INPUTS!$G$153,0)*--(W$7=INPUTS!$E$195)+(INPUTS!$G$133-IF(AND(INPUTS!$C$21="JV",INPUTS!$G$153&gt;0),INPUTS!$D$195*INPUTS!$G$133/INPUTS!$G$153,0))*CURVES!W128</f>
        <v>0</v>
      </c>
      <c r="X22" s="130" t="n">
        <f aca="false">IF(AND(INPUTS!$C$21="JV",INPUTS!$G$153&gt;0),INPUTS!$D$195*INPUTS!$G$133/INPUTS!$G$153,0)*--(X$7=INPUTS!$E$195)+(INPUTS!$G$133-IF(AND(INPUTS!$C$21="JV",INPUTS!$G$153&gt;0),INPUTS!$D$195*INPUTS!$G$133/INPUTS!$G$153,0))*CURVES!X128</f>
        <v>0</v>
      </c>
      <c r="Y22" s="130" t="n">
        <f aca="false">IF(AND(INPUTS!$C$21="JV",INPUTS!$G$153&gt;0),INPUTS!$D$195*INPUTS!$G$133/INPUTS!$G$153,0)*--(Y$7=INPUTS!$E$195)+(INPUTS!$G$133-IF(AND(INPUTS!$C$21="JV",INPUTS!$G$153&gt;0),INPUTS!$D$195*INPUTS!$G$133/INPUTS!$G$153,0))*CURVES!Y128</f>
        <v>0</v>
      </c>
      <c r="Z22" s="130" t="n">
        <f aca="false">IF(AND(INPUTS!$C$21="JV",INPUTS!$G$153&gt;0),INPUTS!$D$195*INPUTS!$G$133/INPUTS!$G$153,0)*--(Z$7=INPUTS!$E$195)+(INPUTS!$G$133-IF(AND(INPUTS!$C$21="JV",INPUTS!$G$153&gt;0),INPUTS!$D$195*INPUTS!$G$133/INPUTS!$G$153,0))*CURVES!Z128</f>
        <v>0</v>
      </c>
      <c r="AA22" s="130" t="n">
        <f aca="false">IF(AND(INPUTS!$C$21="JV",INPUTS!$G$153&gt;0),INPUTS!$D$195*INPUTS!$G$133/INPUTS!$G$153,0)*--(AA$7=INPUTS!$E$195)+(INPUTS!$G$133-IF(AND(INPUTS!$C$21="JV",INPUTS!$G$153&gt;0),INPUTS!$D$195*INPUTS!$G$133/INPUTS!$G$153,0))*CURVES!AA128</f>
        <v>0</v>
      </c>
      <c r="AB22" s="130" t="n">
        <f aca="false">IF(AND(INPUTS!$C$21="JV",INPUTS!$G$153&gt;0),INPUTS!$D$195*INPUTS!$G$133/INPUTS!$G$153,0)*--(AB$7=INPUTS!$E$195)+(INPUTS!$G$133-IF(AND(INPUTS!$C$21="JV",INPUTS!$G$153&gt;0),INPUTS!$D$195*INPUTS!$G$133/INPUTS!$G$153,0))*CURVES!AB128</f>
        <v>0</v>
      </c>
      <c r="AC22" s="130" t="n">
        <f aca="false">IF(AND(INPUTS!$C$21="JV",INPUTS!$G$153&gt;0),INPUTS!$D$195*INPUTS!$G$133/INPUTS!$G$153,0)*--(AC$7=INPUTS!$E$195)+(INPUTS!$G$133-IF(AND(INPUTS!$C$21="JV",INPUTS!$G$153&gt;0),INPUTS!$D$195*INPUTS!$G$133/INPUTS!$G$153,0))*CURVES!AC128</f>
        <v>0</v>
      </c>
      <c r="AD22" s="130" t="n">
        <f aca="false">IF(AND(INPUTS!$C$21="JV",INPUTS!$G$153&gt;0),INPUTS!$D$195*INPUTS!$G$133/INPUTS!$G$153,0)*--(AD$7=INPUTS!$E$195)+(INPUTS!$G$133-IF(AND(INPUTS!$C$21="JV",INPUTS!$G$153&gt;0),INPUTS!$D$195*INPUTS!$G$133/INPUTS!$G$153,0))*CURVES!AD128</f>
        <v>0</v>
      </c>
      <c r="AE22" s="130" t="n">
        <f aca="false">IF(AND(INPUTS!$C$21="JV",INPUTS!$G$153&gt;0),INPUTS!$D$195*INPUTS!$G$133/INPUTS!$G$153,0)*--(AE$7=INPUTS!$E$195)+(INPUTS!$G$133-IF(AND(INPUTS!$C$21="JV",INPUTS!$G$153&gt;0),INPUTS!$D$195*INPUTS!$G$133/INPUTS!$G$153,0))*CURVES!AE128</f>
        <v>0</v>
      </c>
      <c r="AF22" s="130" t="n">
        <f aca="false">IF(AND(INPUTS!$C$21="JV",INPUTS!$G$153&gt;0),INPUTS!$D$195*INPUTS!$G$133/INPUTS!$G$153,0)*--(AF$7=INPUTS!$E$195)+(INPUTS!$G$133-IF(AND(INPUTS!$C$21="JV",INPUTS!$G$153&gt;0),INPUTS!$D$195*INPUTS!$G$133/INPUTS!$G$153,0))*CURVES!AF128</f>
        <v>0</v>
      </c>
      <c r="AG22" s="130" t="n">
        <f aca="false">IF(AND(INPUTS!$C$21="JV",INPUTS!$G$153&gt;0),INPUTS!$D$195*INPUTS!$G$133/INPUTS!$G$153,0)*--(AG$7=INPUTS!$E$195)+(INPUTS!$G$133-IF(AND(INPUTS!$C$21="JV",INPUTS!$G$153&gt;0),INPUTS!$D$195*INPUTS!$G$133/INPUTS!$G$153,0))*CURVES!AG128</f>
        <v>0</v>
      </c>
      <c r="AH22" s="130" t="n">
        <f aca="false">IF(AND(INPUTS!$C$21="JV",INPUTS!$G$153&gt;0),INPUTS!$D$195*INPUTS!$G$133/INPUTS!$G$153,0)*--(AH$7=INPUTS!$E$195)+(INPUTS!$G$133-IF(AND(INPUTS!$C$21="JV",INPUTS!$G$153&gt;0),INPUTS!$D$195*INPUTS!$G$133/INPUTS!$G$153,0))*CURVES!AH128</f>
        <v>0</v>
      </c>
      <c r="AI22" s="130" t="n">
        <f aca="false">IF(AND(INPUTS!$C$21="JV",INPUTS!$G$153&gt;0),INPUTS!$D$195*INPUTS!$G$133/INPUTS!$G$153,0)*--(AI$7=INPUTS!$E$195)+(INPUTS!$G$133-IF(AND(INPUTS!$C$21="JV",INPUTS!$G$153&gt;0),INPUTS!$D$195*INPUTS!$G$133/INPUTS!$G$153,0))*CURVES!AI128</f>
        <v>0</v>
      </c>
      <c r="AJ22" s="130" t="n">
        <f aca="false">IF(AND(INPUTS!$C$21="JV",INPUTS!$G$153&gt;0),INPUTS!$D$195*INPUTS!$G$133/INPUTS!$G$153,0)*--(AJ$7=INPUTS!$E$195)+(INPUTS!$G$133-IF(AND(INPUTS!$C$21="JV",INPUTS!$G$153&gt;0),INPUTS!$D$195*INPUTS!$G$133/INPUTS!$G$153,0))*CURVES!AJ128</f>
        <v>0</v>
      </c>
      <c r="AK22" s="130" t="n">
        <f aca="false">IF(AND(INPUTS!$C$21="JV",INPUTS!$G$153&gt;0),INPUTS!$D$195*INPUTS!$G$133/INPUTS!$G$153,0)*--(AK$7=INPUTS!$E$195)+(INPUTS!$G$133-IF(AND(INPUTS!$C$21="JV",INPUTS!$G$153&gt;0),INPUTS!$D$195*INPUTS!$G$133/INPUTS!$G$153,0))*CURVES!AK128</f>
        <v>0</v>
      </c>
      <c r="AL22" s="130" t="n">
        <f aca="false">IF(AND(INPUTS!$C$21="JV",INPUTS!$G$153&gt;0),INPUTS!$D$195*INPUTS!$G$133/INPUTS!$G$153,0)*--(AL$7=INPUTS!$E$195)+(INPUTS!$G$133-IF(AND(INPUTS!$C$21="JV",INPUTS!$G$153&gt;0),INPUTS!$D$195*INPUTS!$G$133/INPUTS!$G$153,0))*CURVES!AL128</f>
        <v>0</v>
      </c>
      <c r="AM22" s="130" t="n">
        <f aca="false">IF(AND(INPUTS!$C$21="JV",INPUTS!$G$153&gt;0),INPUTS!$D$195*INPUTS!$G$133/INPUTS!$G$153,0)*--(AM$7=INPUTS!$E$195)+(INPUTS!$G$133-IF(AND(INPUTS!$C$21="JV",INPUTS!$G$153&gt;0),INPUTS!$D$195*INPUTS!$G$133/INPUTS!$G$153,0))*CURVES!AM128</f>
        <v>0</v>
      </c>
      <c r="AN22" s="130" t="n">
        <f aca="false">IF(AND(INPUTS!$C$21="JV",INPUTS!$G$153&gt;0),INPUTS!$D$195*INPUTS!$G$133/INPUTS!$G$153,0)*--(AN$7=INPUTS!$E$195)+(INPUTS!$G$133-IF(AND(INPUTS!$C$21="JV",INPUTS!$G$153&gt;0),INPUTS!$D$195*INPUTS!$G$133/INPUTS!$G$153,0))*CURVES!AN128</f>
        <v>0</v>
      </c>
      <c r="AO22" s="130" t="n">
        <f aca="false">IF(AND(INPUTS!$C$21="JV",INPUTS!$G$153&gt;0),INPUTS!$D$195*INPUTS!$G$133/INPUTS!$G$153,0)*--(AO$7=INPUTS!$E$195)+(INPUTS!$G$133-IF(AND(INPUTS!$C$21="JV",INPUTS!$G$153&gt;0),INPUTS!$D$195*INPUTS!$G$133/INPUTS!$G$153,0))*CURVES!AO128</f>
        <v>0</v>
      </c>
      <c r="AP22" s="130" t="n">
        <f aca="false">IF(AND(INPUTS!$C$21="JV",INPUTS!$G$153&gt;0),INPUTS!$D$195*INPUTS!$G$133/INPUTS!$G$153,0)*--(AP$7=INPUTS!$E$195)+(INPUTS!$G$133-IF(AND(INPUTS!$C$21="JV",INPUTS!$G$153&gt;0),INPUTS!$D$195*INPUTS!$G$133/INPUTS!$G$153,0))*CURVES!AP128</f>
        <v>0</v>
      </c>
      <c r="AQ22" s="130" t="n">
        <f aca="false">IF(AND(INPUTS!$C$21="JV",INPUTS!$G$153&gt;0),INPUTS!$D$195*INPUTS!$G$133/INPUTS!$G$153,0)*--(AQ$7=INPUTS!$E$195)+(INPUTS!$G$133-IF(AND(INPUTS!$C$21="JV",INPUTS!$G$153&gt;0),INPUTS!$D$195*INPUTS!$G$133/INPUTS!$G$153,0))*CURVES!AQ128</f>
        <v>0</v>
      </c>
    </row>
    <row r="23" customFormat="false" ht="15" hidden="false" customHeight="false" outlineLevel="0" collapsed="false">
      <c r="B23" s="121" t="str">
        <f aca="false">INPUTS!$B$134</f>
        <v>Plotted Construction Development Cost</v>
      </c>
      <c r="C23" s="129" t="n">
        <f aca="false">SUM(D23:AQ23)</f>
        <v>0</v>
      </c>
      <c r="D23" s="130" t="n">
        <f aca="false">IF(AND(INPUTS!$C$21="JV",INPUTS!$G$153&gt;0),INPUTS!$D$195*INPUTS!$G$134/INPUTS!$G$153,0)*--(D$7=INPUTS!$E$195)+(INPUTS!$G$134-IF(AND(INPUTS!$C$21="JV",INPUTS!$G$153&gt;0),INPUTS!$D$195*INPUTS!$G$134/INPUTS!$G$153,0))*CURVES!D131</f>
        <v>0</v>
      </c>
      <c r="E23" s="130" t="n">
        <f aca="false">IF(AND(INPUTS!$C$21="JV",INPUTS!$G$153&gt;0),INPUTS!$D$195*INPUTS!$G$134/INPUTS!$G$153,0)*--(E$7=INPUTS!$E$195)+(INPUTS!$G$134-IF(AND(INPUTS!$C$21="JV",INPUTS!$G$153&gt;0),INPUTS!$D$195*INPUTS!$G$134/INPUTS!$G$153,0))*CURVES!E131</f>
        <v>0</v>
      </c>
      <c r="F23" s="130" t="n">
        <f aca="false">IF(AND(INPUTS!$C$21="JV",INPUTS!$G$153&gt;0),INPUTS!$D$195*INPUTS!$G$134/INPUTS!$G$153,0)*--(F$7=INPUTS!$E$195)+(INPUTS!$G$134-IF(AND(INPUTS!$C$21="JV",INPUTS!$G$153&gt;0),INPUTS!$D$195*INPUTS!$G$134/INPUTS!$G$153,0))*CURVES!F131</f>
        <v>0</v>
      </c>
      <c r="G23" s="130" t="n">
        <f aca="false">IF(AND(INPUTS!$C$21="JV",INPUTS!$G$153&gt;0),INPUTS!$D$195*INPUTS!$G$134/INPUTS!$G$153,0)*--(G$7=INPUTS!$E$195)+(INPUTS!$G$134-IF(AND(INPUTS!$C$21="JV",INPUTS!$G$153&gt;0),INPUTS!$D$195*INPUTS!$G$134/INPUTS!$G$153,0))*CURVES!G131</f>
        <v>0</v>
      </c>
      <c r="H23" s="130" t="n">
        <f aca="false">IF(AND(INPUTS!$C$21="JV",INPUTS!$G$153&gt;0),INPUTS!$D$195*INPUTS!$G$134/INPUTS!$G$153,0)*--(H$7=INPUTS!$E$195)+(INPUTS!$G$134-IF(AND(INPUTS!$C$21="JV",INPUTS!$G$153&gt;0),INPUTS!$D$195*INPUTS!$G$134/INPUTS!$G$153,0))*CURVES!H131</f>
        <v>0</v>
      </c>
      <c r="I23" s="130" t="n">
        <f aca="false">IF(AND(INPUTS!$C$21="JV",INPUTS!$G$153&gt;0),INPUTS!$D$195*INPUTS!$G$134/INPUTS!$G$153,0)*--(I$7=INPUTS!$E$195)+(INPUTS!$G$134-IF(AND(INPUTS!$C$21="JV",INPUTS!$G$153&gt;0),INPUTS!$D$195*INPUTS!$G$134/INPUTS!$G$153,0))*CURVES!I131</f>
        <v>0</v>
      </c>
      <c r="J23" s="130" t="n">
        <f aca="false">IF(AND(INPUTS!$C$21="JV",INPUTS!$G$153&gt;0),INPUTS!$D$195*INPUTS!$G$134/INPUTS!$G$153,0)*--(J$7=INPUTS!$E$195)+(INPUTS!$G$134-IF(AND(INPUTS!$C$21="JV",INPUTS!$G$153&gt;0),INPUTS!$D$195*INPUTS!$G$134/INPUTS!$G$153,0))*CURVES!J131</f>
        <v>0</v>
      </c>
      <c r="K23" s="130" t="n">
        <f aca="false">IF(AND(INPUTS!$C$21="JV",INPUTS!$G$153&gt;0),INPUTS!$D$195*INPUTS!$G$134/INPUTS!$G$153,0)*--(K$7=INPUTS!$E$195)+(INPUTS!$G$134-IF(AND(INPUTS!$C$21="JV",INPUTS!$G$153&gt;0),INPUTS!$D$195*INPUTS!$G$134/INPUTS!$G$153,0))*CURVES!K131</f>
        <v>0</v>
      </c>
      <c r="L23" s="130" t="n">
        <f aca="false">IF(AND(INPUTS!$C$21="JV",INPUTS!$G$153&gt;0),INPUTS!$D$195*INPUTS!$G$134/INPUTS!$G$153,0)*--(L$7=INPUTS!$E$195)+(INPUTS!$G$134-IF(AND(INPUTS!$C$21="JV",INPUTS!$G$153&gt;0),INPUTS!$D$195*INPUTS!$G$134/INPUTS!$G$153,0))*CURVES!L131</f>
        <v>0</v>
      </c>
      <c r="M23" s="130" t="n">
        <f aca="false">IF(AND(INPUTS!$C$21="JV",INPUTS!$G$153&gt;0),INPUTS!$D$195*INPUTS!$G$134/INPUTS!$G$153,0)*--(M$7=INPUTS!$E$195)+(INPUTS!$G$134-IF(AND(INPUTS!$C$21="JV",INPUTS!$G$153&gt;0),INPUTS!$D$195*INPUTS!$G$134/INPUTS!$G$153,0))*CURVES!M131</f>
        <v>0</v>
      </c>
      <c r="N23" s="130" t="n">
        <f aca="false">IF(AND(INPUTS!$C$21="JV",INPUTS!$G$153&gt;0),INPUTS!$D$195*INPUTS!$G$134/INPUTS!$G$153,0)*--(N$7=INPUTS!$E$195)+(INPUTS!$G$134-IF(AND(INPUTS!$C$21="JV",INPUTS!$G$153&gt;0),INPUTS!$D$195*INPUTS!$G$134/INPUTS!$G$153,0))*CURVES!N131</f>
        <v>0</v>
      </c>
      <c r="O23" s="130" t="n">
        <f aca="false">IF(AND(INPUTS!$C$21="JV",INPUTS!$G$153&gt;0),INPUTS!$D$195*INPUTS!$G$134/INPUTS!$G$153,0)*--(O$7=INPUTS!$E$195)+(INPUTS!$G$134-IF(AND(INPUTS!$C$21="JV",INPUTS!$G$153&gt;0),INPUTS!$D$195*INPUTS!$G$134/INPUTS!$G$153,0))*CURVES!O131</f>
        <v>0</v>
      </c>
      <c r="P23" s="130" t="n">
        <f aca="false">IF(AND(INPUTS!$C$21="JV",INPUTS!$G$153&gt;0),INPUTS!$D$195*INPUTS!$G$134/INPUTS!$G$153,0)*--(P$7=INPUTS!$E$195)+(INPUTS!$G$134-IF(AND(INPUTS!$C$21="JV",INPUTS!$G$153&gt;0),INPUTS!$D$195*INPUTS!$G$134/INPUTS!$G$153,0))*CURVES!P131</f>
        <v>0</v>
      </c>
      <c r="Q23" s="130" t="n">
        <f aca="false">IF(AND(INPUTS!$C$21="JV",INPUTS!$G$153&gt;0),INPUTS!$D$195*INPUTS!$G$134/INPUTS!$G$153,0)*--(Q$7=INPUTS!$E$195)+(INPUTS!$G$134-IF(AND(INPUTS!$C$21="JV",INPUTS!$G$153&gt;0),INPUTS!$D$195*INPUTS!$G$134/INPUTS!$G$153,0))*CURVES!Q131</f>
        <v>0</v>
      </c>
      <c r="R23" s="130" t="n">
        <f aca="false">IF(AND(INPUTS!$C$21="JV",INPUTS!$G$153&gt;0),INPUTS!$D$195*INPUTS!$G$134/INPUTS!$G$153,0)*--(R$7=INPUTS!$E$195)+(INPUTS!$G$134-IF(AND(INPUTS!$C$21="JV",INPUTS!$G$153&gt;0),INPUTS!$D$195*INPUTS!$G$134/INPUTS!$G$153,0))*CURVES!R131</f>
        <v>0</v>
      </c>
      <c r="S23" s="130" t="n">
        <f aca="false">IF(AND(INPUTS!$C$21="JV",INPUTS!$G$153&gt;0),INPUTS!$D$195*INPUTS!$G$134/INPUTS!$G$153,0)*--(S$7=INPUTS!$E$195)+(INPUTS!$G$134-IF(AND(INPUTS!$C$21="JV",INPUTS!$G$153&gt;0),INPUTS!$D$195*INPUTS!$G$134/INPUTS!$G$153,0))*CURVES!S131</f>
        <v>0</v>
      </c>
      <c r="T23" s="130" t="n">
        <f aca="false">IF(AND(INPUTS!$C$21="JV",INPUTS!$G$153&gt;0),INPUTS!$D$195*INPUTS!$G$134/INPUTS!$G$153,0)*--(T$7=INPUTS!$E$195)+(INPUTS!$G$134-IF(AND(INPUTS!$C$21="JV",INPUTS!$G$153&gt;0),INPUTS!$D$195*INPUTS!$G$134/INPUTS!$G$153,0))*CURVES!T131</f>
        <v>0</v>
      </c>
      <c r="U23" s="130" t="n">
        <f aca="false">IF(AND(INPUTS!$C$21="JV",INPUTS!$G$153&gt;0),INPUTS!$D$195*INPUTS!$G$134/INPUTS!$G$153,0)*--(U$7=INPUTS!$E$195)+(INPUTS!$G$134-IF(AND(INPUTS!$C$21="JV",INPUTS!$G$153&gt;0),INPUTS!$D$195*INPUTS!$G$134/INPUTS!$G$153,0))*CURVES!U131</f>
        <v>0</v>
      </c>
      <c r="V23" s="130" t="n">
        <f aca="false">IF(AND(INPUTS!$C$21="JV",INPUTS!$G$153&gt;0),INPUTS!$D$195*INPUTS!$G$134/INPUTS!$G$153,0)*--(V$7=INPUTS!$E$195)+(INPUTS!$G$134-IF(AND(INPUTS!$C$21="JV",INPUTS!$G$153&gt;0),INPUTS!$D$195*INPUTS!$G$134/INPUTS!$G$153,0))*CURVES!V131</f>
        <v>0</v>
      </c>
      <c r="W23" s="130" t="n">
        <f aca="false">IF(AND(INPUTS!$C$21="JV",INPUTS!$G$153&gt;0),INPUTS!$D$195*INPUTS!$G$134/INPUTS!$G$153,0)*--(W$7=INPUTS!$E$195)+(INPUTS!$G$134-IF(AND(INPUTS!$C$21="JV",INPUTS!$G$153&gt;0),INPUTS!$D$195*INPUTS!$G$134/INPUTS!$G$153,0))*CURVES!W131</f>
        <v>0</v>
      </c>
      <c r="X23" s="130" t="n">
        <f aca="false">IF(AND(INPUTS!$C$21="JV",INPUTS!$G$153&gt;0),INPUTS!$D$195*INPUTS!$G$134/INPUTS!$G$153,0)*--(X$7=INPUTS!$E$195)+(INPUTS!$G$134-IF(AND(INPUTS!$C$21="JV",INPUTS!$G$153&gt;0),INPUTS!$D$195*INPUTS!$G$134/INPUTS!$G$153,0))*CURVES!X131</f>
        <v>0</v>
      </c>
      <c r="Y23" s="130" t="n">
        <f aca="false">IF(AND(INPUTS!$C$21="JV",INPUTS!$G$153&gt;0),INPUTS!$D$195*INPUTS!$G$134/INPUTS!$G$153,0)*--(Y$7=INPUTS!$E$195)+(INPUTS!$G$134-IF(AND(INPUTS!$C$21="JV",INPUTS!$G$153&gt;0),INPUTS!$D$195*INPUTS!$G$134/INPUTS!$G$153,0))*CURVES!Y131</f>
        <v>0</v>
      </c>
      <c r="Z23" s="130" t="n">
        <f aca="false">IF(AND(INPUTS!$C$21="JV",INPUTS!$G$153&gt;0),INPUTS!$D$195*INPUTS!$G$134/INPUTS!$G$153,0)*--(Z$7=INPUTS!$E$195)+(INPUTS!$G$134-IF(AND(INPUTS!$C$21="JV",INPUTS!$G$153&gt;0),INPUTS!$D$195*INPUTS!$G$134/INPUTS!$G$153,0))*CURVES!Z131</f>
        <v>0</v>
      </c>
      <c r="AA23" s="130" t="n">
        <f aca="false">IF(AND(INPUTS!$C$21="JV",INPUTS!$G$153&gt;0),INPUTS!$D$195*INPUTS!$G$134/INPUTS!$G$153,0)*--(AA$7=INPUTS!$E$195)+(INPUTS!$G$134-IF(AND(INPUTS!$C$21="JV",INPUTS!$G$153&gt;0),INPUTS!$D$195*INPUTS!$G$134/INPUTS!$G$153,0))*CURVES!AA131</f>
        <v>0</v>
      </c>
      <c r="AB23" s="130" t="n">
        <f aca="false">IF(AND(INPUTS!$C$21="JV",INPUTS!$G$153&gt;0),INPUTS!$D$195*INPUTS!$G$134/INPUTS!$G$153,0)*--(AB$7=INPUTS!$E$195)+(INPUTS!$G$134-IF(AND(INPUTS!$C$21="JV",INPUTS!$G$153&gt;0),INPUTS!$D$195*INPUTS!$G$134/INPUTS!$G$153,0))*CURVES!AB131</f>
        <v>0</v>
      </c>
      <c r="AC23" s="130" t="n">
        <f aca="false">IF(AND(INPUTS!$C$21="JV",INPUTS!$G$153&gt;0),INPUTS!$D$195*INPUTS!$G$134/INPUTS!$G$153,0)*--(AC$7=INPUTS!$E$195)+(INPUTS!$G$134-IF(AND(INPUTS!$C$21="JV",INPUTS!$G$153&gt;0),INPUTS!$D$195*INPUTS!$G$134/INPUTS!$G$153,0))*CURVES!AC131</f>
        <v>0</v>
      </c>
      <c r="AD23" s="130" t="n">
        <f aca="false">IF(AND(INPUTS!$C$21="JV",INPUTS!$G$153&gt;0),INPUTS!$D$195*INPUTS!$G$134/INPUTS!$G$153,0)*--(AD$7=INPUTS!$E$195)+(INPUTS!$G$134-IF(AND(INPUTS!$C$21="JV",INPUTS!$G$153&gt;0),INPUTS!$D$195*INPUTS!$G$134/INPUTS!$G$153,0))*CURVES!AD131</f>
        <v>0</v>
      </c>
      <c r="AE23" s="130" t="n">
        <f aca="false">IF(AND(INPUTS!$C$21="JV",INPUTS!$G$153&gt;0),INPUTS!$D$195*INPUTS!$G$134/INPUTS!$G$153,0)*--(AE$7=INPUTS!$E$195)+(INPUTS!$G$134-IF(AND(INPUTS!$C$21="JV",INPUTS!$G$153&gt;0),INPUTS!$D$195*INPUTS!$G$134/INPUTS!$G$153,0))*CURVES!AE131</f>
        <v>0</v>
      </c>
      <c r="AF23" s="130" t="n">
        <f aca="false">IF(AND(INPUTS!$C$21="JV",INPUTS!$G$153&gt;0),INPUTS!$D$195*INPUTS!$G$134/INPUTS!$G$153,0)*--(AF$7=INPUTS!$E$195)+(INPUTS!$G$134-IF(AND(INPUTS!$C$21="JV",INPUTS!$G$153&gt;0),INPUTS!$D$195*INPUTS!$G$134/INPUTS!$G$153,0))*CURVES!AF131</f>
        <v>0</v>
      </c>
      <c r="AG23" s="130" t="n">
        <f aca="false">IF(AND(INPUTS!$C$21="JV",INPUTS!$G$153&gt;0),INPUTS!$D$195*INPUTS!$G$134/INPUTS!$G$153,0)*--(AG$7=INPUTS!$E$195)+(INPUTS!$G$134-IF(AND(INPUTS!$C$21="JV",INPUTS!$G$153&gt;0),INPUTS!$D$195*INPUTS!$G$134/INPUTS!$G$153,0))*CURVES!AG131</f>
        <v>0</v>
      </c>
      <c r="AH23" s="130" t="n">
        <f aca="false">IF(AND(INPUTS!$C$21="JV",INPUTS!$G$153&gt;0),INPUTS!$D$195*INPUTS!$G$134/INPUTS!$G$153,0)*--(AH$7=INPUTS!$E$195)+(INPUTS!$G$134-IF(AND(INPUTS!$C$21="JV",INPUTS!$G$153&gt;0),INPUTS!$D$195*INPUTS!$G$134/INPUTS!$G$153,0))*CURVES!AH131</f>
        <v>0</v>
      </c>
      <c r="AI23" s="130" t="n">
        <f aca="false">IF(AND(INPUTS!$C$21="JV",INPUTS!$G$153&gt;0),INPUTS!$D$195*INPUTS!$G$134/INPUTS!$G$153,0)*--(AI$7=INPUTS!$E$195)+(INPUTS!$G$134-IF(AND(INPUTS!$C$21="JV",INPUTS!$G$153&gt;0),INPUTS!$D$195*INPUTS!$G$134/INPUTS!$G$153,0))*CURVES!AI131</f>
        <v>0</v>
      </c>
      <c r="AJ23" s="130" t="n">
        <f aca="false">IF(AND(INPUTS!$C$21="JV",INPUTS!$G$153&gt;0),INPUTS!$D$195*INPUTS!$G$134/INPUTS!$G$153,0)*--(AJ$7=INPUTS!$E$195)+(INPUTS!$G$134-IF(AND(INPUTS!$C$21="JV",INPUTS!$G$153&gt;0),INPUTS!$D$195*INPUTS!$G$134/INPUTS!$G$153,0))*CURVES!AJ131</f>
        <v>0</v>
      </c>
      <c r="AK23" s="130" t="n">
        <f aca="false">IF(AND(INPUTS!$C$21="JV",INPUTS!$G$153&gt;0),INPUTS!$D$195*INPUTS!$G$134/INPUTS!$G$153,0)*--(AK$7=INPUTS!$E$195)+(INPUTS!$G$134-IF(AND(INPUTS!$C$21="JV",INPUTS!$G$153&gt;0),INPUTS!$D$195*INPUTS!$G$134/INPUTS!$G$153,0))*CURVES!AK131</f>
        <v>0</v>
      </c>
      <c r="AL23" s="130" t="n">
        <f aca="false">IF(AND(INPUTS!$C$21="JV",INPUTS!$G$153&gt;0),INPUTS!$D$195*INPUTS!$G$134/INPUTS!$G$153,0)*--(AL$7=INPUTS!$E$195)+(INPUTS!$G$134-IF(AND(INPUTS!$C$21="JV",INPUTS!$G$153&gt;0),INPUTS!$D$195*INPUTS!$G$134/INPUTS!$G$153,0))*CURVES!AL131</f>
        <v>0</v>
      </c>
      <c r="AM23" s="130" t="n">
        <f aca="false">IF(AND(INPUTS!$C$21="JV",INPUTS!$G$153&gt;0),INPUTS!$D$195*INPUTS!$G$134/INPUTS!$G$153,0)*--(AM$7=INPUTS!$E$195)+(INPUTS!$G$134-IF(AND(INPUTS!$C$21="JV",INPUTS!$G$153&gt;0),INPUTS!$D$195*INPUTS!$G$134/INPUTS!$G$153,0))*CURVES!AM131</f>
        <v>0</v>
      </c>
      <c r="AN23" s="130" t="n">
        <f aca="false">IF(AND(INPUTS!$C$21="JV",INPUTS!$G$153&gt;0),INPUTS!$D$195*INPUTS!$G$134/INPUTS!$G$153,0)*--(AN$7=INPUTS!$E$195)+(INPUTS!$G$134-IF(AND(INPUTS!$C$21="JV",INPUTS!$G$153&gt;0),INPUTS!$D$195*INPUTS!$G$134/INPUTS!$G$153,0))*CURVES!AN131</f>
        <v>0</v>
      </c>
      <c r="AO23" s="130" t="n">
        <f aca="false">IF(AND(INPUTS!$C$21="JV",INPUTS!$G$153&gt;0),INPUTS!$D$195*INPUTS!$G$134/INPUTS!$G$153,0)*--(AO$7=INPUTS!$E$195)+(INPUTS!$G$134-IF(AND(INPUTS!$C$21="JV",INPUTS!$G$153&gt;0),INPUTS!$D$195*INPUTS!$G$134/INPUTS!$G$153,0))*CURVES!AO131</f>
        <v>0</v>
      </c>
      <c r="AP23" s="130" t="n">
        <f aca="false">IF(AND(INPUTS!$C$21="JV",INPUTS!$G$153&gt;0),INPUTS!$D$195*INPUTS!$G$134/INPUTS!$G$153,0)*--(AP$7=INPUTS!$E$195)+(INPUTS!$G$134-IF(AND(INPUTS!$C$21="JV",INPUTS!$G$153&gt;0),INPUTS!$D$195*INPUTS!$G$134/INPUTS!$G$153,0))*CURVES!AP131</f>
        <v>0</v>
      </c>
      <c r="AQ23" s="130" t="n">
        <f aca="false">IF(AND(INPUTS!$C$21="JV",INPUTS!$G$153&gt;0),INPUTS!$D$195*INPUTS!$G$134/INPUTS!$G$153,0)*--(AQ$7=INPUTS!$E$195)+(INPUTS!$G$134-IF(AND(INPUTS!$C$21="JV",INPUTS!$G$153&gt;0),INPUTS!$D$195*INPUTS!$G$134/INPUTS!$G$153,0))*CURVES!AQ131</f>
        <v>0</v>
      </c>
    </row>
    <row r="24" customFormat="false" ht="15" hidden="false" customHeight="false" outlineLevel="0" collapsed="false">
      <c r="B24" s="121" t="str">
        <f aca="false">INPUTS!$B$135</f>
        <v>Institutional Plotted Development Cost</v>
      </c>
      <c r="C24" s="129" t="n">
        <f aca="false">SUM(D24:AQ24)</f>
        <v>0</v>
      </c>
      <c r="D24" s="130" t="n">
        <f aca="false">IF(AND(INPUTS!$C$21="JV",INPUTS!$G$153&gt;0),INPUTS!$D$195*INPUTS!$G$135/INPUTS!$G$153,0)*--(D$7=INPUTS!$E$195)+(INPUTS!$G$135-IF(AND(INPUTS!$C$21="JV",INPUTS!$G$153&gt;0),INPUTS!$D$195*INPUTS!$G$135/INPUTS!$G$153,0))*CURVES!D134</f>
        <v>0</v>
      </c>
      <c r="E24" s="130" t="n">
        <f aca="false">IF(AND(INPUTS!$C$21="JV",INPUTS!$G$153&gt;0),INPUTS!$D$195*INPUTS!$G$135/INPUTS!$G$153,0)*--(E$7=INPUTS!$E$195)+(INPUTS!$G$135-IF(AND(INPUTS!$C$21="JV",INPUTS!$G$153&gt;0),INPUTS!$D$195*INPUTS!$G$135/INPUTS!$G$153,0))*CURVES!E134</f>
        <v>0</v>
      </c>
      <c r="F24" s="130" t="n">
        <f aca="false">IF(AND(INPUTS!$C$21="JV",INPUTS!$G$153&gt;0),INPUTS!$D$195*INPUTS!$G$135/INPUTS!$G$153,0)*--(F$7=INPUTS!$E$195)+(INPUTS!$G$135-IF(AND(INPUTS!$C$21="JV",INPUTS!$G$153&gt;0),INPUTS!$D$195*INPUTS!$G$135/INPUTS!$G$153,0))*CURVES!F134</f>
        <v>0</v>
      </c>
      <c r="G24" s="130" t="n">
        <f aca="false">IF(AND(INPUTS!$C$21="JV",INPUTS!$G$153&gt;0),INPUTS!$D$195*INPUTS!$G$135/INPUTS!$G$153,0)*--(G$7=INPUTS!$E$195)+(INPUTS!$G$135-IF(AND(INPUTS!$C$21="JV",INPUTS!$G$153&gt;0),INPUTS!$D$195*INPUTS!$G$135/INPUTS!$G$153,0))*CURVES!G134</f>
        <v>0</v>
      </c>
      <c r="H24" s="130" t="n">
        <f aca="false">IF(AND(INPUTS!$C$21="JV",INPUTS!$G$153&gt;0),INPUTS!$D$195*INPUTS!$G$135/INPUTS!$G$153,0)*--(H$7=INPUTS!$E$195)+(INPUTS!$G$135-IF(AND(INPUTS!$C$21="JV",INPUTS!$G$153&gt;0),INPUTS!$D$195*INPUTS!$G$135/INPUTS!$G$153,0))*CURVES!H134</f>
        <v>0</v>
      </c>
      <c r="I24" s="130" t="n">
        <f aca="false">IF(AND(INPUTS!$C$21="JV",INPUTS!$G$153&gt;0),INPUTS!$D$195*INPUTS!$G$135/INPUTS!$G$153,0)*--(I$7=INPUTS!$E$195)+(INPUTS!$G$135-IF(AND(INPUTS!$C$21="JV",INPUTS!$G$153&gt;0),INPUTS!$D$195*INPUTS!$G$135/INPUTS!$G$153,0))*CURVES!I134</f>
        <v>0</v>
      </c>
      <c r="J24" s="130" t="n">
        <f aca="false">IF(AND(INPUTS!$C$21="JV",INPUTS!$G$153&gt;0),INPUTS!$D$195*INPUTS!$G$135/INPUTS!$G$153,0)*--(J$7=INPUTS!$E$195)+(INPUTS!$G$135-IF(AND(INPUTS!$C$21="JV",INPUTS!$G$153&gt;0),INPUTS!$D$195*INPUTS!$G$135/INPUTS!$G$153,0))*CURVES!J134</f>
        <v>0</v>
      </c>
      <c r="K24" s="130" t="n">
        <f aca="false">IF(AND(INPUTS!$C$21="JV",INPUTS!$G$153&gt;0),INPUTS!$D$195*INPUTS!$G$135/INPUTS!$G$153,0)*--(K$7=INPUTS!$E$195)+(INPUTS!$G$135-IF(AND(INPUTS!$C$21="JV",INPUTS!$G$153&gt;0),INPUTS!$D$195*INPUTS!$G$135/INPUTS!$G$153,0))*CURVES!K134</f>
        <v>0</v>
      </c>
      <c r="L24" s="130" t="n">
        <f aca="false">IF(AND(INPUTS!$C$21="JV",INPUTS!$G$153&gt;0),INPUTS!$D$195*INPUTS!$G$135/INPUTS!$G$153,0)*--(L$7=INPUTS!$E$195)+(INPUTS!$G$135-IF(AND(INPUTS!$C$21="JV",INPUTS!$G$153&gt;0),INPUTS!$D$195*INPUTS!$G$135/INPUTS!$G$153,0))*CURVES!L134</f>
        <v>0</v>
      </c>
      <c r="M24" s="130" t="n">
        <f aca="false">IF(AND(INPUTS!$C$21="JV",INPUTS!$G$153&gt;0),INPUTS!$D$195*INPUTS!$G$135/INPUTS!$G$153,0)*--(M$7=INPUTS!$E$195)+(INPUTS!$G$135-IF(AND(INPUTS!$C$21="JV",INPUTS!$G$153&gt;0),INPUTS!$D$195*INPUTS!$G$135/INPUTS!$G$153,0))*CURVES!M134</f>
        <v>0</v>
      </c>
      <c r="N24" s="130" t="n">
        <f aca="false">IF(AND(INPUTS!$C$21="JV",INPUTS!$G$153&gt;0),INPUTS!$D$195*INPUTS!$G$135/INPUTS!$G$153,0)*--(N$7=INPUTS!$E$195)+(INPUTS!$G$135-IF(AND(INPUTS!$C$21="JV",INPUTS!$G$153&gt;0),INPUTS!$D$195*INPUTS!$G$135/INPUTS!$G$153,0))*CURVES!N134</f>
        <v>0</v>
      </c>
      <c r="O24" s="130" t="n">
        <f aca="false">IF(AND(INPUTS!$C$21="JV",INPUTS!$G$153&gt;0),INPUTS!$D$195*INPUTS!$G$135/INPUTS!$G$153,0)*--(O$7=INPUTS!$E$195)+(INPUTS!$G$135-IF(AND(INPUTS!$C$21="JV",INPUTS!$G$153&gt;0),INPUTS!$D$195*INPUTS!$G$135/INPUTS!$G$153,0))*CURVES!O134</f>
        <v>0</v>
      </c>
      <c r="P24" s="130" t="n">
        <f aca="false">IF(AND(INPUTS!$C$21="JV",INPUTS!$G$153&gt;0),INPUTS!$D$195*INPUTS!$G$135/INPUTS!$G$153,0)*--(P$7=INPUTS!$E$195)+(INPUTS!$G$135-IF(AND(INPUTS!$C$21="JV",INPUTS!$G$153&gt;0),INPUTS!$D$195*INPUTS!$G$135/INPUTS!$G$153,0))*CURVES!P134</f>
        <v>0</v>
      </c>
      <c r="Q24" s="130" t="n">
        <f aca="false">IF(AND(INPUTS!$C$21="JV",INPUTS!$G$153&gt;0),INPUTS!$D$195*INPUTS!$G$135/INPUTS!$G$153,0)*--(Q$7=INPUTS!$E$195)+(INPUTS!$G$135-IF(AND(INPUTS!$C$21="JV",INPUTS!$G$153&gt;0),INPUTS!$D$195*INPUTS!$G$135/INPUTS!$G$153,0))*CURVES!Q134</f>
        <v>0</v>
      </c>
      <c r="R24" s="130" t="n">
        <f aca="false">IF(AND(INPUTS!$C$21="JV",INPUTS!$G$153&gt;0),INPUTS!$D$195*INPUTS!$G$135/INPUTS!$G$153,0)*--(R$7=INPUTS!$E$195)+(INPUTS!$G$135-IF(AND(INPUTS!$C$21="JV",INPUTS!$G$153&gt;0),INPUTS!$D$195*INPUTS!$G$135/INPUTS!$G$153,0))*CURVES!R134</f>
        <v>0</v>
      </c>
      <c r="S24" s="130" t="n">
        <f aca="false">IF(AND(INPUTS!$C$21="JV",INPUTS!$G$153&gt;0),INPUTS!$D$195*INPUTS!$G$135/INPUTS!$G$153,0)*--(S$7=INPUTS!$E$195)+(INPUTS!$G$135-IF(AND(INPUTS!$C$21="JV",INPUTS!$G$153&gt;0),INPUTS!$D$195*INPUTS!$G$135/INPUTS!$G$153,0))*CURVES!S134</f>
        <v>0</v>
      </c>
      <c r="T24" s="130" t="n">
        <f aca="false">IF(AND(INPUTS!$C$21="JV",INPUTS!$G$153&gt;0),INPUTS!$D$195*INPUTS!$G$135/INPUTS!$G$153,0)*--(T$7=INPUTS!$E$195)+(INPUTS!$G$135-IF(AND(INPUTS!$C$21="JV",INPUTS!$G$153&gt;0),INPUTS!$D$195*INPUTS!$G$135/INPUTS!$G$153,0))*CURVES!T134</f>
        <v>0</v>
      </c>
      <c r="U24" s="130" t="n">
        <f aca="false">IF(AND(INPUTS!$C$21="JV",INPUTS!$G$153&gt;0),INPUTS!$D$195*INPUTS!$G$135/INPUTS!$G$153,0)*--(U$7=INPUTS!$E$195)+(INPUTS!$G$135-IF(AND(INPUTS!$C$21="JV",INPUTS!$G$153&gt;0),INPUTS!$D$195*INPUTS!$G$135/INPUTS!$G$153,0))*CURVES!U134</f>
        <v>0</v>
      </c>
      <c r="V24" s="130" t="n">
        <f aca="false">IF(AND(INPUTS!$C$21="JV",INPUTS!$G$153&gt;0),INPUTS!$D$195*INPUTS!$G$135/INPUTS!$G$153,0)*--(V$7=INPUTS!$E$195)+(INPUTS!$G$135-IF(AND(INPUTS!$C$21="JV",INPUTS!$G$153&gt;0),INPUTS!$D$195*INPUTS!$G$135/INPUTS!$G$153,0))*CURVES!V134</f>
        <v>0</v>
      </c>
      <c r="W24" s="130" t="n">
        <f aca="false">IF(AND(INPUTS!$C$21="JV",INPUTS!$G$153&gt;0),INPUTS!$D$195*INPUTS!$G$135/INPUTS!$G$153,0)*--(W$7=INPUTS!$E$195)+(INPUTS!$G$135-IF(AND(INPUTS!$C$21="JV",INPUTS!$G$153&gt;0),INPUTS!$D$195*INPUTS!$G$135/INPUTS!$G$153,0))*CURVES!W134</f>
        <v>0</v>
      </c>
      <c r="X24" s="130" t="n">
        <f aca="false">IF(AND(INPUTS!$C$21="JV",INPUTS!$G$153&gt;0),INPUTS!$D$195*INPUTS!$G$135/INPUTS!$G$153,0)*--(X$7=INPUTS!$E$195)+(INPUTS!$G$135-IF(AND(INPUTS!$C$21="JV",INPUTS!$G$153&gt;0),INPUTS!$D$195*INPUTS!$G$135/INPUTS!$G$153,0))*CURVES!X134</f>
        <v>0</v>
      </c>
      <c r="Y24" s="130" t="n">
        <f aca="false">IF(AND(INPUTS!$C$21="JV",INPUTS!$G$153&gt;0),INPUTS!$D$195*INPUTS!$G$135/INPUTS!$G$153,0)*--(Y$7=INPUTS!$E$195)+(INPUTS!$G$135-IF(AND(INPUTS!$C$21="JV",INPUTS!$G$153&gt;0),INPUTS!$D$195*INPUTS!$G$135/INPUTS!$G$153,0))*CURVES!Y134</f>
        <v>0</v>
      </c>
      <c r="Z24" s="130" t="n">
        <f aca="false">IF(AND(INPUTS!$C$21="JV",INPUTS!$G$153&gt;0),INPUTS!$D$195*INPUTS!$G$135/INPUTS!$G$153,0)*--(Z$7=INPUTS!$E$195)+(INPUTS!$G$135-IF(AND(INPUTS!$C$21="JV",INPUTS!$G$153&gt;0),INPUTS!$D$195*INPUTS!$G$135/INPUTS!$G$153,0))*CURVES!Z134</f>
        <v>0</v>
      </c>
      <c r="AA24" s="130" t="n">
        <f aca="false">IF(AND(INPUTS!$C$21="JV",INPUTS!$G$153&gt;0),INPUTS!$D$195*INPUTS!$G$135/INPUTS!$G$153,0)*--(AA$7=INPUTS!$E$195)+(INPUTS!$G$135-IF(AND(INPUTS!$C$21="JV",INPUTS!$G$153&gt;0),INPUTS!$D$195*INPUTS!$G$135/INPUTS!$G$153,0))*CURVES!AA134</f>
        <v>0</v>
      </c>
      <c r="AB24" s="130" t="n">
        <f aca="false">IF(AND(INPUTS!$C$21="JV",INPUTS!$G$153&gt;0),INPUTS!$D$195*INPUTS!$G$135/INPUTS!$G$153,0)*--(AB$7=INPUTS!$E$195)+(INPUTS!$G$135-IF(AND(INPUTS!$C$21="JV",INPUTS!$G$153&gt;0),INPUTS!$D$195*INPUTS!$G$135/INPUTS!$G$153,0))*CURVES!AB134</f>
        <v>0</v>
      </c>
      <c r="AC24" s="130" t="n">
        <f aca="false">IF(AND(INPUTS!$C$21="JV",INPUTS!$G$153&gt;0),INPUTS!$D$195*INPUTS!$G$135/INPUTS!$G$153,0)*--(AC$7=INPUTS!$E$195)+(INPUTS!$G$135-IF(AND(INPUTS!$C$21="JV",INPUTS!$G$153&gt;0),INPUTS!$D$195*INPUTS!$G$135/INPUTS!$G$153,0))*CURVES!AC134</f>
        <v>0</v>
      </c>
      <c r="AD24" s="130" t="n">
        <f aca="false">IF(AND(INPUTS!$C$21="JV",INPUTS!$G$153&gt;0),INPUTS!$D$195*INPUTS!$G$135/INPUTS!$G$153,0)*--(AD$7=INPUTS!$E$195)+(INPUTS!$G$135-IF(AND(INPUTS!$C$21="JV",INPUTS!$G$153&gt;0),INPUTS!$D$195*INPUTS!$G$135/INPUTS!$G$153,0))*CURVES!AD134</f>
        <v>0</v>
      </c>
      <c r="AE24" s="130" t="n">
        <f aca="false">IF(AND(INPUTS!$C$21="JV",INPUTS!$G$153&gt;0),INPUTS!$D$195*INPUTS!$G$135/INPUTS!$G$153,0)*--(AE$7=INPUTS!$E$195)+(INPUTS!$G$135-IF(AND(INPUTS!$C$21="JV",INPUTS!$G$153&gt;0),INPUTS!$D$195*INPUTS!$G$135/INPUTS!$G$153,0))*CURVES!AE134</f>
        <v>0</v>
      </c>
      <c r="AF24" s="130" t="n">
        <f aca="false">IF(AND(INPUTS!$C$21="JV",INPUTS!$G$153&gt;0),INPUTS!$D$195*INPUTS!$G$135/INPUTS!$G$153,0)*--(AF$7=INPUTS!$E$195)+(INPUTS!$G$135-IF(AND(INPUTS!$C$21="JV",INPUTS!$G$153&gt;0),INPUTS!$D$195*INPUTS!$G$135/INPUTS!$G$153,0))*CURVES!AF134</f>
        <v>0</v>
      </c>
      <c r="AG24" s="130" t="n">
        <f aca="false">IF(AND(INPUTS!$C$21="JV",INPUTS!$G$153&gt;0),INPUTS!$D$195*INPUTS!$G$135/INPUTS!$G$153,0)*--(AG$7=INPUTS!$E$195)+(INPUTS!$G$135-IF(AND(INPUTS!$C$21="JV",INPUTS!$G$153&gt;0),INPUTS!$D$195*INPUTS!$G$135/INPUTS!$G$153,0))*CURVES!AG134</f>
        <v>0</v>
      </c>
      <c r="AH24" s="130" t="n">
        <f aca="false">IF(AND(INPUTS!$C$21="JV",INPUTS!$G$153&gt;0),INPUTS!$D$195*INPUTS!$G$135/INPUTS!$G$153,0)*--(AH$7=INPUTS!$E$195)+(INPUTS!$G$135-IF(AND(INPUTS!$C$21="JV",INPUTS!$G$153&gt;0),INPUTS!$D$195*INPUTS!$G$135/INPUTS!$G$153,0))*CURVES!AH134</f>
        <v>0</v>
      </c>
      <c r="AI24" s="130" t="n">
        <f aca="false">IF(AND(INPUTS!$C$21="JV",INPUTS!$G$153&gt;0),INPUTS!$D$195*INPUTS!$G$135/INPUTS!$G$153,0)*--(AI$7=INPUTS!$E$195)+(INPUTS!$G$135-IF(AND(INPUTS!$C$21="JV",INPUTS!$G$153&gt;0),INPUTS!$D$195*INPUTS!$G$135/INPUTS!$G$153,0))*CURVES!AI134</f>
        <v>0</v>
      </c>
      <c r="AJ24" s="130" t="n">
        <f aca="false">IF(AND(INPUTS!$C$21="JV",INPUTS!$G$153&gt;0),INPUTS!$D$195*INPUTS!$G$135/INPUTS!$G$153,0)*--(AJ$7=INPUTS!$E$195)+(INPUTS!$G$135-IF(AND(INPUTS!$C$21="JV",INPUTS!$G$153&gt;0),INPUTS!$D$195*INPUTS!$G$135/INPUTS!$G$153,0))*CURVES!AJ134</f>
        <v>0</v>
      </c>
      <c r="AK24" s="130" t="n">
        <f aca="false">IF(AND(INPUTS!$C$21="JV",INPUTS!$G$153&gt;0),INPUTS!$D$195*INPUTS!$G$135/INPUTS!$G$153,0)*--(AK$7=INPUTS!$E$195)+(INPUTS!$G$135-IF(AND(INPUTS!$C$21="JV",INPUTS!$G$153&gt;0),INPUTS!$D$195*INPUTS!$G$135/INPUTS!$G$153,0))*CURVES!AK134</f>
        <v>0</v>
      </c>
      <c r="AL24" s="130" t="n">
        <f aca="false">IF(AND(INPUTS!$C$21="JV",INPUTS!$G$153&gt;0),INPUTS!$D$195*INPUTS!$G$135/INPUTS!$G$153,0)*--(AL$7=INPUTS!$E$195)+(INPUTS!$G$135-IF(AND(INPUTS!$C$21="JV",INPUTS!$G$153&gt;0),INPUTS!$D$195*INPUTS!$G$135/INPUTS!$G$153,0))*CURVES!AL134</f>
        <v>0</v>
      </c>
      <c r="AM24" s="130" t="n">
        <f aca="false">IF(AND(INPUTS!$C$21="JV",INPUTS!$G$153&gt;0),INPUTS!$D$195*INPUTS!$G$135/INPUTS!$G$153,0)*--(AM$7=INPUTS!$E$195)+(INPUTS!$G$135-IF(AND(INPUTS!$C$21="JV",INPUTS!$G$153&gt;0),INPUTS!$D$195*INPUTS!$G$135/INPUTS!$G$153,0))*CURVES!AM134</f>
        <v>0</v>
      </c>
      <c r="AN24" s="130" t="n">
        <f aca="false">IF(AND(INPUTS!$C$21="JV",INPUTS!$G$153&gt;0),INPUTS!$D$195*INPUTS!$G$135/INPUTS!$G$153,0)*--(AN$7=INPUTS!$E$195)+(INPUTS!$G$135-IF(AND(INPUTS!$C$21="JV",INPUTS!$G$153&gt;0),INPUTS!$D$195*INPUTS!$G$135/INPUTS!$G$153,0))*CURVES!AN134</f>
        <v>0</v>
      </c>
      <c r="AO24" s="130" t="n">
        <f aca="false">IF(AND(INPUTS!$C$21="JV",INPUTS!$G$153&gt;0),INPUTS!$D$195*INPUTS!$G$135/INPUTS!$G$153,0)*--(AO$7=INPUTS!$E$195)+(INPUTS!$G$135-IF(AND(INPUTS!$C$21="JV",INPUTS!$G$153&gt;0),INPUTS!$D$195*INPUTS!$G$135/INPUTS!$G$153,0))*CURVES!AO134</f>
        <v>0</v>
      </c>
      <c r="AP24" s="130" t="n">
        <f aca="false">IF(AND(INPUTS!$C$21="JV",INPUTS!$G$153&gt;0),INPUTS!$D$195*INPUTS!$G$135/INPUTS!$G$153,0)*--(AP$7=INPUTS!$E$195)+(INPUTS!$G$135-IF(AND(INPUTS!$C$21="JV",INPUTS!$G$153&gt;0),INPUTS!$D$195*INPUTS!$G$135/INPUTS!$G$153,0))*CURVES!AP134</f>
        <v>0</v>
      </c>
      <c r="AQ24" s="130" t="n">
        <f aca="false">IF(AND(INPUTS!$C$21="JV",INPUTS!$G$153&gt;0),INPUTS!$D$195*INPUTS!$G$135/INPUTS!$G$153,0)*--(AQ$7=INPUTS!$E$195)+(INPUTS!$G$135-IF(AND(INPUTS!$C$21="JV",INPUTS!$G$153&gt;0),INPUTS!$D$195*INPUTS!$G$135/INPUTS!$G$153,0))*CURVES!AQ134</f>
        <v>0</v>
      </c>
    </row>
    <row r="25" customFormat="false" ht="15" hidden="false" customHeight="false" outlineLevel="0" collapsed="false">
      <c r="B25" s="121" t="str">
        <f aca="false">INPUTS!$B$136</f>
        <v>Commercial Construction Cost</v>
      </c>
      <c r="C25" s="129" t="n">
        <f aca="false">SUM(D25:AQ25)</f>
        <v>8.7</v>
      </c>
      <c r="D25" s="130" t="n">
        <f aca="false">IF(AND(INPUTS!$C$21="JV",INPUTS!$G$153&gt;0),INPUTS!$D$195*INPUTS!$G$136/INPUTS!$G$153,0)*--(D$7=INPUTS!$E$195)+(INPUTS!$G$136-IF(AND(INPUTS!$C$21="JV",INPUTS!$G$153&gt;0),INPUTS!$D$195*INPUTS!$G$136/INPUTS!$G$153,0))*CURVES!D137</f>
        <v>0</v>
      </c>
      <c r="E25" s="130" t="n">
        <f aca="false">IF(AND(INPUTS!$C$21="JV",INPUTS!$G$153&gt;0),INPUTS!$D$195*INPUTS!$G$136/INPUTS!$G$153,0)*--(E$7=INPUTS!$E$195)+(INPUTS!$G$136-IF(AND(INPUTS!$C$21="JV",INPUTS!$G$153&gt;0),INPUTS!$D$195*INPUTS!$G$136/INPUTS!$G$153,0))*CURVES!E137</f>
        <v>0</v>
      </c>
      <c r="F25" s="130" t="n">
        <f aca="false">IF(AND(INPUTS!$C$21="JV",INPUTS!$G$153&gt;0),INPUTS!$D$195*INPUTS!$G$136/INPUTS!$G$153,0)*--(F$7=INPUTS!$E$195)+(INPUTS!$G$136-IF(AND(INPUTS!$C$21="JV",INPUTS!$G$153&gt;0),INPUTS!$D$195*INPUTS!$G$136/INPUTS!$G$153,0))*CURVES!F137</f>
        <v>0</v>
      </c>
      <c r="G25" s="130" t="n">
        <f aca="false">IF(AND(INPUTS!$C$21="JV",INPUTS!$G$153&gt;0),INPUTS!$D$195*INPUTS!$G$136/INPUTS!$G$153,0)*--(G$7=INPUTS!$E$195)+(INPUTS!$G$136-IF(AND(INPUTS!$C$21="JV",INPUTS!$G$153&gt;0),INPUTS!$D$195*INPUTS!$G$136/INPUTS!$G$153,0))*CURVES!G137</f>
        <v>0</v>
      </c>
      <c r="H25" s="130" t="n">
        <f aca="false">IF(AND(INPUTS!$C$21="JV",INPUTS!$G$153&gt;0),INPUTS!$D$195*INPUTS!$G$136/INPUTS!$G$153,0)*--(H$7=INPUTS!$E$195)+(INPUTS!$G$136-IF(AND(INPUTS!$C$21="JV",INPUTS!$G$153&gt;0),INPUTS!$D$195*INPUTS!$G$136/INPUTS!$G$153,0))*CURVES!H137</f>
        <v>0</v>
      </c>
      <c r="I25" s="130" t="n">
        <f aca="false">IF(AND(INPUTS!$C$21="JV",INPUTS!$G$153&gt;0),INPUTS!$D$195*INPUTS!$G$136/INPUTS!$G$153,0)*--(I$7=INPUTS!$E$195)+(INPUTS!$G$136-IF(AND(INPUTS!$C$21="JV",INPUTS!$G$153&gt;0),INPUTS!$D$195*INPUTS!$G$136/INPUTS!$G$153,0))*CURVES!I137</f>
        <v>0.148222655642553</v>
      </c>
      <c r="J25" s="130" t="n">
        <f aca="false">IF(AND(INPUTS!$C$21="JV",INPUTS!$G$153&gt;0),INPUTS!$D$195*INPUTS!$G$136/INPUTS!$G$153,0)*--(J$7=INPUTS!$E$195)+(INPUTS!$G$136-IF(AND(INPUTS!$C$21="JV",INPUTS!$G$153&gt;0),INPUTS!$D$195*INPUTS!$G$136/INPUTS!$G$153,0))*CURVES!J137</f>
        <v>0.434566837895139</v>
      </c>
      <c r="K25" s="130" t="n">
        <f aca="false">IF(AND(INPUTS!$C$21="JV",INPUTS!$G$153&gt;0),INPUTS!$D$195*INPUTS!$G$136/INPUTS!$G$153,0)*--(K$7=INPUTS!$E$195)+(INPUTS!$G$136-IF(AND(INPUTS!$C$21="JV",INPUTS!$G$153&gt;0),INPUTS!$D$195*INPUTS!$G$136/INPUTS!$G$153,0))*CURVES!K137</f>
        <v>0.691296008300826</v>
      </c>
      <c r="L25" s="130" t="n">
        <f aca="false">IF(AND(INPUTS!$C$21="JV",INPUTS!$G$153&gt;0),INPUTS!$D$195*INPUTS!$G$136/INPUTS!$G$153,0)*--(L$7=INPUTS!$E$195)+(INPUTS!$G$136-IF(AND(INPUTS!$C$21="JV",INPUTS!$G$153&gt;0),INPUTS!$D$195*INPUTS!$G$136/INPUTS!$G$153,0))*CURVES!L137</f>
        <v>0.900914498161482</v>
      </c>
      <c r="M25" s="130" t="n">
        <f aca="false">IF(AND(INPUTS!$C$21="JV",INPUTS!$G$153&gt;0),INPUTS!$D$195*INPUTS!$G$136/INPUTS!$G$153,0)*--(M$7=INPUTS!$E$195)+(INPUTS!$G$136-IF(AND(INPUTS!$C$21="JV",INPUTS!$G$153&gt;0),INPUTS!$D$195*INPUTS!$G$136/INPUTS!$G$153,0))*CURVES!M137</f>
        <v>1.04913715380403</v>
      </c>
      <c r="N25" s="130" t="n">
        <f aca="false">IF(AND(INPUTS!$C$21="JV",INPUTS!$G$153&gt;0),INPUTS!$D$195*INPUTS!$G$136/INPUTS!$G$153,0)*--(N$7=INPUTS!$E$195)+(INPUTS!$G$136-IF(AND(INPUTS!$C$21="JV",INPUTS!$G$153&gt;0),INPUTS!$D$195*INPUTS!$G$136/INPUTS!$G$153,0))*CURVES!N137</f>
        <v>1.12586284619597</v>
      </c>
      <c r="O25" s="130" t="n">
        <f aca="false">IF(AND(INPUTS!$C$21="JV",INPUTS!$G$153&gt;0),INPUTS!$D$195*INPUTS!$G$136/INPUTS!$G$153,0)*--(O$7=INPUTS!$E$195)+(INPUTS!$G$136-IF(AND(INPUTS!$C$21="JV",INPUTS!$G$153&gt;0),INPUTS!$D$195*INPUTS!$G$136/INPUTS!$G$153,0))*CURVES!O137</f>
        <v>1.12586284619597</v>
      </c>
      <c r="P25" s="130" t="n">
        <f aca="false">IF(AND(INPUTS!$C$21="JV",INPUTS!$G$153&gt;0),INPUTS!$D$195*INPUTS!$G$136/INPUTS!$G$153,0)*--(P$7=INPUTS!$E$195)+(INPUTS!$G$136-IF(AND(INPUTS!$C$21="JV",INPUTS!$G$153&gt;0),INPUTS!$D$195*INPUTS!$G$136/INPUTS!$G$153,0))*CURVES!P137</f>
        <v>1.04913715380403</v>
      </c>
      <c r="Q25" s="130" t="n">
        <f aca="false">IF(AND(INPUTS!$C$21="JV",INPUTS!$G$153&gt;0),INPUTS!$D$195*INPUTS!$G$136/INPUTS!$G$153,0)*--(Q$7=INPUTS!$E$195)+(INPUTS!$G$136-IF(AND(INPUTS!$C$21="JV",INPUTS!$G$153&gt;0),INPUTS!$D$195*INPUTS!$G$136/INPUTS!$G$153,0))*CURVES!Q137</f>
        <v>0.900914498161482</v>
      </c>
      <c r="R25" s="130" t="n">
        <f aca="false">IF(AND(INPUTS!$C$21="JV",INPUTS!$G$153&gt;0),INPUTS!$D$195*INPUTS!$G$136/INPUTS!$G$153,0)*--(R$7=INPUTS!$E$195)+(INPUTS!$G$136-IF(AND(INPUTS!$C$21="JV",INPUTS!$G$153&gt;0),INPUTS!$D$195*INPUTS!$G$136/INPUTS!$G$153,0))*CURVES!R137</f>
        <v>0.691296008300827</v>
      </c>
      <c r="S25" s="130" t="n">
        <f aca="false">IF(AND(INPUTS!$C$21="JV",INPUTS!$G$153&gt;0),INPUTS!$D$195*INPUTS!$G$136/INPUTS!$G$153,0)*--(S$7=INPUTS!$E$195)+(INPUTS!$G$136-IF(AND(INPUTS!$C$21="JV",INPUTS!$G$153&gt;0),INPUTS!$D$195*INPUTS!$G$136/INPUTS!$G$153,0))*CURVES!S137</f>
        <v>0.434566837895139</v>
      </c>
      <c r="T25" s="130" t="n">
        <f aca="false">IF(AND(INPUTS!$C$21="JV",INPUTS!$G$153&gt;0),INPUTS!$D$195*INPUTS!$G$136/INPUTS!$G$153,0)*--(T$7=INPUTS!$E$195)+(INPUTS!$G$136-IF(AND(INPUTS!$C$21="JV",INPUTS!$G$153&gt;0),INPUTS!$D$195*INPUTS!$G$136/INPUTS!$G$153,0))*CURVES!T137</f>
        <v>0.148222655642553</v>
      </c>
      <c r="U25" s="130" t="n">
        <f aca="false">IF(AND(INPUTS!$C$21="JV",INPUTS!$G$153&gt;0),INPUTS!$D$195*INPUTS!$G$136/INPUTS!$G$153,0)*--(U$7=INPUTS!$E$195)+(INPUTS!$G$136-IF(AND(INPUTS!$C$21="JV",INPUTS!$G$153&gt;0),INPUTS!$D$195*INPUTS!$G$136/INPUTS!$G$153,0))*CURVES!U137</f>
        <v>0</v>
      </c>
      <c r="V25" s="130" t="n">
        <f aca="false">IF(AND(INPUTS!$C$21="JV",INPUTS!$G$153&gt;0),INPUTS!$D$195*INPUTS!$G$136/INPUTS!$G$153,0)*--(V$7=INPUTS!$E$195)+(INPUTS!$G$136-IF(AND(INPUTS!$C$21="JV",INPUTS!$G$153&gt;0),INPUTS!$D$195*INPUTS!$G$136/INPUTS!$G$153,0))*CURVES!V137</f>
        <v>0</v>
      </c>
      <c r="W25" s="130" t="n">
        <f aca="false">IF(AND(INPUTS!$C$21="JV",INPUTS!$G$153&gt;0),INPUTS!$D$195*INPUTS!$G$136/INPUTS!$G$153,0)*--(W$7=INPUTS!$E$195)+(INPUTS!$G$136-IF(AND(INPUTS!$C$21="JV",INPUTS!$G$153&gt;0),INPUTS!$D$195*INPUTS!$G$136/INPUTS!$G$153,0))*CURVES!W137</f>
        <v>0</v>
      </c>
      <c r="X25" s="130" t="n">
        <f aca="false">IF(AND(INPUTS!$C$21="JV",INPUTS!$G$153&gt;0),INPUTS!$D$195*INPUTS!$G$136/INPUTS!$G$153,0)*--(X$7=INPUTS!$E$195)+(INPUTS!$G$136-IF(AND(INPUTS!$C$21="JV",INPUTS!$G$153&gt;0),INPUTS!$D$195*INPUTS!$G$136/INPUTS!$G$153,0))*CURVES!X137</f>
        <v>0</v>
      </c>
      <c r="Y25" s="130" t="n">
        <f aca="false">IF(AND(INPUTS!$C$21="JV",INPUTS!$G$153&gt;0),INPUTS!$D$195*INPUTS!$G$136/INPUTS!$G$153,0)*--(Y$7=INPUTS!$E$195)+(INPUTS!$G$136-IF(AND(INPUTS!$C$21="JV",INPUTS!$G$153&gt;0),INPUTS!$D$195*INPUTS!$G$136/INPUTS!$G$153,0))*CURVES!Y137</f>
        <v>0</v>
      </c>
      <c r="Z25" s="130" t="n">
        <f aca="false">IF(AND(INPUTS!$C$21="JV",INPUTS!$G$153&gt;0),INPUTS!$D$195*INPUTS!$G$136/INPUTS!$G$153,0)*--(Z$7=INPUTS!$E$195)+(INPUTS!$G$136-IF(AND(INPUTS!$C$21="JV",INPUTS!$G$153&gt;0),INPUTS!$D$195*INPUTS!$G$136/INPUTS!$G$153,0))*CURVES!Z137</f>
        <v>0</v>
      </c>
      <c r="AA25" s="130" t="n">
        <f aca="false">IF(AND(INPUTS!$C$21="JV",INPUTS!$G$153&gt;0),INPUTS!$D$195*INPUTS!$G$136/INPUTS!$G$153,0)*--(AA$7=INPUTS!$E$195)+(INPUTS!$G$136-IF(AND(INPUTS!$C$21="JV",INPUTS!$G$153&gt;0),INPUTS!$D$195*INPUTS!$G$136/INPUTS!$G$153,0))*CURVES!AA137</f>
        <v>0</v>
      </c>
      <c r="AB25" s="130" t="n">
        <f aca="false">IF(AND(INPUTS!$C$21="JV",INPUTS!$G$153&gt;0),INPUTS!$D$195*INPUTS!$G$136/INPUTS!$G$153,0)*--(AB$7=INPUTS!$E$195)+(INPUTS!$G$136-IF(AND(INPUTS!$C$21="JV",INPUTS!$G$153&gt;0),INPUTS!$D$195*INPUTS!$G$136/INPUTS!$G$153,0))*CURVES!AB137</f>
        <v>0</v>
      </c>
      <c r="AC25" s="130" t="n">
        <f aca="false">IF(AND(INPUTS!$C$21="JV",INPUTS!$G$153&gt;0),INPUTS!$D$195*INPUTS!$G$136/INPUTS!$G$153,0)*--(AC$7=INPUTS!$E$195)+(INPUTS!$G$136-IF(AND(INPUTS!$C$21="JV",INPUTS!$G$153&gt;0),INPUTS!$D$195*INPUTS!$G$136/INPUTS!$G$153,0))*CURVES!AC137</f>
        <v>0</v>
      </c>
      <c r="AD25" s="130" t="n">
        <f aca="false">IF(AND(INPUTS!$C$21="JV",INPUTS!$G$153&gt;0),INPUTS!$D$195*INPUTS!$G$136/INPUTS!$G$153,0)*--(AD$7=INPUTS!$E$195)+(INPUTS!$G$136-IF(AND(INPUTS!$C$21="JV",INPUTS!$G$153&gt;0),INPUTS!$D$195*INPUTS!$G$136/INPUTS!$G$153,0))*CURVES!AD137</f>
        <v>0</v>
      </c>
      <c r="AE25" s="130" t="n">
        <f aca="false">IF(AND(INPUTS!$C$21="JV",INPUTS!$G$153&gt;0),INPUTS!$D$195*INPUTS!$G$136/INPUTS!$G$153,0)*--(AE$7=INPUTS!$E$195)+(INPUTS!$G$136-IF(AND(INPUTS!$C$21="JV",INPUTS!$G$153&gt;0),INPUTS!$D$195*INPUTS!$G$136/INPUTS!$G$153,0))*CURVES!AE137</f>
        <v>0</v>
      </c>
      <c r="AF25" s="130" t="n">
        <f aca="false">IF(AND(INPUTS!$C$21="JV",INPUTS!$G$153&gt;0),INPUTS!$D$195*INPUTS!$G$136/INPUTS!$G$153,0)*--(AF$7=INPUTS!$E$195)+(INPUTS!$G$136-IF(AND(INPUTS!$C$21="JV",INPUTS!$G$153&gt;0),INPUTS!$D$195*INPUTS!$G$136/INPUTS!$G$153,0))*CURVES!AF137</f>
        <v>0</v>
      </c>
      <c r="AG25" s="130" t="n">
        <f aca="false">IF(AND(INPUTS!$C$21="JV",INPUTS!$G$153&gt;0),INPUTS!$D$195*INPUTS!$G$136/INPUTS!$G$153,0)*--(AG$7=INPUTS!$E$195)+(INPUTS!$G$136-IF(AND(INPUTS!$C$21="JV",INPUTS!$G$153&gt;0),INPUTS!$D$195*INPUTS!$G$136/INPUTS!$G$153,0))*CURVES!AG137</f>
        <v>0</v>
      </c>
      <c r="AH25" s="130" t="n">
        <f aca="false">IF(AND(INPUTS!$C$21="JV",INPUTS!$G$153&gt;0),INPUTS!$D$195*INPUTS!$G$136/INPUTS!$G$153,0)*--(AH$7=INPUTS!$E$195)+(INPUTS!$G$136-IF(AND(INPUTS!$C$21="JV",INPUTS!$G$153&gt;0),INPUTS!$D$195*INPUTS!$G$136/INPUTS!$G$153,0))*CURVES!AH137</f>
        <v>0</v>
      </c>
      <c r="AI25" s="130" t="n">
        <f aca="false">IF(AND(INPUTS!$C$21="JV",INPUTS!$G$153&gt;0),INPUTS!$D$195*INPUTS!$G$136/INPUTS!$G$153,0)*--(AI$7=INPUTS!$E$195)+(INPUTS!$G$136-IF(AND(INPUTS!$C$21="JV",INPUTS!$G$153&gt;0),INPUTS!$D$195*INPUTS!$G$136/INPUTS!$G$153,0))*CURVES!AI137</f>
        <v>0</v>
      </c>
      <c r="AJ25" s="130" t="n">
        <f aca="false">IF(AND(INPUTS!$C$21="JV",INPUTS!$G$153&gt;0),INPUTS!$D$195*INPUTS!$G$136/INPUTS!$G$153,0)*--(AJ$7=INPUTS!$E$195)+(INPUTS!$G$136-IF(AND(INPUTS!$C$21="JV",INPUTS!$G$153&gt;0),INPUTS!$D$195*INPUTS!$G$136/INPUTS!$G$153,0))*CURVES!AJ137</f>
        <v>0</v>
      </c>
      <c r="AK25" s="130" t="n">
        <f aca="false">IF(AND(INPUTS!$C$21="JV",INPUTS!$G$153&gt;0),INPUTS!$D$195*INPUTS!$G$136/INPUTS!$G$153,0)*--(AK$7=INPUTS!$E$195)+(INPUTS!$G$136-IF(AND(INPUTS!$C$21="JV",INPUTS!$G$153&gt;0),INPUTS!$D$195*INPUTS!$G$136/INPUTS!$G$153,0))*CURVES!AK137</f>
        <v>0</v>
      </c>
      <c r="AL25" s="130" t="n">
        <f aca="false">IF(AND(INPUTS!$C$21="JV",INPUTS!$G$153&gt;0),INPUTS!$D$195*INPUTS!$G$136/INPUTS!$G$153,0)*--(AL$7=INPUTS!$E$195)+(INPUTS!$G$136-IF(AND(INPUTS!$C$21="JV",INPUTS!$G$153&gt;0),INPUTS!$D$195*INPUTS!$G$136/INPUTS!$G$153,0))*CURVES!AL137</f>
        <v>0</v>
      </c>
      <c r="AM25" s="130" t="n">
        <f aca="false">IF(AND(INPUTS!$C$21="JV",INPUTS!$G$153&gt;0),INPUTS!$D$195*INPUTS!$G$136/INPUTS!$G$153,0)*--(AM$7=INPUTS!$E$195)+(INPUTS!$G$136-IF(AND(INPUTS!$C$21="JV",INPUTS!$G$153&gt;0),INPUTS!$D$195*INPUTS!$G$136/INPUTS!$G$153,0))*CURVES!AM137</f>
        <v>0</v>
      </c>
      <c r="AN25" s="130" t="n">
        <f aca="false">IF(AND(INPUTS!$C$21="JV",INPUTS!$G$153&gt;0),INPUTS!$D$195*INPUTS!$G$136/INPUTS!$G$153,0)*--(AN$7=INPUTS!$E$195)+(INPUTS!$G$136-IF(AND(INPUTS!$C$21="JV",INPUTS!$G$153&gt;0),INPUTS!$D$195*INPUTS!$G$136/INPUTS!$G$153,0))*CURVES!AN137</f>
        <v>0</v>
      </c>
      <c r="AO25" s="130" t="n">
        <f aca="false">IF(AND(INPUTS!$C$21="JV",INPUTS!$G$153&gt;0),INPUTS!$D$195*INPUTS!$G$136/INPUTS!$G$153,0)*--(AO$7=INPUTS!$E$195)+(INPUTS!$G$136-IF(AND(INPUTS!$C$21="JV",INPUTS!$G$153&gt;0),INPUTS!$D$195*INPUTS!$G$136/INPUTS!$G$153,0))*CURVES!AO137</f>
        <v>0</v>
      </c>
      <c r="AP25" s="130" t="n">
        <f aca="false">IF(AND(INPUTS!$C$21="JV",INPUTS!$G$153&gt;0),INPUTS!$D$195*INPUTS!$G$136/INPUTS!$G$153,0)*--(AP$7=INPUTS!$E$195)+(INPUTS!$G$136-IF(AND(INPUTS!$C$21="JV",INPUTS!$G$153&gt;0),INPUTS!$D$195*INPUTS!$G$136/INPUTS!$G$153,0))*CURVES!AP137</f>
        <v>0</v>
      </c>
      <c r="AQ25" s="130" t="n">
        <f aca="false">IF(AND(INPUTS!$C$21="JV",INPUTS!$G$153&gt;0),INPUTS!$D$195*INPUTS!$G$136/INPUTS!$G$153,0)*--(AQ$7=INPUTS!$E$195)+(INPUTS!$G$136-IF(AND(INPUTS!$C$21="JV",INPUTS!$G$153&gt;0),INPUTS!$D$195*INPUTS!$G$136/INPUTS!$G$153,0))*CURVES!AQ137</f>
        <v>0</v>
      </c>
    </row>
    <row r="26" customFormat="false" ht="15" hidden="false" customHeight="false" outlineLevel="0" collapsed="false">
      <c r="B26" s="121" t="str">
        <f aca="false">INPUTS!$B$137</f>
        <v>EWS/LIG plots development cost</v>
      </c>
      <c r="C26" s="129" t="n">
        <f aca="false">SUM(D26:AQ26)</f>
        <v>0</v>
      </c>
      <c r="D26" s="130" t="n">
        <f aca="false">IF(AND(INPUTS!$C$21="JV",INPUTS!$G$153&gt;0),INPUTS!$D$195*INPUTS!$G$137/INPUTS!$G$153,0)*--(D$7=INPUTS!$E$195)+(INPUTS!$G$137-IF(AND(INPUTS!$C$21="JV",INPUTS!$G$153&gt;0),INPUTS!$D$195*INPUTS!$G$137/INPUTS!$G$153,0))*CURVES!D140</f>
        <v>0</v>
      </c>
      <c r="E26" s="130" t="n">
        <f aca="false">IF(AND(INPUTS!$C$21="JV",INPUTS!$G$153&gt;0),INPUTS!$D$195*INPUTS!$G$137/INPUTS!$G$153,0)*--(E$7=INPUTS!$E$195)+(INPUTS!$G$137-IF(AND(INPUTS!$C$21="JV",INPUTS!$G$153&gt;0),INPUTS!$D$195*INPUTS!$G$137/INPUTS!$G$153,0))*CURVES!E140</f>
        <v>0</v>
      </c>
      <c r="F26" s="130" t="n">
        <f aca="false">IF(AND(INPUTS!$C$21="JV",INPUTS!$G$153&gt;0),INPUTS!$D$195*INPUTS!$G$137/INPUTS!$G$153,0)*--(F$7=INPUTS!$E$195)+(INPUTS!$G$137-IF(AND(INPUTS!$C$21="JV",INPUTS!$G$153&gt;0),INPUTS!$D$195*INPUTS!$G$137/INPUTS!$G$153,0))*CURVES!F140</f>
        <v>0</v>
      </c>
      <c r="G26" s="130" t="n">
        <f aca="false">IF(AND(INPUTS!$C$21="JV",INPUTS!$G$153&gt;0),INPUTS!$D$195*INPUTS!$G$137/INPUTS!$G$153,0)*--(G$7=INPUTS!$E$195)+(INPUTS!$G$137-IF(AND(INPUTS!$C$21="JV",INPUTS!$G$153&gt;0),INPUTS!$D$195*INPUTS!$G$137/INPUTS!$G$153,0))*CURVES!G140</f>
        <v>0</v>
      </c>
      <c r="H26" s="130" t="n">
        <f aca="false">IF(AND(INPUTS!$C$21="JV",INPUTS!$G$153&gt;0),INPUTS!$D$195*INPUTS!$G$137/INPUTS!$G$153,0)*--(H$7=INPUTS!$E$195)+(INPUTS!$G$137-IF(AND(INPUTS!$C$21="JV",INPUTS!$G$153&gt;0),INPUTS!$D$195*INPUTS!$G$137/INPUTS!$G$153,0))*CURVES!H140</f>
        <v>0</v>
      </c>
      <c r="I26" s="130" t="n">
        <f aca="false">IF(AND(INPUTS!$C$21="JV",INPUTS!$G$153&gt;0),INPUTS!$D$195*INPUTS!$G$137/INPUTS!$G$153,0)*--(I$7=INPUTS!$E$195)+(INPUTS!$G$137-IF(AND(INPUTS!$C$21="JV",INPUTS!$G$153&gt;0),INPUTS!$D$195*INPUTS!$G$137/INPUTS!$G$153,0))*CURVES!I140</f>
        <v>0</v>
      </c>
      <c r="J26" s="130" t="n">
        <f aca="false">IF(AND(INPUTS!$C$21="JV",INPUTS!$G$153&gt;0),INPUTS!$D$195*INPUTS!$G$137/INPUTS!$G$153,0)*--(J$7=INPUTS!$E$195)+(INPUTS!$G$137-IF(AND(INPUTS!$C$21="JV",INPUTS!$G$153&gt;0),INPUTS!$D$195*INPUTS!$G$137/INPUTS!$G$153,0))*CURVES!J140</f>
        <v>0</v>
      </c>
      <c r="K26" s="130" t="n">
        <f aca="false">IF(AND(INPUTS!$C$21="JV",INPUTS!$G$153&gt;0),INPUTS!$D$195*INPUTS!$G$137/INPUTS!$G$153,0)*--(K$7=INPUTS!$E$195)+(INPUTS!$G$137-IF(AND(INPUTS!$C$21="JV",INPUTS!$G$153&gt;0),INPUTS!$D$195*INPUTS!$G$137/INPUTS!$G$153,0))*CURVES!K140</f>
        <v>0</v>
      </c>
      <c r="L26" s="130" t="n">
        <f aca="false">IF(AND(INPUTS!$C$21="JV",INPUTS!$G$153&gt;0),INPUTS!$D$195*INPUTS!$G$137/INPUTS!$G$153,0)*--(L$7=INPUTS!$E$195)+(INPUTS!$G$137-IF(AND(INPUTS!$C$21="JV",INPUTS!$G$153&gt;0),INPUTS!$D$195*INPUTS!$G$137/INPUTS!$G$153,0))*CURVES!L140</f>
        <v>0</v>
      </c>
      <c r="M26" s="130" t="n">
        <f aca="false">IF(AND(INPUTS!$C$21="JV",INPUTS!$G$153&gt;0),INPUTS!$D$195*INPUTS!$G$137/INPUTS!$G$153,0)*--(M$7=INPUTS!$E$195)+(INPUTS!$G$137-IF(AND(INPUTS!$C$21="JV",INPUTS!$G$153&gt;0),INPUTS!$D$195*INPUTS!$G$137/INPUTS!$G$153,0))*CURVES!M140</f>
        <v>0</v>
      </c>
      <c r="N26" s="130" t="n">
        <f aca="false">IF(AND(INPUTS!$C$21="JV",INPUTS!$G$153&gt;0),INPUTS!$D$195*INPUTS!$G$137/INPUTS!$G$153,0)*--(N$7=INPUTS!$E$195)+(INPUTS!$G$137-IF(AND(INPUTS!$C$21="JV",INPUTS!$G$153&gt;0),INPUTS!$D$195*INPUTS!$G$137/INPUTS!$G$153,0))*CURVES!N140</f>
        <v>0</v>
      </c>
      <c r="O26" s="130" t="n">
        <f aca="false">IF(AND(INPUTS!$C$21="JV",INPUTS!$G$153&gt;0),INPUTS!$D$195*INPUTS!$G$137/INPUTS!$G$153,0)*--(O$7=INPUTS!$E$195)+(INPUTS!$G$137-IF(AND(INPUTS!$C$21="JV",INPUTS!$G$153&gt;0),INPUTS!$D$195*INPUTS!$G$137/INPUTS!$G$153,0))*CURVES!O140</f>
        <v>0</v>
      </c>
      <c r="P26" s="130" t="n">
        <f aca="false">IF(AND(INPUTS!$C$21="JV",INPUTS!$G$153&gt;0),INPUTS!$D$195*INPUTS!$G$137/INPUTS!$G$153,0)*--(P$7=INPUTS!$E$195)+(INPUTS!$G$137-IF(AND(INPUTS!$C$21="JV",INPUTS!$G$153&gt;0),INPUTS!$D$195*INPUTS!$G$137/INPUTS!$G$153,0))*CURVES!P140</f>
        <v>0</v>
      </c>
      <c r="Q26" s="130" t="n">
        <f aca="false">IF(AND(INPUTS!$C$21="JV",INPUTS!$G$153&gt;0),INPUTS!$D$195*INPUTS!$G$137/INPUTS!$G$153,0)*--(Q$7=INPUTS!$E$195)+(INPUTS!$G$137-IF(AND(INPUTS!$C$21="JV",INPUTS!$G$153&gt;0),INPUTS!$D$195*INPUTS!$G$137/INPUTS!$G$153,0))*CURVES!Q140</f>
        <v>0</v>
      </c>
      <c r="R26" s="130" t="n">
        <f aca="false">IF(AND(INPUTS!$C$21="JV",INPUTS!$G$153&gt;0),INPUTS!$D$195*INPUTS!$G$137/INPUTS!$G$153,0)*--(R$7=INPUTS!$E$195)+(INPUTS!$G$137-IF(AND(INPUTS!$C$21="JV",INPUTS!$G$153&gt;0),INPUTS!$D$195*INPUTS!$G$137/INPUTS!$G$153,0))*CURVES!R140</f>
        <v>0</v>
      </c>
      <c r="S26" s="130" t="n">
        <f aca="false">IF(AND(INPUTS!$C$21="JV",INPUTS!$G$153&gt;0),INPUTS!$D$195*INPUTS!$G$137/INPUTS!$G$153,0)*--(S$7=INPUTS!$E$195)+(INPUTS!$G$137-IF(AND(INPUTS!$C$21="JV",INPUTS!$G$153&gt;0),INPUTS!$D$195*INPUTS!$G$137/INPUTS!$G$153,0))*CURVES!S140</f>
        <v>0</v>
      </c>
      <c r="T26" s="130" t="n">
        <f aca="false">IF(AND(INPUTS!$C$21="JV",INPUTS!$G$153&gt;0),INPUTS!$D$195*INPUTS!$G$137/INPUTS!$G$153,0)*--(T$7=INPUTS!$E$195)+(INPUTS!$G$137-IF(AND(INPUTS!$C$21="JV",INPUTS!$G$153&gt;0),INPUTS!$D$195*INPUTS!$G$137/INPUTS!$G$153,0))*CURVES!T140</f>
        <v>0</v>
      </c>
      <c r="U26" s="130" t="n">
        <f aca="false">IF(AND(INPUTS!$C$21="JV",INPUTS!$G$153&gt;0),INPUTS!$D$195*INPUTS!$G$137/INPUTS!$G$153,0)*--(U$7=INPUTS!$E$195)+(INPUTS!$G$137-IF(AND(INPUTS!$C$21="JV",INPUTS!$G$153&gt;0),INPUTS!$D$195*INPUTS!$G$137/INPUTS!$G$153,0))*CURVES!U140</f>
        <v>0</v>
      </c>
      <c r="V26" s="130" t="n">
        <f aca="false">IF(AND(INPUTS!$C$21="JV",INPUTS!$G$153&gt;0),INPUTS!$D$195*INPUTS!$G$137/INPUTS!$G$153,0)*--(V$7=INPUTS!$E$195)+(INPUTS!$G$137-IF(AND(INPUTS!$C$21="JV",INPUTS!$G$153&gt;0),INPUTS!$D$195*INPUTS!$G$137/INPUTS!$G$153,0))*CURVES!V140</f>
        <v>0</v>
      </c>
      <c r="W26" s="130" t="n">
        <f aca="false">IF(AND(INPUTS!$C$21="JV",INPUTS!$G$153&gt;0),INPUTS!$D$195*INPUTS!$G$137/INPUTS!$G$153,0)*--(W$7=INPUTS!$E$195)+(INPUTS!$G$137-IF(AND(INPUTS!$C$21="JV",INPUTS!$G$153&gt;0),INPUTS!$D$195*INPUTS!$G$137/INPUTS!$G$153,0))*CURVES!W140</f>
        <v>0</v>
      </c>
      <c r="X26" s="130" t="n">
        <f aca="false">IF(AND(INPUTS!$C$21="JV",INPUTS!$G$153&gt;0),INPUTS!$D$195*INPUTS!$G$137/INPUTS!$G$153,0)*--(X$7=INPUTS!$E$195)+(INPUTS!$G$137-IF(AND(INPUTS!$C$21="JV",INPUTS!$G$153&gt;0),INPUTS!$D$195*INPUTS!$G$137/INPUTS!$G$153,0))*CURVES!X140</f>
        <v>0</v>
      </c>
      <c r="Y26" s="130" t="n">
        <f aca="false">IF(AND(INPUTS!$C$21="JV",INPUTS!$G$153&gt;0),INPUTS!$D$195*INPUTS!$G$137/INPUTS!$G$153,0)*--(Y$7=INPUTS!$E$195)+(INPUTS!$G$137-IF(AND(INPUTS!$C$21="JV",INPUTS!$G$153&gt;0),INPUTS!$D$195*INPUTS!$G$137/INPUTS!$G$153,0))*CURVES!Y140</f>
        <v>0</v>
      </c>
      <c r="Z26" s="130" t="n">
        <f aca="false">IF(AND(INPUTS!$C$21="JV",INPUTS!$G$153&gt;0),INPUTS!$D$195*INPUTS!$G$137/INPUTS!$G$153,0)*--(Z$7=INPUTS!$E$195)+(INPUTS!$G$137-IF(AND(INPUTS!$C$21="JV",INPUTS!$G$153&gt;0),INPUTS!$D$195*INPUTS!$G$137/INPUTS!$G$153,0))*CURVES!Z140</f>
        <v>0</v>
      </c>
      <c r="AA26" s="130" t="n">
        <f aca="false">IF(AND(INPUTS!$C$21="JV",INPUTS!$G$153&gt;0),INPUTS!$D$195*INPUTS!$G$137/INPUTS!$G$153,0)*--(AA$7=INPUTS!$E$195)+(INPUTS!$G$137-IF(AND(INPUTS!$C$21="JV",INPUTS!$G$153&gt;0),INPUTS!$D$195*INPUTS!$G$137/INPUTS!$G$153,0))*CURVES!AA140</f>
        <v>0</v>
      </c>
      <c r="AB26" s="130" t="n">
        <f aca="false">IF(AND(INPUTS!$C$21="JV",INPUTS!$G$153&gt;0),INPUTS!$D$195*INPUTS!$G$137/INPUTS!$G$153,0)*--(AB$7=INPUTS!$E$195)+(INPUTS!$G$137-IF(AND(INPUTS!$C$21="JV",INPUTS!$G$153&gt;0),INPUTS!$D$195*INPUTS!$G$137/INPUTS!$G$153,0))*CURVES!AB140</f>
        <v>0</v>
      </c>
      <c r="AC26" s="130" t="n">
        <f aca="false">IF(AND(INPUTS!$C$21="JV",INPUTS!$G$153&gt;0),INPUTS!$D$195*INPUTS!$G$137/INPUTS!$G$153,0)*--(AC$7=INPUTS!$E$195)+(INPUTS!$G$137-IF(AND(INPUTS!$C$21="JV",INPUTS!$G$153&gt;0),INPUTS!$D$195*INPUTS!$G$137/INPUTS!$G$153,0))*CURVES!AC140</f>
        <v>0</v>
      </c>
      <c r="AD26" s="130" t="n">
        <f aca="false">IF(AND(INPUTS!$C$21="JV",INPUTS!$G$153&gt;0),INPUTS!$D$195*INPUTS!$G$137/INPUTS!$G$153,0)*--(AD$7=INPUTS!$E$195)+(INPUTS!$G$137-IF(AND(INPUTS!$C$21="JV",INPUTS!$G$153&gt;0),INPUTS!$D$195*INPUTS!$G$137/INPUTS!$G$153,0))*CURVES!AD140</f>
        <v>0</v>
      </c>
      <c r="AE26" s="130" t="n">
        <f aca="false">IF(AND(INPUTS!$C$21="JV",INPUTS!$G$153&gt;0),INPUTS!$D$195*INPUTS!$G$137/INPUTS!$G$153,0)*--(AE$7=INPUTS!$E$195)+(INPUTS!$G$137-IF(AND(INPUTS!$C$21="JV",INPUTS!$G$153&gt;0),INPUTS!$D$195*INPUTS!$G$137/INPUTS!$G$153,0))*CURVES!AE140</f>
        <v>0</v>
      </c>
      <c r="AF26" s="130" t="n">
        <f aca="false">IF(AND(INPUTS!$C$21="JV",INPUTS!$G$153&gt;0),INPUTS!$D$195*INPUTS!$G$137/INPUTS!$G$153,0)*--(AF$7=INPUTS!$E$195)+(INPUTS!$G$137-IF(AND(INPUTS!$C$21="JV",INPUTS!$G$153&gt;0),INPUTS!$D$195*INPUTS!$G$137/INPUTS!$G$153,0))*CURVES!AF140</f>
        <v>0</v>
      </c>
      <c r="AG26" s="130" t="n">
        <f aca="false">IF(AND(INPUTS!$C$21="JV",INPUTS!$G$153&gt;0),INPUTS!$D$195*INPUTS!$G$137/INPUTS!$G$153,0)*--(AG$7=INPUTS!$E$195)+(INPUTS!$G$137-IF(AND(INPUTS!$C$21="JV",INPUTS!$G$153&gt;0),INPUTS!$D$195*INPUTS!$G$137/INPUTS!$G$153,0))*CURVES!AG140</f>
        <v>0</v>
      </c>
      <c r="AH26" s="130" t="n">
        <f aca="false">IF(AND(INPUTS!$C$21="JV",INPUTS!$G$153&gt;0),INPUTS!$D$195*INPUTS!$G$137/INPUTS!$G$153,0)*--(AH$7=INPUTS!$E$195)+(INPUTS!$G$137-IF(AND(INPUTS!$C$21="JV",INPUTS!$G$153&gt;0),INPUTS!$D$195*INPUTS!$G$137/INPUTS!$G$153,0))*CURVES!AH140</f>
        <v>0</v>
      </c>
      <c r="AI26" s="130" t="n">
        <f aca="false">IF(AND(INPUTS!$C$21="JV",INPUTS!$G$153&gt;0),INPUTS!$D$195*INPUTS!$G$137/INPUTS!$G$153,0)*--(AI$7=INPUTS!$E$195)+(INPUTS!$G$137-IF(AND(INPUTS!$C$21="JV",INPUTS!$G$153&gt;0),INPUTS!$D$195*INPUTS!$G$137/INPUTS!$G$153,0))*CURVES!AI140</f>
        <v>0</v>
      </c>
      <c r="AJ26" s="130" t="n">
        <f aca="false">IF(AND(INPUTS!$C$21="JV",INPUTS!$G$153&gt;0),INPUTS!$D$195*INPUTS!$G$137/INPUTS!$G$153,0)*--(AJ$7=INPUTS!$E$195)+(INPUTS!$G$137-IF(AND(INPUTS!$C$21="JV",INPUTS!$G$153&gt;0),INPUTS!$D$195*INPUTS!$G$137/INPUTS!$G$153,0))*CURVES!AJ140</f>
        <v>0</v>
      </c>
      <c r="AK26" s="130" t="n">
        <f aca="false">IF(AND(INPUTS!$C$21="JV",INPUTS!$G$153&gt;0),INPUTS!$D$195*INPUTS!$G$137/INPUTS!$G$153,0)*--(AK$7=INPUTS!$E$195)+(INPUTS!$G$137-IF(AND(INPUTS!$C$21="JV",INPUTS!$G$153&gt;0),INPUTS!$D$195*INPUTS!$G$137/INPUTS!$G$153,0))*CURVES!AK140</f>
        <v>0</v>
      </c>
      <c r="AL26" s="130" t="n">
        <f aca="false">IF(AND(INPUTS!$C$21="JV",INPUTS!$G$153&gt;0),INPUTS!$D$195*INPUTS!$G$137/INPUTS!$G$153,0)*--(AL$7=INPUTS!$E$195)+(INPUTS!$G$137-IF(AND(INPUTS!$C$21="JV",INPUTS!$G$153&gt;0),INPUTS!$D$195*INPUTS!$G$137/INPUTS!$G$153,0))*CURVES!AL140</f>
        <v>0</v>
      </c>
      <c r="AM26" s="130" t="n">
        <f aca="false">IF(AND(INPUTS!$C$21="JV",INPUTS!$G$153&gt;0),INPUTS!$D$195*INPUTS!$G$137/INPUTS!$G$153,0)*--(AM$7=INPUTS!$E$195)+(INPUTS!$G$137-IF(AND(INPUTS!$C$21="JV",INPUTS!$G$153&gt;0),INPUTS!$D$195*INPUTS!$G$137/INPUTS!$G$153,0))*CURVES!AM140</f>
        <v>0</v>
      </c>
      <c r="AN26" s="130" t="n">
        <f aca="false">IF(AND(INPUTS!$C$21="JV",INPUTS!$G$153&gt;0),INPUTS!$D$195*INPUTS!$G$137/INPUTS!$G$153,0)*--(AN$7=INPUTS!$E$195)+(INPUTS!$G$137-IF(AND(INPUTS!$C$21="JV",INPUTS!$G$153&gt;0),INPUTS!$D$195*INPUTS!$G$137/INPUTS!$G$153,0))*CURVES!AN140</f>
        <v>0</v>
      </c>
      <c r="AO26" s="130" t="n">
        <f aca="false">IF(AND(INPUTS!$C$21="JV",INPUTS!$G$153&gt;0),INPUTS!$D$195*INPUTS!$G$137/INPUTS!$G$153,0)*--(AO$7=INPUTS!$E$195)+(INPUTS!$G$137-IF(AND(INPUTS!$C$21="JV",INPUTS!$G$153&gt;0),INPUTS!$D$195*INPUTS!$G$137/INPUTS!$G$153,0))*CURVES!AO140</f>
        <v>0</v>
      </c>
      <c r="AP26" s="130" t="n">
        <f aca="false">IF(AND(INPUTS!$C$21="JV",INPUTS!$G$153&gt;0),INPUTS!$D$195*INPUTS!$G$137/INPUTS!$G$153,0)*--(AP$7=INPUTS!$E$195)+(INPUTS!$G$137-IF(AND(INPUTS!$C$21="JV",INPUTS!$G$153&gt;0),INPUTS!$D$195*INPUTS!$G$137/INPUTS!$G$153,0))*CURVES!AP140</f>
        <v>0</v>
      </c>
      <c r="AQ26" s="130" t="n">
        <f aca="false">IF(AND(INPUTS!$C$21="JV",INPUTS!$G$153&gt;0),INPUTS!$D$195*INPUTS!$G$137/INPUTS!$G$153,0)*--(AQ$7=INPUTS!$E$195)+(INPUTS!$G$137-IF(AND(INPUTS!$C$21="JV",INPUTS!$G$153&gt;0),INPUTS!$D$195*INPUTS!$G$137/INPUTS!$G$153,0))*CURVES!AQ140</f>
        <v>0</v>
      </c>
    </row>
    <row r="27" customFormat="false" ht="15" hidden="false" customHeight="false" outlineLevel="0" collapsed="false">
      <c r="B27" s="121" t="str">
        <f aca="false">IF(INPUTS!$B$138="","Spare cost row",INPUTS!$B$138)</f>
        <v>Corporate Overheads (₹/Sq Ft SA)</v>
      </c>
      <c r="C27" s="129" t="n">
        <f aca="false">SUM(D27:AQ27)</f>
        <v>32.12</v>
      </c>
      <c r="D27" s="130" t="n">
        <f aca="false">INPUTS!$G$138*CURVES!D143</f>
        <v>1.606</v>
      </c>
      <c r="E27" s="130" t="n">
        <f aca="false">INPUTS!$G$138*CURVES!E143</f>
        <v>1.606</v>
      </c>
      <c r="F27" s="130" t="n">
        <f aca="false">INPUTS!$G$138*CURVES!F143</f>
        <v>1.606</v>
      </c>
      <c r="G27" s="130" t="n">
        <f aca="false">INPUTS!$G$138*CURVES!G143</f>
        <v>1.606</v>
      </c>
      <c r="H27" s="130" t="n">
        <f aca="false">INPUTS!$G$138*CURVES!H143</f>
        <v>1.606</v>
      </c>
      <c r="I27" s="130" t="n">
        <f aca="false">INPUTS!$G$138*CURVES!I143</f>
        <v>1.606</v>
      </c>
      <c r="J27" s="130" t="n">
        <f aca="false">INPUTS!$G$138*CURVES!J143</f>
        <v>1.606</v>
      </c>
      <c r="K27" s="130" t="n">
        <f aca="false">INPUTS!$G$138*CURVES!K143</f>
        <v>1.606</v>
      </c>
      <c r="L27" s="130" t="n">
        <f aca="false">INPUTS!$G$138*CURVES!L143</f>
        <v>1.606</v>
      </c>
      <c r="M27" s="130" t="n">
        <f aca="false">INPUTS!$G$138*CURVES!M143</f>
        <v>1.606</v>
      </c>
      <c r="N27" s="130" t="n">
        <f aca="false">INPUTS!$G$138*CURVES!N143</f>
        <v>1.606</v>
      </c>
      <c r="O27" s="130" t="n">
        <f aca="false">INPUTS!$G$138*CURVES!O143</f>
        <v>1.606</v>
      </c>
      <c r="P27" s="130" t="n">
        <f aca="false">INPUTS!$G$138*CURVES!P143</f>
        <v>1.606</v>
      </c>
      <c r="Q27" s="130" t="n">
        <f aca="false">INPUTS!$G$138*CURVES!Q143</f>
        <v>1.606</v>
      </c>
      <c r="R27" s="130" t="n">
        <f aca="false">INPUTS!$G$138*CURVES!R143</f>
        <v>1.606</v>
      </c>
      <c r="S27" s="130" t="n">
        <f aca="false">INPUTS!$G$138*CURVES!S143</f>
        <v>1.606</v>
      </c>
      <c r="T27" s="130" t="n">
        <f aca="false">INPUTS!$G$138*CURVES!T143</f>
        <v>1.606</v>
      </c>
      <c r="U27" s="130" t="n">
        <f aca="false">INPUTS!$G$138*CURVES!U143</f>
        <v>1.606</v>
      </c>
      <c r="V27" s="130" t="n">
        <f aca="false">INPUTS!$G$138*CURVES!V143</f>
        <v>1.606</v>
      </c>
      <c r="W27" s="130" t="n">
        <f aca="false">INPUTS!$G$138*CURVES!W143</f>
        <v>1.606</v>
      </c>
      <c r="X27" s="130" t="n">
        <f aca="false">INPUTS!$G$138*CURVES!X143</f>
        <v>0</v>
      </c>
      <c r="Y27" s="130" t="n">
        <f aca="false">INPUTS!$G$138*CURVES!Y143</f>
        <v>0</v>
      </c>
      <c r="Z27" s="130" t="n">
        <f aca="false">INPUTS!$G$138*CURVES!Z143</f>
        <v>0</v>
      </c>
      <c r="AA27" s="130" t="n">
        <f aca="false">INPUTS!$G$138*CURVES!AA143</f>
        <v>0</v>
      </c>
      <c r="AB27" s="130" t="n">
        <f aca="false">INPUTS!$G$138*CURVES!AB143</f>
        <v>0</v>
      </c>
      <c r="AC27" s="130" t="n">
        <f aca="false">INPUTS!$G$138*CURVES!AC143</f>
        <v>0</v>
      </c>
      <c r="AD27" s="130" t="n">
        <f aca="false">INPUTS!$G$138*CURVES!AD143</f>
        <v>0</v>
      </c>
      <c r="AE27" s="130" t="n">
        <f aca="false">INPUTS!$G$138*CURVES!AE143</f>
        <v>0</v>
      </c>
      <c r="AF27" s="130" t="n">
        <f aca="false">INPUTS!$G$138*CURVES!AF143</f>
        <v>0</v>
      </c>
      <c r="AG27" s="130" t="n">
        <f aca="false">INPUTS!$G$138*CURVES!AG143</f>
        <v>0</v>
      </c>
      <c r="AH27" s="130" t="n">
        <f aca="false">INPUTS!$G$138*CURVES!AH143</f>
        <v>0</v>
      </c>
      <c r="AI27" s="130" t="n">
        <f aca="false">INPUTS!$G$138*CURVES!AI143</f>
        <v>0</v>
      </c>
      <c r="AJ27" s="130" t="n">
        <f aca="false">INPUTS!$G$138*CURVES!AJ143</f>
        <v>0</v>
      </c>
      <c r="AK27" s="130" t="n">
        <f aca="false">INPUTS!$G$138*CURVES!AK143</f>
        <v>0</v>
      </c>
      <c r="AL27" s="130" t="n">
        <f aca="false">INPUTS!$G$138*CURVES!AL143</f>
        <v>0</v>
      </c>
      <c r="AM27" s="130" t="n">
        <f aca="false">INPUTS!$G$138*CURVES!AM143</f>
        <v>0</v>
      </c>
      <c r="AN27" s="130" t="n">
        <f aca="false">INPUTS!$G$138*CURVES!AN143</f>
        <v>0</v>
      </c>
      <c r="AO27" s="130" t="n">
        <f aca="false">INPUTS!$G$138*CURVES!AO143</f>
        <v>0</v>
      </c>
      <c r="AP27" s="130" t="n">
        <f aca="false">INPUTS!$G$138*CURVES!AP143</f>
        <v>0</v>
      </c>
      <c r="AQ27" s="130" t="n">
        <f aca="false">INPUTS!$G$138*CURVES!AQ143</f>
        <v>0</v>
      </c>
    </row>
    <row r="28" customFormat="false" ht="15" hidden="false" customHeight="false" outlineLevel="0" collapsed="false">
      <c r="B28" s="121" t="str">
        <f aca="false">INPUTS!$B$139</f>
        <v>Marketing &amp; Sales @ %</v>
      </c>
      <c r="C28" s="129" t="n">
        <f aca="false">SUM(D28:AQ28)</f>
        <v>56.21</v>
      </c>
      <c r="D28" s="130" t="n">
        <f aca="false">IF(INPUTS!$C$21="JV",INPUTS!$D$196,0)*--(D$7=INPUTS!$E$196)+(INPUTS!$G$139-IF(INPUTS!$C$21="JV",INPUTS!$D$196,0))*CURVES!D146</f>
        <v>0</v>
      </c>
      <c r="E28" s="130" t="n">
        <f aca="false">IF(INPUTS!$C$21="JV",INPUTS!$D$196,0)*--(E$7=INPUTS!$E$196)+(INPUTS!$G$139-IF(INPUTS!$C$21="JV",INPUTS!$D$196,0))*CURVES!E146</f>
        <v>0</v>
      </c>
      <c r="F28" s="130" t="n">
        <f aca="false">IF(INPUTS!$C$21="JV",INPUTS!$D$196,0)*--(F$7=INPUTS!$E$196)+(INPUTS!$G$139-IF(INPUTS!$C$21="JV",INPUTS!$D$196,0))*CURVES!F146</f>
        <v>4.27777777777778</v>
      </c>
      <c r="G28" s="130" t="n">
        <f aca="false">IF(INPUTS!$C$21="JV",INPUTS!$D$196,0)*--(G$7=INPUTS!$E$196)+(INPUTS!$G$139-IF(INPUTS!$C$21="JV",INPUTS!$D$196,0))*CURVES!G146</f>
        <v>6.36805555555556</v>
      </c>
      <c r="H28" s="130" t="n">
        <f aca="false">IF(INPUTS!$C$21="JV",INPUTS!$D$196,0)*--(H$7=INPUTS!$E$196)+(INPUTS!$G$139-IF(INPUTS!$C$21="JV",INPUTS!$D$196,0))*CURVES!H146</f>
        <v>5.83333333333333</v>
      </c>
      <c r="I28" s="130" t="n">
        <f aca="false">IF(INPUTS!$C$21="JV",INPUTS!$D$196,0)*--(I$7=INPUTS!$E$196)+(INPUTS!$G$139-IF(INPUTS!$C$21="JV",INPUTS!$D$196,0))*CURVES!I146</f>
        <v>5.61361111111111</v>
      </c>
      <c r="J28" s="130" t="n">
        <f aca="false">IF(INPUTS!$C$21="JV",INPUTS!$D$196,0)*--(J$7=INPUTS!$E$196)+(INPUTS!$G$139-IF(INPUTS!$C$21="JV",INPUTS!$D$196,0))*CURVES!J146</f>
        <v>5.07888888888889</v>
      </c>
      <c r="K28" s="130" t="n">
        <f aca="false">IF(INPUTS!$C$21="JV",INPUTS!$D$196,0)*--(K$7=INPUTS!$E$196)+(INPUTS!$G$139-IF(INPUTS!$C$21="JV",INPUTS!$D$196,0))*CURVES!K146</f>
        <v>4.62583333333333</v>
      </c>
      <c r="L28" s="130" t="n">
        <f aca="false">IF(INPUTS!$C$21="JV",INPUTS!$D$196,0)*--(L$7=INPUTS!$E$196)+(INPUTS!$G$139-IF(INPUTS!$C$21="JV",INPUTS!$D$196,0))*CURVES!L146</f>
        <v>4.17277777777778</v>
      </c>
      <c r="M28" s="130" t="n">
        <f aca="false">IF(INPUTS!$C$21="JV",INPUTS!$D$196,0)*--(M$7=INPUTS!$E$196)+(INPUTS!$G$139-IF(INPUTS!$C$21="JV",INPUTS!$D$196,0))*CURVES!M146</f>
        <v>3.71972222222222</v>
      </c>
      <c r="N28" s="130" t="n">
        <f aca="false">IF(INPUTS!$C$21="JV",INPUTS!$D$196,0)*--(N$7=INPUTS!$E$196)+(INPUTS!$G$139-IF(INPUTS!$C$21="JV",INPUTS!$D$196,0))*CURVES!N146</f>
        <v>3.26666666666667</v>
      </c>
      <c r="O28" s="130" t="n">
        <f aca="false">IF(INPUTS!$C$21="JV",INPUTS!$D$196,0)*--(O$7=INPUTS!$E$196)+(INPUTS!$G$139-IF(INPUTS!$C$21="JV",INPUTS!$D$196,0))*CURVES!O146</f>
        <v>3.34833333333333</v>
      </c>
      <c r="P28" s="130" t="n">
        <f aca="false">IF(INPUTS!$C$21="JV",INPUTS!$D$196,0)*--(P$7=INPUTS!$E$196)+(INPUTS!$G$139-IF(INPUTS!$C$21="JV",INPUTS!$D$196,0))*CURVES!P146</f>
        <v>3.43</v>
      </c>
      <c r="Q28" s="130" t="n">
        <f aca="false">IF(INPUTS!$C$21="JV",INPUTS!$D$196,0)*--(Q$7=INPUTS!$E$196)+(INPUTS!$G$139-IF(INPUTS!$C$21="JV",INPUTS!$D$196,0))*CURVES!Q146</f>
        <v>3.19666666666667</v>
      </c>
      <c r="R28" s="130" t="n">
        <f aca="false">IF(INPUTS!$C$21="JV",INPUTS!$D$196,0)*--(R$7=INPUTS!$E$196)+(INPUTS!$G$139-IF(INPUTS!$C$21="JV",INPUTS!$D$196,0))*CURVES!R146</f>
        <v>3.27833333333333</v>
      </c>
      <c r="S28" s="130" t="n">
        <f aca="false">IF(INPUTS!$C$21="JV",INPUTS!$D$196,0)*--(S$7=INPUTS!$E$196)+(INPUTS!$G$139-IF(INPUTS!$C$21="JV",INPUTS!$D$196,0))*CURVES!S146</f>
        <v>0</v>
      </c>
      <c r="T28" s="130" t="n">
        <f aca="false">IF(INPUTS!$C$21="JV",INPUTS!$D$196,0)*--(T$7=INPUTS!$E$196)+(INPUTS!$G$139-IF(INPUTS!$C$21="JV",INPUTS!$D$196,0))*CURVES!T146</f>
        <v>0</v>
      </c>
      <c r="U28" s="130" t="n">
        <f aca="false">IF(INPUTS!$C$21="JV",INPUTS!$D$196,0)*--(U$7=INPUTS!$E$196)+(INPUTS!$G$139-IF(INPUTS!$C$21="JV",INPUTS!$D$196,0))*CURVES!U146</f>
        <v>0</v>
      </c>
      <c r="V28" s="130" t="n">
        <f aca="false">IF(INPUTS!$C$21="JV",INPUTS!$D$196,0)*--(V$7=INPUTS!$E$196)+(INPUTS!$G$139-IF(INPUTS!$C$21="JV",INPUTS!$D$196,0))*CURVES!V146</f>
        <v>0</v>
      </c>
      <c r="W28" s="130" t="n">
        <f aca="false">IF(INPUTS!$C$21="JV",INPUTS!$D$196,0)*--(W$7=INPUTS!$E$196)+(INPUTS!$G$139-IF(INPUTS!$C$21="JV",INPUTS!$D$196,0))*CURVES!W146</f>
        <v>0</v>
      </c>
      <c r="X28" s="130" t="n">
        <f aca="false">IF(INPUTS!$C$21="JV",INPUTS!$D$196,0)*--(X$7=INPUTS!$E$196)+(INPUTS!$G$139-IF(INPUTS!$C$21="JV",INPUTS!$D$196,0))*CURVES!X146</f>
        <v>0</v>
      </c>
      <c r="Y28" s="130" t="n">
        <f aca="false">IF(INPUTS!$C$21="JV",INPUTS!$D$196,0)*--(Y$7=INPUTS!$E$196)+(INPUTS!$G$139-IF(INPUTS!$C$21="JV",INPUTS!$D$196,0))*CURVES!Y146</f>
        <v>0</v>
      </c>
      <c r="Z28" s="130" t="n">
        <f aca="false">IF(INPUTS!$C$21="JV",INPUTS!$D$196,0)*--(Z$7=INPUTS!$E$196)+(INPUTS!$G$139-IF(INPUTS!$C$21="JV",INPUTS!$D$196,0))*CURVES!Z146</f>
        <v>0</v>
      </c>
      <c r="AA28" s="130" t="n">
        <f aca="false">IF(INPUTS!$C$21="JV",INPUTS!$D$196,0)*--(AA$7=INPUTS!$E$196)+(INPUTS!$G$139-IF(INPUTS!$C$21="JV",INPUTS!$D$196,0))*CURVES!AA146</f>
        <v>0</v>
      </c>
      <c r="AB28" s="130" t="n">
        <f aca="false">IF(INPUTS!$C$21="JV",INPUTS!$D$196,0)*--(AB$7=INPUTS!$E$196)+(INPUTS!$G$139-IF(INPUTS!$C$21="JV",INPUTS!$D$196,0))*CURVES!AB146</f>
        <v>0</v>
      </c>
      <c r="AC28" s="130" t="n">
        <f aca="false">IF(INPUTS!$C$21="JV",INPUTS!$D$196,0)*--(AC$7=INPUTS!$E$196)+(INPUTS!$G$139-IF(INPUTS!$C$21="JV",INPUTS!$D$196,0))*CURVES!AC146</f>
        <v>0</v>
      </c>
      <c r="AD28" s="130" t="n">
        <f aca="false">IF(INPUTS!$C$21="JV",INPUTS!$D$196,0)*--(AD$7=INPUTS!$E$196)+(INPUTS!$G$139-IF(INPUTS!$C$21="JV",INPUTS!$D$196,0))*CURVES!AD146</f>
        <v>0</v>
      </c>
      <c r="AE28" s="130" t="n">
        <f aca="false">IF(INPUTS!$C$21="JV",INPUTS!$D$196,0)*--(AE$7=INPUTS!$E$196)+(INPUTS!$G$139-IF(INPUTS!$C$21="JV",INPUTS!$D$196,0))*CURVES!AE146</f>
        <v>0</v>
      </c>
      <c r="AF28" s="130" t="n">
        <f aca="false">IF(INPUTS!$C$21="JV",INPUTS!$D$196,0)*--(AF$7=INPUTS!$E$196)+(INPUTS!$G$139-IF(INPUTS!$C$21="JV",INPUTS!$D$196,0))*CURVES!AF146</f>
        <v>0</v>
      </c>
      <c r="AG28" s="130" t="n">
        <f aca="false">IF(INPUTS!$C$21="JV",INPUTS!$D$196,0)*--(AG$7=INPUTS!$E$196)+(INPUTS!$G$139-IF(INPUTS!$C$21="JV",INPUTS!$D$196,0))*CURVES!AG146</f>
        <v>0</v>
      </c>
      <c r="AH28" s="130" t="n">
        <f aca="false">IF(INPUTS!$C$21="JV",INPUTS!$D$196,0)*--(AH$7=INPUTS!$E$196)+(INPUTS!$G$139-IF(INPUTS!$C$21="JV",INPUTS!$D$196,0))*CURVES!AH146</f>
        <v>0</v>
      </c>
      <c r="AI28" s="130" t="n">
        <f aca="false">IF(INPUTS!$C$21="JV",INPUTS!$D$196,0)*--(AI$7=INPUTS!$E$196)+(INPUTS!$G$139-IF(INPUTS!$C$21="JV",INPUTS!$D$196,0))*CURVES!AI146</f>
        <v>0</v>
      </c>
      <c r="AJ28" s="130" t="n">
        <f aca="false">IF(INPUTS!$C$21="JV",INPUTS!$D$196,0)*--(AJ$7=INPUTS!$E$196)+(INPUTS!$G$139-IF(INPUTS!$C$21="JV",INPUTS!$D$196,0))*CURVES!AJ146</f>
        <v>0</v>
      </c>
      <c r="AK28" s="130" t="n">
        <f aca="false">IF(INPUTS!$C$21="JV",INPUTS!$D$196,0)*--(AK$7=INPUTS!$E$196)+(INPUTS!$G$139-IF(INPUTS!$C$21="JV",INPUTS!$D$196,0))*CURVES!AK146</f>
        <v>0</v>
      </c>
      <c r="AL28" s="130" t="n">
        <f aca="false">IF(INPUTS!$C$21="JV",INPUTS!$D$196,0)*--(AL$7=INPUTS!$E$196)+(INPUTS!$G$139-IF(INPUTS!$C$21="JV",INPUTS!$D$196,0))*CURVES!AL146</f>
        <v>0</v>
      </c>
      <c r="AM28" s="130" t="n">
        <f aca="false">IF(INPUTS!$C$21="JV",INPUTS!$D$196,0)*--(AM$7=INPUTS!$E$196)+(INPUTS!$G$139-IF(INPUTS!$C$21="JV",INPUTS!$D$196,0))*CURVES!AM146</f>
        <v>0</v>
      </c>
      <c r="AN28" s="130" t="n">
        <f aca="false">IF(INPUTS!$C$21="JV",INPUTS!$D$196,0)*--(AN$7=INPUTS!$E$196)+(INPUTS!$G$139-IF(INPUTS!$C$21="JV",INPUTS!$D$196,0))*CURVES!AN146</f>
        <v>0</v>
      </c>
      <c r="AO28" s="130" t="n">
        <f aca="false">IF(INPUTS!$C$21="JV",INPUTS!$D$196,0)*--(AO$7=INPUTS!$E$196)+(INPUTS!$G$139-IF(INPUTS!$C$21="JV",INPUTS!$D$196,0))*CURVES!AO146</f>
        <v>0</v>
      </c>
      <c r="AP28" s="130" t="n">
        <f aca="false">IF(INPUTS!$C$21="JV",INPUTS!$D$196,0)*--(AP$7=INPUTS!$E$196)+(INPUTS!$G$139-IF(INPUTS!$C$21="JV",INPUTS!$D$196,0))*CURVES!AP146</f>
        <v>0</v>
      </c>
      <c r="AQ28" s="130" t="n">
        <f aca="false">IF(INPUTS!$C$21="JV",INPUTS!$D$196,0)*--(AQ$7=INPUTS!$E$196)+(INPUTS!$G$139-IF(INPUTS!$C$21="JV",INPUTS!$D$196,0))*CURVES!AQ146</f>
        <v>0</v>
      </c>
    </row>
    <row r="29" customFormat="false" ht="15" hidden="false" customHeight="false" outlineLevel="0" collapsed="false">
      <c r="B29" s="121" t="str">
        <f aca="false">INPUTS!$B$140</f>
        <v>Legal &amp; Compliance (₹/Sq Ft SA)</v>
      </c>
      <c r="C29" s="129" t="n">
        <f aca="false">SUM(D29:AQ29)</f>
        <v>6.9</v>
      </c>
      <c r="D29" s="130" t="n">
        <f aca="false">IF(INPUTS!$C$21="JV",INPUTS!$D$194,0)*--(D$7=INPUTS!$E$194)+(INPUTS!$G$140-IF(INPUTS!$C$21="JV",INPUTS!$D$194,0))*CURVES!D149</f>
        <v>0</v>
      </c>
      <c r="E29" s="130" t="n">
        <f aca="false">IF(INPUTS!$C$21="JV",INPUTS!$D$194,0)*--(E$7=INPUTS!$E$194)+(INPUTS!$G$140-IF(INPUTS!$C$21="JV",INPUTS!$D$194,0))*CURVES!E149</f>
        <v>6.9</v>
      </c>
      <c r="F29" s="130" t="n">
        <f aca="false">IF(INPUTS!$C$21="JV",INPUTS!$D$194,0)*--(F$7=INPUTS!$E$194)+(INPUTS!$G$140-IF(INPUTS!$C$21="JV",INPUTS!$D$194,0))*CURVES!F149</f>
        <v>0</v>
      </c>
      <c r="G29" s="130" t="n">
        <f aca="false">IF(INPUTS!$C$21="JV",INPUTS!$D$194,0)*--(G$7=INPUTS!$E$194)+(INPUTS!$G$140-IF(INPUTS!$C$21="JV",INPUTS!$D$194,0))*CURVES!G149</f>
        <v>0</v>
      </c>
      <c r="H29" s="130" t="n">
        <f aca="false">IF(INPUTS!$C$21="JV",INPUTS!$D$194,0)*--(H$7=INPUTS!$E$194)+(INPUTS!$G$140-IF(INPUTS!$C$21="JV",INPUTS!$D$194,0))*CURVES!H149</f>
        <v>0</v>
      </c>
      <c r="I29" s="130" t="n">
        <f aca="false">IF(INPUTS!$C$21="JV",INPUTS!$D$194,0)*--(I$7=INPUTS!$E$194)+(INPUTS!$G$140-IF(INPUTS!$C$21="JV",INPUTS!$D$194,0))*CURVES!I149</f>
        <v>0</v>
      </c>
      <c r="J29" s="130" t="n">
        <f aca="false">IF(INPUTS!$C$21="JV",INPUTS!$D$194,0)*--(J$7=INPUTS!$E$194)+(INPUTS!$G$140-IF(INPUTS!$C$21="JV",INPUTS!$D$194,0))*CURVES!J149</f>
        <v>0</v>
      </c>
      <c r="K29" s="130" t="n">
        <f aca="false">IF(INPUTS!$C$21="JV",INPUTS!$D$194,0)*--(K$7=INPUTS!$E$194)+(INPUTS!$G$140-IF(INPUTS!$C$21="JV",INPUTS!$D$194,0))*CURVES!K149</f>
        <v>0</v>
      </c>
      <c r="L29" s="130" t="n">
        <f aca="false">IF(INPUTS!$C$21="JV",INPUTS!$D$194,0)*--(L$7=INPUTS!$E$194)+(INPUTS!$G$140-IF(INPUTS!$C$21="JV",INPUTS!$D$194,0))*CURVES!L149</f>
        <v>0</v>
      </c>
      <c r="M29" s="130" t="n">
        <f aca="false">IF(INPUTS!$C$21="JV",INPUTS!$D$194,0)*--(M$7=INPUTS!$E$194)+(INPUTS!$G$140-IF(INPUTS!$C$21="JV",INPUTS!$D$194,0))*CURVES!M149</f>
        <v>0</v>
      </c>
      <c r="N29" s="130" t="n">
        <f aca="false">IF(INPUTS!$C$21="JV",INPUTS!$D$194,0)*--(N$7=INPUTS!$E$194)+(INPUTS!$G$140-IF(INPUTS!$C$21="JV",INPUTS!$D$194,0))*CURVES!N149</f>
        <v>0</v>
      </c>
      <c r="O29" s="130" t="n">
        <f aca="false">IF(INPUTS!$C$21="JV",INPUTS!$D$194,0)*--(O$7=INPUTS!$E$194)+(INPUTS!$G$140-IF(INPUTS!$C$21="JV",INPUTS!$D$194,0))*CURVES!O149</f>
        <v>0</v>
      </c>
      <c r="P29" s="130" t="n">
        <f aca="false">IF(INPUTS!$C$21="JV",INPUTS!$D$194,0)*--(P$7=INPUTS!$E$194)+(INPUTS!$G$140-IF(INPUTS!$C$21="JV",INPUTS!$D$194,0))*CURVES!P149</f>
        <v>0</v>
      </c>
      <c r="Q29" s="130" t="n">
        <f aca="false">IF(INPUTS!$C$21="JV",INPUTS!$D$194,0)*--(Q$7=INPUTS!$E$194)+(INPUTS!$G$140-IF(INPUTS!$C$21="JV",INPUTS!$D$194,0))*CURVES!Q149</f>
        <v>0</v>
      </c>
      <c r="R29" s="130" t="n">
        <f aca="false">IF(INPUTS!$C$21="JV",INPUTS!$D$194,0)*--(R$7=INPUTS!$E$194)+(INPUTS!$G$140-IF(INPUTS!$C$21="JV",INPUTS!$D$194,0))*CURVES!R149</f>
        <v>0</v>
      </c>
      <c r="S29" s="130" t="n">
        <f aca="false">IF(INPUTS!$C$21="JV",INPUTS!$D$194,0)*--(S$7=INPUTS!$E$194)+(INPUTS!$G$140-IF(INPUTS!$C$21="JV",INPUTS!$D$194,0))*CURVES!S149</f>
        <v>0</v>
      </c>
      <c r="T29" s="130" t="n">
        <f aca="false">IF(INPUTS!$C$21="JV",INPUTS!$D$194,0)*--(T$7=INPUTS!$E$194)+(INPUTS!$G$140-IF(INPUTS!$C$21="JV",INPUTS!$D$194,0))*CURVES!T149</f>
        <v>0</v>
      </c>
      <c r="U29" s="130" t="n">
        <f aca="false">IF(INPUTS!$C$21="JV",INPUTS!$D$194,0)*--(U$7=INPUTS!$E$194)+(INPUTS!$G$140-IF(INPUTS!$C$21="JV",INPUTS!$D$194,0))*CURVES!U149</f>
        <v>0</v>
      </c>
      <c r="V29" s="130" t="n">
        <f aca="false">IF(INPUTS!$C$21="JV",INPUTS!$D$194,0)*--(V$7=INPUTS!$E$194)+(INPUTS!$G$140-IF(INPUTS!$C$21="JV",INPUTS!$D$194,0))*CURVES!V149</f>
        <v>0</v>
      </c>
      <c r="W29" s="130" t="n">
        <f aca="false">IF(INPUTS!$C$21="JV",INPUTS!$D$194,0)*--(W$7=INPUTS!$E$194)+(INPUTS!$G$140-IF(INPUTS!$C$21="JV",INPUTS!$D$194,0))*CURVES!W149</f>
        <v>0</v>
      </c>
      <c r="X29" s="130" t="n">
        <f aca="false">IF(INPUTS!$C$21="JV",INPUTS!$D$194,0)*--(X$7=INPUTS!$E$194)+(INPUTS!$G$140-IF(INPUTS!$C$21="JV",INPUTS!$D$194,0))*CURVES!X149</f>
        <v>0</v>
      </c>
      <c r="Y29" s="130" t="n">
        <f aca="false">IF(INPUTS!$C$21="JV",INPUTS!$D$194,0)*--(Y$7=INPUTS!$E$194)+(INPUTS!$G$140-IF(INPUTS!$C$21="JV",INPUTS!$D$194,0))*CURVES!Y149</f>
        <v>0</v>
      </c>
      <c r="Z29" s="130" t="n">
        <f aca="false">IF(INPUTS!$C$21="JV",INPUTS!$D$194,0)*--(Z$7=INPUTS!$E$194)+(INPUTS!$G$140-IF(INPUTS!$C$21="JV",INPUTS!$D$194,0))*CURVES!Z149</f>
        <v>0</v>
      </c>
      <c r="AA29" s="130" t="n">
        <f aca="false">IF(INPUTS!$C$21="JV",INPUTS!$D$194,0)*--(AA$7=INPUTS!$E$194)+(INPUTS!$G$140-IF(INPUTS!$C$21="JV",INPUTS!$D$194,0))*CURVES!AA149</f>
        <v>0</v>
      </c>
      <c r="AB29" s="130" t="n">
        <f aca="false">IF(INPUTS!$C$21="JV",INPUTS!$D$194,0)*--(AB$7=INPUTS!$E$194)+(INPUTS!$G$140-IF(INPUTS!$C$21="JV",INPUTS!$D$194,0))*CURVES!AB149</f>
        <v>0</v>
      </c>
      <c r="AC29" s="130" t="n">
        <f aca="false">IF(INPUTS!$C$21="JV",INPUTS!$D$194,0)*--(AC$7=INPUTS!$E$194)+(INPUTS!$G$140-IF(INPUTS!$C$21="JV",INPUTS!$D$194,0))*CURVES!AC149</f>
        <v>0</v>
      </c>
      <c r="AD29" s="130" t="n">
        <f aca="false">IF(INPUTS!$C$21="JV",INPUTS!$D$194,0)*--(AD$7=INPUTS!$E$194)+(INPUTS!$G$140-IF(INPUTS!$C$21="JV",INPUTS!$D$194,0))*CURVES!AD149</f>
        <v>0</v>
      </c>
      <c r="AE29" s="130" t="n">
        <f aca="false">IF(INPUTS!$C$21="JV",INPUTS!$D$194,0)*--(AE$7=INPUTS!$E$194)+(INPUTS!$G$140-IF(INPUTS!$C$21="JV",INPUTS!$D$194,0))*CURVES!AE149</f>
        <v>0</v>
      </c>
      <c r="AF29" s="130" t="n">
        <f aca="false">IF(INPUTS!$C$21="JV",INPUTS!$D$194,0)*--(AF$7=INPUTS!$E$194)+(INPUTS!$G$140-IF(INPUTS!$C$21="JV",INPUTS!$D$194,0))*CURVES!AF149</f>
        <v>0</v>
      </c>
      <c r="AG29" s="130" t="n">
        <f aca="false">IF(INPUTS!$C$21="JV",INPUTS!$D$194,0)*--(AG$7=INPUTS!$E$194)+(INPUTS!$G$140-IF(INPUTS!$C$21="JV",INPUTS!$D$194,0))*CURVES!AG149</f>
        <v>0</v>
      </c>
      <c r="AH29" s="130" t="n">
        <f aca="false">IF(INPUTS!$C$21="JV",INPUTS!$D$194,0)*--(AH$7=INPUTS!$E$194)+(INPUTS!$G$140-IF(INPUTS!$C$21="JV",INPUTS!$D$194,0))*CURVES!AH149</f>
        <v>0</v>
      </c>
      <c r="AI29" s="130" t="n">
        <f aca="false">IF(INPUTS!$C$21="JV",INPUTS!$D$194,0)*--(AI$7=INPUTS!$E$194)+(INPUTS!$G$140-IF(INPUTS!$C$21="JV",INPUTS!$D$194,0))*CURVES!AI149</f>
        <v>0</v>
      </c>
      <c r="AJ29" s="130" t="n">
        <f aca="false">IF(INPUTS!$C$21="JV",INPUTS!$D$194,0)*--(AJ$7=INPUTS!$E$194)+(INPUTS!$G$140-IF(INPUTS!$C$21="JV",INPUTS!$D$194,0))*CURVES!AJ149</f>
        <v>0</v>
      </c>
      <c r="AK29" s="130" t="n">
        <f aca="false">IF(INPUTS!$C$21="JV",INPUTS!$D$194,0)*--(AK$7=INPUTS!$E$194)+(INPUTS!$G$140-IF(INPUTS!$C$21="JV",INPUTS!$D$194,0))*CURVES!AK149</f>
        <v>0</v>
      </c>
      <c r="AL29" s="130" t="n">
        <f aca="false">IF(INPUTS!$C$21="JV",INPUTS!$D$194,0)*--(AL$7=INPUTS!$E$194)+(INPUTS!$G$140-IF(INPUTS!$C$21="JV",INPUTS!$D$194,0))*CURVES!AL149</f>
        <v>0</v>
      </c>
      <c r="AM29" s="130" t="n">
        <f aca="false">IF(INPUTS!$C$21="JV",INPUTS!$D$194,0)*--(AM$7=INPUTS!$E$194)+(INPUTS!$G$140-IF(INPUTS!$C$21="JV",INPUTS!$D$194,0))*CURVES!AM149</f>
        <v>0</v>
      </c>
      <c r="AN29" s="130" t="n">
        <f aca="false">IF(INPUTS!$C$21="JV",INPUTS!$D$194,0)*--(AN$7=INPUTS!$E$194)+(INPUTS!$G$140-IF(INPUTS!$C$21="JV",INPUTS!$D$194,0))*CURVES!AN149</f>
        <v>0</v>
      </c>
      <c r="AO29" s="130" t="n">
        <f aca="false">IF(INPUTS!$C$21="JV",INPUTS!$D$194,0)*--(AO$7=INPUTS!$E$194)+(INPUTS!$G$140-IF(INPUTS!$C$21="JV",INPUTS!$D$194,0))*CURVES!AO149</f>
        <v>0</v>
      </c>
      <c r="AP29" s="130" t="n">
        <f aca="false">IF(INPUTS!$C$21="JV",INPUTS!$D$194,0)*--(AP$7=INPUTS!$E$194)+(INPUTS!$G$140-IF(INPUTS!$C$21="JV",INPUTS!$D$194,0))*CURVES!AP149</f>
        <v>0</v>
      </c>
      <c r="AQ29" s="130" t="n">
        <f aca="false">IF(INPUTS!$C$21="JV",INPUTS!$D$194,0)*--(AQ$7=INPUTS!$E$194)+(INPUTS!$G$140-IF(INPUTS!$C$21="JV",INPUTS!$D$194,0))*CURVES!AQ149</f>
        <v>0</v>
      </c>
    </row>
    <row r="30" customFormat="false" ht="15" hidden="false" customHeight="false" outlineLevel="0" collapsed="false">
      <c r="B30" s="121" t="str">
        <f aca="false">IF(INPUTS!$B$141="","Spare cost row",INPUTS!$B$141)</f>
        <v>EWS / LIG @ ₹/Sq Ft (Builtup)</v>
      </c>
      <c r="C30" s="129" t="n">
        <f aca="false">SUM(D30:AQ30)</f>
        <v>1.84</v>
      </c>
      <c r="D30" s="130" t="n">
        <f aca="false">INPUTS!$G$141*CURVES!D152</f>
        <v>0</v>
      </c>
      <c r="E30" s="130" t="n">
        <f aca="false">INPUTS!$G$141*CURVES!E152</f>
        <v>0</v>
      </c>
      <c r="F30" s="130" t="n">
        <f aca="false">INPUTS!$G$141*CURVES!F152</f>
        <v>0</v>
      </c>
      <c r="G30" s="130" t="n">
        <f aca="false">INPUTS!$G$141*CURVES!G152</f>
        <v>0.00840513086730453</v>
      </c>
      <c r="H30" s="130" t="n">
        <f aca="false">INPUTS!$G$141*CURVES!H152</f>
        <v>0.0360179382178612</v>
      </c>
      <c r="I30" s="130" t="n">
        <f aca="false">INPUTS!$G$141*CURVES!I152</f>
        <v>0.0756603815879351</v>
      </c>
      <c r="J30" s="130" t="n">
        <f aca="false">INPUTS!$G$141*CURVES!J152</f>
        <v>0.113918686472596</v>
      </c>
      <c r="K30" s="130" t="n">
        <f aca="false">INPUTS!$G$141*CURVES!K152</f>
        <v>0.146039476221868</v>
      </c>
      <c r="L30" s="130" t="n">
        <f aca="false">INPUTS!$G$141*CURVES!L152</f>
        <v>0.170395949865505</v>
      </c>
      <c r="M30" s="130" t="n">
        <f aca="false">INPUTS!$G$141*CURVES!M152</f>
        <v>0.185806346869076</v>
      </c>
      <c r="N30" s="130" t="n">
        <f aca="false">INPUTS!$G$141*CURVES!N152</f>
        <v>0.191596109319667</v>
      </c>
      <c r="O30" s="130" t="n">
        <f aca="false">INPUTS!$G$141*CURVES!O152</f>
        <v>0.187629416483723</v>
      </c>
      <c r="P30" s="130" t="n">
        <f aca="false">INPUTS!$G$141*CURVES!P152</f>
        <v>0.174308497455277</v>
      </c>
      <c r="Q30" s="130" t="n">
        <f aca="false">INPUTS!$G$141*CURVES!Q152</f>
        <v>0.152541150852257</v>
      </c>
      <c r="R30" s="130" t="n">
        <f aca="false">INPUTS!$G$141*CURVES!R152</f>
        <v>0.123678879840887</v>
      </c>
      <c r="S30" s="130" t="n">
        <f aca="false">INPUTS!$G$141*CURVES!S152</f>
        <v>0.0978349893513181</v>
      </c>
      <c r="T30" s="130" t="n">
        <f aca="false">INPUTS!$G$141*CURVES!T152</f>
        <v>0.0763950626353731</v>
      </c>
      <c r="U30" s="130" t="n">
        <f aca="false">INPUTS!$G$141*CURVES!U152</f>
        <v>0.0547077663720982</v>
      </c>
      <c r="V30" s="130" t="n">
        <f aca="false">INPUTS!$G$141*CURVES!V152</f>
        <v>0.0336888761928341</v>
      </c>
      <c r="W30" s="130" t="n">
        <f aca="false">INPUTS!$G$141*CURVES!W152</f>
        <v>0.0113753413944189</v>
      </c>
      <c r="X30" s="130" t="n">
        <f aca="false">INPUTS!$G$141*CURVES!X152</f>
        <v>0</v>
      </c>
      <c r="Y30" s="130" t="n">
        <f aca="false">INPUTS!$G$141*CURVES!Y152</f>
        <v>0</v>
      </c>
      <c r="Z30" s="130" t="n">
        <f aca="false">INPUTS!$G$141*CURVES!Z152</f>
        <v>0</v>
      </c>
      <c r="AA30" s="130" t="n">
        <f aca="false">INPUTS!$G$141*CURVES!AA152</f>
        <v>0</v>
      </c>
      <c r="AB30" s="130" t="n">
        <f aca="false">INPUTS!$G$141*CURVES!AB152</f>
        <v>0</v>
      </c>
      <c r="AC30" s="130" t="n">
        <f aca="false">INPUTS!$G$141*CURVES!AC152</f>
        <v>0</v>
      </c>
      <c r="AD30" s="130" t="n">
        <f aca="false">INPUTS!$G$141*CURVES!AD152</f>
        <v>0</v>
      </c>
      <c r="AE30" s="130" t="n">
        <f aca="false">INPUTS!$G$141*CURVES!AE152</f>
        <v>0</v>
      </c>
      <c r="AF30" s="130" t="n">
        <f aca="false">INPUTS!$G$141*CURVES!AF152</f>
        <v>0</v>
      </c>
      <c r="AG30" s="130" t="n">
        <f aca="false">INPUTS!$G$141*CURVES!AG152</f>
        <v>0</v>
      </c>
      <c r="AH30" s="130" t="n">
        <f aca="false">INPUTS!$G$141*CURVES!AH152</f>
        <v>0</v>
      </c>
      <c r="AI30" s="130" t="n">
        <f aca="false">INPUTS!$G$141*CURVES!AI152</f>
        <v>0</v>
      </c>
      <c r="AJ30" s="130" t="n">
        <f aca="false">INPUTS!$G$141*CURVES!AJ152</f>
        <v>0</v>
      </c>
      <c r="AK30" s="130" t="n">
        <f aca="false">INPUTS!$G$141*CURVES!AK152</f>
        <v>0</v>
      </c>
      <c r="AL30" s="130" t="n">
        <f aca="false">INPUTS!$G$141*CURVES!AL152</f>
        <v>0</v>
      </c>
      <c r="AM30" s="130" t="n">
        <f aca="false">INPUTS!$G$141*CURVES!AM152</f>
        <v>0</v>
      </c>
      <c r="AN30" s="130" t="n">
        <f aca="false">INPUTS!$G$141*CURVES!AN152</f>
        <v>0</v>
      </c>
      <c r="AO30" s="130" t="n">
        <f aca="false">INPUTS!$G$141*CURVES!AO152</f>
        <v>0</v>
      </c>
      <c r="AP30" s="130" t="n">
        <f aca="false">INPUTS!$G$141*CURVES!AP152</f>
        <v>0</v>
      </c>
      <c r="AQ30" s="130" t="n">
        <f aca="false">INPUTS!$G$141*CURVES!AQ152</f>
        <v>0</v>
      </c>
    </row>
    <row r="31" customFormat="false" ht="15" hidden="false" customHeight="false" outlineLevel="0" collapsed="false">
      <c r="B31" s="121" t="str">
        <f aca="false">IF(INPUTS!$B$142="","Spare cost row",INPUTS!$B$142)</f>
        <v>Contingency @ %</v>
      </c>
      <c r="C31" s="129" t="n">
        <f aca="false">SUM(D31:AQ31)</f>
        <v>0</v>
      </c>
      <c r="D31" s="130" t="n">
        <f aca="false">INPUTS!$G$142*CURVES!D155</f>
        <v>0</v>
      </c>
      <c r="E31" s="130" t="n">
        <f aca="false">INPUTS!$G$142*CURVES!E155</f>
        <v>0</v>
      </c>
      <c r="F31" s="130" t="n">
        <f aca="false">INPUTS!$G$142*CURVES!F155</f>
        <v>0</v>
      </c>
      <c r="G31" s="130" t="n">
        <f aca="false">INPUTS!$G$142*CURVES!G155</f>
        <v>0</v>
      </c>
      <c r="H31" s="130" t="n">
        <f aca="false">INPUTS!$G$142*CURVES!H155</f>
        <v>0</v>
      </c>
      <c r="I31" s="130" t="n">
        <f aca="false">INPUTS!$G$142*CURVES!I155</f>
        <v>0</v>
      </c>
      <c r="J31" s="130" t="n">
        <f aca="false">INPUTS!$G$142*CURVES!J155</f>
        <v>0</v>
      </c>
      <c r="K31" s="130" t="n">
        <f aca="false">INPUTS!$G$142*CURVES!K155</f>
        <v>0</v>
      </c>
      <c r="L31" s="130" t="n">
        <f aca="false">INPUTS!$G$142*CURVES!L155</f>
        <v>0</v>
      </c>
      <c r="M31" s="130" t="n">
        <f aca="false">INPUTS!$G$142*CURVES!M155</f>
        <v>0</v>
      </c>
      <c r="N31" s="130" t="n">
        <f aca="false">INPUTS!$G$142*CURVES!N155</f>
        <v>0</v>
      </c>
      <c r="O31" s="130" t="n">
        <f aca="false">INPUTS!$G$142*CURVES!O155</f>
        <v>0</v>
      </c>
      <c r="P31" s="130" t="n">
        <f aca="false">INPUTS!$G$142*CURVES!P155</f>
        <v>0</v>
      </c>
      <c r="Q31" s="130" t="n">
        <f aca="false">INPUTS!$G$142*CURVES!Q155</f>
        <v>0</v>
      </c>
      <c r="R31" s="130" t="n">
        <f aca="false">INPUTS!$G$142*CURVES!R155</f>
        <v>0</v>
      </c>
      <c r="S31" s="130" t="n">
        <f aca="false">INPUTS!$G$142*CURVES!S155</f>
        <v>0</v>
      </c>
      <c r="T31" s="130" t="n">
        <f aca="false">INPUTS!$G$142*CURVES!T155</f>
        <v>0</v>
      </c>
      <c r="U31" s="130" t="n">
        <f aca="false">INPUTS!$G$142*CURVES!U155</f>
        <v>0</v>
      </c>
      <c r="V31" s="130" t="n">
        <f aca="false">INPUTS!$G$142*CURVES!V155</f>
        <v>0</v>
      </c>
      <c r="W31" s="130" t="n">
        <f aca="false">INPUTS!$G$142*CURVES!W155</f>
        <v>0</v>
      </c>
      <c r="X31" s="130" t="n">
        <f aca="false">INPUTS!$G$142*CURVES!X155</f>
        <v>0</v>
      </c>
      <c r="Y31" s="130" t="n">
        <f aca="false">INPUTS!$G$142*CURVES!Y155</f>
        <v>0</v>
      </c>
      <c r="Z31" s="130" t="n">
        <f aca="false">INPUTS!$G$142*CURVES!Z155</f>
        <v>0</v>
      </c>
      <c r="AA31" s="130" t="n">
        <f aca="false">INPUTS!$G$142*CURVES!AA155</f>
        <v>0</v>
      </c>
      <c r="AB31" s="130" t="n">
        <f aca="false">INPUTS!$G$142*CURVES!AB155</f>
        <v>0</v>
      </c>
      <c r="AC31" s="130" t="n">
        <f aca="false">INPUTS!$G$142*CURVES!AC155</f>
        <v>0</v>
      </c>
      <c r="AD31" s="130" t="n">
        <f aca="false">INPUTS!$G$142*CURVES!AD155</f>
        <v>0</v>
      </c>
      <c r="AE31" s="130" t="n">
        <f aca="false">INPUTS!$G$142*CURVES!AE155</f>
        <v>0</v>
      </c>
      <c r="AF31" s="130" t="n">
        <f aca="false">INPUTS!$G$142*CURVES!AF155</f>
        <v>0</v>
      </c>
      <c r="AG31" s="130" t="n">
        <f aca="false">INPUTS!$G$142*CURVES!AG155</f>
        <v>0</v>
      </c>
      <c r="AH31" s="130" t="n">
        <f aca="false">INPUTS!$G$142*CURVES!AH155</f>
        <v>0</v>
      </c>
      <c r="AI31" s="130" t="n">
        <f aca="false">INPUTS!$G$142*CURVES!AI155</f>
        <v>0</v>
      </c>
      <c r="AJ31" s="130" t="n">
        <f aca="false">INPUTS!$G$142*CURVES!AJ155</f>
        <v>0</v>
      </c>
      <c r="AK31" s="130" t="n">
        <f aca="false">INPUTS!$G$142*CURVES!AK155</f>
        <v>0</v>
      </c>
      <c r="AL31" s="130" t="n">
        <f aca="false">INPUTS!$G$142*CURVES!AL155</f>
        <v>0</v>
      </c>
      <c r="AM31" s="130" t="n">
        <f aca="false">INPUTS!$G$142*CURVES!AM155</f>
        <v>0</v>
      </c>
      <c r="AN31" s="130" t="n">
        <f aca="false">INPUTS!$G$142*CURVES!AN155</f>
        <v>0</v>
      </c>
      <c r="AO31" s="130" t="n">
        <f aca="false">INPUTS!$G$142*CURVES!AO155</f>
        <v>0</v>
      </c>
      <c r="AP31" s="130" t="n">
        <f aca="false">INPUTS!$G$142*CURVES!AP155</f>
        <v>0</v>
      </c>
      <c r="AQ31" s="130" t="n">
        <f aca="false">INPUTS!$G$142*CURVES!AQ155</f>
        <v>0</v>
      </c>
    </row>
    <row r="32" customFormat="false" ht="15" hidden="false" customHeight="false" outlineLevel="0" collapsed="false">
      <c r="B32" s="121" t="str">
        <f aca="false">IF(INPUTS!$B$143="","Spare cost row",INPUTS!$B$143)</f>
        <v>External Development &amp; Landscaping</v>
      </c>
      <c r="C32" s="129" t="n">
        <f aca="false">SUM(D32:AQ32)</f>
        <v>0</v>
      </c>
      <c r="D32" s="130" t="n">
        <f aca="false">INPUTS!$G$143*CURVES!D158</f>
        <v>0</v>
      </c>
      <c r="E32" s="130" t="n">
        <f aca="false">INPUTS!$G$143*CURVES!E158</f>
        <v>0</v>
      </c>
      <c r="F32" s="130" t="n">
        <f aca="false">INPUTS!$G$143*CURVES!F158</f>
        <v>0</v>
      </c>
      <c r="G32" s="130" t="n">
        <f aca="false">INPUTS!$G$143*CURVES!G158</f>
        <v>0</v>
      </c>
      <c r="H32" s="130" t="n">
        <f aca="false">INPUTS!$G$143*CURVES!H158</f>
        <v>0</v>
      </c>
      <c r="I32" s="130" t="n">
        <f aca="false">INPUTS!$G$143*CURVES!I158</f>
        <v>0</v>
      </c>
      <c r="J32" s="130" t="n">
        <f aca="false">INPUTS!$G$143*CURVES!J158</f>
        <v>0</v>
      </c>
      <c r="K32" s="130" t="n">
        <f aca="false">INPUTS!$G$143*CURVES!K158</f>
        <v>0</v>
      </c>
      <c r="L32" s="130" t="n">
        <f aca="false">INPUTS!$G$143*CURVES!L158</f>
        <v>0</v>
      </c>
      <c r="M32" s="130" t="n">
        <f aca="false">INPUTS!$G$143*CURVES!M158</f>
        <v>0</v>
      </c>
      <c r="N32" s="130" t="n">
        <f aca="false">INPUTS!$G$143*CURVES!N158</f>
        <v>0</v>
      </c>
      <c r="O32" s="130" t="n">
        <f aca="false">INPUTS!$G$143*CURVES!O158</f>
        <v>0</v>
      </c>
      <c r="P32" s="130" t="n">
        <f aca="false">INPUTS!$G$143*CURVES!P158</f>
        <v>0</v>
      </c>
      <c r="Q32" s="130" t="n">
        <f aca="false">INPUTS!$G$143*CURVES!Q158</f>
        <v>0</v>
      </c>
      <c r="R32" s="130" t="n">
        <f aca="false">INPUTS!$G$143*CURVES!R158</f>
        <v>0</v>
      </c>
      <c r="S32" s="130" t="n">
        <f aca="false">INPUTS!$G$143*CURVES!S158</f>
        <v>0</v>
      </c>
      <c r="T32" s="130" t="n">
        <f aca="false">INPUTS!$G$143*CURVES!T158</f>
        <v>0</v>
      </c>
      <c r="U32" s="130" t="n">
        <f aca="false">INPUTS!$G$143*CURVES!U158</f>
        <v>0</v>
      </c>
      <c r="V32" s="130" t="n">
        <f aca="false">INPUTS!$G$143*CURVES!V158</f>
        <v>0</v>
      </c>
      <c r="W32" s="130" t="n">
        <f aca="false">INPUTS!$G$143*CURVES!W158</f>
        <v>0</v>
      </c>
      <c r="X32" s="130" t="n">
        <f aca="false">INPUTS!$G$143*CURVES!X158</f>
        <v>0</v>
      </c>
      <c r="Y32" s="130" t="n">
        <f aca="false">INPUTS!$G$143*CURVES!Y158</f>
        <v>0</v>
      </c>
      <c r="Z32" s="130" t="n">
        <f aca="false">INPUTS!$G$143*CURVES!Z158</f>
        <v>0</v>
      </c>
      <c r="AA32" s="130" t="n">
        <f aca="false">INPUTS!$G$143*CURVES!AA158</f>
        <v>0</v>
      </c>
      <c r="AB32" s="130" t="n">
        <f aca="false">INPUTS!$G$143*CURVES!AB158</f>
        <v>0</v>
      </c>
      <c r="AC32" s="130" t="n">
        <f aca="false">INPUTS!$G$143*CURVES!AC158</f>
        <v>0</v>
      </c>
      <c r="AD32" s="130" t="n">
        <f aca="false">INPUTS!$G$143*CURVES!AD158</f>
        <v>0</v>
      </c>
      <c r="AE32" s="130" t="n">
        <f aca="false">INPUTS!$G$143*CURVES!AE158</f>
        <v>0</v>
      </c>
      <c r="AF32" s="130" t="n">
        <f aca="false">INPUTS!$G$143*CURVES!AF158</f>
        <v>0</v>
      </c>
      <c r="AG32" s="130" t="n">
        <f aca="false">INPUTS!$G$143*CURVES!AG158</f>
        <v>0</v>
      </c>
      <c r="AH32" s="130" t="n">
        <f aca="false">INPUTS!$G$143*CURVES!AH158</f>
        <v>0</v>
      </c>
      <c r="AI32" s="130" t="n">
        <f aca="false">INPUTS!$G$143*CURVES!AI158</f>
        <v>0</v>
      </c>
      <c r="AJ32" s="130" t="n">
        <f aca="false">INPUTS!$G$143*CURVES!AJ158</f>
        <v>0</v>
      </c>
      <c r="AK32" s="130" t="n">
        <f aca="false">INPUTS!$G$143*CURVES!AK158</f>
        <v>0</v>
      </c>
      <c r="AL32" s="130" t="n">
        <f aca="false">INPUTS!$G$143*CURVES!AL158</f>
        <v>0</v>
      </c>
      <c r="AM32" s="130" t="n">
        <f aca="false">INPUTS!$G$143*CURVES!AM158</f>
        <v>0</v>
      </c>
      <c r="AN32" s="130" t="n">
        <f aca="false">INPUTS!$G$143*CURVES!AN158</f>
        <v>0</v>
      </c>
      <c r="AO32" s="130" t="n">
        <f aca="false">INPUTS!$G$143*CURVES!AO158</f>
        <v>0</v>
      </c>
      <c r="AP32" s="130" t="n">
        <f aca="false">INPUTS!$G$143*CURVES!AP158</f>
        <v>0</v>
      </c>
      <c r="AQ32" s="130" t="n">
        <f aca="false">INPUTS!$G$143*CURVES!AQ158</f>
        <v>0</v>
      </c>
    </row>
    <row r="33" customFormat="false" ht="15" hidden="false" customHeight="false" outlineLevel="0" collapsed="false">
      <c r="B33" s="121" t="str">
        <f aca="false">IF(INPUTS!$B$144="","Spare cost row",INPUTS!$B$144)</f>
        <v>Hotel Brand Key fee ₹50K per Key for smaller brand</v>
      </c>
      <c r="C33" s="129" t="n">
        <f aca="false">SUM(D33:AQ33)</f>
        <v>0</v>
      </c>
      <c r="D33" s="130" t="n">
        <f aca="false">INPUTS!$G$144*CURVES!D161</f>
        <v>0</v>
      </c>
      <c r="E33" s="130" t="n">
        <f aca="false">INPUTS!$G$144*CURVES!E161</f>
        <v>0</v>
      </c>
      <c r="F33" s="130" t="n">
        <f aca="false">INPUTS!$G$144*CURVES!F161</f>
        <v>0</v>
      </c>
      <c r="G33" s="130" t="n">
        <f aca="false">INPUTS!$G$144*CURVES!G161</f>
        <v>0</v>
      </c>
      <c r="H33" s="130" t="n">
        <f aca="false">INPUTS!$G$144*CURVES!H161</f>
        <v>0</v>
      </c>
      <c r="I33" s="130" t="n">
        <f aca="false">INPUTS!$G$144*CURVES!I161</f>
        <v>0</v>
      </c>
      <c r="J33" s="130" t="n">
        <f aca="false">INPUTS!$G$144*CURVES!J161</f>
        <v>0</v>
      </c>
      <c r="K33" s="130" t="n">
        <f aca="false">INPUTS!$G$144*CURVES!K161</f>
        <v>0</v>
      </c>
      <c r="L33" s="130" t="n">
        <f aca="false">INPUTS!$G$144*CURVES!L161</f>
        <v>0</v>
      </c>
      <c r="M33" s="130" t="n">
        <f aca="false">INPUTS!$G$144*CURVES!M161</f>
        <v>0</v>
      </c>
      <c r="N33" s="130" t="n">
        <f aca="false">INPUTS!$G$144*CURVES!N161</f>
        <v>0</v>
      </c>
      <c r="O33" s="130" t="n">
        <f aca="false">INPUTS!$G$144*CURVES!O161</f>
        <v>0</v>
      </c>
      <c r="P33" s="130" t="n">
        <f aca="false">INPUTS!$G$144*CURVES!P161</f>
        <v>0</v>
      </c>
      <c r="Q33" s="130" t="n">
        <f aca="false">INPUTS!$G$144*CURVES!Q161</f>
        <v>0</v>
      </c>
      <c r="R33" s="130" t="n">
        <f aca="false">INPUTS!$G$144*CURVES!R161</f>
        <v>0</v>
      </c>
      <c r="S33" s="130" t="n">
        <f aca="false">INPUTS!$G$144*CURVES!S161</f>
        <v>0</v>
      </c>
      <c r="T33" s="130" t="n">
        <f aca="false">INPUTS!$G$144*CURVES!T161</f>
        <v>0</v>
      </c>
      <c r="U33" s="130" t="n">
        <f aca="false">INPUTS!$G$144*CURVES!U161</f>
        <v>0</v>
      </c>
      <c r="V33" s="130" t="n">
        <f aca="false">INPUTS!$G$144*CURVES!V161</f>
        <v>0</v>
      </c>
      <c r="W33" s="130" t="n">
        <f aca="false">INPUTS!$G$144*CURVES!W161</f>
        <v>0</v>
      </c>
      <c r="X33" s="130" t="n">
        <f aca="false">INPUTS!$G$144*CURVES!X161</f>
        <v>0</v>
      </c>
      <c r="Y33" s="130" t="n">
        <f aca="false">INPUTS!$G$144*CURVES!Y161</f>
        <v>0</v>
      </c>
      <c r="Z33" s="130" t="n">
        <f aca="false">INPUTS!$G$144*CURVES!Z161</f>
        <v>0</v>
      </c>
      <c r="AA33" s="130" t="n">
        <f aca="false">INPUTS!$G$144*CURVES!AA161</f>
        <v>0</v>
      </c>
      <c r="AB33" s="130" t="n">
        <f aca="false">INPUTS!$G$144*CURVES!AB161</f>
        <v>0</v>
      </c>
      <c r="AC33" s="130" t="n">
        <f aca="false">INPUTS!$G$144*CURVES!AC161</f>
        <v>0</v>
      </c>
      <c r="AD33" s="130" t="n">
        <f aca="false">INPUTS!$G$144*CURVES!AD161</f>
        <v>0</v>
      </c>
      <c r="AE33" s="130" t="n">
        <f aca="false">INPUTS!$G$144*CURVES!AE161</f>
        <v>0</v>
      </c>
      <c r="AF33" s="130" t="n">
        <f aca="false">INPUTS!$G$144*CURVES!AF161</f>
        <v>0</v>
      </c>
      <c r="AG33" s="130" t="n">
        <f aca="false">INPUTS!$G$144*CURVES!AG161</f>
        <v>0</v>
      </c>
      <c r="AH33" s="130" t="n">
        <f aca="false">INPUTS!$G$144*CURVES!AH161</f>
        <v>0</v>
      </c>
      <c r="AI33" s="130" t="n">
        <f aca="false">INPUTS!$G$144*CURVES!AI161</f>
        <v>0</v>
      </c>
      <c r="AJ33" s="130" t="n">
        <f aca="false">INPUTS!$G$144*CURVES!AJ161</f>
        <v>0</v>
      </c>
      <c r="AK33" s="130" t="n">
        <f aca="false">INPUTS!$G$144*CURVES!AK161</f>
        <v>0</v>
      </c>
      <c r="AL33" s="130" t="n">
        <f aca="false">INPUTS!$G$144*CURVES!AL161</f>
        <v>0</v>
      </c>
      <c r="AM33" s="130" t="n">
        <f aca="false">INPUTS!$G$144*CURVES!AM161</f>
        <v>0</v>
      </c>
      <c r="AN33" s="130" t="n">
        <f aca="false">INPUTS!$G$144*CURVES!AN161</f>
        <v>0</v>
      </c>
      <c r="AO33" s="130" t="n">
        <f aca="false">INPUTS!$G$144*CURVES!AO161</f>
        <v>0</v>
      </c>
      <c r="AP33" s="130" t="n">
        <f aca="false">INPUTS!$G$144*CURVES!AP161</f>
        <v>0</v>
      </c>
      <c r="AQ33" s="130" t="n">
        <f aca="false">INPUTS!$G$144*CURVES!AQ161</f>
        <v>0</v>
      </c>
    </row>
    <row r="34" customFormat="false" ht="15" hidden="false" customHeight="false" outlineLevel="0" collapsed="false">
      <c r="B34" s="121" t="str">
        <f aca="false">IF(INPUTS!$B$145="","Spare cost row",INPUTS!$B$145)</f>
        <v>Furnishing Cost for Studios</v>
      </c>
      <c r="C34" s="129" t="n">
        <f aca="false">SUM(D34:AQ34)</f>
        <v>0</v>
      </c>
      <c r="D34" s="130" t="n">
        <f aca="false">INPUTS!$G$145*CURVES!D164</f>
        <v>0</v>
      </c>
      <c r="E34" s="130" t="n">
        <f aca="false">INPUTS!$G$145*CURVES!E164</f>
        <v>0</v>
      </c>
      <c r="F34" s="130" t="n">
        <f aca="false">INPUTS!$G$145*CURVES!F164</f>
        <v>0</v>
      </c>
      <c r="G34" s="130" t="n">
        <f aca="false">INPUTS!$G$145*CURVES!G164</f>
        <v>0</v>
      </c>
      <c r="H34" s="130" t="n">
        <f aca="false">INPUTS!$G$145*CURVES!H164</f>
        <v>0</v>
      </c>
      <c r="I34" s="130" t="n">
        <f aca="false">INPUTS!$G$145*CURVES!I164</f>
        <v>0</v>
      </c>
      <c r="J34" s="130" t="n">
        <f aca="false">INPUTS!$G$145*CURVES!J164</f>
        <v>0</v>
      </c>
      <c r="K34" s="130" t="n">
        <f aca="false">INPUTS!$G$145*CURVES!K164</f>
        <v>0</v>
      </c>
      <c r="L34" s="130" t="n">
        <f aca="false">INPUTS!$G$145*CURVES!L164</f>
        <v>0</v>
      </c>
      <c r="M34" s="130" t="n">
        <f aca="false">INPUTS!$G$145*CURVES!M164</f>
        <v>0</v>
      </c>
      <c r="N34" s="130" t="n">
        <f aca="false">INPUTS!$G$145*CURVES!N164</f>
        <v>0</v>
      </c>
      <c r="O34" s="130" t="n">
        <f aca="false">INPUTS!$G$145*CURVES!O164</f>
        <v>0</v>
      </c>
      <c r="P34" s="130" t="n">
        <f aca="false">INPUTS!$G$145*CURVES!P164</f>
        <v>0</v>
      </c>
      <c r="Q34" s="130" t="n">
        <f aca="false">INPUTS!$G$145*CURVES!Q164</f>
        <v>0</v>
      </c>
      <c r="R34" s="130" t="n">
        <f aca="false">INPUTS!$G$145*CURVES!R164</f>
        <v>0</v>
      </c>
      <c r="S34" s="130" t="n">
        <f aca="false">INPUTS!$G$145*CURVES!S164</f>
        <v>0</v>
      </c>
      <c r="T34" s="130" t="n">
        <f aca="false">INPUTS!$G$145*CURVES!T164</f>
        <v>0</v>
      </c>
      <c r="U34" s="130" t="n">
        <f aca="false">INPUTS!$G$145*CURVES!U164</f>
        <v>0</v>
      </c>
      <c r="V34" s="130" t="n">
        <f aca="false">INPUTS!$G$145*CURVES!V164</f>
        <v>0</v>
      </c>
      <c r="W34" s="130" t="n">
        <f aca="false">INPUTS!$G$145*CURVES!W164</f>
        <v>0</v>
      </c>
      <c r="X34" s="130" t="n">
        <f aca="false">INPUTS!$G$145*CURVES!X164</f>
        <v>0</v>
      </c>
      <c r="Y34" s="130" t="n">
        <f aca="false">INPUTS!$G$145*CURVES!Y164</f>
        <v>0</v>
      </c>
      <c r="Z34" s="130" t="n">
        <f aca="false">INPUTS!$G$145*CURVES!Z164</f>
        <v>0</v>
      </c>
      <c r="AA34" s="130" t="n">
        <f aca="false">INPUTS!$G$145*CURVES!AA164</f>
        <v>0</v>
      </c>
      <c r="AB34" s="130" t="n">
        <f aca="false">INPUTS!$G$145*CURVES!AB164</f>
        <v>0</v>
      </c>
      <c r="AC34" s="130" t="n">
        <f aca="false">INPUTS!$G$145*CURVES!AC164</f>
        <v>0</v>
      </c>
      <c r="AD34" s="130" t="n">
        <f aca="false">INPUTS!$G$145*CURVES!AD164</f>
        <v>0</v>
      </c>
      <c r="AE34" s="130" t="n">
        <f aca="false">INPUTS!$G$145*CURVES!AE164</f>
        <v>0</v>
      </c>
      <c r="AF34" s="130" t="n">
        <f aca="false">INPUTS!$G$145*CURVES!AF164</f>
        <v>0</v>
      </c>
      <c r="AG34" s="130" t="n">
        <f aca="false">INPUTS!$G$145*CURVES!AG164</f>
        <v>0</v>
      </c>
      <c r="AH34" s="130" t="n">
        <f aca="false">INPUTS!$G$145*CURVES!AH164</f>
        <v>0</v>
      </c>
      <c r="AI34" s="130" t="n">
        <f aca="false">INPUTS!$G$145*CURVES!AI164</f>
        <v>0</v>
      </c>
      <c r="AJ34" s="130" t="n">
        <f aca="false">INPUTS!$G$145*CURVES!AJ164</f>
        <v>0</v>
      </c>
      <c r="AK34" s="130" t="n">
        <f aca="false">INPUTS!$G$145*CURVES!AK164</f>
        <v>0</v>
      </c>
      <c r="AL34" s="130" t="n">
        <f aca="false">INPUTS!$G$145*CURVES!AL164</f>
        <v>0</v>
      </c>
      <c r="AM34" s="130" t="n">
        <f aca="false">INPUTS!$G$145*CURVES!AM164</f>
        <v>0</v>
      </c>
      <c r="AN34" s="130" t="n">
        <f aca="false">INPUTS!$G$145*CURVES!AN164</f>
        <v>0</v>
      </c>
      <c r="AO34" s="130" t="n">
        <f aca="false">INPUTS!$G$145*CURVES!AO164</f>
        <v>0</v>
      </c>
      <c r="AP34" s="130" t="n">
        <f aca="false">INPUTS!$G$145*CURVES!AP164</f>
        <v>0</v>
      </c>
      <c r="AQ34" s="130" t="n">
        <f aca="false">INPUTS!$G$145*CURVES!AQ164</f>
        <v>0</v>
      </c>
    </row>
    <row r="35" customFormat="false" ht="15" hidden="false" customHeight="false" outlineLevel="0" collapsed="false">
      <c r="B35" s="121" t="str">
        <f aca="false">IF(INPUTS!$B$146="","Spare cost row",INPUTS!$B$146)</f>
        <v>GST cost in case of commercial/Plotting development</v>
      </c>
      <c r="C35" s="129" t="n">
        <f aca="false">SUM(D35:AQ35)</f>
        <v>0</v>
      </c>
      <c r="D35" s="130" t="n">
        <f aca="false">INPUTS!$G$146*CURVES!D167</f>
        <v>0</v>
      </c>
      <c r="E35" s="130" t="n">
        <f aca="false">INPUTS!$G$146*CURVES!E167</f>
        <v>0</v>
      </c>
      <c r="F35" s="130" t="n">
        <f aca="false">INPUTS!$G$146*CURVES!F167</f>
        <v>0</v>
      </c>
      <c r="G35" s="130" t="n">
        <f aca="false">INPUTS!$G$146*CURVES!G167</f>
        <v>0</v>
      </c>
      <c r="H35" s="130" t="n">
        <f aca="false">INPUTS!$G$146*CURVES!H167</f>
        <v>0</v>
      </c>
      <c r="I35" s="130" t="n">
        <f aca="false">INPUTS!$G$146*CURVES!I167</f>
        <v>0</v>
      </c>
      <c r="J35" s="130" t="n">
        <f aca="false">INPUTS!$G$146*CURVES!J167</f>
        <v>0</v>
      </c>
      <c r="K35" s="130" t="n">
        <f aca="false">INPUTS!$G$146*CURVES!K167</f>
        <v>0</v>
      </c>
      <c r="L35" s="130" t="n">
        <f aca="false">INPUTS!$G$146*CURVES!L167</f>
        <v>0</v>
      </c>
      <c r="M35" s="130" t="n">
        <f aca="false">INPUTS!$G$146*CURVES!M167</f>
        <v>0</v>
      </c>
      <c r="N35" s="130" t="n">
        <f aca="false">INPUTS!$G$146*CURVES!N167</f>
        <v>0</v>
      </c>
      <c r="O35" s="130" t="n">
        <f aca="false">INPUTS!$G$146*CURVES!O167</f>
        <v>0</v>
      </c>
      <c r="P35" s="130" t="n">
        <f aca="false">INPUTS!$G$146*CURVES!P167</f>
        <v>0</v>
      </c>
      <c r="Q35" s="130" t="n">
        <f aca="false">INPUTS!$G$146*CURVES!Q167</f>
        <v>0</v>
      </c>
      <c r="R35" s="130" t="n">
        <f aca="false">INPUTS!$G$146*CURVES!R167</f>
        <v>0</v>
      </c>
      <c r="S35" s="130" t="n">
        <f aca="false">INPUTS!$G$146*CURVES!S167</f>
        <v>0</v>
      </c>
      <c r="T35" s="130" t="n">
        <f aca="false">INPUTS!$G$146*CURVES!T167</f>
        <v>0</v>
      </c>
      <c r="U35" s="130" t="n">
        <f aca="false">INPUTS!$G$146*CURVES!U167</f>
        <v>0</v>
      </c>
      <c r="V35" s="130" t="n">
        <f aca="false">INPUTS!$G$146*CURVES!V167</f>
        <v>0</v>
      </c>
      <c r="W35" s="130" t="n">
        <f aca="false">INPUTS!$G$146*CURVES!W167</f>
        <v>0</v>
      </c>
      <c r="X35" s="130" t="n">
        <f aca="false">INPUTS!$G$146*CURVES!X167</f>
        <v>0</v>
      </c>
      <c r="Y35" s="130" t="n">
        <f aca="false">INPUTS!$G$146*CURVES!Y167</f>
        <v>0</v>
      </c>
      <c r="Z35" s="130" t="n">
        <f aca="false">INPUTS!$G$146*CURVES!Z167</f>
        <v>0</v>
      </c>
      <c r="AA35" s="130" t="n">
        <f aca="false">INPUTS!$G$146*CURVES!AA167</f>
        <v>0</v>
      </c>
      <c r="AB35" s="130" t="n">
        <f aca="false">INPUTS!$G$146*CURVES!AB167</f>
        <v>0</v>
      </c>
      <c r="AC35" s="130" t="n">
        <f aca="false">INPUTS!$G$146*CURVES!AC167</f>
        <v>0</v>
      </c>
      <c r="AD35" s="130" t="n">
        <f aca="false">INPUTS!$G$146*CURVES!AD167</f>
        <v>0</v>
      </c>
      <c r="AE35" s="130" t="n">
        <f aca="false">INPUTS!$G$146*CURVES!AE167</f>
        <v>0</v>
      </c>
      <c r="AF35" s="130" t="n">
        <f aca="false">INPUTS!$G$146*CURVES!AF167</f>
        <v>0</v>
      </c>
      <c r="AG35" s="130" t="n">
        <f aca="false">INPUTS!$G$146*CURVES!AG167</f>
        <v>0</v>
      </c>
      <c r="AH35" s="130" t="n">
        <f aca="false">INPUTS!$G$146*CURVES!AH167</f>
        <v>0</v>
      </c>
      <c r="AI35" s="130" t="n">
        <f aca="false">INPUTS!$G$146*CURVES!AI167</f>
        <v>0</v>
      </c>
      <c r="AJ35" s="130" t="n">
        <f aca="false">INPUTS!$G$146*CURVES!AJ167</f>
        <v>0</v>
      </c>
      <c r="AK35" s="130" t="n">
        <f aca="false">INPUTS!$G$146*CURVES!AK167</f>
        <v>0</v>
      </c>
      <c r="AL35" s="130" t="n">
        <f aca="false">INPUTS!$G$146*CURVES!AL167</f>
        <v>0</v>
      </c>
      <c r="AM35" s="130" t="n">
        <f aca="false">INPUTS!$G$146*CURVES!AM167</f>
        <v>0</v>
      </c>
      <c r="AN35" s="130" t="n">
        <f aca="false">INPUTS!$G$146*CURVES!AN167</f>
        <v>0</v>
      </c>
      <c r="AO35" s="130" t="n">
        <f aca="false">INPUTS!$G$146*CURVES!AO167</f>
        <v>0</v>
      </c>
      <c r="AP35" s="130" t="n">
        <f aca="false">INPUTS!$G$146*CURVES!AP167</f>
        <v>0</v>
      </c>
      <c r="AQ35" s="130" t="n">
        <f aca="false">INPUTS!$G$146*CURVES!AQ167</f>
        <v>0</v>
      </c>
    </row>
    <row r="36" customFormat="false" ht="15" hidden="false" customHeight="false" outlineLevel="0" collapsed="false">
      <c r="B36" s="121" t="str">
        <f aca="false">IF(INPUTS!$B$147="","Spare cost row",INPUTS!$B$147)</f>
        <v>AIF Cost</v>
      </c>
      <c r="C36" s="129" t="n">
        <f aca="false">SUM(D36:AQ36)</f>
        <v>0</v>
      </c>
      <c r="D36" s="130" t="n">
        <f aca="false">INPUTS!$G$147*CURVES!D170</f>
        <v>0</v>
      </c>
      <c r="E36" s="130" t="n">
        <f aca="false">INPUTS!$G$147*CURVES!E170</f>
        <v>0</v>
      </c>
      <c r="F36" s="130" t="n">
        <f aca="false">INPUTS!$G$147*CURVES!F170</f>
        <v>0</v>
      </c>
      <c r="G36" s="130" t="n">
        <f aca="false">INPUTS!$G$147*CURVES!G170</f>
        <v>0</v>
      </c>
      <c r="H36" s="130" t="n">
        <f aca="false">INPUTS!$G$147*CURVES!H170</f>
        <v>0</v>
      </c>
      <c r="I36" s="130" t="n">
        <f aca="false">INPUTS!$G$147*CURVES!I170</f>
        <v>0</v>
      </c>
      <c r="J36" s="130" t="n">
        <f aca="false">INPUTS!$G$147*CURVES!J170</f>
        <v>0</v>
      </c>
      <c r="K36" s="130" t="n">
        <f aca="false">INPUTS!$G$147*CURVES!K170</f>
        <v>0</v>
      </c>
      <c r="L36" s="130" t="n">
        <f aca="false">INPUTS!$G$147*CURVES!L170</f>
        <v>0</v>
      </c>
      <c r="M36" s="130" t="n">
        <f aca="false">INPUTS!$G$147*CURVES!M170</f>
        <v>0</v>
      </c>
      <c r="N36" s="130" t="n">
        <f aca="false">INPUTS!$G$147*CURVES!N170</f>
        <v>0</v>
      </c>
      <c r="O36" s="130" t="n">
        <f aca="false">INPUTS!$G$147*CURVES!O170</f>
        <v>0</v>
      </c>
      <c r="P36" s="130" t="n">
        <f aca="false">INPUTS!$G$147*CURVES!P170</f>
        <v>0</v>
      </c>
      <c r="Q36" s="130" t="n">
        <f aca="false">INPUTS!$G$147*CURVES!Q170</f>
        <v>0</v>
      </c>
      <c r="R36" s="130" t="n">
        <f aca="false">INPUTS!$G$147*CURVES!R170</f>
        <v>0</v>
      </c>
      <c r="S36" s="130" t="n">
        <f aca="false">INPUTS!$G$147*CURVES!S170</f>
        <v>0</v>
      </c>
      <c r="T36" s="130" t="n">
        <f aca="false">INPUTS!$G$147*CURVES!T170</f>
        <v>0</v>
      </c>
      <c r="U36" s="130" t="n">
        <f aca="false">INPUTS!$G$147*CURVES!U170</f>
        <v>0</v>
      </c>
      <c r="V36" s="130" t="n">
        <f aca="false">INPUTS!$G$147*CURVES!V170</f>
        <v>0</v>
      </c>
      <c r="W36" s="130" t="n">
        <f aca="false">INPUTS!$G$147*CURVES!W170</f>
        <v>0</v>
      </c>
      <c r="X36" s="130" t="n">
        <f aca="false">INPUTS!$G$147*CURVES!X170</f>
        <v>0</v>
      </c>
      <c r="Y36" s="130" t="n">
        <f aca="false">INPUTS!$G$147*CURVES!Y170</f>
        <v>0</v>
      </c>
      <c r="Z36" s="130" t="n">
        <f aca="false">INPUTS!$G$147*CURVES!Z170</f>
        <v>0</v>
      </c>
      <c r="AA36" s="130" t="n">
        <f aca="false">INPUTS!$G$147*CURVES!AA170</f>
        <v>0</v>
      </c>
      <c r="AB36" s="130" t="n">
        <f aca="false">INPUTS!$G$147*CURVES!AB170</f>
        <v>0</v>
      </c>
      <c r="AC36" s="130" t="n">
        <f aca="false">INPUTS!$G$147*CURVES!AC170</f>
        <v>0</v>
      </c>
      <c r="AD36" s="130" t="n">
        <f aca="false">INPUTS!$G$147*CURVES!AD170</f>
        <v>0</v>
      </c>
      <c r="AE36" s="130" t="n">
        <f aca="false">INPUTS!$G$147*CURVES!AE170</f>
        <v>0</v>
      </c>
      <c r="AF36" s="130" t="n">
        <f aca="false">INPUTS!$G$147*CURVES!AF170</f>
        <v>0</v>
      </c>
      <c r="AG36" s="130" t="n">
        <f aca="false">INPUTS!$G$147*CURVES!AG170</f>
        <v>0</v>
      </c>
      <c r="AH36" s="130" t="n">
        <f aca="false">INPUTS!$G$147*CURVES!AH170</f>
        <v>0</v>
      </c>
      <c r="AI36" s="130" t="n">
        <f aca="false">INPUTS!$G$147*CURVES!AI170</f>
        <v>0</v>
      </c>
      <c r="AJ36" s="130" t="n">
        <f aca="false">INPUTS!$G$147*CURVES!AJ170</f>
        <v>0</v>
      </c>
      <c r="AK36" s="130" t="n">
        <f aca="false">INPUTS!$G$147*CURVES!AK170</f>
        <v>0</v>
      </c>
      <c r="AL36" s="130" t="n">
        <f aca="false">INPUTS!$G$147*CURVES!AL170</f>
        <v>0</v>
      </c>
      <c r="AM36" s="130" t="n">
        <f aca="false">INPUTS!$G$147*CURVES!AM170</f>
        <v>0</v>
      </c>
      <c r="AN36" s="130" t="n">
        <f aca="false">INPUTS!$G$147*CURVES!AN170</f>
        <v>0</v>
      </c>
      <c r="AO36" s="130" t="n">
        <f aca="false">INPUTS!$G$147*CURVES!AO170</f>
        <v>0</v>
      </c>
      <c r="AP36" s="130" t="n">
        <f aca="false">INPUTS!$G$147*CURVES!AP170</f>
        <v>0</v>
      </c>
      <c r="AQ36" s="130" t="n">
        <f aca="false">INPUTS!$G$147*CURVES!AQ170</f>
        <v>0</v>
      </c>
    </row>
    <row r="37" customFormat="false" ht="15" hidden="false" customHeight="false" outlineLevel="0" collapsed="false">
      <c r="B37" s="121" t="str">
        <f aca="false">INPUTS!$B$148</f>
        <v>BAR / Premium FAR Cost</v>
      </c>
      <c r="C37" s="129" t="n">
        <f aca="false">SUM(D37:AQ37)</f>
        <v>3.154574336</v>
      </c>
      <c r="D37" s="130" t="n">
        <f aca="false">IF(INPUTS!$C$21="JV",INPUTS!$D$199,0)*--(D$7=INPUTS!$E$199)+(INPUTS!$G$148-IF(INPUTS!$C$21="JV",INPUTS!$D$199,0))*CURVES!D173</f>
        <v>0</v>
      </c>
      <c r="E37" s="130" t="n">
        <f aca="false">IF(INPUTS!$C$21="JV",INPUTS!$D$199,0)*--(E$7=INPUTS!$E$199)+(INPUTS!$G$148-IF(INPUTS!$C$21="JV",INPUTS!$D$199,0))*CURVES!E173</f>
        <v>3.154574336</v>
      </c>
      <c r="F37" s="130" t="n">
        <f aca="false">IF(INPUTS!$C$21="JV",INPUTS!$D$199,0)*--(F$7=INPUTS!$E$199)+(INPUTS!$G$148-IF(INPUTS!$C$21="JV",INPUTS!$D$199,0))*CURVES!F173</f>
        <v>0</v>
      </c>
      <c r="G37" s="130" t="n">
        <f aca="false">IF(INPUTS!$C$21="JV",INPUTS!$D$199,0)*--(G$7=INPUTS!$E$199)+(INPUTS!$G$148-IF(INPUTS!$C$21="JV",INPUTS!$D$199,0))*CURVES!G173</f>
        <v>0</v>
      </c>
      <c r="H37" s="130" t="n">
        <f aca="false">IF(INPUTS!$C$21="JV",INPUTS!$D$199,0)*--(H$7=INPUTS!$E$199)+(INPUTS!$G$148-IF(INPUTS!$C$21="JV",INPUTS!$D$199,0))*CURVES!H173</f>
        <v>0</v>
      </c>
      <c r="I37" s="130" t="n">
        <f aca="false">IF(INPUTS!$C$21="JV",INPUTS!$D$199,0)*--(I$7=INPUTS!$E$199)+(INPUTS!$G$148-IF(INPUTS!$C$21="JV",INPUTS!$D$199,0))*CURVES!I173</f>
        <v>0</v>
      </c>
      <c r="J37" s="130" t="n">
        <f aca="false">IF(INPUTS!$C$21="JV",INPUTS!$D$199,0)*--(J$7=INPUTS!$E$199)+(INPUTS!$G$148-IF(INPUTS!$C$21="JV",INPUTS!$D$199,0))*CURVES!J173</f>
        <v>0</v>
      </c>
      <c r="K37" s="130" t="n">
        <f aca="false">IF(INPUTS!$C$21="JV",INPUTS!$D$199,0)*--(K$7=INPUTS!$E$199)+(INPUTS!$G$148-IF(INPUTS!$C$21="JV",INPUTS!$D$199,0))*CURVES!K173</f>
        <v>0</v>
      </c>
      <c r="L37" s="130" t="n">
        <f aca="false">IF(INPUTS!$C$21="JV",INPUTS!$D$199,0)*--(L$7=INPUTS!$E$199)+(INPUTS!$G$148-IF(INPUTS!$C$21="JV",INPUTS!$D$199,0))*CURVES!L173</f>
        <v>0</v>
      </c>
      <c r="M37" s="130" t="n">
        <f aca="false">IF(INPUTS!$C$21="JV",INPUTS!$D$199,0)*--(M$7=INPUTS!$E$199)+(INPUTS!$G$148-IF(INPUTS!$C$21="JV",INPUTS!$D$199,0))*CURVES!M173</f>
        <v>0</v>
      </c>
      <c r="N37" s="130" t="n">
        <f aca="false">IF(INPUTS!$C$21="JV",INPUTS!$D$199,0)*--(N$7=INPUTS!$E$199)+(INPUTS!$G$148-IF(INPUTS!$C$21="JV",INPUTS!$D$199,0))*CURVES!N173</f>
        <v>0</v>
      </c>
      <c r="O37" s="130" t="n">
        <f aca="false">IF(INPUTS!$C$21="JV",INPUTS!$D$199,0)*--(O$7=INPUTS!$E$199)+(INPUTS!$G$148-IF(INPUTS!$C$21="JV",INPUTS!$D$199,0))*CURVES!O173</f>
        <v>0</v>
      </c>
      <c r="P37" s="130" t="n">
        <f aca="false">IF(INPUTS!$C$21="JV",INPUTS!$D$199,0)*--(P$7=INPUTS!$E$199)+(INPUTS!$G$148-IF(INPUTS!$C$21="JV",INPUTS!$D$199,0))*CURVES!P173</f>
        <v>0</v>
      </c>
      <c r="Q37" s="130" t="n">
        <f aca="false">IF(INPUTS!$C$21="JV",INPUTS!$D$199,0)*--(Q$7=INPUTS!$E$199)+(INPUTS!$G$148-IF(INPUTS!$C$21="JV",INPUTS!$D$199,0))*CURVES!Q173</f>
        <v>0</v>
      </c>
      <c r="R37" s="130" t="n">
        <f aca="false">IF(INPUTS!$C$21="JV",INPUTS!$D$199,0)*--(R$7=INPUTS!$E$199)+(INPUTS!$G$148-IF(INPUTS!$C$21="JV",INPUTS!$D$199,0))*CURVES!R173</f>
        <v>0</v>
      </c>
      <c r="S37" s="130" t="n">
        <f aca="false">IF(INPUTS!$C$21="JV",INPUTS!$D$199,0)*--(S$7=INPUTS!$E$199)+(INPUTS!$G$148-IF(INPUTS!$C$21="JV",INPUTS!$D$199,0))*CURVES!S173</f>
        <v>0</v>
      </c>
      <c r="T37" s="130" t="n">
        <f aca="false">IF(INPUTS!$C$21="JV",INPUTS!$D$199,0)*--(T$7=INPUTS!$E$199)+(INPUTS!$G$148-IF(INPUTS!$C$21="JV",INPUTS!$D$199,0))*CURVES!T173</f>
        <v>0</v>
      </c>
      <c r="U37" s="130" t="n">
        <f aca="false">IF(INPUTS!$C$21="JV",INPUTS!$D$199,0)*--(U$7=INPUTS!$E$199)+(INPUTS!$G$148-IF(INPUTS!$C$21="JV",INPUTS!$D$199,0))*CURVES!U173</f>
        <v>0</v>
      </c>
      <c r="V37" s="130" t="n">
        <f aca="false">IF(INPUTS!$C$21="JV",INPUTS!$D$199,0)*--(V$7=INPUTS!$E$199)+(INPUTS!$G$148-IF(INPUTS!$C$21="JV",INPUTS!$D$199,0))*CURVES!V173</f>
        <v>0</v>
      </c>
      <c r="W37" s="130" t="n">
        <f aca="false">IF(INPUTS!$C$21="JV",INPUTS!$D$199,0)*--(W$7=INPUTS!$E$199)+(INPUTS!$G$148-IF(INPUTS!$C$21="JV",INPUTS!$D$199,0))*CURVES!W173</f>
        <v>0</v>
      </c>
      <c r="X37" s="130" t="n">
        <f aca="false">IF(INPUTS!$C$21="JV",INPUTS!$D$199,0)*--(X$7=INPUTS!$E$199)+(INPUTS!$G$148-IF(INPUTS!$C$21="JV",INPUTS!$D$199,0))*CURVES!X173</f>
        <v>0</v>
      </c>
      <c r="Y37" s="130" t="n">
        <f aca="false">IF(INPUTS!$C$21="JV",INPUTS!$D$199,0)*--(Y$7=INPUTS!$E$199)+(INPUTS!$G$148-IF(INPUTS!$C$21="JV",INPUTS!$D$199,0))*CURVES!Y173</f>
        <v>0</v>
      </c>
      <c r="Z37" s="130" t="n">
        <f aca="false">IF(INPUTS!$C$21="JV",INPUTS!$D$199,0)*--(Z$7=INPUTS!$E$199)+(INPUTS!$G$148-IF(INPUTS!$C$21="JV",INPUTS!$D$199,0))*CURVES!Z173</f>
        <v>0</v>
      </c>
      <c r="AA37" s="130" t="n">
        <f aca="false">IF(INPUTS!$C$21="JV",INPUTS!$D$199,0)*--(AA$7=INPUTS!$E$199)+(INPUTS!$G$148-IF(INPUTS!$C$21="JV",INPUTS!$D$199,0))*CURVES!AA173</f>
        <v>0</v>
      </c>
      <c r="AB37" s="130" t="n">
        <f aca="false">IF(INPUTS!$C$21="JV",INPUTS!$D$199,0)*--(AB$7=INPUTS!$E$199)+(INPUTS!$G$148-IF(INPUTS!$C$21="JV",INPUTS!$D$199,0))*CURVES!AB173</f>
        <v>0</v>
      </c>
      <c r="AC37" s="130" t="n">
        <f aca="false">IF(INPUTS!$C$21="JV",INPUTS!$D$199,0)*--(AC$7=INPUTS!$E$199)+(INPUTS!$G$148-IF(INPUTS!$C$21="JV",INPUTS!$D$199,0))*CURVES!AC173</f>
        <v>0</v>
      </c>
      <c r="AD37" s="130" t="n">
        <f aca="false">IF(INPUTS!$C$21="JV",INPUTS!$D$199,0)*--(AD$7=INPUTS!$E$199)+(INPUTS!$G$148-IF(INPUTS!$C$21="JV",INPUTS!$D$199,0))*CURVES!AD173</f>
        <v>0</v>
      </c>
      <c r="AE37" s="130" t="n">
        <f aca="false">IF(INPUTS!$C$21="JV",INPUTS!$D$199,0)*--(AE$7=INPUTS!$E$199)+(INPUTS!$G$148-IF(INPUTS!$C$21="JV",INPUTS!$D$199,0))*CURVES!AE173</f>
        <v>0</v>
      </c>
      <c r="AF37" s="130" t="n">
        <f aca="false">IF(INPUTS!$C$21="JV",INPUTS!$D$199,0)*--(AF$7=INPUTS!$E$199)+(INPUTS!$G$148-IF(INPUTS!$C$21="JV",INPUTS!$D$199,0))*CURVES!AF173</f>
        <v>0</v>
      </c>
      <c r="AG37" s="130" t="n">
        <f aca="false">IF(INPUTS!$C$21="JV",INPUTS!$D$199,0)*--(AG$7=INPUTS!$E$199)+(INPUTS!$G$148-IF(INPUTS!$C$21="JV",INPUTS!$D$199,0))*CURVES!AG173</f>
        <v>0</v>
      </c>
      <c r="AH37" s="130" t="n">
        <f aca="false">IF(INPUTS!$C$21="JV",INPUTS!$D$199,0)*--(AH$7=INPUTS!$E$199)+(INPUTS!$G$148-IF(INPUTS!$C$21="JV",INPUTS!$D$199,0))*CURVES!AH173</f>
        <v>0</v>
      </c>
      <c r="AI37" s="130" t="n">
        <f aca="false">IF(INPUTS!$C$21="JV",INPUTS!$D$199,0)*--(AI$7=INPUTS!$E$199)+(INPUTS!$G$148-IF(INPUTS!$C$21="JV",INPUTS!$D$199,0))*CURVES!AI173</f>
        <v>0</v>
      </c>
      <c r="AJ37" s="130" t="n">
        <f aca="false">IF(INPUTS!$C$21="JV",INPUTS!$D$199,0)*--(AJ$7=INPUTS!$E$199)+(INPUTS!$G$148-IF(INPUTS!$C$21="JV",INPUTS!$D$199,0))*CURVES!AJ173</f>
        <v>0</v>
      </c>
      <c r="AK37" s="130" t="n">
        <f aca="false">IF(INPUTS!$C$21="JV",INPUTS!$D$199,0)*--(AK$7=INPUTS!$E$199)+(INPUTS!$G$148-IF(INPUTS!$C$21="JV",INPUTS!$D$199,0))*CURVES!AK173</f>
        <v>0</v>
      </c>
      <c r="AL37" s="130" t="n">
        <f aca="false">IF(INPUTS!$C$21="JV",INPUTS!$D$199,0)*--(AL$7=INPUTS!$E$199)+(INPUTS!$G$148-IF(INPUTS!$C$21="JV",INPUTS!$D$199,0))*CURVES!AL173</f>
        <v>0</v>
      </c>
      <c r="AM37" s="130" t="n">
        <f aca="false">IF(INPUTS!$C$21="JV",INPUTS!$D$199,0)*--(AM$7=INPUTS!$E$199)+(INPUTS!$G$148-IF(INPUTS!$C$21="JV",INPUTS!$D$199,0))*CURVES!AM173</f>
        <v>0</v>
      </c>
      <c r="AN37" s="130" t="n">
        <f aca="false">IF(INPUTS!$C$21="JV",INPUTS!$D$199,0)*--(AN$7=INPUTS!$E$199)+(INPUTS!$G$148-IF(INPUTS!$C$21="JV",INPUTS!$D$199,0))*CURVES!AN173</f>
        <v>0</v>
      </c>
      <c r="AO37" s="130" t="n">
        <f aca="false">IF(INPUTS!$C$21="JV",INPUTS!$D$199,0)*--(AO$7=INPUTS!$E$199)+(INPUTS!$G$148-IF(INPUTS!$C$21="JV",INPUTS!$D$199,0))*CURVES!AO173</f>
        <v>0</v>
      </c>
      <c r="AP37" s="130" t="n">
        <f aca="false">IF(INPUTS!$C$21="JV",INPUTS!$D$199,0)*--(AP$7=INPUTS!$E$199)+(INPUTS!$G$148-IF(INPUTS!$C$21="JV",INPUTS!$D$199,0))*CURVES!AP173</f>
        <v>0</v>
      </c>
      <c r="AQ37" s="130" t="n">
        <f aca="false">IF(INPUTS!$C$21="JV",INPUTS!$D$199,0)*--(AQ$7=INPUTS!$E$199)+(INPUTS!$G$148-IF(INPUTS!$C$21="JV",INPUTS!$D$199,0))*CURVES!AQ173</f>
        <v>0</v>
      </c>
    </row>
    <row r="38" customFormat="false" ht="15" hidden="false" customHeight="false" outlineLevel="0" collapsed="false">
      <c r="B38" s="121" t="str">
        <f aca="false">IF(INPUTS!$B$149="","Spare cost row",INPUTS!$B$149)</f>
        <v>Spare cost row</v>
      </c>
      <c r="C38" s="129" t="n">
        <f aca="false">SUM(D38:AQ38)</f>
        <v>0</v>
      </c>
      <c r="D38" s="130" t="n">
        <f aca="false">INPUTS!$G$149*CURVES!D176</f>
        <v>0</v>
      </c>
      <c r="E38" s="130" t="n">
        <f aca="false">INPUTS!$G$149*CURVES!E176</f>
        <v>0</v>
      </c>
      <c r="F38" s="130" t="n">
        <f aca="false">INPUTS!$G$149*CURVES!F176</f>
        <v>0</v>
      </c>
      <c r="G38" s="130" t="n">
        <f aca="false">INPUTS!$G$149*CURVES!G176</f>
        <v>0</v>
      </c>
      <c r="H38" s="130" t="n">
        <f aca="false">INPUTS!$G$149*CURVES!H176</f>
        <v>0</v>
      </c>
      <c r="I38" s="130" t="n">
        <f aca="false">INPUTS!$G$149*CURVES!I176</f>
        <v>0</v>
      </c>
      <c r="J38" s="130" t="n">
        <f aca="false">INPUTS!$G$149*CURVES!J176</f>
        <v>0</v>
      </c>
      <c r="K38" s="130" t="n">
        <f aca="false">INPUTS!$G$149*CURVES!K176</f>
        <v>0</v>
      </c>
      <c r="L38" s="130" t="n">
        <f aca="false">INPUTS!$G$149*CURVES!L176</f>
        <v>0</v>
      </c>
      <c r="M38" s="130" t="n">
        <f aca="false">INPUTS!$G$149*CURVES!M176</f>
        <v>0</v>
      </c>
      <c r="N38" s="130" t="n">
        <f aca="false">INPUTS!$G$149*CURVES!N176</f>
        <v>0</v>
      </c>
      <c r="O38" s="130" t="n">
        <f aca="false">INPUTS!$G$149*CURVES!O176</f>
        <v>0</v>
      </c>
      <c r="P38" s="130" t="n">
        <f aca="false">INPUTS!$G$149*CURVES!P176</f>
        <v>0</v>
      </c>
      <c r="Q38" s="130" t="n">
        <f aca="false">INPUTS!$G$149*CURVES!Q176</f>
        <v>0</v>
      </c>
      <c r="R38" s="130" t="n">
        <f aca="false">INPUTS!$G$149*CURVES!R176</f>
        <v>0</v>
      </c>
      <c r="S38" s="130" t="n">
        <f aca="false">INPUTS!$G$149*CURVES!S176</f>
        <v>0</v>
      </c>
      <c r="T38" s="130" t="n">
        <f aca="false">INPUTS!$G$149*CURVES!T176</f>
        <v>0</v>
      </c>
      <c r="U38" s="130" t="n">
        <f aca="false">INPUTS!$G$149*CURVES!U176</f>
        <v>0</v>
      </c>
      <c r="V38" s="130" t="n">
        <f aca="false">INPUTS!$G$149*CURVES!V176</f>
        <v>0</v>
      </c>
      <c r="W38" s="130" t="n">
        <f aca="false">INPUTS!$G$149*CURVES!W176</f>
        <v>0</v>
      </c>
      <c r="X38" s="130" t="n">
        <f aca="false">INPUTS!$G$149*CURVES!X176</f>
        <v>0</v>
      </c>
      <c r="Y38" s="130" t="n">
        <f aca="false">INPUTS!$G$149*CURVES!Y176</f>
        <v>0</v>
      </c>
      <c r="Z38" s="130" t="n">
        <f aca="false">INPUTS!$G$149*CURVES!Z176</f>
        <v>0</v>
      </c>
      <c r="AA38" s="130" t="n">
        <f aca="false">INPUTS!$G$149*CURVES!AA176</f>
        <v>0</v>
      </c>
      <c r="AB38" s="130" t="n">
        <f aca="false">INPUTS!$G$149*CURVES!AB176</f>
        <v>0</v>
      </c>
      <c r="AC38" s="130" t="n">
        <f aca="false">INPUTS!$G$149*CURVES!AC176</f>
        <v>0</v>
      </c>
      <c r="AD38" s="130" t="n">
        <f aca="false">INPUTS!$G$149*CURVES!AD176</f>
        <v>0</v>
      </c>
      <c r="AE38" s="130" t="n">
        <f aca="false">INPUTS!$G$149*CURVES!AE176</f>
        <v>0</v>
      </c>
      <c r="AF38" s="130" t="n">
        <f aca="false">INPUTS!$G$149*CURVES!AF176</f>
        <v>0</v>
      </c>
      <c r="AG38" s="130" t="n">
        <f aca="false">INPUTS!$G$149*CURVES!AG176</f>
        <v>0</v>
      </c>
      <c r="AH38" s="130" t="n">
        <f aca="false">INPUTS!$G$149*CURVES!AH176</f>
        <v>0</v>
      </c>
      <c r="AI38" s="130" t="n">
        <f aca="false">INPUTS!$G$149*CURVES!AI176</f>
        <v>0</v>
      </c>
      <c r="AJ38" s="130" t="n">
        <f aca="false">INPUTS!$G$149*CURVES!AJ176</f>
        <v>0</v>
      </c>
      <c r="AK38" s="130" t="n">
        <f aca="false">INPUTS!$G$149*CURVES!AK176</f>
        <v>0</v>
      </c>
      <c r="AL38" s="130" t="n">
        <f aca="false">INPUTS!$G$149*CURVES!AL176</f>
        <v>0</v>
      </c>
      <c r="AM38" s="130" t="n">
        <f aca="false">INPUTS!$G$149*CURVES!AM176</f>
        <v>0</v>
      </c>
      <c r="AN38" s="130" t="n">
        <f aca="false">INPUTS!$G$149*CURVES!AN176</f>
        <v>0</v>
      </c>
      <c r="AO38" s="130" t="n">
        <f aca="false">INPUTS!$G$149*CURVES!AO176</f>
        <v>0</v>
      </c>
      <c r="AP38" s="130" t="n">
        <f aca="false">INPUTS!$G$149*CURVES!AP176</f>
        <v>0</v>
      </c>
      <c r="AQ38" s="130" t="n">
        <f aca="false">INPUTS!$G$149*CURVES!AQ176</f>
        <v>0</v>
      </c>
    </row>
    <row r="39" customFormat="false" ht="15" hidden="false" customHeight="false" outlineLevel="0" collapsed="false">
      <c r="B39" s="121" t="str">
        <f aca="false">IF(INPUTS!$B$150="","Spare cost row",INPUTS!$B$150)</f>
        <v>Spare cost row</v>
      </c>
      <c r="C39" s="129" t="n">
        <f aca="false">SUM(D39:AQ39)</f>
        <v>0</v>
      </c>
      <c r="D39" s="130" t="n">
        <f aca="false">INPUTS!$G$150*CURVES!D179</f>
        <v>0</v>
      </c>
      <c r="E39" s="130" t="n">
        <f aca="false">INPUTS!$G$150*CURVES!E179</f>
        <v>0</v>
      </c>
      <c r="F39" s="130" t="n">
        <f aca="false">INPUTS!$G$150*CURVES!F179</f>
        <v>0</v>
      </c>
      <c r="G39" s="130" t="n">
        <f aca="false">INPUTS!$G$150*CURVES!G179</f>
        <v>0</v>
      </c>
      <c r="H39" s="130" t="n">
        <f aca="false">INPUTS!$G$150*CURVES!H179</f>
        <v>0</v>
      </c>
      <c r="I39" s="130" t="n">
        <f aca="false">INPUTS!$G$150*CURVES!I179</f>
        <v>0</v>
      </c>
      <c r="J39" s="130" t="n">
        <f aca="false">INPUTS!$G$150*CURVES!J179</f>
        <v>0</v>
      </c>
      <c r="K39" s="130" t="n">
        <f aca="false">INPUTS!$G$150*CURVES!K179</f>
        <v>0</v>
      </c>
      <c r="L39" s="130" t="n">
        <f aca="false">INPUTS!$G$150*CURVES!L179</f>
        <v>0</v>
      </c>
      <c r="M39" s="130" t="n">
        <f aca="false">INPUTS!$G$150*CURVES!M179</f>
        <v>0</v>
      </c>
      <c r="N39" s="130" t="n">
        <f aca="false">INPUTS!$G$150*CURVES!N179</f>
        <v>0</v>
      </c>
      <c r="O39" s="130" t="n">
        <f aca="false">INPUTS!$G$150*CURVES!O179</f>
        <v>0</v>
      </c>
      <c r="P39" s="130" t="n">
        <f aca="false">INPUTS!$G$150*CURVES!P179</f>
        <v>0</v>
      </c>
      <c r="Q39" s="130" t="n">
        <f aca="false">INPUTS!$G$150*CURVES!Q179</f>
        <v>0</v>
      </c>
      <c r="R39" s="130" t="n">
        <f aca="false">INPUTS!$G$150*CURVES!R179</f>
        <v>0</v>
      </c>
      <c r="S39" s="130" t="n">
        <f aca="false">INPUTS!$G$150*CURVES!S179</f>
        <v>0</v>
      </c>
      <c r="T39" s="130" t="n">
        <f aca="false">INPUTS!$G$150*CURVES!T179</f>
        <v>0</v>
      </c>
      <c r="U39" s="130" t="n">
        <f aca="false">INPUTS!$G$150*CURVES!U179</f>
        <v>0</v>
      </c>
      <c r="V39" s="130" t="n">
        <f aca="false">INPUTS!$G$150*CURVES!V179</f>
        <v>0</v>
      </c>
      <c r="W39" s="130" t="n">
        <f aca="false">INPUTS!$G$150*CURVES!W179</f>
        <v>0</v>
      </c>
      <c r="X39" s="130" t="n">
        <f aca="false">INPUTS!$G$150*CURVES!X179</f>
        <v>0</v>
      </c>
      <c r="Y39" s="130" t="n">
        <f aca="false">INPUTS!$G$150*CURVES!Y179</f>
        <v>0</v>
      </c>
      <c r="Z39" s="130" t="n">
        <f aca="false">INPUTS!$G$150*CURVES!Z179</f>
        <v>0</v>
      </c>
      <c r="AA39" s="130" t="n">
        <f aca="false">INPUTS!$G$150*CURVES!AA179</f>
        <v>0</v>
      </c>
      <c r="AB39" s="130" t="n">
        <f aca="false">INPUTS!$G$150*CURVES!AB179</f>
        <v>0</v>
      </c>
      <c r="AC39" s="130" t="n">
        <f aca="false">INPUTS!$G$150*CURVES!AC179</f>
        <v>0</v>
      </c>
      <c r="AD39" s="130" t="n">
        <f aca="false">INPUTS!$G$150*CURVES!AD179</f>
        <v>0</v>
      </c>
      <c r="AE39" s="130" t="n">
        <f aca="false">INPUTS!$G$150*CURVES!AE179</f>
        <v>0</v>
      </c>
      <c r="AF39" s="130" t="n">
        <f aca="false">INPUTS!$G$150*CURVES!AF179</f>
        <v>0</v>
      </c>
      <c r="AG39" s="130" t="n">
        <f aca="false">INPUTS!$G$150*CURVES!AG179</f>
        <v>0</v>
      </c>
      <c r="AH39" s="130" t="n">
        <f aca="false">INPUTS!$G$150*CURVES!AH179</f>
        <v>0</v>
      </c>
      <c r="AI39" s="130" t="n">
        <f aca="false">INPUTS!$G$150*CURVES!AI179</f>
        <v>0</v>
      </c>
      <c r="AJ39" s="130" t="n">
        <f aca="false">INPUTS!$G$150*CURVES!AJ179</f>
        <v>0</v>
      </c>
      <c r="AK39" s="130" t="n">
        <f aca="false">INPUTS!$G$150*CURVES!AK179</f>
        <v>0</v>
      </c>
      <c r="AL39" s="130" t="n">
        <f aca="false">INPUTS!$G$150*CURVES!AL179</f>
        <v>0</v>
      </c>
      <c r="AM39" s="130" t="n">
        <f aca="false">INPUTS!$G$150*CURVES!AM179</f>
        <v>0</v>
      </c>
      <c r="AN39" s="130" t="n">
        <f aca="false">INPUTS!$G$150*CURVES!AN179</f>
        <v>0</v>
      </c>
      <c r="AO39" s="130" t="n">
        <f aca="false">INPUTS!$G$150*CURVES!AO179</f>
        <v>0</v>
      </c>
      <c r="AP39" s="130" t="n">
        <f aca="false">INPUTS!$G$150*CURVES!AP179</f>
        <v>0</v>
      </c>
      <c r="AQ39" s="130" t="n">
        <f aca="false">INPUTS!$G$150*CURVES!AQ179</f>
        <v>0</v>
      </c>
    </row>
    <row r="40" customFormat="false" ht="15" hidden="false" customHeight="false" outlineLevel="0" collapsed="false">
      <c r="B40" s="121" t="str">
        <f aca="false">IF(INPUTS!$B$151="","Spare cost row",INPUTS!$B$151)</f>
        <v>Spare cost row</v>
      </c>
      <c r="C40" s="129" t="n">
        <f aca="false">SUM(D40:AQ40)</f>
        <v>0</v>
      </c>
      <c r="D40" s="130" t="n">
        <f aca="false">INPUTS!$G$151*CURVES!D182</f>
        <v>0</v>
      </c>
      <c r="E40" s="130" t="n">
        <f aca="false">INPUTS!$G$151*CURVES!E182</f>
        <v>0</v>
      </c>
      <c r="F40" s="130" t="n">
        <f aca="false">INPUTS!$G$151*CURVES!F182</f>
        <v>0</v>
      </c>
      <c r="G40" s="130" t="n">
        <f aca="false">INPUTS!$G$151*CURVES!G182</f>
        <v>0</v>
      </c>
      <c r="H40" s="130" t="n">
        <f aca="false">INPUTS!$G$151*CURVES!H182</f>
        <v>0</v>
      </c>
      <c r="I40" s="130" t="n">
        <f aca="false">INPUTS!$G$151*CURVES!I182</f>
        <v>0</v>
      </c>
      <c r="J40" s="130" t="n">
        <f aca="false">INPUTS!$G$151*CURVES!J182</f>
        <v>0</v>
      </c>
      <c r="K40" s="130" t="n">
        <f aca="false">INPUTS!$G$151*CURVES!K182</f>
        <v>0</v>
      </c>
      <c r="L40" s="130" t="n">
        <f aca="false">INPUTS!$G$151*CURVES!L182</f>
        <v>0</v>
      </c>
      <c r="M40" s="130" t="n">
        <f aca="false">INPUTS!$G$151*CURVES!M182</f>
        <v>0</v>
      </c>
      <c r="N40" s="130" t="n">
        <f aca="false">INPUTS!$G$151*CURVES!N182</f>
        <v>0</v>
      </c>
      <c r="O40" s="130" t="n">
        <f aca="false">INPUTS!$G$151*CURVES!O182</f>
        <v>0</v>
      </c>
      <c r="P40" s="130" t="n">
        <f aca="false">INPUTS!$G$151*CURVES!P182</f>
        <v>0</v>
      </c>
      <c r="Q40" s="130" t="n">
        <f aca="false">INPUTS!$G$151*CURVES!Q182</f>
        <v>0</v>
      </c>
      <c r="R40" s="130" t="n">
        <f aca="false">INPUTS!$G$151*CURVES!R182</f>
        <v>0</v>
      </c>
      <c r="S40" s="130" t="n">
        <f aca="false">INPUTS!$G$151*CURVES!S182</f>
        <v>0</v>
      </c>
      <c r="T40" s="130" t="n">
        <f aca="false">INPUTS!$G$151*CURVES!T182</f>
        <v>0</v>
      </c>
      <c r="U40" s="130" t="n">
        <f aca="false">INPUTS!$G$151*CURVES!U182</f>
        <v>0</v>
      </c>
      <c r="V40" s="130" t="n">
        <f aca="false">INPUTS!$G$151*CURVES!V182</f>
        <v>0</v>
      </c>
      <c r="W40" s="130" t="n">
        <f aca="false">INPUTS!$G$151*CURVES!W182</f>
        <v>0</v>
      </c>
      <c r="X40" s="130" t="n">
        <f aca="false">INPUTS!$G$151*CURVES!X182</f>
        <v>0</v>
      </c>
      <c r="Y40" s="130" t="n">
        <f aca="false">INPUTS!$G$151*CURVES!Y182</f>
        <v>0</v>
      </c>
      <c r="Z40" s="130" t="n">
        <f aca="false">INPUTS!$G$151*CURVES!Z182</f>
        <v>0</v>
      </c>
      <c r="AA40" s="130" t="n">
        <f aca="false">INPUTS!$G$151*CURVES!AA182</f>
        <v>0</v>
      </c>
      <c r="AB40" s="130" t="n">
        <f aca="false">INPUTS!$G$151*CURVES!AB182</f>
        <v>0</v>
      </c>
      <c r="AC40" s="130" t="n">
        <f aca="false">INPUTS!$G$151*CURVES!AC182</f>
        <v>0</v>
      </c>
      <c r="AD40" s="130" t="n">
        <f aca="false">INPUTS!$G$151*CURVES!AD182</f>
        <v>0</v>
      </c>
      <c r="AE40" s="130" t="n">
        <f aca="false">INPUTS!$G$151*CURVES!AE182</f>
        <v>0</v>
      </c>
      <c r="AF40" s="130" t="n">
        <f aca="false">INPUTS!$G$151*CURVES!AF182</f>
        <v>0</v>
      </c>
      <c r="AG40" s="130" t="n">
        <f aca="false">INPUTS!$G$151*CURVES!AG182</f>
        <v>0</v>
      </c>
      <c r="AH40" s="130" t="n">
        <f aca="false">INPUTS!$G$151*CURVES!AH182</f>
        <v>0</v>
      </c>
      <c r="AI40" s="130" t="n">
        <f aca="false">INPUTS!$G$151*CURVES!AI182</f>
        <v>0</v>
      </c>
      <c r="AJ40" s="130" t="n">
        <f aca="false">INPUTS!$G$151*CURVES!AJ182</f>
        <v>0</v>
      </c>
      <c r="AK40" s="130" t="n">
        <f aca="false">INPUTS!$G$151*CURVES!AK182</f>
        <v>0</v>
      </c>
      <c r="AL40" s="130" t="n">
        <f aca="false">INPUTS!$G$151*CURVES!AL182</f>
        <v>0</v>
      </c>
      <c r="AM40" s="130" t="n">
        <f aca="false">INPUTS!$G$151*CURVES!AM182</f>
        <v>0</v>
      </c>
      <c r="AN40" s="130" t="n">
        <f aca="false">INPUTS!$G$151*CURVES!AN182</f>
        <v>0</v>
      </c>
      <c r="AO40" s="130" t="n">
        <f aca="false">INPUTS!$G$151*CURVES!AO182</f>
        <v>0</v>
      </c>
      <c r="AP40" s="130" t="n">
        <f aca="false">INPUTS!$G$151*CURVES!AP182</f>
        <v>0</v>
      </c>
      <c r="AQ40" s="130" t="n">
        <f aca="false">INPUTS!$G$151*CURVES!AQ182</f>
        <v>0</v>
      </c>
    </row>
    <row r="41" customFormat="false" ht="15" hidden="false" customHeight="false" outlineLevel="0" collapsed="false">
      <c r="B41" s="82" t="s">
        <v>745</v>
      </c>
      <c r="C41" s="133" t="n">
        <f aca="false">SUM(D41:AQ41)</f>
        <v>373.6453209296</v>
      </c>
      <c r="D41" s="134" t="n">
        <f aca="false">SUM(D17:D40)</f>
        <v>1.606</v>
      </c>
      <c r="E41" s="134" t="n">
        <f aca="false">SUM(E17:E40)</f>
        <v>14.6813209296</v>
      </c>
      <c r="F41" s="134" t="n">
        <f aca="false">SUM(F17:F40)</f>
        <v>5.88377777777778</v>
      </c>
      <c r="G41" s="134" t="n">
        <f aca="false">SUM(G17:G40)</f>
        <v>9.21764948344413</v>
      </c>
      <c r="H41" s="134" t="n">
        <f aca="false">SUM(H17:H40)</f>
        <v>12.768422192263</v>
      </c>
      <c r="I41" s="134" t="n">
        <f aca="false">SUM(I17:I40)</f>
        <v>18.4140580043173</v>
      </c>
      <c r="J41" s="134" t="n">
        <f aca="false">SUM(J17:J40)</f>
        <v>23.5399015004647</v>
      </c>
      <c r="K41" s="134" t="n">
        <f aca="false">SUM(K17:K40)</f>
        <v>27.8393262717254</v>
      </c>
      <c r="L41" s="134" t="n">
        <f aca="false">SUM(L17:L40)</f>
        <v>30.9899698383131</v>
      </c>
      <c r="M41" s="134" t="n">
        <f aca="false">SUM(M17:M40)</f>
        <v>32.8169830220251</v>
      </c>
      <c r="N41" s="134" t="n">
        <f aca="false">SUM(N17:N40)</f>
        <v>33.2205605803547</v>
      </c>
      <c r="O41" s="134" t="n">
        <f aca="false">SUM(O17:O40)</f>
        <v>32.7153291722077</v>
      </c>
      <c r="P41" s="134" t="n">
        <f aca="false">SUM(P17:P40)</f>
        <v>30.8260789930569</v>
      </c>
      <c r="Q41" s="134" t="n">
        <f aca="false">SUM(Q17:Q40)</f>
        <v>27.3721247688506</v>
      </c>
      <c r="R41" s="134" t="n">
        <f aca="false">SUM(R17:R40)</f>
        <v>23.1834302071829</v>
      </c>
      <c r="S41" s="134" t="n">
        <f aca="false">SUM(S17:S40)</f>
        <v>16.0813247288059</v>
      </c>
      <c r="T41" s="134" t="n">
        <f aca="false">SUM(T17:T40)</f>
        <v>12.9091477455728</v>
      </c>
      <c r="U41" s="134" t="n">
        <f aca="false">SUM(U17:U40)</f>
        <v>9.70037082453261</v>
      </c>
      <c r="V41" s="134" t="n">
        <f aca="false">SUM(V17:V40)</f>
        <v>6.59048894279194</v>
      </c>
      <c r="W41" s="134" t="n">
        <f aca="false">SUM(W17:W40)</f>
        <v>3.28905594631337</v>
      </c>
      <c r="X41" s="134" t="n">
        <f aca="false">SUM(X17:X40)</f>
        <v>0</v>
      </c>
      <c r="Y41" s="134" t="n">
        <f aca="false">SUM(Y17:Y40)</f>
        <v>0</v>
      </c>
      <c r="Z41" s="134" t="n">
        <f aca="false">SUM(Z17:Z40)</f>
        <v>0</v>
      </c>
      <c r="AA41" s="134" t="n">
        <f aca="false">SUM(AA17:AA40)</f>
        <v>0</v>
      </c>
      <c r="AB41" s="134" t="n">
        <f aca="false">SUM(AB17:AB40)</f>
        <v>0</v>
      </c>
      <c r="AC41" s="134" t="n">
        <f aca="false">SUM(AC17:AC40)</f>
        <v>0</v>
      </c>
      <c r="AD41" s="134" t="n">
        <f aca="false">SUM(AD17:AD40)</f>
        <v>0</v>
      </c>
      <c r="AE41" s="134" t="n">
        <f aca="false">SUM(AE17:AE40)</f>
        <v>0</v>
      </c>
      <c r="AF41" s="134" t="n">
        <f aca="false">SUM(AF17:AF40)</f>
        <v>0</v>
      </c>
      <c r="AG41" s="134" t="n">
        <f aca="false">SUM(AG17:AG40)</f>
        <v>0</v>
      </c>
      <c r="AH41" s="134" t="n">
        <f aca="false">SUM(AH17:AH40)</f>
        <v>0</v>
      </c>
      <c r="AI41" s="134" t="n">
        <f aca="false">SUM(AI17:AI40)</f>
        <v>0</v>
      </c>
      <c r="AJ41" s="134" t="n">
        <f aca="false">SUM(AJ17:AJ40)</f>
        <v>0</v>
      </c>
      <c r="AK41" s="134" t="n">
        <f aca="false">SUM(AK17:AK40)</f>
        <v>0</v>
      </c>
      <c r="AL41" s="134" t="n">
        <f aca="false">SUM(AL17:AL40)</f>
        <v>0</v>
      </c>
      <c r="AM41" s="134" t="n">
        <f aca="false">SUM(AM17:AM40)</f>
        <v>0</v>
      </c>
      <c r="AN41" s="134" t="n">
        <f aca="false">SUM(AN17:AN40)</f>
        <v>0</v>
      </c>
      <c r="AO41" s="134" t="n">
        <f aca="false">SUM(AO17:AO40)</f>
        <v>0</v>
      </c>
      <c r="AP41" s="134" t="n">
        <f aca="false">SUM(AP17:AP40)</f>
        <v>0</v>
      </c>
      <c r="AQ41" s="134" t="n">
        <f aca="false">SUM(AQ17:AQ40)</f>
        <v>0</v>
      </c>
    </row>
    <row r="43" customFormat="false" ht="19.5" hidden="false" customHeight="true" outlineLevel="0" collapsed="false">
      <c r="B43" s="4" t="s">
        <v>746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customFormat="false" ht="15" hidden="false" customHeight="false" outlineLevel="0" collapsed="false">
      <c r="B44" s="3" t="s">
        <v>747</v>
      </c>
      <c r="C44" s="129" t="n">
        <f aca="false">SUM(D44:AQ44)</f>
        <v>18</v>
      </c>
      <c r="D44" s="130" t="n">
        <f aca="false">IF(INPUTS!$C$21="JV",INPUTS!$D$191,0)*--(D$7=INPUTS!$E$191)+IF(INPUTS!$C$21="JV",INPUTS!$D$192,0)*--(D$7=INPUTS!$E$192)+IF(INPUTS!$C$21="JV",INPUTS!$D$193,0)*--(D$7=INPUTS!$E$193)</f>
        <v>18</v>
      </c>
      <c r="E44" s="130" t="n">
        <f aca="false">IF(INPUTS!$C$21="JV",INPUTS!$D$191,0)*--(E$7=INPUTS!$E$191)+IF(INPUTS!$C$21="JV",INPUTS!$D$192,0)*--(E$7=INPUTS!$E$192)+IF(INPUTS!$C$21="JV",INPUTS!$D$193,0)*--(E$7=INPUTS!$E$193)</f>
        <v>0</v>
      </c>
      <c r="F44" s="130" t="n">
        <f aca="false">IF(INPUTS!$C$21="JV",INPUTS!$D$191,0)*--(F$7=INPUTS!$E$191)+IF(INPUTS!$C$21="JV",INPUTS!$D$192,0)*--(F$7=INPUTS!$E$192)+IF(INPUTS!$C$21="JV",INPUTS!$D$193,0)*--(F$7=INPUTS!$E$193)</f>
        <v>0</v>
      </c>
      <c r="G44" s="130" t="n">
        <f aca="false">IF(INPUTS!$C$21="JV",INPUTS!$D$191,0)*--(G$7=INPUTS!$E$191)+IF(INPUTS!$C$21="JV",INPUTS!$D$192,0)*--(G$7=INPUTS!$E$192)+IF(INPUTS!$C$21="JV",INPUTS!$D$193,0)*--(G$7=INPUTS!$E$193)</f>
        <v>0</v>
      </c>
      <c r="H44" s="130" t="n">
        <f aca="false">IF(INPUTS!$C$21="JV",INPUTS!$D$191,0)*--(H$7=INPUTS!$E$191)+IF(INPUTS!$C$21="JV",INPUTS!$D$192,0)*--(H$7=INPUTS!$E$192)+IF(INPUTS!$C$21="JV",INPUTS!$D$193,0)*--(H$7=INPUTS!$E$193)</f>
        <v>0</v>
      </c>
      <c r="I44" s="130" t="n">
        <f aca="false">IF(INPUTS!$C$21="JV",INPUTS!$D$191,0)*--(I$7=INPUTS!$E$191)+IF(INPUTS!$C$21="JV",INPUTS!$D$192,0)*--(I$7=INPUTS!$E$192)+IF(INPUTS!$C$21="JV",INPUTS!$D$193,0)*--(I$7=INPUTS!$E$193)</f>
        <v>0</v>
      </c>
      <c r="J44" s="130" t="n">
        <f aca="false">IF(INPUTS!$C$21="JV",INPUTS!$D$191,0)*--(J$7=INPUTS!$E$191)+IF(INPUTS!$C$21="JV",INPUTS!$D$192,0)*--(J$7=INPUTS!$E$192)+IF(INPUTS!$C$21="JV",INPUTS!$D$193,0)*--(J$7=INPUTS!$E$193)</f>
        <v>0</v>
      </c>
      <c r="K44" s="130" t="n">
        <f aca="false">IF(INPUTS!$C$21="JV",INPUTS!$D$191,0)*--(K$7=INPUTS!$E$191)+IF(INPUTS!$C$21="JV",INPUTS!$D$192,0)*--(K$7=INPUTS!$E$192)+IF(INPUTS!$C$21="JV",INPUTS!$D$193,0)*--(K$7=INPUTS!$E$193)</f>
        <v>0</v>
      </c>
      <c r="L44" s="130" t="n">
        <f aca="false">IF(INPUTS!$C$21="JV",INPUTS!$D$191,0)*--(L$7=INPUTS!$E$191)+IF(INPUTS!$C$21="JV",INPUTS!$D$192,0)*--(L$7=INPUTS!$E$192)+IF(INPUTS!$C$21="JV",INPUTS!$D$193,0)*--(L$7=INPUTS!$E$193)</f>
        <v>0</v>
      </c>
      <c r="M44" s="130" t="n">
        <f aca="false">IF(INPUTS!$C$21="JV",INPUTS!$D$191,0)*--(M$7=INPUTS!$E$191)+IF(INPUTS!$C$21="JV",INPUTS!$D$192,0)*--(M$7=INPUTS!$E$192)+IF(INPUTS!$C$21="JV",INPUTS!$D$193,0)*--(M$7=INPUTS!$E$193)</f>
        <v>0</v>
      </c>
      <c r="N44" s="130" t="n">
        <f aca="false">IF(INPUTS!$C$21="JV",INPUTS!$D$191,0)*--(N$7=INPUTS!$E$191)+IF(INPUTS!$C$21="JV",INPUTS!$D$192,0)*--(N$7=INPUTS!$E$192)+IF(INPUTS!$C$21="JV",INPUTS!$D$193,0)*--(N$7=INPUTS!$E$193)</f>
        <v>0</v>
      </c>
      <c r="O44" s="130" t="n">
        <f aca="false">IF(INPUTS!$C$21="JV",INPUTS!$D$191,0)*--(O$7=INPUTS!$E$191)+IF(INPUTS!$C$21="JV",INPUTS!$D$192,0)*--(O$7=INPUTS!$E$192)+IF(INPUTS!$C$21="JV",INPUTS!$D$193,0)*--(O$7=INPUTS!$E$193)</f>
        <v>0</v>
      </c>
      <c r="P44" s="130" t="n">
        <f aca="false">IF(INPUTS!$C$21="JV",INPUTS!$D$191,0)*--(P$7=INPUTS!$E$191)+IF(INPUTS!$C$21="JV",INPUTS!$D$192,0)*--(P$7=INPUTS!$E$192)+IF(INPUTS!$C$21="JV",INPUTS!$D$193,0)*--(P$7=INPUTS!$E$193)</f>
        <v>0</v>
      </c>
      <c r="Q44" s="130" t="n">
        <f aca="false">IF(INPUTS!$C$21="JV",INPUTS!$D$191,0)*--(Q$7=INPUTS!$E$191)+IF(INPUTS!$C$21="JV",INPUTS!$D$192,0)*--(Q$7=INPUTS!$E$192)+IF(INPUTS!$C$21="JV",INPUTS!$D$193,0)*--(Q$7=INPUTS!$E$193)</f>
        <v>0</v>
      </c>
      <c r="R44" s="130" t="n">
        <f aca="false">IF(INPUTS!$C$21="JV",INPUTS!$D$191,0)*--(R$7=INPUTS!$E$191)+IF(INPUTS!$C$21="JV",INPUTS!$D$192,0)*--(R$7=INPUTS!$E$192)+IF(INPUTS!$C$21="JV",INPUTS!$D$193,0)*--(R$7=INPUTS!$E$193)</f>
        <v>0</v>
      </c>
      <c r="S44" s="130" t="n">
        <f aca="false">IF(INPUTS!$C$21="JV",INPUTS!$D$191,0)*--(S$7=INPUTS!$E$191)+IF(INPUTS!$C$21="JV",INPUTS!$D$192,0)*--(S$7=INPUTS!$E$192)+IF(INPUTS!$C$21="JV",INPUTS!$D$193,0)*--(S$7=INPUTS!$E$193)</f>
        <v>0</v>
      </c>
      <c r="T44" s="130" t="n">
        <f aca="false">IF(INPUTS!$C$21="JV",INPUTS!$D$191,0)*--(T$7=INPUTS!$E$191)+IF(INPUTS!$C$21="JV",INPUTS!$D$192,0)*--(T$7=INPUTS!$E$192)+IF(INPUTS!$C$21="JV",INPUTS!$D$193,0)*--(T$7=INPUTS!$E$193)</f>
        <v>0</v>
      </c>
      <c r="U44" s="130" t="n">
        <f aca="false">IF(INPUTS!$C$21="JV",INPUTS!$D$191,0)*--(U$7=INPUTS!$E$191)+IF(INPUTS!$C$21="JV",INPUTS!$D$192,0)*--(U$7=INPUTS!$E$192)+IF(INPUTS!$C$21="JV",INPUTS!$D$193,0)*--(U$7=INPUTS!$E$193)</f>
        <v>0</v>
      </c>
      <c r="V44" s="130" t="n">
        <f aca="false">IF(INPUTS!$C$21="JV",INPUTS!$D$191,0)*--(V$7=INPUTS!$E$191)+IF(INPUTS!$C$21="JV",INPUTS!$D$192,0)*--(V$7=INPUTS!$E$192)+IF(INPUTS!$C$21="JV",INPUTS!$D$193,0)*--(V$7=INPUTS!$E$193)</f>
        <v>0</v>
      </c>
      <c r="W44" s="130" t="n">
        <f aca="false">IF(INPUTS!$C$21="JV",INPUTS!$D$191,0)*--(W$7=INPUTS!$E$191)+IF(INPUTS!$C$21="JV",INPUTS!$D$192,0)*--(W$7=INPUTS!$E$192)+IF(INPUTS!$C$21="JV",INPUTS!$D$193,0)*--(W$7=INPUTS!$E$193)</f>
        <v>0</v>
      </c>
      <c r="X44" s="130" t="n">
        <f aca="false">IF(INPUTS!$C$21="JV",INPUTS!$D$191,0)*--(X$7=INPUTS!$E$191)+IF(INPUTS!$C$21="JV",INPUTS!$D$192,0)*--(X$7=INPUTS!$E$192)+IF(INPUTS!$C$21="JV",INPUTS!$D$193,0)*--(X$7=INPUTS!$E$193)</f>
        <v>0</v>
      </c>
      <c r="Y44" s="130" t="n">
        <f aca="false">IF(INPUTS!$C$21="JV",INPUTS!$D$191,0)*--(Y$7=INPUTS!$E$191)+IF(INPUTS!$C$21="JV",INPUTS!$D$192,0)*--(Y$7=INPUTS!$E$192)+IF(INPUTS!$C$21="JV",INPUTS!$D$193,0)*--(Y$7=INPUTS!$E$193)</f>
        <v>0</v>
      </c>
      <c r="Z44" s="130" t="n">
        <f aca="false">IF(INPUTS!$C$21="JV",INPUTS!$D$191,0)*--(Z$7=INPUTS!$E$191)+IF(INPUTS!$C$21="JV",INPUTS!$D$192,0)*--(Z$7=INPUTS!$E$192)+IF(INPUTS!$C$21="JV",INPUTS!$D$193,0)*--(Z$7=INPUTS!$E$193)</f>
        <v>0</v>
      </c>
      <c r="AA44" s="130" t="n">
        <f aca="false">IF(INPUTS!$C$21="JV",INPUTS!$D$191,0)*--(AA$7=INPUTS!$E$191)+IF(INPUTS!$C$21="JV",INPUTS!$D$192,0)*--(AA$7=INPUTS!$E$192)+IF(INPUTS!$C$21="JV",INPUTS!$D$193,0)*--(AA$7=INPUTS!$E$193)</f>
        <v>0</v>
      </c>
      <c r="AB44" s="130" t="n">
        <f aca="false">IF(INPUTS!$C$21="JV",INPUTS!$D$191,0)*--(AB$7=INPUTS!$E$191)+IF(INPUTS!$C$21="JV",INPUTS!$D$192,0)*--(AB$7=INPUTS!$E$192)+IF(INPUTS!$C$21="JV",INPUTS!$D$193,0)*--(AB$7=INPUTS!$E$193)</f>
        <v>0</v>
      </c>
      <c r="AC44" s="130" t="n">
        <f aca="false">IF(INPUTS!$C$21="JV",INPUTS!$D$191,0)*--(AC$7=INPUTS!$E$191)+IF(INPUTS!$C$21="JV",INPUTS!$D$192,0)*--(AC$7=INPUTS!$E$192)+IF(INPUTS!$C$21="JV",INPUTS!$D$193,0)*--(AC$7=INPUTS!$E$193)</f>
        <v>0</v>
      </c>
      <c r="AD44" s="130" t="n">
        <f aca="false">IF(INPUTS!$C$21="JV",INPUTS!$D$191,0)*--(AD$7=INPUTS!$E$191)+IF(INPUTS!$C$21="JV",INPUTS!$D$192,0)*--(AD$7=INPUTS!$E$192)+IF(INPUTS!$C$21="JV",INPUTS!$D$193,0)*--(AD$7=INPUTS!$E$193)</f>
        <v>0</v>
      </c>
      <c r="AE44" s="130" t="n">
        <f aca="false">IF(INPUTS!$C$21="JV",INPUTS!$D$191,0)*--(AE$7=INPUTS!$E$191)+IF(INPUTS!$C$21="JV",INPUTS!$D$192,0)*--(AE$7=INPUTS!$E$192)+IF(INPUTS!$C$21="JV",INPUTS!$D$193,0)*--(AE$7=INPUTS!$E$193)</f>
        <v>0</v>
      </c>
      <c r="AF44" s="130" t="n">
        <f aca="false">IF(INPUTS!$C$21="JV",INPUTS!$D$191,0)*--(AF$7=INPUTS!$E$191)+IF(INPUTS!$C$21="JV",INPUTS!$D$192,0)*--(AF$7=INPUTS!$E$192)+IF(INPUTS!$C$21="JV",INPUTS!$D$193,0)*--(AF$7=INPUTS!$E$193)</f>
        <v>0</v>
      </c>
      <c r="AG44" s="130" t="n">
        <f aca="false">IF(INPUTS!$C$21="JV",INPUTS!$D$191,0)*--(AG$7=INPUTS!$E$191)+IF(INPUTS!$C$21="JV",INPUTS!$D$192,0)*--(AG$7=INPUTS!$E$192)+IF(INPUTS!$C$21="JV",INPUTS!$D$193,0)*--(AG$7=INPUTS!$E$193)</f>
        <v>0</v>
      </c>
      <c r="AH44" s="130" t="n">
        <f aca="false">IF(INPUTS!$C$21="JV",INPUTS!$D$191,0)*--(AH$7=INPUTS!$E$191)+IF(INPUTS!$C$21="JV",INPUTS!$D$192,0)*--(AH$7=INPUTS!$E$192)+IF(INPUTS!$C$21="JV",INPUTS!$D$193,0)*--(AH$7=INPUTS!$E$193)</f>
        <v>0</v>
      </c>
      <c r="AI44" s="130" t="n">
        <f aca="false">IF(INPUTS!$C$21="JV",INPUTS!$D$191,0)*--(AI$7=INPUTS!$E$191)+IF(INPUTS!$C$21="JV",INPUTS!$D$192,0)*--(AI$7=INPUTS!$E$192)+IF(INPUTS!$C$21="JV",INPUTS!$D$193,0)*--(AI$7=INPUTS!$E$193)</f>
        <v>0</v>
      </c>
      <c r="AJ44" s="130" t="n">
        <f aca="false">IF(INPUTS!$C$21="JV",INPUTS!$D$191,0)*--(AJ$7=INPUTS!$E$191)+IF(INPUTS!$C$21="JV",INPUTS!$D$192,0)*--(AJ$7=INPUTS!$E$192)+IF(INPUTS!$C$21="JV",INPUTS!$D$193,0)*--(AJ$7=INPUTS!$E$193)</f>
        <v>0</v>
      </c>
      <c r="AK44" s="130" t="n">
        <f aca="false">IF(INPUTS!$C$21="JV",INPUTS!$D$191,0)*--(AK$7=INPUTS!$E$191)+IF(INPUTS!$C$21="JV",INPUTS!$D$192,0)*--(AK$7=INPUTS!$E$192)+IF(INPUTS!$C$21="JV",INPUTS!$D$193,0)*--(AK$7=INPUTS!$E$193)</f>
        <v>0</v>
      </c>
      <c r="AL44" s="130" t="n">
        <f aca="false">IF(INPUTS!$C$21="JV",INPUTS!$D$191,0)*--(AL$7=INPUTS!$E$191)+IF(INPUTS!$C$21="JV",INPUTS!$D$192,0)*--(AL$7=INPUTS!$E$192)+IF(INPUTS!$C$21="JV",INPUTS!$D$193,0)*--(AL$7=INPUTS!$E$193)</f>
        <v>0</v>
      </c>
      <c r="AM44" s="130" t="n">
        <f aca="false">IF(INPUTS!$C$21="JV",INPUTS!$D$191,0)*--(AM$7=INPUTS!$E$191)+IF(INPUTS!$C$21="JV",INPUTS!$D$192,0)*--(AM$7=INPUTS!$E$192)+IF(INPUTS!$C$21="JV",INPUTS!$D$193,0)*--(AM$7=INPUTS!$E$193)</f>
        <v>0</v>
      </c>
      <c r="AN44" s="130" t="n">
        <f aca="false">IF(INPUTS!$C$21="JV",INPUTS!$D$191,0)*--(AN$7=INPUTS!$E$191)+IF(INPUTS!$C$21="JV",INPUTS!$D$192,0)*--(AN$7=INPUTS!$E$192)+IF(INPUTS!$C$21="JV",INPUTS!$D$193,0)*--(AN$7=INPUTS!$E$193)</f>
        <v>0</v>
      </c>
      <c r="AO44" s="130" t="n">
        <f aca="false">IF(INPUTS!$C$21="JV",INPUTS!$D$191,0)*--(AO$7=INPUTS!$E$191)+IF(INPUTS!$C$21="JV",INPUTS!$D$192,0)*--(AO$7=INPUTS!$E$192)+IF(INPUTS!$C$21="JV",INPUTS!$D$193,0)*--(AO$7=INPUTS!$E$193)</f>
        <v>0</v>
      </c>
      <c r="AP44" s="130" t="n">
        <f aca="false">IF(INPUTS!$C$21="JV",INPUTS!$D$191,0)*--(AP$7=INPUTS!$E$191)+IF(INPUTS!$C$21="JV",INPUTS!$D$192,0)*--(AP$7=INPUTS!$E$192)+IF(INPUTS!$C$21="JV",INPUTS!$D$193,0)*--(AP$7=INPUTS!$E$193)</f>
        <v>0</v>
      </c>
      <c r="AQ44" s="130" t="n">
        <f aca="false">IF(INPUTS!$C$21="JV",INPUTS!$D$191,0)*--(AQ$7=INPUTS!$E$191)+IF(INPUTS!$C$21="JV",INPUTS!$D$192,0)*--(AQ$7=INPUTS!$E$192)+IF(INPUTS!$C$21="JV",INPUTS!$D$193,0)*--(AQ$7=INPUTS!$E$193)</f>
        <v>0</v>
      </c>
    </row>
    <row r="45" customFormat="false" ht="15" hidden="false" customHeight="false" outlineLevel="0" collapsed="false">
      <c r="B45" s="3" t="s">
        <v>748</v>
      </c>
      <c r="D45" s="130" t="n">
        <f aca="false">SUM($D44:D44)</f>
        <v>18</v>
      </c>
      <c r="E45" s="130" t="n">
        <f aca="false">SUM($D44:E44)</f>
        <v>18</v>
      </c>
      <c r="F45" s="130" t="n">
        <f aca="false">SUM($D44:F44)</f>
        <v>18</v>
      </c>
      <c r="G45" s="130" t="n">
        <f aca="false">SUM($D44:G44)</f>
        <v>18</v>
      </c>
      <c r="H45" s="130" t="n">
        <f aca="false">SUM($D44:H44)</f>
        <v>18</v>
      </c>
      <c r="I45" s="130" t="n">
        <f aca="false">SUM($D44:I44)</f>
        <v>18</v>
      </c>
      <c r="J45" s="130" t="n">
        <f aca="false">SUM($D44:J44)</f>
        <v>18</v>
      </c>
      <c r="K45" s="130" t="n">
        <f aca="false">SUM($D44:K44)</f>
        <v>18</v>
      </c>
      <c r="L45" s="130" t="n">
        <f aca="false">SUM($D44:L44)</f>
        <v>18</v>
      </c>
      <c r="M45" s="130" t="n">
        <f aca="false">SUM($D44:M44)</f>
        <v>18</v>
      </c>
      <c r="N45" s="130" t="n">
        <f aca="false">SUM($D44:N44)</f>
        <v>18</v>
      </c>
      <c r="O45" s="130" t="n">
        <f aca="false">SUM($D44:O44)</f>
        <v>18</v>
      </c>
      <c r="P45" s="130" t="n">
        <f aca="false">SUM($D44:P44)</f>
        <v>18</v>
      </c>
      <c r="Q45" s="130" t="n">
        <f aca="false">SUM($D44:Q44)</f>
        <v>18</v>
      </c>
      <c r="R45" s="130" t="n">
        <f aca="false">SUM($D44:R44)</f>
        <v>18</v>
      </c>
      <c r="S45" s="130" t="n">
        <f aca="false">SUM($D44:S44)</f>
        <v>18</v>
      </c>
      <c r="T45" s="130" t="n">
        <f aca="false">SUM($D44:T44)</f>
        <v>18</v>
      </c>
      <c r="U45" s="130" t="n">
        <f aca="false">SUM($D44:U44)</f>
        <v>18</v>
      </c>
      <c r="V45" s="130" t="n">
        <f aca="false">SUM($D44:V44)</f>
        <v>18</v>
      </c>
      <c r="W45" s="130" t="n">
        <f aca="false">SUM($D44:W44)</f>
        <v>18</v>
      </c>
      <c r="X45" s="130" t="n">
        <f aca="false">SUM($D44:X44)</f>
        <v>18</v>
      </c>
      <c r="Y45" s="130" t="n">
        <f aca="false">SUM($D44:Y44)</f>
        <v>18</v>
      </c>
      <c r="Z45" s="130" t="n">
        <f aca="false">SUM($D44:Z44)</f>
        <v>18</v>
      </c>
      <c r="AA45" s="130" t="n">
        <f aca="false">SUM($D44:AA44)</f>
        <v>18</v>
      </c>
      <c r="AB45" s="130" t="n">
        <f aca="false">SUM($D44:AB44)</f>
        <v>18</v>
      </c>
      <c r="AC45" s="130" t="n">
        <f aca="false">SUM($D44:AC44)</f>
        <v>18</v>
      </c>
      <c r="AD45" s="130" t="n">
        <f aca="false">SUM($D44:AD44)</f>
        <v>18</v>
      </c>
      <c r="AE45" s="130" t="n">
        <f aca="false">SUM($D44:AE44)</f>
        <v>18</v>
      </c>
      <c r="AF45" s="130" t="n">
        <f aca="false">SUM($D44:AF44)</f>
        <v>18</v>
      </c>
      <c r="AG45" s="130" t="n">
        <f aca="false">SUM($D44:AG44)</f>
        <v>18</v>
      </c>
      <c r="AH45" s="130" t="n">
        <f aca="false">SUM($D44:AH44)</f>
        <v>18</v>
      </c>
      <c r="AI45" s="130" t="n">
        <f aca="false">SUM($D44:AI44)</f>
        <v>18</v>
      </c>
      <c r="AJ45" s="130" t="n">
        <f aca="false">SUM($D44:AJ44)</f>
        <v>18</v>
      </c>
      <c r="AK45" s="130" t="n">
        <f aca="false">SUM($D44:AK44)</f>
        <v>18</v>
      </c>
      <c r="AL45" s="130" t="n">
        <f aca="false">SUM($D44:AL44)</f>
        <v>18</v>
      </c>
      <c r="AM45" s="130" t="n">
        <f aca="false">SUM($D44:AM44)</f>
        <v>18</v>
      </c>
      <c r="AN45" s="130" t="n">
        <f aca="false">SUM($D44:AN44)</f>
        <v>18</v>
      </c>
      <c r="AO45" s="130" t="n">
        <f aca="false">SUM($D44:AO44)</f>
        <v>18</v>
      </c>
      <c r="AP45" s="130" t="n">
        <f aca="false">SUM($D44:AP44)</f>
        <v>18</v>
      </c>
      <c r="AQ45" s="130" t="n">
        <f aca="false">SUM($D44:AQ44)</f>
        <v>18</v>
      </c>
    </row>
    <row r="46" customFormat="false" ht="15" hidden="false" customHeight="false" outlineLevel="0" collapsed="false">
      <c r="B46" s="3" t="s">
        <v>749</v>
      </c>
      <c r="D46" s="130" t="n">
        <f aca="false">SUM($D12:D12)</f>
        <v>0</v>
      </c>
      <c r="E46" s="130" t="n">
        <f aca="false">SUM($D12:E12)</f>
        <v>0</v>
      </c>
      <c r="F46" s="130" t="n">
        <f aca="false">SUM($D12:F12)</f>
        <v>1.95555555555556</v>
      </c>
      <c r="G46" s="130" t="n">
        <f aca="false">SUM($D12:G12)</f>
        <v>6.82222222222222</v>
      </c>
      <c r="H46" s="130" t="n">
        <f aca="false">SUM($D12:H12)</f>
        <v>16.0666666666667</v>
      </c>
      <c r="I46" s="130" t="n">
        <f aca="false">SUM($D12:I12)</f>
        <v>22.7662222222222</v>
      </c>
      <c r="J46" s="130" t="n">
        <f aca="false">SUM($D12:J12)</f>
        <v>35.232</v>
      </c>
      <c r="K46" s="130" t="n">
        <f aca="false">SUM($D12:K12)</f>
        <v>57.712</v>
      </c>
      <c r="L46" s="130" t="n">
        <f aca="false">SUM($D12:L12)</f>
        <v>72.3382222222222</v>
      </c>
      <c r="M46" s="130" t="n">
        <f aca="false">SUM($D12:M12)</f>
        <v>94.2773333333333</v>
      </c>
      <c r="N46" s="130" t="n">
        <f aca="false">SUM($D12:N12)</f>
        <v>124.629333333333</v>
      </c>
      <c r="O46" s="130" t="n">
        <f aca="false">SUM($D12:O12)</f>
        <v>142.474666666667</v>
      </c>
      <c r="P46" s="130" t="n">
        <f aca="false">SUM($D12:P12)</f>
        <v>153.264</v>
      </c>
      <c r="Q46" s="130" t="n">
        <f aca="false">SUM($D12:Q12)</f>
        <v>180.933333333333</v>
      </c>
      <c r="R46" s="130" t="n">
        <f aca="false">SUM($D12:R12)</f>
        <v>201.098666666667</v>
      </c>
      <c r="S46" s="130" t="n">
        <f aca="false">SUM($D12:S12)</f>
        <v>225.664</v>
      </c>
      <c r="T46" s="130" t="n">
        <f aca="false">SUM($D12:T12)</f>
        <v>235.36</v>
      </c>
      <c r="U46" s="130" t="n">
        <f aca="false">SUM($D12:U12)</f>
        <v>242.56</v>
      </c>
      <c r="V46" s="130" t="n">
        <f aca="false">SUM($D12:V12)</f>
        <v>242.56</v>
      </c>
      <c r="W46" s="130" t="n">
        <f aca="false">SUM($D12:W12)</f>
        <v>256.96</v>
      </c>
      <c r="X46" s="130" t="n">
        <f aca="false">SUM($D12:X12)</f>
        <v>256.96</v>
      </c>
      <c r="Y46" s="130" t="n">
        <f aca="false">SUM($D12:Y12)</f>
        <v>256.96</v>
      </c>
      <c r="Z46" s="130" t="n">
        <f aca="false">SUM($D12:Z12)</f>
        <v>256.96</v>
      </c>
      <c r="AA46" s="130" t="n">
        <f aca="false">SUM($D12:AA12)</f>
        <v>256.96</v>
      </c>
      <c r="AB46" s="130" t="n">
        <f aca="false">SUM($D12:AB12)</f>
        <v>256.96</v>
      </c>
      <c r="AC46" s="130" t="n">
        <f aca="false">SUM($D12:AC12)</f>
        <v>256.96</v>
      </c>
      <c r="AD46" s="130" t="n">
        <f aca="false">SUM($D12:AD12)</f>
        <v>256.96</v>
      </c>
      <c r="AE46" s="130" t="n">
        <f aca="false">SUM($D12:AE12)</f>
        <v>256.96</v>
      </c>
      <c r="AF46" s="130" t="n">
        <f aca="false">SUM($D12:AF12)</f>
        <v>256.96</v>
      </c>
      <c r="AG46" s="130" t="n">
        <f aca="false">SUM($D12:AG12)</f>
        <v>256.96</v>
      </c>
      <c r="AH46" s="130" t="n">
        <f aca="false">SUM($D12:AH12)</f>
        <v>256.96</v>
      </c>
      <c r="AI46" s="130" t="n">
        <f aca="false">SUM($D12:AI12)</f>
        <v>256.96</v>
      </c>
      <c r="AJ46" s="130" t="n">
        <f aca="false">SUM($D12:AJ12)</f>
        <v>256.96</v>
      </c>
      <c r="AK46" s="130" t="n">
        <f aca="false">SUM($D12:AK12)</f>
        <v>256.96</v>
      </c>
      <c r="AL46" s="130" t="n">
        <f aca="false">SUM($D12:AL12)</f>
        <v>256.96</v>
      </c>
      <c r="AM46" s="130" t="n">
        <f aca="false">SUM($D12:AM12)</f>
        <v>256.96</v>
      </c>
      <c r="AN46" s="130" t="n">
        <f aca="false">SUM($D12:AN12)</f>
        <v>256.96</v>
      </c>
      <c r="AO46" s="130" t="n">
        <f aca="false">SUM($D12:AO12)</f>
        <v>256.96</v>
      </c>
      <c r="AP46" s="130" t="n">
        <f aca="false">SUM($D12:AP12)</f>
        <v>256.96</v>
      </c>
      <c r="AQ46" s="130" t="n">
        <f aca="false">SUM($D12:AQ12)</f>
        <v>256.96</v>
      </c>
    </row>
    <row r="47" customFormat="false" ht="15" hidden="false" customHeight="false" outlineLevel="0" collapsed="false">
      <c r="B47" s="3" t="s">
        <v>750</v>
      </c>
      <c r="D47" s="130" t="n">
        <f aca="false">MAX(D45,D46)</f>
        <v>18</v>
      </c>
      <c r="E47" s="130" t="n">
        <f aca="false">MAX(E45,E46)</f>
        <v>18</v>
      </c>
      <c r="F47" s="130" t="n">
        <f aca="false">MAX(F45,F46)</f>
        <v>18</v>
      </c>
      <c r="G47" s="130" t="n">
        <f aca="false">MAX(G45,G46)</f>
        <v>18</v>
      </c>
      <c r="H47" s="130" t="n">
        <f aca="false">MAX(H45,H46)</f>
        <v>18</v>
      </c>
      <c r="I47" s="130" t="n">
        <f aca="false">MAX(I45,I46)</f>
        <v>22.7662222222222</v>
      </c>
      <c r="J47" s="130" t="n">
        <f aca="false">MAX(J45,J46)</f>
        <v>35.232</v>
      </c>
      <c r="K47" s="130" t="n">
        <f aca="false">MAX(K45,K46)</f>
        <v>57.712</v>
      </c>
      <c r="L47" s="130" t="n">
        <f aca="false">MAX(L45,L46)</f>
        <v>72.3382222222222</v>
      </c>
      <c r="M47" s="130" t="n">
        <f aca="false">MAX(M45,M46)</f>
        <v>94.2773333333333</v>
      </c>
      <c r="N47" s="130" t="n">
        <f aca="false">MAX(N45,N46)</f>
        <v>124.629333333333</v>
      </c>
      <c r="O47" s="130" t="n">
        <f aca="false">MAX(O45,O46)</f>
        <v>142.474666666667</v>
      </c>
      <c r="P47" s="130" t="n">
        <f aca="false">MAX(P45,P46)</f>
        <v>153.264</v>
      </c>
      <c r="Q47" s="130" t="n">
        <f aca="false">MAX(Q45,Q46)</f>
        <v>180.933333333333</v>
      </c>
      <c r="R47" s="130" t="n">
        <f aca="false">MAX(R45,R46)</f>
        <v>201.098666666667</v>
      </c>
      <c r="S47" s="130" t="n">
        <f aca="false">MAX(S45,S46)</f>
        <v>225.664</v>
      </c>
      <c r="T47" s="130" t="n">
        <f aca="false">MAX(T45,T46)</f>
        <v>235.36</v>
      </c>
      <c r="U47" s="130" t="n">
        <f aca="false">MAX(U45,U46)</f>
        <v>242.56</v>
      </c>
      <c r="V47" s="130" t="n">
        <f aca="false">MAX(V45,V46)</f>
        <v>242.56</v>
      </c>
      <c r="W47" s="130" t="n">
        <f aca="false">MAX(W45,W46)</f>
        <v>256.96</v>
      </c>
      <c r="X47" s="130" t="n">
        <f aca="false">MAX(X45,X46)</f>
        <v>256.96</v>
      </c>
      <c r="Y47" s="130" t="n">
        <f aca="false">MAX(Y45,Y46)</f>
        <v>256.96</v>
      </c>
      <c r="Z47" s="130" t="n">
        <f aca="false">MAX(Z45,Z46)</f>
        <v>256.96</v>
      </c>
      <c r="AA47" s="130" t="n">
        <f aca="false">MAX(AA45,AA46)</f>
        <v>256.96</v>
      </c>
      <c r="AB47" s="130" t="n">
        <f aca="false">MAX(AB45,AB46)</f>
        <v>256.96</v>
      </c>
      <c r="AC47" s="130" t="n">
        <f aca="false">MAX(AC45,AC46)</f>
        <v>256.96</v>
      </c>
      <c r="AD47" s="130" t="n">
        <f aca="false">MAX(AD45,AD46)</f>
        <v>256.96</v>
      </c>
      <c r="AE47" s="130" t="n">
        <f aca="false">MAX(AE45,AE46)</f>
        <v>256.96</v>
      </c>
      <c r="AF47" s="130" t="n">
        <f aca="false">MAX(AF45,AF46)</f>
        <v>256.96</v>
      </c>
      <c r="AG47" s="130" t="n">
        <f aca="false">MAX(AG45,AG46)</f>
        <v>256.96</v>
      </c>
      <c r="AH47" s="130" t="n">
        <f aca="false">MAX(AH45,AH46)</f>
        <v>256.96</v>
      </c>
      <c r="AI47" s="130" t="n">
        <f aca="false">MAX(AI45,AI46)</f>
        <v>256.96</v>
      </c>
      <c r="AJ47" s="130" t="n">
        <f aca="false">MAX(AJ45,AJ46)</f>
        <v>256.96</v>
      </c>
      <c r="AK47" s="130" t="n">
        <f aca="false">MAX(AK45,AK46)</f>
        <v>256.96</v>
      </c>
      <c r="AL47" s="130" t="n">
        <f aca="false">MAX(AL45,AL46)</f>
        <v>256.96</v>
      </c>
      <c r="AM47" s="130" t="n">
        <f aca="false">MAX(AM45,AM46)</f>
        <v>256.96</v>
      </c>
      <c r="AN47" s="130" t="n">
        <f aca="false">MAX(AN45,AN46)</f>
        <v>256.96</v>
      </c>
      <c r="AO47" s="130" t="n">
        <f aca="false">MAX(AO45,AO46)</f>
        <v>256.96</v>
      </c>
      <c r="AP47" s="130" t="n">
        <f aca="false">MAX(AP45,AP46)</f>
        <v>256.96</v>
      </c>
      <c r="AQ47" s="130" t="n">
        <f aca="false">MAX(AQ45,AQ46)</f>
        <v>256.96</v>
      </c>
    </row>
    <row r="48" customFormat="false" ht="15" hidden="false" customHeight="false" outlineLevel="0" collapsed="false">
      <c r="B48" s="2" t="s">
        <v>751</v>
      </c>
      <c r="C48" s="129" t="n">
        <f aca="false">SUM(D48:AQ48)</f>
        <v>256.96</v>
      </c>
      <c r="D48" s="130" t="n">
        <f aca="false">D47-IF(D$7=1,0,INDEX($D47:$AQ47,D$7-1))</f>
        <v>18</v>
      </c>
      <c r="E48" s="130" t="n">
        <f aca="false">E47-IF(E$7=1,0,INDEX($D47:$AQ47,E$7-1))</f>
        <v>0</v>
      </c>
      <c r="F48" s="130" t="n">
        <f aca="false">F47-IF(F$7=1,0,INDEX($D47:$AQ47,F$7-1))</f>
        <v>0</v>
      </c>
      <c r="G48" s="130" t="n">
        <f aca="false">G47-IF(G$7=1,0,INDEX($D47:$AQ47,G$7-1))</f>
        <v>0</v>
      </c>
      <c r="H48" s="130" t="n">
        <f aca="false">H47-IF(H$7=1,0,INDEX($D47:$AQ47,H$7-1))</f>
        <v>0</v>
      </c>
      <c r="I48" s="130" t="n">
        <f aca="false">I47-IF(I$7=1,0,INDEX($D47:$AQ47,I$7-1))</f>
        <v>4.76622222222222</v>
      </c>
      <c r="J48" s="130" t="n">
        <f aca="false">J47-IF(J$7=1,0,INDEX($D47:$AQ47,J$7-1))</f>
        <v>12.4657777777778</v>
      </c>
      <c r="K48" s="130" t="n">
        <f aca="false">K47-IF(K$7=1,0,INDEX($D47:$AQ47,K$7-1))</f>
        <v>22.48</v>
      </c>
      <c r="L48" s="130" t="n">
        <f aca="false">L47-IF(L$7=1,0,INDEX($D47:$AQ47,L$7-1))</f>
        <v>14.6262222222222</v>
      </c>
      <c r="M48" s="130" t="n">
        <f aca="false">M47-IF(M$7=1,0,INDEX($D47:$AQ47,M$7-1))</f>
        <v>21.9391111111111</v>
      </c>
      <c r="N48" s="130" t="n">
        <f aca="false">N47-IF(N$7=1,0,INDEX($D47:$AQ47,N$7-1))</f>
        <v>30.352</v>
      </c>
      <c r="O48" s="130" t="n">
        <f aca="false">O47-IF(O$7=1,0,INDEX($D47:$AQ47,O$7-1))</f>
        <v>17.8453333333333</v>
      </c>
      <c r="P48" s="130" t="n">
        <f aca="false">P47-IF(P$7=1,0,INDEX($D47:$AQ47,P$7-1))</f>
        <v>10.7893333333333</v>
      </c>
      <c r="Q48" s="130" t="n">
        <f aca="false">Q47-IF(Q$7=1,0,INDEX($D47:$AQ47,Q$7-1))</f>
        <v>27.6693333333333</v>
      </c>
      <c r="R48" s="130" t="n">
        <f aca="false">R47-IF(R$7=1,0,INDEX($D47:$AQ47,R$7-1))</f>
        <v>20.1653333333334</v>
      </c>
      <c r="S48" s="130" t="n">
        <f aca="false">S47-IF(S$7=1,0,INDEX($D47:$AQ47,S$7-1))</f>
        <v>24.5653333333333</v>
      </c>
      <c r="T48" s="130" t="n">
        <f aca="false">T47-IF(T$7=1,0,INDEX($D47:$AQ47,T$7-1))</f>
        <v>9.696</v>
      </c>
      <c r="U48" s="130" t="n">
        <f aca="false">U47-IF(U$7=1,0,INDEX($D47:$AQ47,U$7-1))</f>
        <v>7.19999999999999</v>
      </c>
      <c r="V48" s="130" t="n">
        <f aca="false">V47-IF(V$7=1,0,INDEX($D47:$AQ47,V$7-1))</f>
        <v>0</v>
      </c>
      <c r="W48" s="130" t="n">
        <f aca="false">W47-IF(W$7=1,0,INDEX($D47:$AQ47,W$7-1))</f>
        <v>14.4</v>
      </c>
      <c r="X48" s="130" t="n">
        <f aca="false">X47-IF(X$7=1,0,INDEX($D47:$AQ47,X$7-1))</f>
        <v>0</v>
      </c>
      <c r="Y48" s="130" t="n">
        <f aca="false">Y47-IF(Y$7=1,0,INDEX($D47:$AQ47,Y$7-1))</f>
        <v>0</v>
      </c>
      <c r="Z48" s="130" t="n">
        <f aca="false">Z47-IF(Z$7=1,0,INDEX($D47:$AQ47,Z$7-1))</f>
        <v>0</v>
      </c>
      <c r="AA48" s="130" t="n">
        <f aca="false">AA47-IF(AA$7=1,0,INDEX($D47:$AQ47,AA$7-1))</f>
        <v>0</v>
      </c>
      <c r="AB48" s="130" t="n">
        <f aca="false">AB47-IF(AB$7=1,0,INDEX($D47:$AQ47,AB$7-1))</f>
        <v>0</v>
      </c>
      <c r="AC48" s="130" t="n">
        <f aca="false">AC47-IF(AC$7=1,0,INDEX($D47:$AQ47,AC$7-1))</f>
        <v>0</v>
      </c>
      <c r="AD48" s="130" t="n">
        <f aca="false">AD47-IF(AD$7=1,0,INDEX($D47:$AQ47,AD$7-1))</f>
        <v>0</v>
      </c>
      <c r="AE48" s="130" t="n">
        <f aca="false">AE47-IF(AE$7=1,0,INDEX($D47:$AQ47,AE$7-1))</f>
        <v>0</v>
      </c>
      <c r="AF48" s="130" t="n">
        <f aca="false">AF47-IF(AF$7=1,0,INDEX($D47:$AQ47,AF$7-1))</f>
        <v>0</v>
      </c>
      <c r="AG48" s="130" t="n">
        <f aca="false">AG47-IF(AG$7=1,0,INDEX($D47:$AQ47,AG$7-1))</f>
        <v>0</v>
      </c>
      <c r="AH48" s="130" t="n">
        <f aca="false">AH47-IF(AH$7=1,0,INDEX($D47:$AQ47,AH$7-1))</f>
        <v>0</v>
      </c>
      <c r="AI48" s="130" t="n">
        <f aca="false">AI47-IF(AI$7=1,0,INDEX($D47:$AQ47,AI$7-1))</f>
        <v>0</v>
      </c>
      <c r="AJ48" s="130" t="n">
        <f aca="false">AJ47-IF(AJ$7=1,0,INDEX($D47:$AQ47,AJ$7-1))</f>
        <v>0</v>
      </c>
      <c r="AK48" s="130" t="n">
        <f aca="false">AK47-IF(AK$7=1,0,INDEX($D47:$AQ47,AK$7-1))</f>
        <v>0</v>
      </c>
      <c r="AL48" s="130" t="n">
        <f aca="false">AL47-IF(AL$7=1,0,INDEX($D47:$AQ47,AL$7-1))</f>
        <v>0</v>
      </c>
      <c r="AM48" s="130" t="n">
        <f aca="false">AM47-IF(AM$7=1,0,INDEX($D47:$AQ47,AM$7-1))</f>
        <v>0</v>
      </c>
      <c r="AN48" s="130" t="n">
        <f aca="false">AN47-IF(AN$7=1,0,INDEX($D47:$AQ47,AN$7-1))</f>
        <v>0</v>
      </c>
      <c r="AO48" s="130" t="n">
        <f aca="false">AO47-IF(AO$7=1,0,INDEX($D47:$AQ47,AO$7-1))</f>
        <v>0</v>
      </c>
      <c r="AP48" s="130" t="n">
        <f aca="false">AP47-IF(AP$7=1,0,INDEX($D47:$AQ47,AP$7-1))</f>
        <v>0</v>
      </c>
      <c r="AQ48" s="130" t="n">
        <f aca="false">AQ47-IF(AQ$7=1,0,INDEX($D47:$AQ47,AQ$7-1))</f>
        <v>0</v>
      </c>
    </row>
    <row r="49" customFormat="false" ht="15" hidden="false" customHeight="false" outlineLevel="0" collapsed="false">
      <c r="B49" s="3" t="s">
        <v>752</v>
      </c>
      <c r="D49" s="130" t="n">
        <f aca="false">D47-D46</f>
        <v>18</v>
      </c>
      <c r="E49" s="130" t="n">
        <f aca="false">E47-E46</f>
        <v>18</v>
      </c>
      <c r="F49" s="130" t="n">
        <f aca="false">F47-F46</f>
        <v>16.0444444444444</v>
      </c>
      <c r="G49" s="130" t="n">
        <f aca="false">G47-G46</f>
        <v>11.1777777777778</v>
      </c>
      <c r="H49" s="130" t="n">
        <f aca="false">H47-H46</f>
        <v>1.93333333333333</v>
      </c>
      <c r="I49" s="130" t="n">
        <f aca="false">I47-I46</f>
        <v>0</v>
      </c>
      <c r="J49" s="130" t="n">
        <f aca="false">J47-J46</f>
        <v>0</v>
      </c>
      <c r="K49" s="130" t="n">
        <f aca="false">K47-K46</f>
        <v>0</v>
      </c>
      <c r="L49" s="130" t="n">
        <f aca="false">L47-L46</f>
        <v>0</v>
      </c>
      <c r="M49" s="130" t="n">
        <f aca="false">M47-M46</f>
        <v>0</v>
      </c>
      <c r="N49" s="130" t="n">
        <f aca="false">N47-N46</f>
        <v>0</v>
      </c>
      <c r="O49" s="130" t="n">
        <f aca="false">O47-O46</f>
        <v>0</v>
      </c>
      <c r="P49" s="130" t="n">
        <f aca="false">P47-P46</f>
        <v>0</v>
      </c>
      <c r="Q49" s="130" t="n">
        <f aca="false">Q47-Q46</f>
        <v>0</v>
      </c>
      <c r="R49" s="130" t="n">
        <f aca="false">R47-R46</f>
        <v>0</v>
      </c>
      <c r="S49" s="130" t="n">
        <f aca="false">S47-S46</f>
        <v>0</v>
      </c>
      <c r="T49" s="130" t="n">
        <f aca="false">T47-T46</f>
        <v>0</v>
      </c>
      <c r="U49" s="130" t="n">
        <f aca="false">U47-U46</f>
        <v>0</v>
      </c>
      <c r="V49" s="130" t="n">
        <f aca="false">V47-V46</f>
        <v>0</v>
      </c>
      <c r="W49" s="130" t="n">
        <f aca="false">W47-W46</f>
        <v>0</v>
      </c>
      <c r="X49" s="130" t="n">
        <f aca="false">X47-X46</f>
        <v>0</v>
      </c>
      <c r="Y49" s="130" t="n">
        <f aca="false">Y47-Y46</f>
        <v>0</v>
      </c>
      <c r="Z49" s="130" t="n">
        <f aca="false">Z47-Z46</f>
        <v>0</v>
      </c>
      <c r="AA49" s="130" t="n">
        <f aca="false">AA47-AA46</f>
        <v>0</v>
      </c>
      <c r="AB49" s="130" t="n">
        <f aca="false">AB47-AB46</f>
        <v>0</v>
      </c>
      <c r="AC49" s="130" t="n">
        <f aca="false">AC47-AC46</f>
        <v>0</v>
      </c>
      <c r="AD49" s="130" t="n">
        <f aca="false">AD47-AD46</f>
        <v>0</v>
      </c>
      <c r="AE49" s="130" t="n">
        <f aca="false">AE47-AE46</f>
        <v>0</v>
      </c>
      <c r="AF49" s="130" t="n">
        <f aca="false">AF47-AF46</f>
        <v>0</v>
      </c>
      <c r="AG49" s="130" t="n">
        <f aca="false">AG47-AG46</f>
        <v>0</v>
      </c>
      <c r="AH49" s="130" t="n">
        <f aca="false">AH47-AH46</f>
        <v>0</v>
      </c>
      <c r="AI49" s="130" t="n">
        <f aca="false">AI47-AI46</f>
        <v>0</v>
      </c>
      <c r="AJ49" s="130" t="n">
        <f aca="false">AJ47-AJ46</f>
        <v>0</v>
      </c>
      <c r="AK49" s="130" t="n">
        <f aca="false">AK47-AK46</f>
        <v>0</v>
      </c>
      <c r="AL49" s="130" t="n">
        <f aca="false">AL47-AL46</f>
        <v>0</v>
      </c>
      <c r="AM49" s="130" t="n">
        <f aca="false">AM47-AM46</f>
        <v>0</v>
      </c>
      <c r="AN49" s="130" t="n">
        <f aca="false">AN47-AN46</f>
        <v>0</v>
      </c>
      <c r="AO49" s="130" t="n">
        <f aca="false">AO47-AO46</f>
        <v>0</v>
      </c>
      <c r="AP49" s="130" t="n">
        <f aca="false">AP47-AP46</f>
        <v>0</v>
      </c>
      <c r="AQ49" s="130" t="n">
        <f aca="false">AQ47-AQ46</f>
        <v>0</v>
      </c>
    </row>
    <row r="50" customFormat="false" ht="15" hidden="false" customHeight="false" outlineLevel="0" collapsed="false">
      <c r="B50" s="17" t="s">
        <v>753</v>
      </c>
    </row>
    <row r="52" customFormat="false" ht="19.5" hidden="false" customHeight="true" outlineLevel="0" collapsed="false">
      <c r="B52" s="4" t="s">
        <v>754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customFormat="false" ht="15" hidden="false" customHeight="false" outlineLevel="0" collapsed="false">
      <c r="B53" s="2" t="s">
        <v>755</v>
      </c>
      <c r="C53" s="129" t="n">
        <f aca="false">SUM(D53:AQ53)</f>
        <v>429.3546790704</v>
      </c>
      <c r="D53" s="130" t="n">
        <f aca="false">D11-D41</f>
        <v>-1.606</v>
      </c>
      <c r="E53" s="130" t="n">
        <f aca="false">E11-E41</f>
        <v>-14.6813209296</v>
      </c>
      <c r="F53" s="130" t="n">
        <f aca="false">F11-F41</f>
        <v>0.227333333333332</v>
      </c>
      <c r="G53" s="130" t="n">
        <f aca="false">G11-G41</f>
        <v>5.9906838498892</v>
      </c>
      <c r="H53" s="130" t="n">
        <f aca="false">H11-H41</f>
        <v>16.1204666966259</v>
      </c>
      <c r="I53" s="130" t="n">
        <f aca="false">I11-I41</f>
        <v>2.52205310679378</v>
      </c>
      <c r="J53" s="130" t="n">
        <f aca="false">J11-J41</f>
        <v>15.4156540550909</v>
      </c>
      <c r="K53" s="130" t="n">
        <f aca="false">K11-K41</f>
        <v>42.4106737282745</v>
      </c>
      <c r="L53" s="130" t="n">
        <f aca="false">L11-L41</f>
        <v>14.7169746061313</v>
      </c>
      <c r="M53" s="130" t="n">
        <f aca="false">M11-M41</f>
        <v>35.7427392001971</v>
      </c>
      <c r="N53" s="130" t="n">
        <f aca="false">N11-N41</f>
        <v>61.6294394196453</v>
      </c>
      <c r="O53" s="130" t="n">
        <f aca="false">O11-O41</f>
        <v>23.051337494459</v>
      </c>
      <c r="P53" s="130" t="n">
        <f aca="false">P11-P41</f>
        <v>2.8905876736098</v>
      </c>
      <c r="Q53" s="130" t="n">
        <f aca="false">Q11-Q41</f>
        <v>59.094541897816</v>
      </c>
      <c r="R53" s="130" t="n">
        <f aca="false">R11-R41</f>
        <v>39.8332364594838</v>
      </c>
      <c r="S53" s="130" t="n">
        <f aca="false">S11-S41</f>
        <v>60.6853419378608</v>
      </c>
      <c r="T53" s="130" t="n">
        <f aca="false">T11-T41</f>
        <v>17.3908522544272</v>
      </c>
      <c r="U53" s="130" t="n">
        <f aca="false">U11-U41</f>
        <v>12.7996291754674</v>
      </c>
      <c r="V53" s="130" t="n">
        <f aca="false">V11-V41</f>
        <v>-6.59048894279194</v>
      </c>
      <c r="W53" s="130" t="n">
        <f aca="false">W11-W41</f>
        <v>41.7109440536866</v>
      </c>
      <c r="X53" s="130" t="n">
        <f aca="false">X11-X41</f>
        <v>0</v>
      </c>
      <c r="Y53" s="130" t="n">
        <f aca="false">Y11-Y41</f>
        <v>0</v>
      </c>
      <c r="Z53" s="130" t="n">
        <f aca="false">Z11-Z41</f>
        <v>0</v>
      </c>
      <c r="AA53" s="130" t="n">
        <f aca="false">AA11-AA41</f>
        <v>0</v>
      </c>
      <c r="AB53" s="130" t="n">
        <f aca="false">AB11-AB41</f>
        <v>0</v>
      </c>
      <c r="AC53" s="130" t="n">
        <f aca="false">AC11-AC41</f>
        <v>0</v>
      </c>
      <c r="AD53" s="130" t="n">
        <f aca="false">AD11-AD41</f>
        <v>0</v>
      </c>
      <c r="AE53" s="130" t="n">
        <f aca="false">AE11-AE41</f>
        <v>0</v>
      </c>
      <c r="AF53" s="130" t="n">
        <f aca="false">AF11-AF41</f>
        <v>0</v>
      </c>
      <c r="AG53" s="130" t="n">
        <f aca="false">AG11-AG41</f>
        <v>0</v>
      </c>
      <c r="AH53" s="130" t="n">
        <f aca="false">AH11-AH41</f>
        <v>0</v>
      </c>
      <c r="AI53" s="130" t="n">
        <f aca="false">AI11-AI41</f>
        <v>0</v>
      </c>
      <c r="AJ53" s="130" t="n">
        <f aca="false">AJ11-AJ41</f>
        <v>0</v>
      </c>
      <c r="AK53" s="130" t="n">
        <f aca="false">AK11-AK41</f>
        <v>0</v>
      </c>
      <c r="AL53" s="130" t="n">
        <f aca="false">AL11-AL41</f>
        <v>0</v>
      </c>
      <c r="AM53" s="130" t="n">
        <f aca="false">AM11-AM41</f>
        <v>0</v>
      </c>
      <c r="AN53" s="130" t="n">
        <f aca="false">AN11-AN41</f>
        <v>0</v>
      </c>
      <c r="AO53" s="130" t="n">
        <f aca="false">AO11-AO41</f>
        <v>0</v>
      </c>
      <c r="AP53" s="130" t="n">
        <f aca="false">AP11-AP41</f>
        <v>0</v>
      </c>
      <c r="AQ53" s="130" t="n">
        <f aca="false">AQ11-AQ41</f>
        <v>0</v>
      </c>
    </row>
    <row r="54" customFormat="false" ht="15" hidden="false" customHeight="false" outlineLevel="0" collapsed="false">
      <c r="B54" s="3" t="s">
        <v>756</v>
      </c>
      <c r="D54" s="130" t="n">
        <f aca="false">SUM($D53:D53)</f>
        <v>-1.606</v>
      </c>
      <c r="E54" s="130" t="n">
        <f aca="false">SUM($D53:E53)</f>
        <v>-16.2873209296</v>
      </c>
      <c r="F54" s="130" t="n">
        <f aca="false">SUM($D53:F53)</f>
        <v>-16.0599875962667</v>
      </c>
      <c r="G54" s="130" t="n">
        <f aca="false">SUM($D53:G53)</f>
        <v>-10.0693037463775</v>
      </c>
      <c r="H54" s="130" t="n">
        <f aca="false">SUM($D53:H53)</f>
        <v>6.05116295024845</v>
      </c>
      <c r="I54" s="130" t="n">
        <f aca="false">SUM($D53:I53)</f>
        <v>8.57321605704223</v>
      </c>
      <c r="J54" s="130" t="n">
        <f aca="false">SUM($D53:J53)</f>
        <v>23.9888701121331</v>
      </c>
      <c r="K54" s="130" t="n">
        <f aca="false">SUM($D53:K53)</f>
        <v>66.3995438404077</v>
      </c>
      <c r="L54" s="130" t="n">
        <f aca="false">SUM($D53:L53)</f>
        <v>81.116518446539</v>
      </c>
      <c r="M54" s="130" t="n">
        <f aca="false">SUM($D53:M53)</f>
        <v>116.859257646736</v>
      </c>
      <c r="N54" s="130" t="n">
        <f aca="false">SUM($D53:N53)</f>
        <v>178.488697066381</v>
      </c>
      <c r="O54" s="130" t="n">
        <f aca="false">SUM($D53:O53)</f>
        <v>201.54003456084</v>
      </c>
      <c r="P54" s="130" t="n">
        <f aca="false">SUM($D53:P53)</f>
        <v>204.43062223445</v>
      </c>
      <c r="Q54" s="130" t="n">
        <f aca="false">SUM($D53:Q53)</f>
        <v>263.525164132266</v>
      </c>
      <c r="R54" s="130" t="n">
        <f aca="false">SUM($D53:R53)</f>
        <v>303.35840059175</v>
      </c>
      <c r="S54" s="130" t="n">
        <f aca="false">SUM($D53:S53)</f>
        <v>364.043742529611</v>
      </c>
      <c r="T54" s="130" t="n">
        <f aca="false">SUM($D53:T53)</f>
        <v>381.434594784038</v>
      </c>
      <c r="U54" s="130" t="n">
        <f aca="false">SUM($D53:U53)</f>
        <v>394.234223959505</v>
      </c>
      <c r="V54" s="130" t="n">
        <f aca="false">SUM($D53:V53)</f>
        <v>387.643735016713</v>
      </c>
      <c r="W54" s="130" t="n">
        <f aca="false">SUM($D53:W53)</f>
        <v>429.3546790704</v>
      </c>
      <c r="X54" s="130" t="n">
        <f aca="false">SUM($D53:X53)</f>
        <v>429.3546790704</v>
      </c>
      <c r="Y54" s="130" t="n">
        <f aca="false">SUM($D53:Y53)</f>
        <v>429.3546790704</v>
      </c>
      <c r="Z54" s="130" t="n">
        <f aca="false">SUM($D53:Z53)</f>
        <v>429.3546790704</v>
      </c>
      <c r="AA54" s="130" t="n">
        <f aca="false">SUM($D53:AA53)</f>
        <v>429.3546790704</v>
      </c>
      <c r="AB54" s="130" t="n">
        <f aca="false">SUM($D53:AB53)</f>
        <v>429.3546790704</v>
      </c>
      <c r="AC54" s="130" t="n">
        <f aca="false">SUM($D53:AC53)</f>
        <v>429.3546790704</v>
      </c>
      <c r="AD54" s="130" t="n">
        <f aca="false">SUM($D53:AD53)</f>
        <v>429.3546790704</v>
      </c>
      <c r="AE54" s="130" t="n">
        <f aca="false">SUM($D53:AE53)</f>
        <v>429.3546790704</v>
      </c>
      <c r="AF54" s="130" t="n">
        <f aca="false">SUM($D53:AF53)</f>
        <v>429.3546790704</v>
      </c>
      <c r="AG54" s="130" t="n">
        <f aca="false">SUM($D53:AG53)</f>
        <v>429.3546790704</v>
      </c>
      <c r="AH54" s="130" t="n">
        <f aca="false">SUM($D53:AH53)</f>
        <v>429.3546790704</v>
      </c>
      <c r="AI54" s="130" t="n">
        <f aca="false">SUM($D53:AI53)</f>
        <v>429.3546790704</v>
      </c>
      <c r="AJ54" s="130" t="n">
        <f aca="false">SUM($D53:AJ53)</f>
        <v>429.3546790704</v>
      </c>
      <c r="AK54" s="130" t="n">
        <f aca="false">SUM($D53:AK53)</f>
        <v>429.3546790704</v>
      </c>
      <c r="AL54" s="130" t="n">
        <f aca="false">SUM($D53:AL53)</f>
        <v>429.3546790704</v>
      </c>
      <c r="AM54" s="130" t="n">
        <f aca="false">SUM($D53:AM53)</f>
        <v>429.3546790704</v>
      </c>
      <c r="AN54" s="130" t="n">
        <f aca="false">SUM($D53:AN53)</f>
        <v>429.3546790704</v>
      </c>
      <c r="AO54" s="130" t="n">
        <f aca="false">SUM($D53:AO53)</f>
        <v>429.3546790704</v>
      </c>
      <c r="AP54" s="130" t="n">
        <f aca="false">SUM($D53:AP53)</f>
        <v>429.3546790704</v>
      </c>
      <c r="AQ54" s="130" t="n">
        <f aca="false">SUM($D53:AQ53)</f>
        <v>429.3546790704</v>
      </c>
    </row>
    <row r="55" customFormat="false" ht="15" hidden="false" customHeight="false" outlineLevel="0" collapsed="false">
      <c r="B55" s="2" t="s">
        <v>757</v>
      </c>
      <c r="C55" s="129" t="n">
        <f aca="false">SUM(D55:AQ55)</f>
        <v>172.3946790704</v>
      </c>
      <c r="D55" s="130" t="n">
        <f aca="false">D11-D41-D48</f>
        <v>-19.606</v>
      </c>
      <c r="E55" s="130" t="n">
        <f aca="false">E11-E41-E48</f>
        <v>-14.6813209296</v>
      </c>
      <c r="F55" s="130" t="n">
        <f aca="false">F11-F41-F48</f>
        <v>0.227333333333332</v>
      </c>
      <c r="G55" s="130" t="n">
        <f aca="false">G11-G41-G48</f>
        <v>5.9906838498892</v>
      </c>
      <c r="H55" s="130" t="n">
        <f aca="false">H11-H41-H48</f>
        <v>16.1204666966259</v>
      </c>
      <c r="I55" s="130" t="n">
        <f aca="false">I11-I41-I48</f>
        <v>-2.24416911542845</v>
      </c>
      <c r="J55" s="130" t="n">
        <f aca="false">J11-J41-J48</f>
        <v>2.94987627731311</v>
      </c>
      <c r="K55" s="130" t="n">
        <f aca="false">K11-K41-K48</f>
        <v>19.9306737282746</v>
      </c>
      <c r="L55" s="130" t="n">
        <f aca="false">L11-L41-L48</f>
        <v>0.0907523839090771</v>
      </c>
      <c r="M55" s="130" t="n">
        <f aca="false">M11-M41-M48</f>
        <v>13.803628089086</v>
      </c>
      <c r="N55" s="130" t="n">
        <f aca="false">N11-N41-N48</f>
        <v>31.2774394196453</v>
      </c>
      <c r="O55" s="130" t="n">
        <f aca="false">O11-O41-O48</f>
        <v>5.20600416112566</v>
      </c>
      <c r="P55" s="130" t="n">
        <f aca="false">P11-P41-P48</f>
        <v>-7.89874565972353</v>
      </c>
      <c r="Q55" s="130" t="n">
        <f aca="false">Q11-Q41-Q48</f>
        <v>31.4252085644827</v>
      </c>
      <c r="R55" s="130" t="n">
        <f aca="false">R11-R41-R48</f>
        <v>19.6679031261504</v>
      </c>
      <c r="S55" s="130" t="n">
        <f aca="false">S11-S41-S48</f>
        <v>36.1200086045275</v>
      </c>
      <c r="T55" s="130" t="n">
        <f aca="false">T11-T41-T48</f>
        <v>7.69485225442719</v>
      </c>
      <c r="U55" s="130" t="n">
        <f aca="false">U11-U41-U48</f>
        <v>5.5996291754674</v>
      </c>
      <c r="V55" s="130" t="n">
        <f aca="false">V11-V41-V48</f>
        <v>-6.59048894279194</v>
      </c>
      <c r="W55" s="130" t="n">
        <f aca="false">W11-W41-W48</f>
        <v>27.3109440536866</v>
      </c>
      <c r="X55" s="130" t="n">
        <f aca="false">X11-X41-X48</f>
        <v>0</v>
      </c>
      <c r="Y55" s="130" t="n">
        <f aca="false">Y11-Y41-Y48</f>
        <v>0</v>
      </c>
      <c r="Z55" s="130" t="n">
        <f aca="false">Z11-Z41-Z48</f>
        <v>0</v>
      </c>
      <c r="AA55" s="130" t="n">
        <f aca="false">AA11-AA41-AA48</f>
        <v>0</v>
      </c>
      <c r="AB55" s="130" t="n">
        <f aca="false">AB11-AB41-AB48</f>
        <v>0</v>
      </c>
      <c r="AC55" s="130" t="n">
        <f aca="false">AC11-AC41-AC48</f>
        <v>0</v>
      </c>
      <c r="AD55" s="130" t="n">
        <f aca="false">AD11-AD41-AD48</f>
        <v>0</v>
      </c>
      <c r="AE55" s="130" t="n">
        <f aca="false">AE11-AE41-AE48</f>
        <v>0</v>
      </c>
      <c r="AF55" s="130" t="n">
        <f aca="false">AF11-AF41-AF48</f>
        <v>0</v>
      </c>
      <c r="AG55" s="130" t="n">
        <f aca="false">AG11-AG41-AG48</f>
        <v>0</v>
      </c>
      <c r="AH55" s="130" t="n">
        <f aca="false">AH11-AH41-AH48</f>
        <v>0</v>
      </c>
      <c r="AI55" s="130" t="n">
        <f aca="false">AI11-AI41-AI48</f>
        <v>0</v>
      </c>
      <c r="AJ55" s="130" t="n">
        <f aca="false">AJ11-AJ41-AJ48</f>
        <v>0</v>
      </c>
      <c r="AK55" s="130" t="n">
        <f aca="false">AK11-AK41-AK48</f>
        <v>0</v>
      </c>
      <c r="AL55" s="130" t="n">
        <f aca="false">AL11-AL41-AL48</f>
        <v>0</v>
      </c>
      <c r="AM55" s="130" t="n">
        <f aca="false">AM11-AM41-AM48</f>
        <v>0</v>
      </c>
      <c r="AN55" s="130" t="n">
        <f aca="false">AN11-AN41-AN48</f>
        <v>0</v>
      </c>
      <c r="AO55" s="130" t="n">
        <f aca="false">AO11-AO41-AO48</f>
        <v>0</v>
      </c>
      <c r="AP55" s="130" t="n">
        <f aca="false">AP11-AP41-AP48</f>
        <v>0</v>
      </c>
      <c r="AQ55" s="130" t="n">
        <f aca="false">AQ11-AQ41-AQ48</f>
        <v>0</v>
      </c>
    </row>
    <row r="56" customFormat="false" ht="15" hidden="false" customHeight="false" outlineLevel="0" collapsed="false">
      <c r="B56" s="3" t="s">
        <v>758</v>
      </c>
      <c r="D56" s="130" t="n">
        <f aca="false">SUM($D55:D55)</f>
        <v>-19.606</v>
      </c>
      <c r="E56" s="130" t="n">
        <f aca="false">SUM($D55:E55)</f>
        <v>-34.2873209296</v>
      </c>
      <c r="F56" s="130" t="n">
        <f aca="false">SUM($D55:F55)</f>
        <v>-34.0599875962667</v>
      </c>
      <c r="G56" s="130" t="n">
        <f aca="false">SUM($D55:G55)</f>
        <v>-28.0693037463775</v>
      </c>
      <c r="H56" s="130" t="n">
        <f aca="false">SUM($D55:H55)</f>
        <v>-11.9488370497516</v>
      </c>
      <c r="I56" s="130" t="n">
        <f aca="false">SUM($D55:I55)</f>
        <v>-14.19300616518</v>
      </c>
      <c r="J56" s="130" t="n">
        <f aca="false">SUM($D55:J55)</f>
        <v>-11.2431298878669</v>
      </c>
      <c r="K56" s="130" t="n">
        <f aca="false">SUM($D55:K55)</f>
        <v>8.68754384040767</v>
      </c>
      <c r="L56" s="130" t="n">
        <f aca="false">SUM($D55:L55)</f>
        <v>8.77829622431675</v>
      </c>
      <c r="M56" s="130" t="n">
        <f aca="false">SUM($D55:M55)</f>
        <v>22.5819243134027</v>
      </c>
      <c r="N56" s="130" t="n">
        <f aca="false">SUM($D55:N55)</f>
        <v>53.859363733048</v>
      </c>
      <c r="O56" s="130" t="n">
        <f aca="false">SUM($D55:O55)</f>
        <v>59.0653678941736</v>
      </c>
      <c r="P56" s="130" t="n">
        <f aca="false">SUM($D55:P55)</f>
        <v>51.1666222344501</v>
      </c>
      <c r="Q56" s="130" t="n">
        <f aca="false">SUM($D55:Q55)</f>
        <v>82.5918307989328</v>
      </c>
      <c r="R56" s="130" t="n">
        <f aca="false">SUM($D55:R55)</f>
        <v>102.259733925083</v>
      </c>
      <c r="S56" s="130" t="n">
        <f aca="false">SUM($D55:S55)</f>
        <v>138.379742529611</v>
      </c>
      <c r="T56" s="130" t="n">
        <f aca="false">SUM($D55:T55)</f>
        <v>146.074594784038</v>
      </c>
      <c r="U56" s="130" t="n">
        <f aca="false">SUM($D55:U55)</f>
        <v>151.674223959505</v>
      </c>
      <c r="V56" s="130" t="n">
        <f aca="false">SUM($D55:V55)</f>
        <v>145.083735016713</v>
      </c>
      <c r="W56" s="130" t="n">
        <f aca="false">SUM($D55:W55)</f>
        <v>172.3946790704</v>
      </c>
      <c r="X56" s="130" t="n">
        <f aca="false">SUM($D55:X55)</f>
        <v>172.3946790704</v>
      </c>
      <c r="Y56" s="130" t="n">
        <f aca="false">SUM($D55:Y55)</f>
        <v>172.3946790704</v>
      </c>
      <c r="Z56" s="130" t="n">
        <f aca="false">SUM($D55:Z55)</f>
        <v>172.3946790704</v>
      </c>
      <c r="AA56" s="130" t="n">
        <f aca="false">SUM($D55:AA55)</f>
        <v>172.3946790704</v>
      </c>
      <c r="AB56" s="130" t="n">
        <f aca="false">SUM($D55:AB55)</f>
        <v>172.3946790704</v>
      </c>
      <c r="AC56" s="130" t="n">
        <f aca="false">SUM($D55:AC55)</f>
        <v>172.3946790704</v>
      </c>
      <c r="AD56" s="130" t="n">
        <f aca="false">SUM($D55:AD55)</f>
        <v>172.3946790704</v>
      </c>
      <c r="AE56" s="130" t="n">
        <f aca="false">SUM($D55:AE55)</f>
        <v>172.3946790704</v>
      </c>
      <c r="AF56" s="130" t="n">
        <f aca="false">SUM($D55:AF55)</f>
        <v>172.3946790704</v>
      </c>
      <c r="AG56" s="130" t="n">
        <f aca="false">SUM($D55:AG55)</f>
        <v>172.3946790704</v>
      </c>
      <c r="AH56" s="130" t="n">
        <f aca="false">SUM($D55:AH55)</f>
        <v>172.3946790704</v>
      </c>
      <c r="AI56" s="130" t="n">
        <f aca="false">SUM($D55:AI55)</f>
        <v>172.3946790704</v>
      </c>
      <c r="AJ56" s="130" t="n">
        <f aca="false">SUM($D55:AJ55)</f>
        <v>172.3946790704</v>
      </c>
      <c r="AK56" s="130" t="n">
        <f aca="false">SUM($D55:AK55)</f>
        <v>172.3946790704</v>
      </c>
      <c r="AL56" s="130" t="n">
        <f aca="false">SUM($D55:AL55)</f>
        <v>172.3946790704</v>
      </c>
      <c r="AM56" s="130" t="n">
        <f aca="false">SUM($D55:AM55)</f>
        <v>172.3946790704</v>
      </c>
      <c r="AN56" s="130" t="n">
        <f aca="false">SUM($D55:AN55)</f>
        <v>172.3946790704</v>
      </c>
      <c r="AO56" s="130" t="n">
        <f aca="false">SUM($D55:AO55)</f>
        <v>172.3946790704</v>
      </c>
      <c r="AP56" s="130" t="n">
        <f aca="false">SUM($D55:AP55)</f>
        <v>172.3946790704</v>
      </c>
      <c r="AQ56" s="130" t="n">
        <f aca="false">SUM($D55:AQ55)</f>
        <v>172.3946790704</v>
      </c>
    </row>
    <row r="57" customFormat="false" ht="15" hidden="false" customHeight="false" outlineLevel="0" collapsed="false">
      <c r="B57" s="3" t="s">
        <v>759</v>
      </c>
      <c r="C57" s="129" t="n">
        <f aca="false">SUM(D57:AQ57)</f>
        <v>44.822616558304</v>
      </c>
      <c r="D57" s="130" t="n">
        <f aca="false">OUTPUT!$D$59*CURVES!D108</f>
        <v>0</v>
      </c>
      <c r="E57" s="130" t="n">
        <f aca="false">OUTPUT!$D$59*CURVES!E108</f>
        <v>0</v>
      </c>
      <c r="F57" s="130" t="n">
        <f aca="false">OUTPUT!$D$59*CURVES!F108</f>
        <v>0.341115803335647</v>
      </c>
      <c r="G57" s="130" t="n">
        <f aca="false">OUTPUT!$D$59*CURVES!G108</f>
        <v>0.848913192392121</v>
      </c>
      <c r="H57" s="130" t="n">
        <f aca="false">OUTPUT!$D$59*CURVES!H108</f>
        <v>1.61254743395033</v>
      </c>
      <c r="I57" s="130" t="n">
        <f aca="false">OUTPUT!$D$59*CURVES!I108</f>
        <v>1.16863173170035</v>
      </c>
      <c r="J57" s="130" t="n">
        <f aca="false">OUTPUT!$D$59*CURVES!J108</f>
        <v>2.17445819362687</v>
      </c>
      <c r="K57" s="130" t="n">
        <f aca="false">OUTPUT!$D$59*CURVES!K108</f>
        <v>3.92128121198114</v>
      </c>
      <c r="L57" s="130" t="n">
        <f aca="false">OUTPUT!$D$59*CURVES!L108</f>
        <v>2.55131362999382</v>
      </c>
      <c r="M57" s="130" t="n">
        <f aca="false">OUTPUT!$D$59*CURVES!M108</f>
        <v>3.82693168183126</v>
      </c>
      <c r="N57" s="130" t="n">
        <f aca="false">OUTPUT!$D$59*CURVES!N108</f>
        <v>5.294427373045</v>
      </c>
      <c r="O57" s="130" t="n">
        <f aca="false">OUTPUT!$D$59*CURVES!O108</f>
        <v>3.11283675807566</v>
      </c>
      <c r="P57" s="130" t="n">
        <f aca="false">OUTPUT!$D$59*CURVES!P108</f>
        <v>1.88202891858549</v>
      </c>
      <c r="Q57" s="130" t="n">
        <f aca="false">OUTPUT!$D$59*CURVES!Q108</f>
        <v>4.82647851192364</v>
      </c>
      <c r="R57" s="130" t="n">
        <f aca="false">OUTPUT!$D$59*CURVES!R108</f>
        <v>3.51752414294204</v>
      </c>
      <c r="S57" s="130" t="n">
        <f aca="false">OUTPUT!$D$59*CURVES!S108</f>
        <v>4.28503470044725</v>
      </c>
      <c r="T57" s="130" t="n">
        <f aca="false">OUTPUT!$D$59*CURVES!T108</f>
        <v>1.69131417399329</v>
      </c>
      <c r="U57" s="130" t="n">
        <f aca="false">OUTPUT!$D$59*CURVES!U108</f>
        <v>1.2559263668267</v>
      </c>
      <c r="V57" s="130" t="n">
        <f aca="false">OUTPUT!$D$59*CURVES!V108</f>
        <v>0</v>
      </c>
      <c r="W57" s="130" t="n">
        <f aca="false">OUTPUT!$D$59*CURVES!W108</f>
        <v>2.5118527336534</v>
      </c>
      <c r="X57" s="130" t="n">
        <f aca="false">OUTPUT!$D$59*CURVES!X108</f>
        <v>0</v>
      </c>
      <c r="Y57" s="130" t="n">
        <f aca="false">OUTPUT!$D$59*CURVES!Y108</f>
        <v>0</v>
      </c>
      <c r="Z57" s="130" t="n">
        <f aca="false">OUTPUT!$D$59*CURVES!Z108</f>
        <v>0</v>
      </c>
      <c r="AA57" s="130" t="n">
        <f aca="false">OUTPUT!$D$59*CURVES!AA108</f>
        <v>0</v>
      </c>
      <c r="AB57" s="130" t="n">
        <f aca="false">OUTPUT!$D$59*CURVES!AB108</f>
        <v>0</v>
      </c>
      <c r="AC57" s="130" t="n">
        <f aca="false">OUTPUT!$D$59*CURVES!AC108</f>
        <v>0</v>
      </c>
      <c r="AD57" s="130" t="n">
        <f aca="false">OUTPUT!$D$59*CURVES!AD108</f>
        <v>0</v>
      </c>
      <c r="AE57" s="130" t="n">
        <f aca="false">OUTPUT!$D$59*CURVES!AE108</f>
        <v>0</v>
      </c>
      <c r="AF57" s="130" t="n">
        <f aca="false">OUTPUT!$D$59*CURVES!AF108</f>
        <v>0</v>
      </c>
      <c r="AG57" s="130" t="n">
        <f aca="false">OUTPUT!$D$59*CURVES!AG108</f>
        <v>0</v>
      </c>
      <c r="AH57" s="130" t="n">
        <f aca="false">OUTPUT!$D$59*CURVES!AH108</f>
        <v>0</v>
      </c>
      <c r="AI57" s="130" t="n">
        <f aca="false">OUTPUT!$D$59*CURVES!AI108</f>
        <v>0</v>
      </c>
      <c r="AJ57" s="130" t="n">
        <f aca="false">OUTPUT!$D$59*CURVES!AJ108</f>
        <v>0</v>
      </c>
      <c r="AK57" s="130" t="n">
        <f aca="false">OUTPUT!$D$59*CURVES!AK108</f>
        <v>0</v>
      </c>
      <c r="AL57" s="130" t="n">
        <f aca="false">OUTPUT!$D$59*CURVES!AL108</f>
        <v>0</v>
      </c>
      <c r="AM57" s="130" t="n">
        <f aca="false">OUTPUT!$D$59*CURVES!AM108</f>
        <v>0</v>
      </c>
      <c r="AN57" s="130" t="n">
        <f aca="false">OUTPUT!$D$59*CURVES!AN108</f>
        <v>0</v>
      </c>
      <c r="AO57" s="130" t="n">
        <f aca="false">OUTPUT!$D$59*CURVES!AO108</f>
        <v>0</v>
      </c>
      <c r="AP57" s="130" t="n">
        <f aca="false">OUTPUT!$D$59*CURVES!AP108</f>
        <v>0</v>
      </c>
      <c r="AQ57" s="130" t="n">
        <f aca="false">OUTPUT!$D$59*CURVES!AQ108</f>
        <v>0</v>
      </c>
    </row>
    <row r="58" customFormat="false" ht="15" hidden="false" customHeight="false" outlineLevel="0" collapsed="false">
      <c r="B58" s="2" t="s">
        <v>760</v>
      </c>
      <c r="C58" s="129" t="n">
        <f aca="false">SUM(D58:AQ58)</f>
        <v>127.572062512096</v>
      </c>
      <c r="D58" s="130" t="n">
        <f aca="false">D55-D57</f>
        <v>-19.606</v>
      </c>
      <c r="E58" s="130" t="n">
        <f aca="false">E55-E57</f>
        <v>-14.6813209296</v>
      </c>
      <c r="F58" s="130" t="n">
        <f aca="false">F55-F57</f>
        <v>-0.113782470002315</v>
      </c>
      <c r="G58" s="130" t="n">
        <f aca="false">G55-G57</f>
        <v>5.14177065749708</v>
      </c>
      <c r="H58" s="130" t="n">
        <f aca="false">H55-H57</f>
        <v>14.5079192626756</v>
      </c>
      <c r="I58" s="130" t="n">
        <f aca="false">I55-I57</f>
        <v>-3.4128008471288</v>
      </c>
      <c r="J58" s="130" t="n">
        <f aca="false">J55-J57</f>
        <v>0.775418083686243</v>
      </c>
      <c r="K58" s="130" t="n">
        <f aca="false">K55-K57</f>
        <v>16.0093925162934</v>
      </c>
      <c r="L58" s="130" t="n">
        <f aca="false">L55-L57</f>
        <v>-2.46056124608474</v>
      </c>
      <c r="M58" s="130" t="n">
        <f aca="false">M55-M57</f>
        <v>9.97669640725471</v>
      </c>
      <c r="N58" s="130" t="n">
        <f aca="false">N55-N57</f>
        <v>25.9830120466003</v>
      </c>
      <c r="O58" s="130" t="n">
        <f aca="false">O55-O57</f>
        <v>2.09316740305</v>
      </c>
      <c r="P58" s="130" t="n">
        <f aca="false">P55-P57</f>
        <v>-9.78077457830902</v>
      </c>
      <c r="Q58" s="130" t="n">
        <f aca="false">Q55-Q57</f>
        <v>26.5987300525591</v>
      </c>
      <c r="R58" s="130" t="n">
        <f aca="false">R55-R57</f>
        <v>16.1503789832084</v>
      </c>
      <c r="S58" s="130" t="n">
        <f aca="false">S55-S57</f>
        <v>31.8349739040802</v>
      </c>
      <c r="T58" s="130" t="n">
        <f aca="false">T55-T57</f>
        <v>6.0035380804339</v>
      </c>
      <c r="U58" s="130" t="n">
        <f aca="false">U55-U57</f>
        <v>4.3437028086407</v>
      </c>
      <c r="V58" s="130" t="n">
        <f aca="false">V55-V57</f>
        <v>-6.59048894279194</v>
      </c>
      <c r="W58" s="130" t="n">
        <f aca="false">W55-W57</f>
        <v>24.7990913200332</v>
      </c>
      <c r="X58" s="130" t="n">
        <f aca="false">X55-X57</f>
        <v>0</v>
      </c>
      <c r="Y58" s="130" t="n">
        <f aca="false">Y55-Y57</f>
        <v>0</v>
      </c>
      <c r="Z58" s="130" t="n">
        <f aca="false">Z55-Z57</f>
        <v>0</v>
      </c>
      <c r="AA58" s="130" t="n">
        <f aca="false">AA55-AA57</f>
        <v>0</v>
      </c>
      <c r="AB58" s="130" t="n">
        <f aca="false">AB55-AB57</f>
        <v>0</v>
      </c>
      <c r="AC58" s="130" t="n">
        <f aca="false">AC55-AC57</f>
        <v>0</v>
      </c>
      <c r="AD58" s="130" t="n">
        <f aca="false">AD55-AD57</f>
        <v>0</v>
      </c>
      <c r="AE58" s="130" t="n">
        <f aca="false">AE55-AE57</f>
        <v>0</v>
      </c>
      <c r="AF58" s="130" t="n">
        <f aca="false">AF55-AF57</f>
        <v>0</v>
      </c>
      <c r="AG58" s="130" t="n">
        <f aca="false">AG55-AG57</f>
        <v>0</v>
      </c>
      <c r="AH58" s="130" t="n">
        <f aca="false">AH55-AH57</f>
        <v>0</v>
      </c>
      <c r="AI58" s="130" t="n">
        <f aca="false">AI55-AI57</f>
        <v>0</v>
      </c>
      <c r="AJ58" s="130" t="n">
        <f aca="false">AJ55-AJ57</f>
        <v>0</v>
      </c>
      <c r="AK58" s="130" t="n">
        <f aca="false">AK55-AK57</f>
        <v>0</v>
      </c>
      <c r="AL58" s="130" t="n">
        <f aca="false">AL55-AL57</f>
        <v>0</v>
      </c>
      <c r="AM58" s="130" t="n">
        <f aca="false">AM55-AM57</f>
        <v>0</v>
      </c>
      <c r="AN58" s="130" t="n">
        <f aca="false">AN55-AN57</f>
        <v>0</v>
      </c>
      <c r="AO58" s="130" t="n">
        <f aca="false">AO55-AO57</f>
        <v>0</v>
      </c>
      <c r="AP58" s="130" t="n">
        <f aca="false">AP55-AP57</f>
        <v>0</v>
      </c>
      <c r="AQ58" s="130" t="n">
        <f aca="false">AQ55-AQ57</f>
        <v>0</v>
      </c>
    </row>
    <row r="59" customFormat="false" ht="15" hidden="false" customHeight="false" outlineLevel="0" collapsed="false">
      <c r="B59" s="3" t="s">
        <v>761</v>
      </c>
      <c r="D59" s="130" t="n">
        <f aca="false">SUM($D58:D58)</f>
        <v>-19.606</v>
      </c>
      <c r="E59" s="130" t="n">
        <f aca="false">SUM($D58:E58)</f>
        <v>-34.2873209296</v>
      </c>
      <c r="F59" s="130" t="n">
        <f aca="false">SUM($D58:F58)</f>
        <v>-34.4011033996023</v>
      </c>
      <c r="G59" s="130" t="n">
        <f aca="false">SUM($D58:G58)</f>
        <v>-29.2593327421052</v>
      </c>
      <c r="H59" s="130" t="n">
        <f aca="false">SUM($D58:H58)</f>
        <v>-14.7514134794297</v>
      </c>
      <c r="I59" s="130" t="n">
        <f aca="false">SUM($D58:I58)</f>
        <v>-18.1642143265584</v>
      </c>
      <c r="J59" s="130" t="n">
        <f aca="false">SUM($D58:J58)</f>
        <v>-17.3887962428722</v>
      </c>
      <c r="K59" s="130" t="n">
        <f aca="false">SUM($D58:K58)</f>
        <v>-1.37940372657879</v>
      </c>
      <c r="L59" s="130" t="n">
        <f aca="false">SUM($D58:L58)</f>
        <v>-3.83996497266353</v>
      </c>
      <c r="M59" s="130" t="n">
        <f aca="false">SUM($D58:M58)</f>
        <v>6.13673143459118</v>
      </c>
      <c r="N59" s="130" t="n">
        <f aca="false">SUM($D58:N58)</f>
        <v>32.1197434811915</v>
      </c>
      <c r="O59" s="130" t="n">
        <f aca="false">SUM($D58:O58)</f>
        <v>34.2129108842415</v>
      </c>
      <c r="P59" s="130" t="n">
        <f aca="false">SUM($D58:P58)</f>
        <v>24.4321363059324</v>
      </c>
      <c r="Q59" s="130" t="n">
        <f aca="false">SUM($D58:Q58)</f>
        <v>51.0308663584915</v>
      </c>
      <c r="R59" s="130" t="n">
        <f aca="false">SUM($D58:R58)</f>
        <v>67.1812453416999</v>
      </c>
      <c r="S59" s="130" t="n">
        <f aca="false">SUM($D58:S58)</f>
        <v>99.0162192457801</v>
      </c>
      <c r="T59" s="130" t="n">
        <f aca="false">SUM($D58:T58)</f>
        <v>105.019757326214</v>
      </c>
      <c r="U59" s="130" t="n">
        <f aca="false">SUM($D58:U58)</f>
        <v>109.363460134855</v>
      </c>
      <c r="V59" s="130" t="n">
        <f aca="false">SUM($D58:V58)</f>
        <v>102.772971192063</v>
      </c>
      <c r="W59" s="130" t="n">
        <f aca="false">SUM($D58:W58)</f>
        <v>127.572062512096</v>
      </c>
      <c r="X59" s="130" t="n">
        <f aca="false">SUM($D58:X58)</f>
        <v>127.572062512096</v>
      </c>
      <c r="Y59" s="130" t="n">
        <f aca="false">SUM($D58:Y58)</f>
        <v>127.572062512096</v>
      </c>
      <c r="Z59" s="130" t="n">
        <f aca="false">SUM($D58:Z58)</f>
        <v>127.572062512096</v>
      </c>
      <c r="AA59" s="130" t="n">
        <f aca="false">SUM($D58:AA58)</f>
        <v>127.572062512096</v>
      </c>
      <c r="AB59" s="130" t="n">
        <f aca="false">SUM($D58:AB58)</f>
        <v>127.572062512096</v>
      </c>
      <c r="AC59" s="130" t="n">
        <f aca="false">SUM($D58:AC58)</f>
        <v>127.572062512096</v>
      </c>
      <c r="AD59" s="130" t="n">
        <f aca="false">SUM($D58:AD58)</f>
        <v>127.572062512096</v>
      </c>
      <c r="AE59" s="130" t="n">
        <f aca="false">SUM($D58:AE58)</f>
        <v>127.572062512096</v>
      </c>
      <c r="AF59" s="130" t="n">
        <f aca="false">SUM($D58:AF58)</f>
        <v>127.572062512096</v>
      </c>
      <c r="AG59" s="130" t="n">
        <f aca="false">SUM($D58:AG58)</f>
        <v>127.572062512096</v>
      </c>
      <c r="AH59" s="130" t="n">
        <f aca="false">SUM($D58:AH58)</f>
        <v>127.572062512096</v>
      </c>
      <c r="AI59" s="130" t="n">
        <f aca="false">SUM($D58:AI58)</f>
        <v>127.572062512096</v>
      </c>
      <c r="AJ59" s="130" t="n">
        <f aca="false">SUM($D58:AJ58)</f>
        <v>127.572062512096</v>
      </c>
      <c r="AK59" s="130" t="n">
        <f aca="false">SUM($D58:AK58)</f>
        <v>127.572062512096</v>
      </c>
      <c r="AL59" s="130" t="n">
        <f aca="false">SUM($D58:AL58)</f>
        <v>127.572062512096</v>
      </c>
      <c r="AM59" s="130" t="n">
        <f aca="false">SUM($D58:AM58)</f>
        <v>127.572062512096</v>
      </c>
      <c r="AN59" s="130" t="n">
        <f aca="false">SUM($D58:AN58)</f>
        <v>127.572062512096</v>
      </c>
      <c r="AO59" s="130" t="n">
        <f aca="false">SUM($D58:AO58)</f>
        <v>127.572062512096</v>
      </c>
      <c r="AP59" s="130" t="n">
        <f aca="false">SUM($D58:AP58)</f>
        <v>127.572062512096</v>
      </c>
      <c r="AQ59" s="130" t="n">
        <f aca="false">SUM($D58:AQ58)</f>
        <v>127.572062512096</v>
      </c>
    </row>
    <row r="60" customFormat="false" ht="15" hidden="true" customHeight="false" outlineLevel="0" collapsed="false">
      <c r="B60" s="3" t="s">
        <v>762</v>
      </c>
      <c r="D60" s="106" t="n">
        <f aca="false">IF(D53&gt;0.000001,D$7,999)</f>
        <v>999</v>
      </c>
      <c r="E60" s="106" t="n">
        <f aca="false">IF(E53&gt;0.000001,E$7,999)</f>
        <v>999</v>
      </c>
      <c r="F60" s="106" t="n">
        <f aca="false">IF(F53&gt;0.000001,F$7,999)</f>
        <v>3</v>
      </c>
      <c r="G60" s="106" t="n">
        <f aca="false">IF(G53&gt;0.000001,G$7,999)</f>
        <v>4</v>
      </c>
      <c r="H60" s="106" t="n">
        <f aca="false">IF(H53&gt;0.000001,H$7,999)</f>
        <v>5</v>
      </c>
      <c r="I60" s="106" t="n">
        <f aca="false">IF(I53&gt;0.000001,I$7,999)</f>
        <v>6</v>
      </c>
      <c r="J60" s="106" t="n">
        <f aca="false">IF(J53&gt;0.000001,J$7,999)</f>
        <v>7</v>
      </c>
      <c r="K60" s="106" t="n">
        <f aca="false">IF(K53&gt;0.000001,K$7,999)</f>
        <v>8</v>
      </c>
      <c r="L60" s="106" t="n">
        <f aca="false">IF(L53&gt;0.000001,L$7,999)</f>
        <v>9</v>
      </c>
      <c r="M60" s="106" t="n">
        <f aca="false">IF(M53&gt;0.000001,M$7,999)</f>
        <v>10</v>
      </c>
      <c r="N60" s="106" t="n">
        <f aca="false">IF(N53&gt;0.000001,N$7,999)</f>
        <v>11</v>
      </c>
      <c r="O60" s="106" t="n">
        <f aca="false">IF(O53&gt;0.000001,O$7,999)</f>
        <v>12</v>
      </c>
      <c r="P60" s="106" t="n">
        <f aca="false">IF(P53&gt;0.000001,P$7,999)</f>
        <v>13</v>
      </c>
      <c r="Q60" s="106" t="n">
        <f aca="false">IF(Q53&gt;0.000001,Q$7,999)</f>
        <v>14</v>
      </c>
      <c r="R60" s="106" t="n">
        <f aca="false">IF(R53&gt;0.000001,R$7,999)</f>
        <v>15</v>
      </c>
      <c r="S60" s="106" t="n">
        <f aca="false">IF(S53&gt;0.000001,S$7,999)</f>
        <v>16</v>
      </c>
      <c r="T60" s="106" t="n">
        <f aca="false">IF(T53&gt;0.000001,T$7,999)</f>
        <v>17</v>
      </c>
      <c r="U60" s="106" t="n">
        <f aca="false">IF(U53&gt;0.000001,U$7,999)</f>
        <v>18</v>
      </c>
      <c r="V60" s="106" t="n">
        <f aca="false">IF(V53&gt;0.000001,V$7,999)</f>
        <v>999</v>
      </c>
      <c r="W60" s="106" t="n">
        <f aca="false">IF(W53&gt;0.000001,W$7,999)</f>
        <v>20</v>
      </c>
      <c r="X60" s="106" t="n">
        <f aca="false">IF(X53&gt;0.000001,X$7,999)</f>
        <v>999</v>
      </c>
      <c r="Y60" s="106" t="n">
        <f aca="false">IF(Y53&gt;0.000001,Y$7,999)</f>
        <v>999</v>
      </c>
      <c r="Z60" s="106" t="n">
        <f aca="false">IF(Z53&gt;0.000001,Z$7,999)</f>
        <v>999</v>
      </c>
      <c r="AA60" s="106" t="n">
        <f aca="false">IF(AA53&gt;0.000001,AA$7,999)</f>
        <v>999</v>
      </c>
      <c r="AB60" s="106" t="n">
        <f aca="false">IF(AB53&gt;0.000001,AB$7,999)</f>
        <v>999</v>
      </c>
      <c r="AC60" s="106" t="n">
        <f aca="false">IF(AC53&gt;0.000001,AC$7,999)</f>
        <v>999</v>
      </c>
      <c r="AD60" s="106" t="n">
        <f aca="false">IF(AD53&gt;0.000001,AD$7,999)</f>
        <v>999</v>
      </c>
      <c r="AE60" s="106" t="n">
        <f aca="false">IF(AE53&gt;0.000001,AE$7,999)</f>
        <v>999</v>
      </c>
      <c r="AF60" s="106" t="n">
        <f aca="false">IF(AF53&gt;0.000001,AF$7,999)</f>
        <v>999</v>
      </c>
      <c r="AG60" s="106" t="n">
        <f aca="false">IF(AG53&gt;0.000001,AG$7,999)</f>
        <v>999</v>
      </c>
      <c r="AH60" s="106" t="n">
        <f aca="false">IF(AH53&gt;0.000001,AH$7,999)</f>
        <v>999</v>
      </c>
      <c r="AI60" s="106" t="n">
        <f aca="false">IF(AI53&gt;0.000001,AI$7,999)</f>
        <v>999</v>
      </c>
      <c r="AJ60" s="106" t="n">
        <f aca="false">IF(AJ53&gt;0.000001,AJ$7,999)</f>
        <v>999</v>
      </c>
      <c r="AK60" s="106" t="n">
        <f aca="false">IF(AK53&gt;0.000001,AK$7,999)</f>
        <v>999</v>
      </c>
      <c r="AL60" s="106" t="n">
        <f aca="false">IF(AL53&gt;0.000001,AL$7,999)</f>
        <v>999</v>
      </c>
      <c r="AM60" s="106" t="n">
        <f aca="false">IF(AM53&gt;0.000001,AM$7,999)</f>
        <v>999</v>
      </c>
      <c r="AN60" s="106" t="n">
        <f aca="false">IF(AN53&gt;0.000001,AN$7,999)</f>
        <v>999</v>
      </c>
      <c r="AO60" s="106" t="n">
        <f aca="false">IF(AO53&gt;0.000001,AO$7,999)</f>
        <v>999</v>
      </c>
      <c r="AP60" s="106" t="n">
        <f aca="false">IF(AP53&gt;0.000001,AP$7,999)</f>
        <v>999</v>
      </c>
      <c r="AQ60" s="106" t="n">
        <f aca="false">IF(AQ53&gt;0.000001,AQ$7,999)</f>
        <v>999</v>
      </c>
    </row>
    <row r="61" customFormat="false" ht="15" hidden="true" customHeight="false" outlineLevel="0" collapsed="false">
      <c r="B61" s="3" t="s">
        <v>763</v>
      </c>
      <c r="D61" s="106" t="n">
        <f aca="false">IF(D55&gt;0.000001,D$7,999)</f>
        <v>999</v>
      </c>
      <c r="E61" s="106" t="n">
        <f aca="false">IF(E55&gt;0.000001,E$7,999)</f>
        <v>999</v>
      </c>
      <c r="F61" s="106" t="n">
        <f aca="false">IF(F55&gt;0.000001,F$7,999)</f>
        <v>3</v>
      </c>
      <c r="G61" s="106" t="n">
        <f aca="false">IF(G55&gt;0.000001,G$7,999)</f>
        <v>4</v>
      </c>
      <c r="H61" s="106" t="n">
        <f aca="false">IF(H55&gt;0.000001,H$7,999)</f>
        <v>5</v>
      </c>
      <c r="I61" s="106" t="n">
        <f aca="false">IF(I55&gt;0.000001,I$7,999)</f>
        <v>999</v>
      </c>
      <c r="J61" s="106" t="n">
        <f aca="false">IF(J55&gt;0.000001,J$7,999)</f>
        <v>7</v>
      </c>
      <c r="K61" s="106" t="n">
        <f aca="false">IF(K55&gt;0.000001,K$7,999)</f>
        <v>8</v>
      </c>
      <c r="L61" s="106" t="n">
        <f aca="false">IF(L55&gt;0.000001,L$7,999)</f>
        <v>9</v>
      </c>
      <c r="M61" s="106" t="n">
        <f aca="false">IF(M55&gt;0.000001,M$7,999)</f>
        <v>10</v>
      </c>
      <c r="N61" s="106" t="n">
        <f aca="false">IF(N55&gt;0.000001,N$7,999)</f>
        <v>11</v>
      </c>
      <c r="O61" s="106" t="n">
        <f aca="false">IF(O55&gt;0.000001,O$7,999)</f>
        <v>12</v>
      </c>
      <c r="P61" s="106" t="n">
        <f aca="false">IF(P55&gt;0.000001,P$7,999)</f>
        <v>999</v>
      </c>
      <c r="Q61" s="106" t="n">
        <f aca="false">IF(Q55&gt;0.000001,Q$7,999)</f>
        <v>14</v>
      </c>
      <c r="R61" s="106" t="n">
        <f aca="false">IF(R55&gt;0.000001,R$7,999)</f>
        <v>15</v>
      </c>
      <c r="S61" s="106" t="n">
        <f aca="false">IF(S55&gt;0.000001,S$7,999)</f>
        <v>16</v>
      </c>
      <c r="T61" s="106" t="n">
        <f aca="false">IF(T55&gt;0.000001,T$7,999)</f>
        <v>17</v>
      </c>
      <c r="U61" s="106" t="n">
        <f aca="false">IF(U55&gt;0.000001,U$7,999)</f>
        <v>18</v>
      </c>
      <c r="V61" s="106" t="n">
        <f aca="false">IF(V55&gt;0.000001,V$7,999)</f>
        <v>999</v>
      </c>
      <c r="W61" s="106" t="n">
        <f aca="false">IF(W55&gt;0.000001,W$7,999)</f>
        <v>20</v>
      </c>
      <c r="X61" s="106" t="n">
        <f aca="false">IF(X55&gt;0.000001,X$7,999)</f>
        <v>999</v>
      </c>
      <c r="Y61" s="106" t="n">
        <f aca="false">IF(Y55&gt;0.000001,Y$7,999)</f>
        <v>999</v>
      </c>
      <c r="Z61" s="106" t="n">
        <f aca="false">IF(Z55&gt;0.000001,Z$7,999)</f>
        <v>999</v>
      </c>
      <c r="AA61" s="106" t="n">
        <f aca="false">IF(AA55&gt;0.000001,AA$7,999)</f>
        <v>999</v>
      </c>
      <c r="AB61" s="106" t="n">
        <f aca="false">IF(AB55&gt;0.000001,AB$7,999)</f>
        <v>999</v>
      </c>
      <c r="AC61" s="106" t="n">
        <f aca="false">IF(AC55&gt;0.000001,AC$7,999)</f>
        <v>999</v>
      </c>
      <c r="AD61" s="106" t="n">
        <f aca="false">IF(AD55&gt;0.000001,AD$7,999)</f>
        <v>999</v>
      </c>
      <c r="AE61" s="106" t="n">
        <f aca="false">IF(AE55&gt;0.000001,AE$7,999)</f>
        <v>999</v>
      </c>
      <c r="AF61" s="106" t="n">
        <f aca="false">IF(AF55&gt;0.000001,AF$7,999)</f>
        <v>999</v>
      </c>
      <c r="AG61" s="106" t="n">
        <f aca="false">IF(AG55&gt;0.000001,AG$7,999)</f>
        <v>999</v>
      </c>
      <c r="AH61" s="106" t="n">
        <f aca="false">IF(AH55&gt;0.000001,AH$7,999)</f>
        <v>999</v>
      </c>
      <c r="AI61" s="106" t="n">
        <f aca="false">IF(AI55&gt;0.000001,AI$7,999)</f>
        <v>999</v>
      </c>
      <c r="AJ61" s="106" t="n">
        <f aca="false">IF(AJ55&gt;0.000001,AJ$7,999)</f>
        <v>999</v>
      </c>
      <c r="AK61" s="106" t="n">
        <f aca="false">IF(AK55&gt;0.000001,AK$7,999)</f>
        <v>999</v>
      </c>
      <c r="AL61" s="106" t="n">
        <f aca="false">IF(AL55&gt;0.000001,AL$7,999)</f>
        <v>999</v>
      </c>
      <c r="AM61" s="106" t="n">
        <f aca="false">IF(AM55&gt;0.000001,AM$7,999)</f>
        <v>999</v>
      </c>
      <c r="AN61" s="106" t="n">
        <f aca="false">IF(AN55&gt;0.000001,AN$7,999)</f>
        <v>999</v>
      </c>
      <c r="AO61" s="106" t="n">
        <f aca="false">IF(AO55&gt;0.000001,AO$7,999)</f>
        <v>999</v>
      </c>
      <c r="AP61" s="106" t="n">
        <f aca="false">IF(AP55&gt;0.000001,AP$7,999)</f>
        <v>999</v>
      </c>
      <c r="AQ61" s="106" t="n">
        <f aca="false">IF(AQ55&gt;0.000001,AQ$7,999)</f>
        <v>999</v>
      </c>
    </row>
    <row r="62" customFormat="false" ht="15" hidden="true" customHeight="false" outlineLevel="0" collapsed="false">
      <c r="B62" s="3" t="s">
        <v>764</v>
      </c>
      <c r="D62" s="106" t="n">
        <f aca="false">IF(AND(D56&gt;=-0.000001,MIN($D56:D56)&lt;-0.000001),D$7,999)</f>
        <v>999</v>
      </c>
      <c r="E62" s="106" t="n">
        <f aca="false">IF(AND(E56&gt;=-0.000001,MIN($D56:E56)&lt;-0.000001),E$7,999)</f>
        <v>999</v>
      </c>
      <c r="F62" s="106" t="n">
        <f aca="false">IF(AND(F56&gt;=-0.000001,MIN($D56:F56)&lt;-0.000001),F$7,999)</f>
        <v>999</v>
      </c>
      <c r="G62" s="106" t="n">
        <f aca="false">IF(AND(G56&gt;=-0.000001,MIN($D56:G56)&lt;-0.000001),G$7,999)</f>
        <v>999</v>
      </c>
      <c r="H62" s="106" t="n">
        <f aca="false">IF(AND(H56&gt;=-0.000001,MIN($D56:H56)&lt;-0.000001),H$7,999)</f>
        <v>999</v>
      </c>
      <c r="I62" s="106" t="n">
        <f aca="false">IF(AND(I56&gt;=-0.000001,MIN($D56:I56)&lt;-0.000001),I$7,999)</f>
        <v>999</v>
      </c>
      <c r="J62" s="106" t="n">
        <f aca="false">IF(AND(J56&gt;=-0.000001,MIN($D56:J56)&lt;-0.000001),J$7,999)</f>
        <v>999</v>
      </c>
      <c r="K62" s="106" t="n">
        <f aca="false">IF(AND(K56&gt;=-0.000001,MIN($D56:K56)&lt;-0.000001),K$7,999)</f>
        <v>8</v>
      </c>
      <c r="L62" s="106" t="n">
        <f aca="false">IF(AND(L56&gt;=-0.000001,MIN($D56:L56)&lt;-0.000001),L$7,999)</f>
        <v>9</v>
      </c>
      <c r="M62" s="106" t="n">
        <f aca="false">IF(AND(M56&gt;=-0.000001,MIN($D56:M56)&lt;-0.000001),M$7,999)</f>
        <v>10</v>
      </c>
      <c r="N62" s="106" t="n">
        <f aca="false">IF(AND(N56&gt;=-0.000001,MIN($D56:N56)&lt;-0.000001),N$7,999)</f>
        <v>11</v>
      </c>
      <c r="O62" s="106" t="n">
        <f aca="false">IF(AND(O56&gt;=-0.000001,MIN($D56:O56)&lt;-0.000001),O$7,999)</f>
        <v>12</v>
      </c>
      <c r="P62" s="106" t="n">
        <f aca="false">IF(AND(P56&gt;=-0.000001,MIN($D56:P56)&lt;-0.000001),P$7,999)</f>
        <v>13</v>
      </c>
      <c r="Q62" s="106" t="n">
        <f aca="false">IF(AND(Q56&gt;=-0.000001,MIN($D56:Q56)&lt;-0.000001),Q$7,999)</f>
        <v>14</v>
      </c>
      <c r="R62" s="106" t="n">
        <f aca="false">IF(AND(R56&gt;=-0.000001,MIN($D56:R56)&lt;-0.000001),R$7,999)</f>
        <v>15</v>
      </c>
      <c r="S62" s="106" t="n">
        <f aca="false">IF(AND(S56&gt;=-0.000001,MIN($D56:S56)&lt;-0.000001),S$7,999)</f>
        <v>16</v>
      </c>
      <c r="T62" s="106" t="n">
        <f aca="false">IF(AND(T56&gt;=-0.000001,MIN($D56:T56)&lt;-0.000001),T$7,999)</f>
        <v>17</v>
      </c>
      <c r="U62" s="106" t="n">
        <f aca="false">IF(AND(U56&gt;=-0.000001,MIN($D56:U56)&lt;-0.000001),U$7,999)</f>
        <v>18</v>
      </c>
      <c r="V62" s="106" t="n">
        <f aca="false">IF(AND(V56&gt;=-0.000001,MIN($D56:V56)&lt;-0.000001),V$7,999)</f>
        <v>19</v>
      </c>
      <c r="W62" s="106" t="n">
        <f aca="false">IF(AND(W56&gt;=-0.000001,MIN($D56:W56)&lt;-0.000001),W$7,999)</f>
        <v>20</v>
      </c>
      <c r="X62" s="106" t="n">
        <f aca="false">IF(AND(X56&gt;=-0.000001,MIN($D56:X56)&lt;-0.000001),X$7,999)</f>
        <v>21</v>
      </c>
      <c r="Y62" s="106" t="n">
        <f aca="false">IF(AND(Y56&gt;=-0.000001,MIN($D56:Y56)&lt;-0.000001),Y$7,999)</f>
        <v>22</v>
      </c>
      <c r="Z62" s="106" t="n">
        <f aca="false">IF(AND(Z56&gt;=-0.000001,MIN($D56:Z56)&lt;-0.000001),Z$7,999)</f>
        <v>23</v>
      </c>
      <c r="AA62" s="106" t="n">
        <f aca="false">IF(AND(AA56&gt;=-0.000001,MIN($D56:AA56)&lt;-0.000001),AA$7,999)</f>
        <v>24</v>
      </c>
      <c r="AB62" s="106" t="n">
        <f aca="false">IF(AND(AB56&gt;=-0.000001,MIN($D56:AB56)&lt;-0.000001),AB$7,999)</f>
        <v>25</v>
      </c>
      <c r="AC62" s="106" t="n">
        <f aca="false">IF(AND(AC56&gt;=-0.000001,MIN($D56:AC56)&lt;-0.000001),AC$7,999)</f>
        <v>26</v>
      </c>
      <c r="AD62" s="106" t="n">
        <f aca="false">IF(AND(AD56&gt;=-0.000001,MIN($D56:AD56)&lt;-0.000001),AD$7,999)</f>
        <v>27</v>
      </c>
      <c r="AE62" s="106" t="n">
        <f aca="false">IF(AND(AE56&gt;=-0.000001,MIN($D56:AE56)&lt;-0.000001),AE$7,999)</f>
        <v>28</v>
      </c>
      <c r="AF62" s="106" t="n">
        <f aca="false">IF(AND(AF56&gt;=-0.000001,MIN($D56:AF56)&lt;-0.000001),AF$7,999)</f>
        <v>29</v>
      </c>
      <c r="AG62" s="106" t="n">
        <f aca="false">IF(AND(AG56&gt;=-0.000001,MIN($D56:AG56)&lt;-0.000001),AG$7,999)</f>
        <v>30</v>
      </c>
      <c r="AH62" s="106" t="n">
        <f aca="false">IF(AND(AH56&gt;=-0.000001,MIN($D56:AH56)&lt;-0.000001),AH$7,999)</f>
        <v>31</v>
      </c>
      <c r="AI62" s="106" t="n">
        <f aca="false">IF(AND(AI56&gt;=-0.000001,MIN($D56:AI56)&lt;-0.000001),AI$7,999)</f>
        <v>32</v>
      </c>
      <c r="AJ62" s="106" t="n">
        <f aca="false">IF(AND(AJ56&gt;=-0.000001,MIN($D56:AJ56)&lt;-0.000001),AJ$7,999)</f>
        <v>33</v>
      </c>
      <c r="AK62" s="106" t="n">
        <f aca="false">IF(AND(AK56&gt;=-0.000001,MIN($D56:AK56)&lt;-0.000001),AK$7,999)</f>
        <v>34</v>
      </c>
      <c r="AL62" s="106" t="n">
        <f aca="false">IF(AND(AL56&gt;=-0.000001,MIN($D56:AL56)&lt;-0.000001),AL$7,999)</f>
        <v>35</v>
      </c>
      <c r="AM62" s="106" t="n">
        <f aca="false">IF(AND(AM56&gt;=-0.000001,MIN($D56:AM56)&lt;-0.000001),AM$7,999)</f>
        <v>36</v>
      </c>
      <c r="AN62" s="106" t="n">
        <f aca="false">IF(AND(AN56&gt;=-0.000001,MIN($D56:AN56)&lt;-0.000001),AN$7,999)</f>
        <v>37</v>
      </c>
      <c r="AO62" s="106" t="n">
        <f aca="false">IF(AND(AO56&gt;=-0.000001,MIN($D56:AO56)&lt;-0.000001),AO$7,999)</f>
        <v>38</v>
      </c>
      <c r="AP62" s="106" t="n">
        <f aca="false">IF(AND(AP56&gt;=-0.000001,MIN($D56:AP56)&lt;-0.000001),AP$7,999)</f>
        <v>39</v>
      </c>
      <c r="AQ62" s="106" t="n">
        <f aca="false">IF(AND(AQ56&gt;=-0.000001,MIN($D56:AQ56)&lt;-0.000001),AQ$7,999)</f>
        <v>40</v>
      </c>
    </row>
    <row r="64" customFormat="false" ht="19.5" hidden="false" customHeight="true" outlineLevel="0" collapsed="false">
      <c r="B64" s="4" t="s">
        <v>765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customFormat="false" ht="15" hidden="false" customHeight="false" outlineLevel="0" collapsed="false">
      <c r="B65" s="135" t="s">
        <v>766</v>
      </c>
      <c r="C65" s="135" t="s">
        <v>82</v>
      </c>
      <c r="D65" s="135" t="s">
        <v>767</v>
      </c>
    </row>
    <row r="66" customFormat="false" ht="15" hidden="false" customHeight="false" outlineLevel="0" collapsed="false">
      <c r="B66" s="3" t="s">
        <v>768</v>
      </c>
      <c r="C66" s="136" t="n">
        <f aca="false">IFERROR(IRR(D53:AQ53,0.05),"n/a")</f>
        <v>0.530753246403806</v>
      </c>
      <c r="D66" s="17" t="s">
        <v>769</v>
      </c>
    </row>
    <row r="67" customFormat="false" ht="15" hidden="false" customHeight="false" outlineLevel="0" collapsed="false">
      <c r="B67" s="3" t="s">
        <v>770</v>
      </c>
      <c r="C67" s="116" t="n">
        <f aca="false">IFERROR((1+C66)^4-1,"n/a")</f>
        <v>4.49061202167778</v>
      </c>
      <c r="D67" s="17" t="s">
        <v>771</v>
      </c>
    </row>
    <row r="68" customFormat="false" ht="15" hidden="false" customHeight="false" outlineLevel="0" collapsed="false">
      <c r="B68" s="3" t="s">
        <v>772</v>
      </c>
      <c r="C68" s="136" t="n">
        <f aca="false">IFERROR(IRR(D55:AQ55,0.05),"n/a")</f>
        <v>0.204054028879177</v>
      </c>
      <c r="D68" s="17"/>
    </row>
    <row r="69" customFormat="false" ht="15" hidden="false" customHeight="false" outlineLevel="0" collapsed="false">
      <c r="B69" s="3" t="s">
        <v>773</v>
      </c>
      <c r="C69" s="116" t="n">
        <f aca="false">IFERROR((1+C68)^4-1,"n/a")</f>
        <v>1.10176376739746</v>
      </c>
      <c r="D69" s="17" t="s">
        <v>774</v>
      </c>
    </row>
    <row r="70" customFormat="false" ht="15" hidden="false" customHeight="false" outlineLevel="0" collapsed="false">
      <c r="B70" s="3" t="s">
        <v>775</v>
      </c>
      <c r="C70" s="116" t="n">
        <f aca="false">IFERROR((1+IRR(D58:AQ58,0.05))^4-1,"n/a")</f>
        <v>0.83889632417116</v>
      </c>
      <c r="D70" s="17" t="s">
        <v>776</v>
      </c>
    </row>
    <row r="71" customFormat="false" ht="15" hidden="false" customHeight="false" outlineLevel="0" collapsed="false">
      <c r="B71" s="3" t="s">
        <v>777</v>
      </c>
      <c r="C71" s="137" t="n">
        <f aca="false">NPV(((1+INPUTS!$C$426)^(1/4)-1),D53:AQ53)</f>
        <v>251.616677861246</v>
      </c>
      <c r="D71" s="17" t="s">
        <v>778</v>
      </c>
    </row>
    <row r="72" customFormat="false" ht="15" hidden="false" customHeight="false" outlineLevel="0" collapsed="false">
      <c r="B72" s="3" t="s">
        <v>779</v>
      </c>
      <c r="C72" s="137" t="n">
        <f aca="false">NPV(((1+INPUTS!$C$426)^(1/4)-1),D55:AQ55)</f>
        <v>90.6281136296508</v>
      </c>
      <c r="D72" s="17"/>
    </row>
    <row r="73" customFormat="false" ht="15" hidden="false" customHeight="false" outlineLevel="0" collapsed="false">
      <c r="B73" s="3" t="s">
        <v>780</v>
      </c>
      <c r="C73" s="137" t="n">
        <f aca="false">MAX(0,-MIN(D56:AQ56))</f>
        <v>34.2873209296</v>
      </c>
      <c r="D73" s="17" t="s">
        <v>781</v>
      </c>
    </row>
    <row r="74" customFormat="false" ht="15" hidden="false" customHeight="false" outlineLevel="0" collapsed="false">
      <c r="B74" s="3" t="s">
        <v>782</v>
      </c>
      <c r="C74" s="138" t="str">
        <f aca="false">IF(C73=0,"none",INDEX(D6:AQ6,MATCH(MIN(D56:AQ56),D56:AQ56,0)))</f>
        <v>Q2</v>
      </c>
      <c r="D74" s="17"/>
    </row>
    <row r="75" customFormat="false" ht="15" hidden="false" customHeight="false" outlineLevel="0" collapsed="false">
      <c r="B75" s="3" t="s">
        <v>783</v>
      </c>
      <c r="C75" s="139" t="n">
        <f aca="false">IF(C73=0,"",INDEX(D8:AQ8,MATCH(MIN(D56:AQ56),D56:AQ56,0)))</f>
        <v>46660</v>
      </c>
      <c r="D75" s="17"/>
    </row>
    <row r="76" customFormat="false" ht="15" hidden="false" customHeight="false" outlineLevel="0" collapsed="false">
      <c r="B76" s="3" t="s">
        <v>784</v>
      </c>
      <c r="C76" s="137" t="n">
        <f aca="false">MAX(0,-MIN(D55:AQ55))</f>
        <v>19.606</v>
      </c>
      <c r="D76" s="17" t="s">
        <v>785</v>
      </c>
    </row>
    <row r="77" customFormat="false" ht="15" hidden="false" customHeight="false" outlineLevel="0" collapsed="false">
      <c r="B77" s="3" t="s">
        <v>786</v>
      </c>
      <c r="C77" s="138" t="str">
        <f aca="false">IF(MIN(D60:AQ60)=999,"never","Q"&amp;MIN(D60:AQ60))</f>
        <v>Q3</v>
      </c>
      <c r="D77" s="17" t="s">
        <v>787</v>
      </c>
    </row>
    <row r="78" customFormat="false" ht="15" hidden="false" customHeight="false" outlineLevel="0" collapsed="false">
      <c r="B78" s="3" t="s">
        <v>788</v>
      </c>
      <c r="C78" s="139" t="n">
        <f aca="false">IF(MIN(D60:AQ60)=999,"",INDEX(D8:AQ8,MIN(D60:AQ60)))</f>
        <v>46752</v>
      </c>
      <c r="D78" s="17"/>
    </row>
    <row r="79" customFormat="false" ht="15" hidden="false" customHeight="false" outlineLevel="0" collapsed="false">
      <c r="B79" s="3" t="s">
        <v>789</v>
      </c>
      <c r="C79" s="138" t="str">
        <f aca="false">IF(MIN(D61:AQ61)=999,"never","Q"&amp;MIN(D61:AQ61))</f>
        <v>Q3</v>
      </c>
      <c r="D79" s="17"/>
    </row>
    <row r="80" customFormat="false" ht="15" hidden="false" customHeight="false" outlineLevel="0" collapsed="false">
      <c r="B80" s="3" t="s">
        <v>790</v>
      </c>
      <c r="C80" s="139" t="n">
        <f aca="false">IF(MIN(D61:AQ61)=999,"",INDEX(D8:AQ8,MIN(D61:AQ61)))</f>
        <v>46752</v>
      </c>
      <c r="D80" s="17"/>
    </row>
    <row r="81" customFormat="false" ht="15" hidden="false" customHeight="false" outlineLevel="0" collapsed="false">
      <c r="B81" s="3" t="s">
        <v>791</v>
      </c>
      <c r="C81" s="138" t="str">
        <f aca="false">IF(MIN(D62:AQ62)=999,"never","Q"&amp;MIN(D62:AQ62))</f>
        <v>Q8</v>
      </c>
      <c r="D81" s="17" t="s">
        <v>792</v>
      </c>
    </row>
    <row r="82" customFormat="false" ht="15" hidden="false" customHeight="false" outlineLevel="0" collapsed="false">
      <c r="B82" s="3" t="s">
        <v>793</v>
      </c>
      <c r="C82" s="139" t="n">
        <f aca="false">IF(MIN(D62:AQ62)=999,"",INDEX(D8:AQ8,MIN(D62:AQ62)))</f>
        <v>47208</v>
      </c>
      <c r="D82" s="17"/>
    </row>
    <row r="83" customFormat="false" ht="15" hidden="false" customHeight="false" outlineLevel="0" collapsed="false">
      <c r="B83" s="3" t="s">
        <v>794</v>
      </c>
      <c r="C83" s="51" t="n">
        <f aca="false">IFERROR(SUMIF(D55:AQ55,"&gt;0")/-SUMIF(D55:AQ55,"&lt;0"),0)</f>
        <v>4.37891475006126</v>
      </c>
      <c r="D83" s="17" t="s">
        <v>795</v>
      </c>
    </row>
    <row r="85" customFormat="false" ht="19.5" hidden="false" customHeight="true" outlineLevel="0" collapsed="false">
      <c r="B85" s="4" t="s">
        <v>796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customFormat="false" ht="15" hidden="false" customHeight="false" outlineLevel="0" collapsed="false">
      <c r="B86" s="112" t="s">
        <v>633</v>
      </c>
      <c r="C86" s="102" t="s">
        <v>662</v>
      </c>
      <c r="D86" s="102" t="str">
        <f aca="false">"FY "&amp;(TIMELINE!$D$12+0-1)&amp;"-"&amp;RIGHT(TIMELINE!$D$12+0,2)</f>
        <v>FY 2027-28</v>
      </c>
      <c r="E86" s="102" t="str">
        <f aca="false">"FY "&amp;(TIMELINE!$D$12+1-1)&amp;"-"&amp;RIGHT(TIMELINE!$D$12+1,2)</f>
        <v>FY 2028-29</v>
      </c>
      <c r="F86" s="102" t="str">
        <f aca="false">"FY "&amp;(TIMELINE!$D$12+2-1)&amp;"-"&amp;RIGHT(TIMELINE!$D$12+2,2)</f>
        <v>FY 2029-30</v>
      </c>
      <c r="G86" s="102" t="str">
        <f aca="false">"FY "&amp;(TIMELINE!$D$12+3-1)&amp;"-"&amp;RIGHT(TIMELINE!$D$12+3,2)</f>
        <v>FY 2030-31</v>
      </c>
      <c r="H86" s="102" t="str">
        <f aca="false">"FY "&amp;(TIMELINE!$D$12+4-1)&amp;"-"&amp;RIGHT(TIMELINE!$D$12+4,2)</f>
        <v>FY 2031-32</v>
      </c>
      <c r="I86" s="102" t="str">
        <f aca="false">"FY "&amp;(TIMELINE!$D$12+5-1)&amp;"-"&amp;RIGHT(TIMELINE!$D$12+5,2)</f>
        <v>FY 2032-33</v>
      </c>
      <c r="J86" s="102" t="str">
        <f aca="false">"FY "&amp;(TIMELINE!$D$12+6-1)&amp;"-"&amp;RIGHT(TIMELINE!$D$12+6,2)</f>
        <v>FY 2033-34</v>
      </c>
      <c r="K86" s="102" t="str">
        <f aca="false">"FY "&amp;(TIMELINE!$D$12+7-1)&amp;"-"&amp;RIGHT(TIMELINE!$D$12+7,2)</f>
        <v>FY 2034-35</v>
      </c>
      <c r="L86" s="102" t="str">
        <f aca="false">"FY "&amp;(TIMELINE!$D$12+8-1)&amp;"-"&amp;RIGHT(TIMELINE!$D$12+8,2)</f>
        <v>FY 2035-36</v>
      </c>
      <c r="M86" s="102" t="str">
        <f aca="false">"FY "&amp;(TIMELINE!$D$12+9-1)&amp;"-"&amp;RIGHT(TIMELINE!$D$12+9,2)</f>
        <v>FY 2036-37</v>
      </c>
      <c r="N86" s="102" t="str">
        <f aca="false">"FY "&amp;(TIMELINE!$D$12+10-1)&amp;"-"&amp;RIGHT(TIMELINE!$D$12+10,2)</f>
        <v>FY 2037-38</v>
      </c>
    </row>
    <row r="87" customFormat="false" ht="15" hidden="false" customHeight="false" outlineLevel="0" collapsed="false">
      <c r="B87" s="3" t="s">
        <v>797</v>
      </c>
      <c r="C87" s="129" t="n">
        <f aca="false">SUM(D87:N87)</f>
        <v>803</v>
      </c>
      <c r="D87" s="130" t="n">
        <f aca="false">SUMIF(TIMELINE!$D$12:$AQ$12,TIMELINE!$D$12+0,D11:AQ11)</f>
        <v>21.3194444444444</v>
      </c>
      <c r="E87" s="130" t="n">
        <f aca="false">SUMIF(TIMELINE!$D$12:$AQ$12,TIMELINE!$D$12+1,D11:AQ11)</f>
        <v>159.030555555556</v>
      </c>
      <c r="F87" s="130" t="n">
        <f aca="false">SUMIF(TIMELINE!$D$12:$AQ$12,TIMELINE!$D$12+2,D11:AQ11)</f>
        <v>264.883333333333</v>
      </c>
      <c r="G87" s="130" t="n">
        <f aca="false">SUMIF(TIMELINE!$D$12:$AQ$12,TIMELINE!$D$12+3,D11:AQ11)</f>
        <v>259.966666666667</v>
      </c>
      <c r="H87" s="130" t="n">
        <f aca="false">SUMIF(TIMELINE!$D$12:$AQ$12,TIMELINE!$D$12+4,D11:AQ11)</f>
        <v>97.8</v>
      </c>
      <c r="I87" s="130" t="n">
        <f aca="false">SUMIF(TIMELINE!$D$12:$AQ$12,TIMELINE!$D$12+5,D11:AQ11)</f>
        <v>0</v>
      </c>
      <c r="J87" s="130" t="n">
        <f aca="false">SUMIF(TIMELINE!$D$12:$AQ$12,TIMELINE!$D$12+6,D11:AQ11)</f>
        <v>0</v>
      </c>
      <c r="K87" s="130" t="n">
        <f aca="false">SUMIF(TIMELINE!$D$12:$AQ$12,TIMELINE!$D$12+7,D11:AQ11)</f>
        <v>0</v>
      </c>
      <c r="L87" s="130" t="n">
        <f aca="false">SUMIF(TIMELINE!$D$12:$AQ$12,TIMELINE!$D$12+8,D11:AQ11)</f>
        <v>0</v>
      </c>
      <c r="M87" s="130" t="n">
        <f aca="false">SUMIF(TIMELINE!$D$12:$AQ$12,TIMELINE!$D$12+9,D11:AQ11)</f>
        <v>0</v>
      </c>
      <c r="N87" s="130" t="n">
        <f aca="false">SUMIF(TIMELINE!$D$12:$AQ$12,TIMELINE!$D$12+10,D11:AQ11)</f>
        <v>0</v>
      </c>
    </row>
    <row r="88" customFormat="false" ht="15" hidden="false" customHeight="false" outlineLevel="0" collapsed="false">
      <c r="B88" s="3" t="s">
        <v>798</v>
      </c>
      <c r="C88" s="129" t="n">
        <f aca="false">SUM(D88:N88)</f>
        <v>373.6453209296</v>
      </c>
      <c r="D88" s="130" t="n">
        <f aca="false">SUMIF(TIMELINE!$D$12:$AQ$12,TIMELINE!$D$12+0,D41:AQ41)</f>
        <v>31.3887481908219</v>
      </c>
      <c r="E88" s="130" t="n">
        <f aca="false">SUMIF(TIMELINE!$D$12:$AQ$12,TIMELINE!$D$12+1,D41:AQ41)</f>
        <v>82.5617079687704</v>
      </c>
      <c r="F88" s="130" t="n">
        <f aca="false">SUMIF(TIMELINE!$D$12:$AQ$12,TIMELINE!$D$12+2,D41:AQ41)</f>
        <v>129.742842612901</v>
      </c>
      <c r="G88" s="130" t="n">
        <f aca="false">SUMIF(TIMELINE!$D$12:$AQ$12,TIMELINE!$D$12+3,D41:AQ41)</f>
        <v>97.4629586978963</v>
      </c>
      <c r="H88" s="130" t="n">
        <f aca="false">SUMIF(TIMELINE!$D$12:$AQ$12,TIMELINE!$D$12+4,D41:AQ41)</f>
        <v>32.4890634592107</v>
      </c>
      <c r="I88" s="130" t="n">
        <f aca="false">SUMIF(TIMELINE!$D$12:$AQ$12,TIMELINE!$D$12+5,D41:AQ41)</f>
        <v>0</v>
      </c>
      <c r="J88" s="130" t="n">
        <f aca="false">SUMIF(TIMELINE!$D$12:$AQ$12,TIMELINE!$D$12+6,D41:AQ41)</f>
        <v>0</v>
      </c>
      <c r="K88" s="130" t="n">
        <f aca="false">SUMIF(TIMELINE!$D$12:$AQ$12,TIMELINE!$D$12+7,D41:AQ41)</f>
        <v>0</v>
      </c>
      <c r="L88" s="130" t="n">
        <f aca="false">SUMIF(TIMELINE!$D$12:$AQ$12,TIMELINE!$D$12+8,D41:AQ41)</f>
        <v>0</v>
      </c>
      <c r="M88" s="130" t="n">
        <f aca="false">SUMIF(TIMELINE!$D$12:$AQ$12,TIMELINE!$D$12+9,D41:AQ41)</f>
        <v>0</v>
      </c>
      <c r="N88" s="130" t="n">
        <f aca="false">SUMIF(TIMELINE!$D$12:$AQ$12,TIMELINE!$D$12+10,D41:AQ41)</f>
        <v>0</v>
      </c>
    </row>
    <row r="89" customFormat="false" ht="15" hidden="false" customHeight="false" outlineLevel="0" collapsed="false">
      <c r="B89" s="3" t="s">
        <v>799</v>
      </c>
      <c r="C89" s="129" t="n">
        <f aca="false">SUM(D89:N89)</f>
        <v>256.96</v>
      </c>
      <c r="D89" s="130" t="n">
        <f aca="false">SUMIF(TIMELINE!$D$12:$AQ$12,TIMELINE!$D$12+0,D48:AQ48)</f>
        <v>18</v>
      </c>
      <c r="E89" s="130" t="n">
        <f aca="false">SUMIF(TIMELINE!$D$12:$AQ$12,TIMELINE!$D$12+1,D48:AQ48)</f>
        <v>39.712</v>
      </c>
      <c r="F89" s="130" t="n">
        <f aca="false">SUMIF(TIMELINE!$D$12:$AQ$12,TIMELINE!$D$12+2,D48:AQ48)</f>
        <v>84.7626666666667</v>
      </c>
      <c r="G89" s="130" t="n">
        <f aca="false">SUMIF(TIMELINE!$D$12:$AQ$12,TIMELINE!$D$12+3,D48:AQ48)</f>
        <v>83.1893333333333</v>
      </c>
      <c r="H89" s="130" t="n">
        <f aca="false">SUMIF(TIMELINE!$D$12:$AQ$12,TIMELINE!$D$12+4,D48:AQ48)</f>
        <v>31.296</v>
      </c>
      <c r="I89" s="130" t="n">
        <f aca="false">SUMIF(TIMELINE!$D$12:$AQ$12,TIMELINE!$D$12+5,D48:AQ48)</f>
        <v>0</v>
      </c>
      <c r="J89" s="130" t="n">
        <f aca="false">SUMIF(TIMELINE!$D$12:$AQ$12,TIMELINE!$D$12+6,D48:AQ48)</f>
        <v>0</v>
      </c>
      <c r="K89" s="130" t="n">
        <f aca="false">SUMIF(TIMELINE!$D$12:$AQ$12,TIMELINE!$D$12+7,D48:AQ48)</f>
        <v>0</v>
      </c>
      <c r="L89" s="130" t="n">
        <f aca="false">SUMIF(TIMELINE!$D$12:$AQ$12,TIMELINE!$D$12+8,D48:AQ48)</f>
        <v>0</v>
      </c>
      <c r="M89" s="130" t="n">
        <f aca="false">SUMIF(TIMELINE!$D$12:$AQ$12,TIMELINE!$D$12+9,D48:AQ48)</f>
        <v>0</v>
      </c>
      <c r="N89" s="130" t="n">
        <f aca="false">SUMIF(TIMELINE!$D$12:$AQ$12,TIMELINE!$D$12+10,D48:AQ48)</f>
        <v>0</v>
      </c>
    </row>
    <row r="90" customFormat="false" ht="15" hidden="false" customHeight="false" outlineLevel="0" collapsed="false">
      <c r="B90" s="2" t="s">
        <v>800</v>
      </c>
      <c r="C90" s="129" t="n">
        <f aca="false">SUM(D90:N90)</f>
        <v>172.3946790704</v>
      </c>
      <c r="D90" s="129" t="n">
        <f aca="false">SUMIF(TIMELINE!$D$12:$AQ$12,TIMELINE!$D$12+0,D55:AQ55)</f>
        <v>-28.0693037463775</v>
      </c>
      <c r="E90" s="129" t="n">
        <f aca="false">SUMIF(TIMELINE!$D$12:$AQ$12,TIMELINE!$D$12+1,D55:AQ55)</f>
        <v>36.7568475867851</v>
      </c>
      <c r="F90" s="129" t="n">
        <f aca="false">SUMIF(TIMELINE!$D$12:$AQ$12,TIMELINE!$D$12+2,D55:AQ55)</f>
        <v>50.377824053766</v>
      </c>
      <c r="G90" s="129" t="n">
        <f aca="false">SUMIF(TIMELINE!$D$12:$AQ$12,TIMELINE!$D$12+3,D55:AQ55)</f>
        <v>79.3143746354371</v>
      </c>
      <c r="H90" s="129" t="n">
        <f aca="false">SUMIF(TIMELINE!$D$12:$AQ$12,TIMELINE!$D$12+4,D55:AQ55)</f>
        <v>34.0149365407893</v>
      </c>
      <c r="I90" s="129" t="n">
        <f aca="false">SUMIF(TIMELINE!$D$12:$AQ$12,TIMELINE!$D$12+5,D55:AQ55)</f>
        <v>0</v>
      </c>
      <c r="J90" s="129" t="n">
        <f aca="false">SUMIF(TIMELINE!$D$12:$AQ$12,TIMELINE!$D$12+6,D55:AQ55)</f>
        <v>0</v>
      </c>
      <c r="K90" s="129" t="n">
        <f aca="false">SUMIF(TIMELINE!$D$12:$AQ$12,TIMELINE!$D$12+7,D55:AQ55)</f>
        <v>0</v>
      </c>
      <c r="L90" s="129" t="n">
        <f aca="false">SUMIF(TIMELINE!$D$12:$AQ$12,TIMELINE!$D$12+8,D55:AQ55)</f>
        <v>0</v>
      </c>
      <c r="M90" s="129" t="n">
        <f aca="false">SUMIF(TIMELINE!$D$12:$AQ$12,TIMELINE!$D$12+9,D55:AQ55)</f>
        <v>0</v>
      </c>
      <c r="N90" s="129" t="n">
        <f aca="false">SUMIF(TIMELINE!$D$12:$AQ$12,TIMELINE!$D$12+10,D55:AQ55)</f>
        <v>0</v>
      </c>
    </row>
    <row r="91" customFormat="false" ht="15" hidden="false" customHeight="false" outlineLevel="0" collapsed="false">
      <c r="B91" s="3" t="s">
        <v>801</v>
      </c>
      <c r="D91" s="130" t="n">
        <f aca="false">SUM($D90:D90)</f>
        <v>-28.0693037463775</v>
      </c>
      <c r="E91" s="130" t="n">
        <f aca="false">SUM($D90:E90)</f>
        <v>8.68754384040767</v>
      </c>
      <c r="F91" s="130" t="n">
        <f aca="false">SUM($D90:F90)</f>
        <v>59.0653678941736</v>
      </c>
      <c r="G91" s="130" t="n">
        <f aca="false">SUM($D90:G90)</f>
        <v>138.379742529611</v>
      </c>
      <c r="H91" s="130" t="n">
        <f aca="false">SUM($D90:H90)</f>
        <v>172.3946790704</v>
      </c>
      <c r="I91" s="130" t="n">
        <f aca="false">SUM($D90:I90)</f>
        <v>172.3946790704</v>
      </c>
      <c r="J91" s="130" t="n">
        <f aca="false">SUM($D90:J90)</f>
        <v>172.3946790704</v>
      </c>
      <c r="K91" s="130" t="n">
        <f aca="false">SUM($D90:K90)</f>
        <v>172.3946790704</v>
      </c>
      <c r="L91" s="130" t="n">
        <f aca="false">SUM($D90:L90)</f>
        <v>172.3946790704</v>
      </c>
      <c r="M91" s="130" t="n">
        <f aca="false">SUM($D90:M90)</f>
        <v>172.3946790704</v>
      </c>
      <c r="N91" s="130" t="n">
        <f aca="false">SUM($D90:N90)</f>
        <v>172.3946790704</v>
      </c>
    </row>
    <row r="93" customFormat="false" ht="19.5" hidden="false" customHeight="true" outlineLevel="0" collapsed="false">
      <c r="B93" s="4" t="s">
        <v>802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114" customFormat="false" ht="19.5" hidden="false" customHeight="true" outlineLevel="0" collapsed="false">
      <c r="B114" s="4" t="s">
        <v>803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customFormat="false" ht="15" hidden="false" customHeight="false" outlineLevel="0" collapsed="false">
      <c r="B115" s="3" t="s">
        <v>804</v>
      </c>
      <c r="C115" s="105" t="str">
        <f aca="false">IF(--(ABS(C17-IF(AND(INPUTS!$C$21="JV",128=128),0,INPUTS!$G$128))&gt;0.000001)+--(ABS(C18-IF(AND(INPUTS!$C$21="JV",129=128),0,INPUTS!$G$129))&gt;0.000001)+--(ABS(C19-IF(AND(INPUTS!$C$21="JV",130=128),0,INPUTS!$G$130))&gt;0.000001)+--(ABS(C20-IF(AND(INPUTS!$C$21="JV",131=128),0,INPUTS!$G$131))&gt;0.000001)+--(ABS(C21-IF(AND(INPUTS!$C$21="JV",132=128),0,INPUTS!$G$132))&gt;0.000001)+--(ABS(C22-IF(AND(INPUTS!$C$21="JV",133=128),0,INPUTS!$G$133))&gt;0.000001)+--(ABS(C23-IF(AND(INPUTS!$C$21="JV",134=128),0,INPUTS!$G$134))&gt;0.000001)+--(ABS(C24-IF(AND(INPUTS!$C$21="JV",135=128),0,INPUTS!$G$135))&gt;0.000001)+--(ABS(C25-IF(AND(INPUTS!$C$21="JV",136=128),0,INPUTS!$G$136))&gt;0.000001)+--(ABS(C26-IF(AND(INPUTS!$C$21="JV",137=128),0,INPUTS!$G$137))&gt;0.000001)+--(ABS(C27-IF(AND(INPUTS!$C$21="JV",138=128),0,INPUTS!$G$138))&gt;0.000001)+--(ABS(C28-IF(AND(INPUTS!$C$21="JV",139=128),0,INPUTS!$G$139))&gt;0.000001)+--(ABS(C29-IF(AND(INPUTS!$C$21="JV",140=128),0,INPUTS!$G$140))&gt;0.000001)+--(ABS(C30-IF(AND(INPUTS!$C$21="JV",141=128),0,INPUTS!$G$141))&gt;0.000001)+--(ABS(C31-IF(AND(INPUTS!$C$21="JV",142=128),0,INPUTS!$G$142))&gt;0.000001)+--(ABS(C32-IF(AND(INPUTS!$C$21="JV",143=128),0,INPUTS!$G$143))&gt;0.000001)+--(ABS(C33-IF(AND(INPUTS!$C$21="JV",144=128),0,INPUTS!$G$144))&gt;0.000001)+--(ABS(C34-IF(AND(INPUTS!$C$21="JV",145=128),0,INPUTS!$G$145))&gt;0.000001)+--(ABS(C35-IF(AND(INPUTS!$C$21="JV",146=128),0,INPUTS!$G$146))&gt;0.000001)+--(ABS(C36-IF(AND(INPUTS!$C$21="JV",147=128),0,INPUTS!$G$147))&gt;0.000001)+--(ABS(C37-IF(AND(INPUTS!$C$21="JV",148=128),0,INPUTS!$G$148))&gt;0.000001)+--(ABS(C38-IF(AND(INPUTS!$C$21="JV",149=128),0,INPUTS!$G$149))&gt;0.000001)+--(ABS(C39-IF(AND(INPUTS!$C$21="JV",150=128),0,INPUTS!$G$150))&gt;0.000001)+--(ABS(C40-IF(AND(INPUTS!$C$21="JV",151=128),0,INPUTS!$G$151))&gt;0.000001)=0,"OK","ERROR")</f>
        <v>OK</v>
      </c>
    </row>
    <row r="116" customFormat="false" ht="15" hidden="false" customHeight="false" outlineLevel="0" collapsed="false">
      <c r="B116" s="3" t="s">
        <v>805</v>
      </c>
      <c r="C116" s="105" t="str">
        <f aca="false">IF((--(OR(IF(INPUTS!$C$21="JV",INPUTS!$D$197,0)&lt;-0.000001,IF(INPUTS!$C$21="JV",INPUTS!$D$197,0)&gt;INPUTS!$G$129+0.000001))+--(OR(IF(INPUTS!$C$21="JV",INPUTS!$D$198,0)&lt;-0.000001,IF(INPUTS!$C$21="JV",INPUTS!$D$198,0)&gt;INPUTS!$G$130+0.000001))+--(OR(IF(AND(INPUTS!$C$21="JV",INPUTS!$G$153&gt;0),INPUTS!$D$195*INPUTS!$G$131/INPUTS!$G$153,0)&lt;-0.000001,IF(AND(INPUTS!$C$21="JV",INPUTS!$G$153&gt;0),INPUTS!$D$195*INPUTS!$G$131/INPUTS!$G$153,0)&gt;INPUTS!$G$131+0.000001))+--(OR(IF(AND(INPUTS!$C$21="JV",INPUTS!$G$153&gt;0),INPUTS!$D$195*INPUTS!$G$132/INPUTS!$G$153,0)&lt;-0.000001,IF(AND(INPUTS!$C$21="JV",INPUTS!$G$153&gt;0),INPUTS!$D$195*INPUTS!$G$132/INPUTS!$G$153,0)&gt;INPUTS!$G$132+0.000001))+--(OR(IF(AND(INPUTS!$C$21="JV",INPUTS!$G$153&gt;0),INPUTS!$D$195*INPUTS!$G$133/INPUTS!$G$153,0)&lt;-0.000001,IF(AND(INPUTS!$C$21="JV",INPUTS!$G$153&gt;0),INPUTS!$D$195*INPUTS!$G$133/INPUTS!$G$153,0)&gt;INPUTS!$G$133+0.000001))+--(OR(IF(AND(INPUTS!$C$21="JV",INPUTS!$G$153&gt;0),INPUTS!$D$195*INPUTS!$G$134/INPUTS!$G$153,0)&lt;-0.000001,IF(AND(INPUTS!$C$21="JV",INPUTS!$G$153&gt;0),INPUTS!$D$195*INPUTS!$G$134/INPUTS!$G$153,0)&gt;INPUTS!$G$134+0.000001))+--(OR(IF(AND(INPUTS!$C$21="JV",INPUTS!$G$153&gt;0),INPUTS!$D$195*INPUTS!$G$135/INPUTS!$G$153,0)&lt;-0.000001,IF(AND(INPUTS!$C$21="JV",INPUTS!$G$153&gt;0),INPUTS!$D$195*INPUTS!$G$135/INPUTS!$G$153,0)&gt;INPUTS!$G$135+0.000001))+--(OR(IF(AND(INPUTS!$C$21="JV",INPUTS!$G$153&gt;0),INPUTS!$D$195*INPUTS!$G$136/INPUTS!$G$153,0)&lt;-0.000001,IF(AND(INPUTS!$C$21="JV",INPUTS!$G$153&gt;0),INPUTS!$D$195*INPUTS!$G$136/INPUTS!$G$153,0)&gt;INPUTS!$G$136+0.000001))+--(OR(IF(AND(INPUTS!$C$21="JV",INPUTS!$G$153&gt;0),INPUTS!$D$195*INPUTS!$G$137/INPUTS!$G$153,0)&lt;-0.000001,IF(AND(INPUTS!$C$21="JV",INPUTS!$G$153&gt;0),INPUTS!$D$195*INPUTS!$G$137/INPUTS!$G$153,0)&gt;INPUTS!$G$137+0.000001))+--(OR(IF(INPUTS!$C$21="JV",INPUTS!$D$196,0)&lt;-0.000001,IF(INPUTS!$C$21="JV",INPUTS!$D$196,0)&gt;INPUTS!$G$139+0.000001))+--(OR(IF(INPUTS!$C$21="JV",INPUTS!$D$194,0)&lt;-0.000001,IF(INPUTS!$C$21="JV",INPUTS!$D$194,0)&gt;INPUTS!$G$140+0.000001))+--(OR(IF(INPUTS!$C$21="JV",INPUTS!$D$199,0)&lt;-0.000001,IF(INPUTS!$C$21="JV",INPUTS!$D$199,0)&gt;INPUTS!$G$148+0.000001)))=0,"OK","ERROR")</f>
        <v>OK</v>
      </c>
    </row>
    <row r="117" customFormat="false" ht="15" hidden="false" customHeight="false" outlineLevel="0" collapsed="false">
      <c r="B117" s="3" t="s">
        <v>806</v>
      </c>
      <c r="C117" s="105" t="str">
        <f aca="false">IF(AND(MIN(INPUTS!$E$191:$E$199)&gt;=1,MAX(INPUTS!$E$191:$E$199)&lt;=INPUTS!$C$24),"OK","ERROR")</f>
        <v>OK</v>
      </c>
    </row>
    <row r="118" customFormat="false" ht="15" hidden="false" customHeight="false" outlineLevel="0" collapsed="false">
      <c r="B118" s="3" t="s">
        <v>807</v>
      </c>
      <c r="C118" s="105" t="str">
        <f aca="false">IF(OR(NOT(INPUTS!$C$21="JV"),AND(ABS(C48-C12)&lt;0.000001,ABS(AQ49)&lt;0.000001)),"OK","ERROR")</f>
        <v>OK</v>
      </c>
    </row>
    <row r="119" customFormat="false" ht="15" hidden="false" customHeight="false" outlineLevel="0" collapsed="false">
      <c r="B119" s="3" t="s">
        <v>808</v>
      </c>
      <c r="C119" s="105" t="str">
        <f aca="false">IF(ABS(C55-(INPUTS!$T$98-INPUTS!$G$152))&lt;0.000001,"OK","ERROR")</f>
        <v>OK</v>
      </c>
    </row>
    <row r="120" customFormat="false" ht="15" hidden="false" customHeight="false" outlineLevel="0" collapsed="false">
      <c r="B120" s="3" t="s">
        <v>809</v>
      </c>
      <c r="C120" s="105" t="str">
        <f aca="false">IF(ABS(C53-(INPUTS!$T$98-INPUTS!$G$152+IF(INPUTS!$C$21="JV",INPUTS!$G$128,0)))&lt;0.000001,"OK","ERROR")</f>
        <v>OK</v>
      </c>
    </row>
    <row r="121" customFormat="false" ht="15" hidden="false" customHeight="false" outlineLevel="0" collapsed="false">
      <c r="B121" s="3" t="s">
        <v>810</v>
      </c>
      <c r="C121" s="105" t="str">
        <f aca="false">IF(ABS(C57-OUTPUT!$D$59)&lt;0.000001,"OK","ERROR")</f>
        <v>OK</v>
      </c>
    </row>
    <row r="122" customFormat="false" ht="15" hidden="false" customHeight="false" outlineLevel="0" collapsed="false">
      <c r="B122" s="3" t="s">
        <v>811</v>
      </c>
      <c r="C122" s="105" t="str">
        <f aca="false">IF(SUMPRODUCT(ABS(D55:AQ55)*(1-TIMELINE!$D$16:$AQ$16))&lt;0.000001,"OK","ERROR")</f>
        <v>OK</v>
      </c>
    </row>
    <row r="125" customFormat="false" ht="19.5" hidden="false" customHeight="true" outlineLevel="0" collapsed="false">
      <c r="B125" s="4" t="s">
        <v>812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customFormat="false" ht="15" hidden="false" customHeight="false" outlineLevel="0" collapsed="false">
      <c r="B126" s="3" t="s">
        <v>813</v>
      </c>
      <c r="D126" s="130" t="n">
        <f aca="false">SUM($D11:D11)</f>
        <v>0</v>
      </c>
      <c r="E126" s="130" t="n">
        <f aca="false">SUM($D11:E11)</f>
        <v>0</v>
      </c>
      <c r="F126" s="130" t="n">
        <f aca="false">SUM($D11:F11)</f>
        <v>6.11111111111111</v>
      </c>
      <c r="G126" s="130" t="n">
        <f aca="false">SUM($D11:G11)</f>
        <v>21.3194444444444</v>
      </c>
      <c r="H126" s="130" t="n">
        <f aca="false">SUM($D11:H11)</f>
        <v>50.2083333333333</v>
      </c>
      <c r="I126" s="130" t="n">
        <f aca="false">SUM($D11:I11)</f>
        <v>71.1444444444445</v>
      </c>
      <c r="J126" s="130" t="n">
        <f aca="false">SUM($D11:J11)</f>
        <v>110.1</v>
      </c>
      <c r="K126" s="130" t="n">
        <f aca="false">SUM($D11:K11)</f>
        <v>180.35</v>
      </c>
      <c r="L126" s="130" t="n">
        <f aca="false">SUM($D11:L11)</f>
        <v>226.056944444444</v>
      </c>
      <c r="M126" s="130" t="n">
        <f aca="false">SUM($D11:M11)</f>
        <v>294.616666666667</v>
      </c>
      <c r="N126" s="130" t="n">
        <f aca="false">SUM($D11:N11)</f>
        <v>389.466666666667</v>
      </c>
      <c r="O126" s="130" t="n">
        <f aca="false">SUM($D11:O11)</f>
        <v>445.233333333333</v>
      </c>
      <c r="P126" s="130" t="n">
        <f aca="false">SUM($D11:P11)</f>
        <v>478.95</v>
      </c>
      <c r="Q126" s="130" t="n">
        <f aca="false">SUM($D11:Q11)</f>
        <v>565.416666666667</v>
      </c>
      <c r="R126" s="130" t="n">
        <f aca="false">SUM($D11:R11)</f>
        <v>628.433333333333</v>
      </c>
      <c r="S126" s="130" t="n">
        <f aca="false">SUM($D11:S11)</f>
        <v>705.2</v>
      </c>
      <c r="T126" s="130" t="n">
        <f aca="false">SUM($D11:T11)</f>
        <v>735.5</v>
      </c>
      <c r="U126" s="130" t="n">
        <f aca="false">SUM($D11:U11)</f>
        <v>758</v>
      </c>
      <c r="V126" s="130" t="n">
        <f aca="false">SUM($D11:V11)</f>
        <v>758</v>
      </c>
      <c r="W126" s="130" t="n">
        <f aca="false">SUM($D11:W11)</f>
        <v>803</v>
      </c>
      <c r="X126" s="130" t="n">
        <f aca="false">SUM($D11:X11)</f>
        <v>803</v>
      </c>
      <c r="Y126" s="130" t="n">
        <f aca="false">SUM($D11:Y11)</f>
        <v>803</v>
      </c>
      <c r="Z126" s="130" t="n">
        <f aca="false">SUM($D11:Z11)</f>
        <v>803</v>
      </c>
      <c r="AA126" s="130" t="n">
        <f aca="false">SUM($D11:AA11)</f>
        <v>803</v>
      </c>
      <c r="AB126" s="130" t="n">
        <f aca="false">SUM($D11:AB11)</f>
        <v>803</v>
      </c>
      <c r="AC126" s="130" t="n">
        <f aca="false">SUM($D11:AC11)</f>
        <v>803</v>
      </c>
      <c r="AD126" s="130" t="n">
        <f aca="false">SUM($D11:AD11)</f>
        <v>803</v>
      </c>
      <c r="AE126" s="130" t="n">
        <f aca="false">SUM($D11:AE11)</f>
        <v>803</v>
      </c>
      <c r="AF126" s="130" t="n">
        <f aca="false">SUM($D11:AF11)</f>
        <v>803</v>
      </c>
      <c r="AG126" s="130" t="n">
        <f aca="false">SUM($D11:AG11)</f>
        <v>803</v>
      </c>
      <c r="AH126" s="130" t="n">
        <f aca="false">SUM($D11:AH11)</f>
        <v>803</v>
      </c>
      <c r="AI126" s="130" t="n">
        <f aca="false">SUM($D11:AI11)</f>
        <v>803</v>
      </c>
      <c r="AJ126" s="130" t="n">
        <f aca="false">SUM($D11:AJ11)</f>
        <v>803</v>
      </c>
      <c r="AK126" s="130" t="n">
        <f aca="false">SUM($D11:AK11)</f>
        <v>803</v>
      </c>
      <c r="AL126" s="130" t="n">
        <f aca="false">SUM($D11:AL11)</f>
        <v>803</v>
      </c>
      <c r="AM126" s="130" t="n">
        <f aca="false">SUM($D11:AM11)</f>
        <v>803</v>
      </c>
      <c r="AN126" s="130" t="n">
        <f aca="false">SUM($D11:AN11)</f>
        <v>803</v>
      </c>
      <c r="AO126" s="130" t="n">
        <f aca="false">SUM($D11:AO11)</f>
        <v>803</v>
      </c>
      <c r="AP126" s="130" t="n">
        <f aca="false">SUM($D11:AP11)</f>
        <v>803</v>
      </c>
      <c r="AQ126" s="130" t="n">
        <f aca="false">SUM($D11:AQ11)</f>
        <v>803</v>
      </c>
    </row>
    <row r="127" customFormat="false" ht="15" hidden="false" customHeight="false" outlineLevel="0" collapsed="false">
      <c r="B127" s="3" t="s">
        <v>814</v>
      </c>
      <c r="D127" s="130" t="n">
        <f aca="false">SUM($D41:D41)+SUM($D48:D48)</f>
        <v>19.606</v>
      </c>
      <c r="E127" s="130" t="n">
        <f aca="false">SUM($D41:E41)+SUM($D48:E48)</f>
        <v>34.2873209296</v>
      </c>
      <c r="F127" s="130" t="n">
        <f aca="false">SUM($D41:F41)+SUM($D48:F48)</f>
        <v>40.1710987073778</v>
      </c>
      <c r="G127" s="130" t="n">
        <f aca="false">SUM($D41:G41)+SUM($D48:G48)</f>
        <v>49.3887481908219</v>
      </c>
      <c r="H127" s="130" t="n">
        <f aca="false">SUM($D41:H41)+SUM($D48:H48)</f>
        <v>62.1571703830849</v>
      </c>
      <c r="I127" s="130" t="n">
        <f aca="false">SUM($D41:I41)+SUM($D48:I48)</f>
        <v>85.3374506096244</v>
      </c>
      <c r="J127" s="130" t="n">
        <f aca="false">SUM($D41:J41)+SUM($D48:J48)</f>
        <v>121.343129887867</v>
      </c>
      <c r="K127" s="130" t="n">
        <f aca="false">SUM($D41:K41)+SUM($D48:K48)</f>
        <v>171.662456159592</v>
      </c>
      <c r="L127" s="130" t="n">
        <f aca="false">SUM($D41:L41)+SUM($D48:L48)</f>
        <v>217.278648220128</v>
      </c>
      <c r="M127" s="130" t="n">
        <f aca="false">SUM($D41:M41)+SUM($D48:M48)</f>
        <v>272.034742353264</v>
      </c>
      <c r="N127" s="130" t="n">
        <f aca="false">SUM($D41:N41)+SUM($D48:N48)</f>
        <v>335.607302933619</v>
      </c>
      <c r="O127" s="130" t="n">
        <f aca="false">SUM($D41:O41)+SUM($D48:O48)</f>
        <v>386.16796543916</v>
      </c>
      <c r="P127" s="130" t="n">
        <f aca="false">SUM($D41:P41)+SUM($D48:P48)</f>
        <v>427.78337776555</v>
      </c>
      <c r="Q127" s="130" t="n">
        <f aca="false">SUM($D41:Q41)+SUM($D48:Q48)</f>
        <v>482.824835867734</v>
      </c>
      <c r="R127" s="130" t="n">
        <f aca="false">SUM($D41:R41)+SUM($D48:R48)</f>
        <v>526.17359940825</v>
      </c>
      <c r="S127" s="130" t="n">
        <f aca="false">SUM($D41:S41)+SUM($D48:S48)</f>
        <v>566.820257470389</v>
      </c>
      <c r="T127" s="130" t="n">
        <f aca="false">SUM($D41:T41)+SUM($D48:T48)</f>
        <v>589.425405215962</v>
      </c>
      <c r="U127" s="130" t="n">
        <f aca="false">SUM($D41:U41)+SUM($D48:U48)</f>
        <v>606.325776040495</v>
      </c>
      <c r="V127" s="130" t="n">
        <f aca="false">SUM($D41:V41)+SUM($D48:V48)</f>
        <v>612.916264983287</v>
      </c>
      <c r="W127" s="130" t="n">
        <f aca="false">SUM($D41:W41)+SUM($D48:W48)</f>
        <v>630.6053209296</v>
      </c>
      <c r="X127" s="130" t="n">
        <f aca="false">SUM($D41:X41)+SUM($D48:X48)</f>
        <v>630.6053209296</v>
      </c>
      <c r="Y127" s="130" t="n">
        <f aca="false">SUM($D41:Y41)+SUM($D48:Y48)</f>
        <v>630.6053209296</v>
      </c>
      <c r="Z127" s="130" t="n">
        <f aca="false">SUM($D41:Z41)+SUM($D48:Z48)</f>
        <v>630.6053209296</v>
      </c>
      <c r="AA127" s="130" t="n">
        <f aca="false">SUM($D41:AA41)+SUM($D48:AA48)</f>
        <v>630.6053209296</v>
      </c>
      <c r="AB127" s="130" t="n">
        <f aca="false">SUM($D41:AB41)+SUM($D48:AB48)</f>
        <v>630.6053209296</v>
      </c>
      <c r="AC127" s="130" t="n">
        <f aca="false">SUM($D41:AC41)+SUM($D48:AC48)</f>
        <v>630.6053209296</v>
      </c>
      <c r="AD127" s="130" t="n">
        <f aca="false">SUM($D41:AD41)+SUM($D48:AD48)</f>
        <v>630.6053209296</v>
      </c>
      <c r="AE127" s="130" t="n">
        <f aca="false">SUM($D41:AE41)+SUM($D48:AE48)</f>
        <v>630.6053209296</v>
      </c>
      <c r="AF127" s="130" t="n">
        <f aca="false">SUM($D41:AF41)+SUM($D48:AF48)</f>
        <v>630.6053209296</v>
      </c>
      <c r="AG127" s="130" t="n">
        <f aca="false">SUM($D41:AG41)+SUM($D48:AG48)</f>
        <v>630.6053209296</v>
      </c>
      <c r="AH127" s="130" t="n">
        <f aca="false">SUM($D41:AH41)+SUM($D48:AH48)</f>
        <v>630.6053209296</v>
      </c>
      <c r="AI127" s="130" t="n">
        <f aca="false">SUM($D41:AI41)+SUM($D48:AI48)</f>
        <v>630.6053209296</v>
      </c>
      <c r="AJ127" s="130" t="n">
        <f aca="false">SUM($D41:AJ41)+SUM($D48:AJ48)</f>
        <v>630.6053209296</v>
      </c>
      <c r="AK127" s="130" t="n">
        <f aca="false">SUM($D41:AK41)+SUM($D48:AK48)</f>
        <v>630.6053209296</v>
      </c>
      <c r="AL127" s="130" t="n">
        <f aca="false">SUM($D41:AL41)+SUM($D48:AL48)</f>
        <v>630.6053209296</v>
      </c>
      <c r="AM127" s="130" t="n">
        <f aca="false">SUM($D41:AM41)+SUM($D48:AM48)</f>
        <v>630.6053209296</v>
      </c>
      <c r="AN127" s="130" t="n">
        <f aca="false">SUM($D41:AN41)+SUM($D48:AN48)</f>
        <v>630.6053209296</v>
      </c>
      <c r="AO127" s="130" t="n">
        <f aca="false">SUM($D41:AO41)+SUM($D48:AO48)</f>
        <v>630.6053209296</v>
      </c>
      <c r="AP127" s="130" t="n">
        <f aca="false">SUM($D41:AP41)+SUM($D48:AP48)</f>
        <v>630.6053209296</v>
      </c>
      <c r="AQ127" s="130" t="n">
        <f aca="false">SUM($D41:AQ41)+SUM($D48:AQ48)</f>
        <v>630.6053209296</v>
      </c>
    </row>
  </sheetData>
  <conditionalFormatting sqref="D53:AQ53">
    <cfRule type="cellIs" priority="2" operator="lessThan" aboveAverage="0" equalAverage="0" bottom="0" percent="0" rank="0" text="" dxfId="23">
      <formula>0</formula>
    </cfRule>
  </conditionalFormatting>
  <conditionalFormatting sqref="D55:AQ55">
    <cfRule type="cellIs" priority="3" operator="lessThan" aboveAverage="0" equalAverage="0" bottom="0" percent="0" rank="0" text="" dxfId="23">
      <formula>0</formula>
    </cfRule>
  </conditionalFormatting>
  <conditionalFormatting sqref="D58:AQ58">
    <cfRule type="cellIs" priority="4" operator="lessThan" aboveAverage="0" equalAverage="0" bottom="0" percent="0" rank="0" text="" dxfId="23">
      <formula>0</formula>
    </cfRule>
  </conditionalFormatting>
  <conditionalFormatting sqref="D54:AQ54">
    <cfRule type="cellIs" priority="5" operator="lessThan" aboveAverage="0" equalAverage="0" bottom="0" percent="0" rank="0" text="" dxfId="18">
      <formula>0</formula>
    </cfRule>
  </conditionalFormatting>
  <conditionalFormatting sqref="D56:AQ56">
    <cfRule type="cellIs" priority="6" operator="lessThan" aboveAverage="0" equalAverage="0" bottom="0" percent="0" rank="0" text="" dxfId="18">
      <formula>0</formula>
    </cfRule>
  </conditionalFormatting>
  <conditionalFormatting sqref="D59:AQ59">
    <cfRule type="cellIs" priority="7" operator="lessThan" aboveAverage="0" equalAverage="0" bottom="0" percent="0" rank="0" text="" dxfId="18">
      <formula>0</formula>
    </cfRule>
  </conditionalFormatting>
  <conditionalFormatting sqref="C115:C122">
    <cfRule type="cellIs" priority="8" operator="equal" aboveAverage="0" equalAverage="0" bottom="0" percent="0" rank="0" text="" dxfId="8">
      <formula>"ERROR"</formula>
    </cfRule>
    <cfRule type="cellIs" priority="9" operator="equal" aboveAverage="0" equalAverage="0" bottom="0" percent="0" rank="0" text="" dxfId="9">
      <formula>"OK"</formula>
    </cfRule>
    <cfRule type="cellIs" priority="10" operator="equal" aboveAverage="0" equalAverage="0" bottom="0" percent="0" rank="0" text="" dxfId="10">
      <formula>"Off"</formula>
    </cfRule>
    <cfRule type="cellIs" priority="11" operator="equal" aboveAverage="0" equalAverage="0" bottom="0" percent="0" rank="0" text="" dxfId="10">
      <formula>"Unused"</formula>
    </cfRule>
    <cfRule type="cellIs" priority="12" operator="equal" aboveAverage="0" equalAverage="0" bottom="0" percent="0" rank="0" text="" dxfId="10">
      <formula>"Excluded"</formula>
    </cfRule>
  </conditionalFormatting>
  <conditionalFormatting sqref="C3">
    <cfRule type="cellIs" priority="13" operator="equal" aboveAverage="0" equalAverage="0" bottom="0" percent="0" rank="0" text="" dxfId="8">
      <formula>"ERROR"</formula>
    </cfRule>
    <cfRule type="cellIs" priority="14" operator="equal" aboveAverage="0" equalAverage="0" bottom="0" percent="0" rank="0" text="" dxfId="9">
      <formula>"OK"</formula>
    </cfRule>
    <cfRule type="cellIs" priority="15" operator="equal" aboveAverage="0" equalAverage="0" bottom="0" percent="0" rank="0" text="" dxfId="10">
      <formula>"Off"</formula>
    </cfRule>
    <cfRule type="cellIs" priority="16" operator="equal" aboveAverage="0" equalAverage="0" bottom="0" percent="0" rank="0" text="" dxfId="10">
      <formula>"Unused"</formula>
    </cfRule>
    <cfRule type="cellIs" priority="17" operator="equal" aboveAverage="0" equalAverage="0" bottom="0" percent="0" rank="0" text="" dxfId="10">
      <formula>"Excluded"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2:H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C2" s="1" t="s">
        <v>815</v>
      </c>
    </row>
    <row r="3" customFormat="false" ht="15" hidden="false" customHeight="false" outlineLevel="0" collapsed="false">
      <c r="C3" s="17" t="s">
        <v>816</v>
      </c>
    </row>
    <row r="5" customFormat="false" ht="19.5" hidden="false" customHeight="true" outlineLevel="0" collapsed="false">
      <c r="B5" s="4" t="s">
        <v>817</v>
      </c>
      <c r="C5" s="5"/>
      <c r="D5" s="5"/>
      <c r="E5" s="5"/>
      <c r="F5" s="5"/>
      <c r="G5" s="5"/>
      <c r="H5" s="5"/>
    </row>
    <row r="6" customFormat="false" ht="24" hidden="false" customHeight="true" outlineLevel="0" collapsed="false">
      <c r="C6" s="27" t="s">
        <v>818</v>
      </c>
      <c r="D6" s="27" t="s">
        <v>156</v>
      </c>
      <c r="E6" s="27" t="s">
        <v>158</v>
      </c>
      <c r="F6" s="27" t="s">
        <v>165</v>
      </c>
      <c r="G6" s="27" t="s">
        <v>819</v>
      </c>
      <c r="H6" s="27" t="s">
        <v>256</v>
      </c>
    </row>
    <row r="7" customFormat="false" ht="18" hidden="false" customHeight="true" outlineLevel="0" collapsed="false">
      <c r="C7" s="140" t="str">
        <f aca="false">INPUTS!$C$17</f>
        <v>Project Aurora (Sample)</v>
      </c>
      <c r="D7" s="140" t="str">
        <f aca="false">INPUTS!$C$18</f>
        <v>Sample City, Rajasthan</v>
      </c>
      <c r="E7" s="140" t="str">
        <f aca="false">INPUTS!$C$19</f>
        <v>Mixed Development</v>
      </c>
      <c r="F7" s="140" t="str">
        <f aca="false">INPUTS!$C$21</f>
        <v>JV</v>
      </c>
      <c r="G7" s="141" t="n">
        <f aca="false">INPUTS!$C$39</f>
        <v>6.19834710743802</v>
      </c>
      <c r="H7" s="142" t="n">
        <f aca="false">INPUTS!$F$98</f>
        <v>920000</v>
      </c>
    </row>
    <row r="9" customFormat="false" ht="19.5" hidden="false" customHeight="true" outlineLevel="0" collapsed="false">
      <c r="B9" s="4" t="s">
        <v>820</v>
      </c>
      <c r="C9" s="5"/>
      <c r="D9" s="5"/>
      <c r="E9" s="5"/>
      <c r="F9" s="5"/>
      <c r="G9" s="5"/>
      <c r="H9" s="5"/>
    </row>
    <row r="10" customFormat="false" ht="30" hidden="false" customHeight="true" outlineLevel="0" collapsed="false">
      <c r="C10" s="27" t="s">
        <v>821</v>
      </c>
      <c r="D10" s="27" t="s">
        <v>822</v>
      </c>
      <c r="E10" s="27" t="s">
        <v>823</v>
      </c>
      <c r="F10" s="27" t="s">
        <v>350</v>
      </c>
      <c r="G10" s="27" t="s">
        <v>268</v>
      </c>
    </row>
    <row r="11" customFormat="false" ht="15" hidden="false" customHeight="false" outlineLevel="0" collapsed="false">
      <c r="C11" s="60" t="str">
        <f aca="false">IF(INPUTS!$E$88="Yes",INPUTS!$B$88,"—")</f>
        <v>Villas</v>
      </c>
      <c r="D11" s="143" t="n">
        <f aca="false">INPUTS!$T$88</f>
        <v>275</v>
      </c>
      <c r="E11" s="73" t="n">
        <f aca="false">IF(INPUTS!$E$88="Yes",INPUTS!$G$88*(1+INPUTS!$D$74),0)</f>
        <v>11000</v>
      </c>
      <c r="F11" s="64" t="n">
        <f aca="false">IF($D$23&gt;0,D11/$D$23,0)</f>
        <v>0.342465753424658</v>
      </c>
      <c r="G11" s="60" t="str">
        <f aca="false">IF(INPUTS!$E$88="Yes",INPUTS!$D$88,"")</f>
        <v>Villa</v>
      </c>
    </row>
    <row r="12" customFormat="false" ht="15" hidden="false" customHeight="false" outlineLevel="0" collapsed="false">
      <c r="C12" s="60" t="str">
        <f aca="false">IF(INPUTS!$E$89="Yes",INPUTS!$B$89,"—")</f>
        <v>Apartments – Towers A &amp; B</v>
      </c>
      <c r="D12" s="143" t="n">
        <f aca="false">INPUTS!$T$89</f>
        <v>450</v>
      </c>
      <c r="E12" s="73" t="n">
        <f aca="false">IF(INPUTS!$E$89="Yes",INPUTS!$G$89*(1+INPUTS!$D$74),0)</f>
        <v>7500</v>
      </c>
      <c r="F12" s="64" t="n">
        <f aca="false">IF($D$23&gt;0,D12/$D$23,0)</f>
        <v>0.560398505603985</v>
      </c>
      <c r="G12" s="60" t="str">
        <f aca="false">IF(INPUTS!$E$89="Yes",INPUTS!$D$89,"")</f>
        <v>Apartment</v>
      </c>
    </row>
    <row r="13" customFormat="false" ht="15" hidden="false" customHeight="false" outlineLevel="0" collapsed="false">
      <c r="C13" s="60" t="str">
        <f aca="false">IF(INPUTS!$E$90="Yes",INPUTS!$B$90,"—")</f>
        <v>Studios</v>
      </c>
      <c r="D13" s="143" t="n">
        <f aca="false">INPUTS!$T$90</f>
        <v>36</v>
      </c>
      <c r="E13" s="73" t="n">
        <f aca="false">IF(INPUTS!$E$90="Yes",INPUTS!$G$90*(1+INPUTS!$D$74),0)</f>
        <v>9000</v>
      </c>
      <c r="F13" s="64" t="n">
        <f aca="false">IF($D$23&gt;0,D13/$D$23,0)</f>
        <v>0.0448318804483188</v>
      </c>
      <c r="G13" s="60" t="str">
        <f aca="false">IF(INPUTS!$E$90="Yes",INPUTS!$D$90,"")</f>
        <v>Studio</v>
      </c>
    </row>
    <row r="14" customFormat="false" ht="15" hidden="false" customHeight="false" outlineLevel="0" collapsed="false">
      <c r="C14" s="60" t="str">
        <f aca="false">IF(INPUTS!$E$91="Yes",INPUTS!$B$91,"—")</f>
        <v>High-street retail</v>
      </c>
      <c r="D14" s="143" t="n">
        <f aca="false">INPUTS!$T$91</f>
        <v>42</v>
      </c>
      <c r="E14" s="73" t="n">
        <f aca="false">IF(INPUTS!$E$91="Yes",INPUTS!$G$91*(1+INPUTS!$D$74),0)</f>
        <v>14000</v>
      </c>
      <c r="F14" s="64" t="n">
        <f aca="false">IF($D$23&gt;0,D14/$D$23,0)</f>
        <v>0.0523038605230386</v>
      </c>
      <c r="G14" s="60" t="str">
        <f aca="false">IF(INPUTS!$E$91="Yes",INPUTS!$D$91,"")</f>
        <v>Commercial</v>
      </c>
    </row>
    <row r="15" customFormat="false" ht="15" hidden="false" customHeight="false" outlineLevel="0" collapsed="false">
      <c r="C15" s="60" t="str">
        <f aca="false">IF(INPUTS!$E$92="Yes",INPUTS!$B$92,"—")</f>
        <v>—</v>
      </c>
      <c r="D15" s="143" t="n">
        <f aca="false">INPUTS!$T$92</f>
        <v>0</v>
      </c>
      <c r="E15" s="73" t="n">
        <f aca="false">IF(INPUTS!$E$92="Yes",INPUTS!$G$92*(1+INPUTS!$D$74),0)</f>
        <v>0</v>
      </c>
      <c r="F15" s="64" t="n">
        <f aca="false">IF($D$23&gt;0,D15/$D$23,0)</f>
        <v>0</v>
      </c>
      <c r="G15" s="60" t="str">
        <f aca="false">IF(INPUTS!$E$92="Yes",INPUTS!$D$92,"")</f>
        <v/>
      </c>
    </row>
    <row r="16" customFormat="false" ht="15" hidden="false" customHeight="false" outlineLevel="0" collapsed="false">
      <c r="C16" s="60" t="str">
        <f aca="false">IF(INPUTS!$E$93="Yes",INPUTS!$B$93,"—")</f>
        <v>—</v>
      </c>
      <c r="D16" s="143" t="n">
        <f aca="false">INPUTS!$T$93</f>
        <v>0</v>
      </c>
      <c r="E16" s="73" t="n">
        <f aca="false">IF(INPUTS!$E$93="Yes",INPUTS!$G$93*(1+INPUTS!$D$74),0)</f>
        <v>0</v>
      </c>
      <c r="F16" s="64" t="n">
        <f aca="false">IF($D$23&gt;0,D16/$D$23,0)</f>
        <v>0</v>
      </c>
      <c r="G16" s="60" t="str">
        <f aca="false">IF(INPUTS!$E$93="Yes",INPUTS!$D$93,"")</f>
        <v/>
      </c>
    </row>
    <row r="17" customFormat="false" ht="15" hidden="false" customHeight="false" outlineLevel="0" collapsed="false">
      <c r="C17" s="60" t="str">
        <f aca="false">IF(INPUTS!$E$94="Yes",INPUTS!$B$94,"—")</f>
        <v>—</v>
      </c>
      <c r="D17" s="143" t="n">
        <f aca="false">INPUTS!$T$94</f>
        <v>0</v>
      </c>
      <c r="E17" s="73" t="n">
        <f aca="false">IF(INPUTS!$E$94="Yes",INPUTS!$G$94*(1+INPUTS!$D$74),0)</f>
        <v>0</v>
      </c>
      <c r="F17" s="64" t="n">
        <f aca="false">IF($D$23&gt;0,D17/$D$23,0)</f>
        <v>0</v>
      </c>
      <c r="G17" s="60" t="str">
        <f aca="false">IF(INPUTS!$E$94="Yes",INPUTS!$D$94,"")</f>
        <v/>
      </c>
    </row>
    <row r="18" customFormat="false" ht="15" hidden="false" customHeight="false" outlineLevel="0" collapsed="false">
      <c r="C18" s="60" t="str">
        <f aca="false">IF(INPUTS!$E$95="Yes",INPUTS!$B$95,"—")</f>
        <v>—</v>
      </c>
      <c r="D18" s="143" t="n">
        <f aca="false">INPUTS!$T$95</f>
        <v>0</v>
      </c>
      <c r="E18" s="73" t="n">
        <f aca="false">IF(INPUTS!$E$95="Yes",INPUTS!$G$95*(1+INPUTS!$D$74),0)</f>
        <v>0</v>
      </c>
      <c r="F18" s="64" t="n">
        <f aca="false">IF($D$23&gt;0,D18/$D$23,0)</f>
        <v>0</v>
      </c>
      <c r="G18" s="60" t="str">
        <f aca="false">IF(INPUTS!$E$95="Yes",INPUTS!$D$95,"")</f>
        <v/>
      </c>
    </row>
    <row r="19" customFormat="false" ht="15" hidden="false" customHeight="false" outlineLevel="0" collapsed="false">
      <c r="C19" s="60" t="str">
        <f aca="false">IF(INPUTS!$E$96="Yes",INPUTS!$B$96,"—")</f>
        <v>—</v>
      </c>
      <c r="D19" s="143" t="n">
        <f aca="false">INPUTS!$T$96</f>
        <v>0</v>
      </c>
      <c r="E19" s="73" t="n">
        <f aca="false">IF(INPUTS!$E$96="Yes",INPUTS!$G$96*(1+INPUTS!$D$74),0)</f>
        <v>0</v>
      </c>
      <c r="F19" s="64" t="n">
        <f aca="false">IF($D$23&gt;0,D19/$D$23,0)</f>
        <v>0</v>
      </c>
      <c r="G19" s="60" t="str">
        <f aca="false">IF(INPUTS!$E$96="Yes",INPUTS!$D$96,"")</f>
        <v/>
      </c>
    </row>
    <row r="20" customFormat="false" ht="15" hidden="false" customHeight="false" outlineLevel="0" collapsed="false">
      <c r="C20" s="60" t="str">
        <f aca="false">IF(INPUTS!$E$97="Yes",INPUTS!$B$97,"—")</f>
        <v>—</v>
      </c>
      <c r="D20" s="143" t="n">
        <f aca="false">INPUTS!$T$97</f>
        <v>0</v>
      </c>
      <c r="E20" s="73" t="n">
        <f aca="false">IF(INPUTS!$E$97="Yes",INPUTS!$G$97*(1+INPUTS!$D$74),0)</f>
        <v>0</v>
      </c>
      <c r="F20" s="64" t="n">
        <f aca="false">IF($D$23&gt;0,D20/$D$23,0)</f>
        <v>0</v>
      </c>
      <c r="G20" s="60" t="str">
        <f aca="false">IF(INPUTS!$E$97="Yes",INPUTS!$D$97,"")</f>
        <v/>
      </c>
    </row>
    <row r="21" customFormat="false" ht="15" hidden="false" customHeight="false" outlineLevel="0" collapsed="false">
      <c r="C21" s="100" t="s">
        <v>824</v>
      </c>
      <c r="D21" s="85" t="n">
        <f aca="false">D23-D22</f>
        <v>803</v>
      </c>
      <c r="E21" s="84" t="n">
        <f aca="false">IF((INPUTS!$F$98-SUMIFS(INPUTS!$F$88:$F$97,INPUTS!$D$88:$D$97,"EWS/LIG",INPUTS!$E$88:$E$97,"Yes"))&gt;0,D21*INPUTS!$C$25/(INPUTS!$F$98-SUMIFS(INPUTS!$F$88:$F$97,INPUTS!$D$88:$D$97,"EWS/LIG",INPUTS!$E$88:$E$97,"Yes")),0)</f>
        <v>8728.26086956522</v>
      </c>
      <c r="F21" s="86"/>
      <c r="G21" s="86"/>
    </row>
    <row r="22" customFormat="false" ht="15" hidden="false" customHeight="false" outlineLevel="0" collapsed="false">
      <c r="C22" s="60" t="s">
        <v>825</v>
      </c>
      <c r="D22" s="63" t="n">
        <f aca="false">SUMIF(INPUTS!$D$88:$D$97,"EWS/LIG",INPUTS!$T$88:$T$97)</f>
        <v>0</v>
      </c>
    </row>
    <row r="23" customFormat="false" ht="15" hidden="false" customHeight="false" outlineLevel="0" collapsed="false">
      <c r="C23" s="100" t="s">
        <v>826</v>
      </c>
      <c r="D23" s="144" t="n">
        <f aca="false">INPUTS!$T$98</f>
        <v>803</v>
      </c>
      <c r="E23" s="84" t="n">
        <f aca="false">IF(INPUTS!$F$98&gt;0,D23*INPUTS!$C$25/INPUTS!$F$98,0)</f>
        <v>8728.26086956522</v>
      </c>
      <c r="F23" s="83" t="n">
        <f aca="false">IF(D23&gt;0,1,0)</f>
        <v>1</v>
      </c>
      <c r="G23" s="86"/>
    </row>
    <row r="25" customFormat="false" ht="19.5" hidden="false" customHeight="true" outlineLevel="0" collapsed="false">
      <c r="B25" s="4" t="s">
        <v>827</v>
      </c>
      <c r="C25" s="5"/>
      <c r="D25" s="5"/>
      <c r="E25" s="5"/>
      <c r="F25" s="5"/>
      <c r="G25" s="5"/>
      <c r="H25" s="5"/>
    </row>
    <row r="26" customFormat="false" ht="30" hidden="false" customHeight="true" outlineLevel="0" collapsed="false">
      <c r="C26" s="27" t="s">
        <v>343</v>
      </c>
      <c r="D26" s="27" t="s">
        <v>822</v>
      </c>
      <c r="E26" s="27" t="s">
        <v>823</v>
      </c>
      <c r="F26" s="27" t="s">
        <v>350</v>
      </c>
      <c r="G26" s="27" t="s">
        <v>347</v>
      </c>
    </row>
    <row r="27" customFormat="false" ht="15" hidden="false" customHeight="false" outlineLevel="0" collapsed="false">
      <c r="C27" s="60" t="str">
        <f aca="false">IF(INPUTS!$B$128="","—",INPUTS!$B$128)</f>
        <v>Land Cost</v>
      </c>
      <c r="D27" s="143" t="n">
        <f aca="false">INPUTS!$G$128</f>
        <v>256.96</v>
      </c>
      <c r="E27" s="142" t="n">
        <f aca="false">INPUTS!$H$128</f>
        <v>2793.04347826087</v>
      </c>
      <c r="F27" s="145" t="n">
        <f aca="false">INPUTS!$I$128</f>
        <v>0.32</v>
      </c>
      <c r="G27" s="60" t="str">
        <f aca="false">IF(INPUTS!$F$128="","",INPUTS!$F$128)</f>
        <v>Yes</v>
      </c>
    </row>
    <row r="28" customFormat="false" ht="15" hidden="false" customHeight="false" outlineLevel="0" collapsed="false">
      <c r="C28" s="60" t="str">
        <f aca="false">IF(INPUTS!$B$129="","—",INPUTS!$B$129)</f>
        <v>Stamp Duty</v>
      </c>
      <c r="D28" s="143" t="n">
        <f aca="false">INPUTS!$G$129</f>
        <v>0.8967465936</v>
      </c>
      <c r="E28" s="142" t="n">
        <f aca="false">INPUTS!$H$129</f>
        <v>9.7472455826087</v>
      </c>
      <c r="F28" s="145" t="n">
        <f aca="false">INPUTS!$I$129</f>
        <v>0.00111674544657534</v>
      </c>
      <c r="G28" s="60" t="str">
        <f aca="false">IF(INPUTS!$F$129="","",INPUTS!$F$129)</f>
        <v>Yes</v>
      </c>
    </row>
    <row r="29" customFormat="false" ht="15" hidden="false" customHeight="false" outlineLevel="0" collapsed="false">
      <c r="C29" s="60" t="str">
        <f aca="false">IF(INPUTS!$B$130="","—",INPUTS!$B$130)</f>
        <v>Brokerage</v>
      </c>
      <c r="D29" s="143" t="n">
        <f aca="false">INPUTS!$G$130</f>
        <v>2.124</v>
      </c>
      <c r="E29" s="142" t="n">
        <f aca="false">INPUTS!$H$130</f>
        <v>23.0869565217391</v>
      </c>
      <c r="F29" s="145" t="n">
        <f aca="false">INPUTS!$I$130</f>
        <v>0.00264508094645081</v>
      </c>
      <c r="G29" s="60" t="str">
        <f aca="false">IF(INPUTS!$F$130="","",INPUTS!$F$130)</f>
        <v>Yes</v>
      </c>
    </row>
    <row r="30" customFormat="false" ht="15" hidden="false" customHeight="false" outlineLevel="0" collapsed="false">
      <c r="C30" s="60" t="str">
        <f aca="false">IF(INPUTS!$B$131="","—",INPUTS!$B$131)</f>
        <v>Villa Construction Cost</v>
      </c>
      <c r="D30" s="143" t="n">
        <f aca="false">INPUTS!$G$131</f>
        <v>72.5</v>
      </c>
      <c r="E30" s="142" t="n">
        <f aca="false">INPUTS!$H$131</f>
        <v>788.04347826087</v>
      </c>
      <c r="F30" s="145" t="n">
        <f aca="false">INPUTS!$I$131</f>
        <v>0.0902864259028643</v>
      </c>
      <c r="G30" s="60" t="str">
        <f aca="false">IF(INPUTS!$F$131="","",INPUTS!$F$131)</f>
        <v>Yes</v>
      </c>
    </row>
    <row r="31" customFormat="false" ht="15" hidden="false" customHeight="false" outlineLevel="0" collapsed="false">
      <c r="C31" s="60" t="str">
        <f aca="false">IF(INPUTS!$B$132="","—",INPUTS!$B$132)</f>
        <v>APT Construction Cost</v>
      </c>
      <c r="D31" s="143" t="n">
        <f aca="false">INPUTS!$G$132</f>
        <v>174</v>
      </c>
      <c r="E31" s="142" t="n">
        <f aca="false">INPUTS!$H$132</f>
        <v>1891.30434782609</v>
      </c>
      <c r="F31" s="145" t="n">
        <f aca="false">INPUTS!$I$132</f>
        <v>0.216687422166874</v>
      </c>
      <c r="G31" s="60" t="str">
        <f aca="false">IF(INPUTS!$F$132="","",INPUTS!$F$132)</f>
        <v>Yes</v>
      </c>
    </row>
    <row r="32" customFormat="false" ht="15" hidden="false" customHeight="false" outlineLevel="0" collapsed="false">
      <c r="C32" s="60" t="str">
        <f aca="false">IF(INPUTS!$B$133="","—",INPUTS!$B$133)</f>
        <v>Studio Construction cost with furnishing</v>
      </c>
      <c r="D32" s="143" t="n">
        <f aca="false">INPUTS!$G$133</f>
        <v>15.2</v>
      </c>
      <c r="E32" s="142" t="n">
        <f aca="false">INPUTS!$H$133</f>
        <v>165.217391304348</v>
      </c>
      <c r="F32" s="145" t="n">
        <f aca="false">INPUTS!$I$133</f>
        <v>0.0189290161892902</v>
      </c>
      <c r="G32" s="60" t="str">
        <f aca="false">IF(INPUTS!$F$133="","",INPUTS!$F$133)</f>
        <v>Yes</v>
      </c>
    </row>
    <row r="33" customFormat="false" ht="15" hidden="false" customHeight="false" outlineLevel="0" collapsed="false">
      <c r="C33" s="60" t="str">
        <f aca="false">IF(INPUTS!$B$134="","—",INPUTS!$B$134)</f>
        <v>Plotted Construction Development Cost</v>
      </c>
      <c r="D33" s="143" t="n">
        <f aca="false">INPUTS!$G$134</f>
        <v>0</v>
      </c>
      <c r="E33" s="142" t="n">
        <f aca="false">INPUTS!$H$134</f>
        <v>0</v>
      </c>
      <c r="F33" s="145" t="n">
        <f aca="false">INPUTS!$I$134</f>
        <v>0</v>
      </c>
      <c r="G33" s="60" t="str">
        <f aca="false">IF(INPUTS!$F$134="","",INPUTS!$F$134)</f>
        <v>Yes</v>
      </c>
    </row>
    <row r="34" customFormat="false" ht="15" hidden="false" customHeight="false" outlineLevel="0" collapsed="false">
      <c r="C34" s="60" t="str">
        <f aca="false">IF(INPUTS!$B$135="","—",INPUTS!$B$135)</f>
        <v>Institutional Plotted Development Cost</v>
      </c>
      <c r="D34" s="143" t="n">
        <f aca="false">INPUTS!$G$135</f>
        <v>0</v>
      </c>
      <c r="E34" s="142" t="n">
        <f aca="false">INPUTS!$H$135</f>
        <v>0</v>
      </c>
      <c r="F34" s="145" t="n">
        <f aca="false">INPUTS!$I$135</f>
        <v>0</v>
      </c>
      <c r="G34" s="60" t="str">
        <f aca="false">IF(INPUTS!$F$135="","",INPUTS!$F$135)</f>
        <v>Yes</v>
      </c>
    </row>
    <row r="35" customFormat="false" ht="15" hidden="false" customHeight="false" outlineLevel="0" collapsed="false">
      <c r="C35" s="60" t="str">
        <f aca="false">IF(INPUTS!$B$136="","—",INPUTS!$B$136)</f>
        <v>Commercial Construction Cost</v>
      </c>
      <c r="D35" s="143" t="n">
        <f aca="false">INPUTS!$G$136</f>
        <v>8.7</v>
      </c>
      <c r="E35" s="142" t="n">
        <f aca="false">INPUTS!$H$136</f>
        <v>94.5652173913043</v>
      </c>
      <c r="F35" s="145" t="n">
        <f aca="false">INPUTS!$I$136</f>
        <v>0.0108343711083437</v>
      </c>
      <c r="G35" s="60" t="str">
        <f aca="false">IF(INPUTS!$F$136="","",INPUTS!$F$136)</f>
        <v>Yes</v>
      </c>
    </row>
    <row r="36" customFormat="false" ht="15" hidden="false" customHeight="false" outlineLevel="0" collapsed="false">
      <c r="C36" s="60" t="str">
        <f aca="false">IF(INPUTS!$B$137="","—",INPUTS!$B$137)</f>
        <v>EWS/LIG plots development cost</v>
      </c>
      <c r="D36" s="143" t="n">
        <f aca="false">INPUTS!$G$137</f>
        <v>0</v>
      </c>
      <c r="E36" s="142" t="n">
        <f aca="false">INPUTS!$H$137</f>
        <v>0</v>
      </c>
      <c r="F36" s="145" t="n">
        <f aca="false">INPUTS!$I$137</f>
        <v>0</v>
      </c>
      <c r="G36" s="60" t="str">
        <f aca="false">IF(INPUTS!$F$137="","",INPUTS!$F$137)</f>
        <v>Yes</v>
      </c>
    </row>
    <row r="37" customFormat="false" ht="15" hidden="false" customHeight="false" outlineLevel="0" collapsed="false">
      <c r="C37" s="60" t="str">
        <f aca="false">IF(INPUTS!$B$138="","—",INPUTS!$B$138)</f>
        <v>Corporate Overheads (₹/Sq Ft SA)</v>
      </c>
      <c r="D37" s="143" t="n">
        <f aca="false">INPUTS!$G$138</f>
        <v>32.12</v>
      </c>
      <c r="E37" s="142" t="n">
        <f aca="false">INPUTS!$H$138</f>
        <v>349.130434782609</v>
      </c>
      <c r="F37" s="145" t="n">
        <f aca="false">INPUTS!$I$138</f>
        <v>0.04</v>
      </c>
      <c r="G37" s="60" t="str">
        <f aca="false">IF(INPUTS!$F$138="","",INPUTS!$F$138)</f>
        <v>Yes</v>
      </c>
    </row>
    <row r="38" customFormat="false" ht="15" hidden="false" customHeight="false" outlineLevel="0" collapsed="false">
      <c r="C38" s="60" t="str">
        <f aca="false">IF(INPUTS!$B$139="","—",INPUTS!$B$139)</f>
        <v>Marketing &amp; Sales @ %</v>
      </c>
      <c r="D38" s="143" t="n">
        <f aca="false">INPUTS!$G$139</f>
        <v>56.21</v>
      </c>
      <c r="E38" s="142" t="n">
        <f aca="false">INPUTS!$H$139</f>
        <v>610.978260869565</v>
      </c>
      <c r="F38" s="145" t="n">
        <f aca="false">INPUTS!$I$139</f>
        <v>0.07</v>
      </c>
      <c r="G38" s="60" t="str">
        <f aca="false">IF(INPUTS!$F$139="","",INPUTS!$F$139)</f>
        <v>Yes</v>
      </c>
    </row>
    <row r="39" customFormat="false" ht="15" hidden="false" customHeight="false" outlineLevel="0" collapsed="false">
      <c r="C39" s="60" t="str">
        <f aca="false">IF(INPUTS!$B$140="","—",INPUTS!$B$140)</f>
        <v>Legal &amp; Compliance (₹/Sq Ft SA)</v>
      </c>
      <c r="D39" s="143" t="n">
        <f aca="false">INPUTS!$G$140</f>
        <v>6.9</v>
      </c>
      <c r="E39" s="142" t="n">
        <f aca="false">INPUTS!$H$140</f>
        <v>75</v>
      </c>
      <c r="F39" s="145" t="n">
        <f aca="false">INPUTS!$I$140</f>
        <v>0.00859277708592777</v>
      </c>
      <c r="G39" s="60" t="str">
        <f aca="false">IF(INPUTS!$F$140="","",INPUTS!$F$140)</f>
        <v>Yes</v>
      </c>
    </row>
    <row r="40" customFormat="false" ht="15" hidden="false" customHeight="false" outlineLevel="0" collapsed="false">
      <c r="C40" s="60" t="str">
        <f aca="false">IF(INPUTS!$B$141="","—",INPUTS!$B$141)</f>
        <v>EWS / LIG @ ₹/Sq Ft (Builtup)</v>
      </c>
      <c r="D40" s="143" t="n">
        <f aca="false">INPUTS!$G$141</f>
        <v>1.84</v>
      </c>
      <c r="E40" s="142" t="n">
        <f aca="false">INPUTS!$H$141</f>
        <v>20</v>
      </c>
      <c r="F40" s="145" t="n">
        <f aca="false">INPUTS!$I$141</f>
        <v>0.00229140722291407</v>
      </c>
      <c r="G40" s="60" t="str">
        <f aca="false">IF(INPUTS!$F$141="","",INPUTS!$F$141)</f>
        <v>Yes</v>
      </c>
    </row>
    <row r="41" customFormat="false" ht="15" hidden="false" customHeight="false" outlineLevel="0" collapsed="false">
      <c r="C41" s="60" t="str">
        <f aca="false">IF(INPUTS!$B$142="","—",INPUTS!$B$142)</f>
        <v>Contingency @ %</v>
      </c>
      <c r="D41" s="143" t="n">
        <f aca="false">INPUTS!$G$142</f>
        <v>0</v>
      </c>
      <c r="E41" s="142" t="n">
        <f aca="false">INPUTS!$H$142</f>
        <v>0</v>
      </c>
      <c r="F41" s="145" t="n">
        <f aca="false">INPUTS!$I$142</f>
        <v>0</v>
      </c>
      <c r="G41" s="60" t="str">
        <f aca="false">IF(INPUTS!$F$142="","",INPUTS!$F$142)</f>
        <v>Yes</v>
      </c>
    </row>
    <row r="42" customFormat="false" ht="15" hidden="false" customHeight="false" outlineLevel="0" collapsed="false">
      <c r="C42" s="60" t="str">
        <f aca="false">IF(INPUTS!$B$143="","—",INPUTS!$B$143)</f>
        <v>External Development &amp; Landscaping</v>
      </c>
      <c r="D42" s="143" t="n">
        <f aca="false">INPUTS!$G$143</f>
        <v>0</v>
      </c>
      <c r="E42" s="142" t="n">
        <f aca="false">INPUTS!$H$143</f>
        <v>0</v>
      </c>
      <c r="F42" s="145" t="n">
        <f aca="false">INPUTS!$I$143</f>
        <v>0</v>
      </c>
      <c r="G42" s="60" t="str">
        <f aca="false">IF(INPUTS!$F$143="","",INPUTS!$F$143)</f>
        <v>Yes</v>
      </c>
    </row>
    <row r="43" customFormat="false" ht="15" hidden="false" customHeight="false" outlineLevel="0" collapsed="false">
      <c r="C43" s="60" t="str">
        <f aca="false">IF(INPUTS!$B$144="","—",INPUTS!$B$144)</f>
        <v>Hotel Brand Key fee ₹50K per Key for smaller brand</v>
      </c>
      <c r="D43" s="143" t="n">
        <f aca="false">INPUTS!$G$144</f>
        <v>0</v>
      </c>
      <c r="E43" s="142" t="n">
        <f aca="false">INPUTS!$H$144</f>
        <v>0</v>
      </c>
      <c r="F43" s="145" t="n">
        <f aca="false">INPUTS!$I$144</f>
        <v>0</v>
      </c>
      <c r="G43" s="60" t="str">
        <f aca="false">IF(INPUTS!$F$144="","",INPUTS!$F$144)</f>
        <v>Yes</v>
      </c>
    </row>
    <row r="44" customFormat="false" ht="15" hidden="false" customHeight="false" outlineLevel="0" collapsed="false">
      <c r="C44" s="60" t="str">
        <f aca="false">IF(INPUTS!$B$145="","—",INPUTS!$B$145)</f>
        <v>Furnishing Cost for Studios</v>
      </c>
      <c r="D44" s="143" t="n">
        <f aca="false">INPUTS!$G$145</f>
        <v>0</v>
      </c>
      <c r="E44" s="142" t="n">
        <f aca="false">INPUTS!$H$145</f>
        <v>0</v>
      </c>
      <c r="F44" s="145" t="n">
        <f aca="false">INPUTS!$I$145</f>
        <v>0</v>
      </c>
      <c r="G44" s="60" t="str">
        <f aca="false">IF(INPUTS!$F$145="","",INPUTS!$F$145)</f>
        <v>No</v>
      </c>
    </row>
    <row r="45" customFormat="false" ht="15" hidden="false" customHeight="false" outlineLevel="0" collapsed="false">
      <c r="C45" s="60" t="str">
        <f aca="false">IF(INPUTS!$B$146="","—",INPUTS!$B$146)</f>
        <v>GST cost in case of commercial/Plotting development</v>
      </c>
      <c r="D45" s="143" t="n">
        <f aca="false">INPUTS!$G$146</f>
        <v>0</v>
      </c>
      <c r="E45" s="142" t="n">
        <f aca="false">INPUTS!$H$146</f>
        <v>0</v>
      </c>
      <c r="F45" s="145" t="n">
        <f aca="false">INPUTS!$I$146</f>
        <v>0</v>
      </c>
      <c r="G45" s="60" t="str">
        <f aca="false">IF(INPUTS!$F$146="","",INPUTS!$F$146)</f>
        <v>No</v>
      </c>
    </row>
    <row r="46" customFormat="false" ht="15" hidden="false" customHeight="false" outlineLevel="0" collapsed="false">
      <c r="C46" s="60" t="str">
        <f aca="false">IF(INPUTS!$B$147="","—",INPUTS!$B$147)</f>
        <v>AIF Cost</v>
      </c>
      <c r="D46" s="143" t="n">
        <f aca="false">INPUTS!$G$147</f>
        <v>0</v>
      </c>
      <c r="E46" s="142" t="n">
        <f aca="false">INPUTS!$H$147</f>
        <v>0</v>
      </c>
      <c r="F46" s="145" t="n">
        <f aca="false">INPUTS!$I$147</f>
        <v>0</v>
      </c>
      <c r="G46" s="60" t="str">
        <f aca="false">IF(INPUTS!$F$147="","",INPUTS!$F$147)</f>
        <v>No</v>
      </c>
    </row>
    <row r="47" customFormat="false" ht="15" hidden="false" customHeight="false" outlineLevel="0" collapsed="false">
      <c r="C47" s="60" t="str">
        <f aca="false">IF(INPUTS!$B$148="","—",INPUTS!$B$148)</f>
        <v>BAR / Premium FAR Cost</v>
      </c>
      <c r="D47" s="143" t="n">
        <f aca="false">INPUTS!$G$148</f>
        <v>3.154574336</v>
      </c>
      <c r="E47" s="142" t="n">
        <f aca="false">INPUTS!$H$148</f>
        <v>34.2888514782608</v>
      </c>
      <c r="F47" s="145" t="n">
        <f aca="false">INPUTS!$I$148</f>
        <v>0.00392848609713574</v>
      </c>
      <c r="G47" s="60" t="str">
        <f aca="false">IF(INPUTS!$F$148="","",INPUTS!$F$148)</f>
        <v>Yes</v>
      </c>
    </row>
    <row r="48" customFormat="false" ht="15" hidden="false" customHeight="false" outlineLevel="0" collapsed="false">
      <c r="C48" s="60" t="str">
        <f aca="false">IF(INPUTS!$B$149="","—",INPUTS!$B$149)</f>
        <v>—</v>
      </c>
      <c r="D48" s="143" t="n">
        <f aca="false">INPUTS!$G$149</f>
        <v>0</v>
      </c>
      <c r="E48" s="142" t="n">
        <f aca="false">INPUTS!$H$149</f>
        <v>0</v>
      </c>
      <c r="F48" s="145" t="n">
        <f aca="false">INPUTS!$I$149</f>
        <v>0</v>
      </c>
      <c r="G48" s="60" t="str">
        <f aca="false">IF(INPUTS!$F$149="","",INPUTS!$F$149)</f>
        <v/>
      </c>
    </row>
    <row r="49" customFormat="false" ht="15" hidden="false" customHeight="false" outlineLevel="0" collapsed="false">
      <c r="C49" s="60" t="str">
        <f aca="false">IF(INPUTS!$B$150="","—",INPUTS!$B$150)</f>
        <v>—</v>
      </c>
      <c r="D49" s="143" t="n">
        <f aca="false">INPUTS!$G$150</f>
        <v>0</v>
      </c>
      <c r="E49" s="142" t="n">
        <f aca="false">INPUTS!$H$150</f>
        <v>0</v>
      </c>
      <c r="F49" s="145" t="n">
        <f aca="false">INPUTS!$I$150</f>
        <v>0</v>
      </c>
      <c r="G49" s="60" t="str">
        <f aca="false">IF(INPUTS!$F$150="","",INPUTS!$F$150)</f>
        <v/>
      </c>
    </row>
    <row r="50" customFormat="false" ht="15" hidden="false" customHeight="false" outlineLevel="0" collapsed="false">
      <c r="C50" s="60" t="str">
        <f aca="false">IF(INPUTS!$B$151="","—",INPUTS!$B$151)</f>
        <v>—</v>
      </c>
      <c r="D50" s="143" t="n">
        <f aca="false">INPUTS!$G$151</f>
        <v>0</v>
      </c>
      <c r="E50" s="142" t="n">
        <f aca="false">INPUTS!$H$151</f>
        <v>0</v>
      </c>
      <c r="F50" s="145" t="n">
        <f aca="false">INPUTS!$I$151</f>
        <v>0</v>
      </c>
      <c r="G50" s="60" t="str">
        <f aca="false">IF(INPUTS!$F$151="","",INPUTS!$F$151)</f>
        <v/>
      </c>
    </row>
    <row r="51" customFormat="false" ht="15" hidden="false" customHeight="false" outlineLevel="0" collapsed="false">
      <c r="C51" s="100" t="s">
        <v>828</v>
      </c>
      <c r="D51" s="85" t="n">
        <f aca="false">SUM(D27:D50)</f>
        <v>630.6053209296</v>
      </c>
      <c r="E51" s="84" t="n">
        <f aca="false">IF(INPUTS!$F$98&gt;0,D51*INPUTS!$C$25/INPUTS!$F$98,0)</f>
        <v>6854.40566227826</v>
      </c>
      <c r="F51" s="83" t="n">
        <f aca="false">IF(D23&gt;0,D51/D23,0)</f>
        <v>0.785311732166376</v>
      </c>
      <c r="G51" s="86"/>
    </row>
    <row r="52" customFormat="false" ht="15" hidden="false" customHeight="false" outlineLevel="0" collapsed="false">
      <c r="C52" s="60" t="s">
        <v>424</v>
      </c>
      <c r="D52" s="143" t="n">
        <f aca="false">INPUTS!$G$153</f>
        <v>270.4</v>
      </c>
    </row>
    <row r="54" customFormat="false" ht="19.5" hidden="false" customHeight="true" outlineLevel="0" collapsed="false">
      <c r="B54" s="4" t="s">
        <v>829</v>
      </c>
      <c r="C54" s="5"/>
      <c r="D54" s="5"/>
      <c r="E54" s="5"/>
      <c r="F54" s="5"/>
      <c r="G54" s="5"/>
      <c r="H54" s="5"/>
    </row>
    <row r="55" customFormat="false" ht="30" hidden="false" customHeight="true" outlineLevel="0" collapsed="false">
      <c r="C55" s="27"/>
      <c r="D55" s="27" t="s">
        <v>822</v>
      </c>
      <c r="E55" s="27" t="s">
        <v>823</v>
      </c>
      <c r="F55" s="27" t="s">
        <v>830</v>
      </c>
    </row>
    <row r="56" customFormat="false" ht="15" hidden="false" customHeight="false" outlineLevel="0" collapsed="false">
      <c r="C56" s="60" t="s">
        <v>831</v>
      </c>
      <c r="D56" s="63" t="n">
        <f aca="false">D23</f>
        <v>803</v>
      </c>
      <c r="E56" s="73" t="n">
        <f aca="false">IF(INPUTS!$F$98&gt;0,D56*INPUTS!$C$25/INPUTS!$F$98,0)</f>
        <v>8728.26086956522</v>
      </c>
      <c r="F56" s="64" t="n">
        <f aca="false">IF(D23&gt;0,D56/D23,0)</f>
        <v>1</v>
      </c>
    </row>
    <row r="57" customFormat="false" ht="15" hidden="false" customHeight="false" outlineLevel="0" collapsed="false">
      <c r="C57" s="60" t="s">
        <v>832</v>
      </c>
      <c r="D57" s="63" t="n">
        <f aca="false">D51</f>
        <v>630.6053209296</v>
      </c>
      <c r="E57" s="73" t="n">
        <f aca="false">IF(INPUTS!$F$98&gt;0,D57*INPUTS!$C$25/INPUTS!$F$98,0)</f>
        <v>6854.40566227826</v>
      </c>
      <c r="F57" s="64" t="n">
        <f aca="false">IF(D23&gt;0,D57/D23,0)</f>
        <v>0.785311732166376</v>
      </c>
    </row>
    <row r="58" customFormat="false" ht="15" hidden="false" customHeight="false" outlineLevel="0" collapsed="false">
      <c r="C58" s="100" t="s">
        <v>833</v>
      </c>
      <c r="D58" s="85" t="n">
        <f aca="false">D56-D57</f>
        <v>172.3946790704</v>
      </c>
      <c r="E58" s="146" t="n">
        <f aca="false">IF(INPUTS!$F$98&gt;0,D58*INPUTS!$C$25/INPUTS!$F$98,0)</f>
        <v>1873.85520728696</v>
      </c>
      <c r="F58" s="83" t="n">
        <f aca="false">IF(D23&gt;0,D58/D23,0)</f>
        <v>0.214688267833624</v>
      </c>
      <c r="G58" s="86"/>
    </row>
    <row r="59" customFormat="false" ht="15" hidden="false" customHeight="false" outlineLevel="0" collapsed="false">
      <c r="C59" s="60" t="s">
        <v>834</v>
      </c>
      <c r="D59" s="63" t="n">
        <f aca="false">MAX(0,D58)*INPUTS!$C$425</f>
        <v>44.822616558304</v>
      </c>
      <c r="F59" s="145" t="n">
        <f aca="false">INPUTS!$C$425</f>
        <v>0.26</v>
      </c>
      <c r="G59" s="140" t="str">
        <f aca="false">INPUTS!$C$22</f>
        <v>Company</v>
      </c>
    </row>
    <row r="60" customFormat="false" ht="15" hidden="false" customHeight="false" outlineLevel="0" collapsed="false">
      <c r="C60" s="100" t="s">
        <v>835</v>
      </c>
      <c r="D60" s="85" t="n">
        <f aca="false">D58-D59</f>
        <v>127.572062512096</v>
      </c>
      <c r="E60" s="146" t="n">
        <f aca="false">IF(INPUTS!$F$98&gt;0,D60*INPUTS!$C$25/INPUTS!$F$98,0)</f>
        <v>1386.65285339235</v>
      </c>
      <c r="F60" s="83" t="n">
        <f aca="false">IF(D23&gt;0,D60/D23,0)</f>
        <v>0.158869318196882</v>
      </c>
      <c r="G60" s="86"/>
    </row>
    <row r="61" customFormat="false" ht="15" hidden="false" customHeight="false" outlineLevel="0" collapsed="false">
      <c r="C61" s="17" t="s">
        <v>836</v>
      </c>
    </row>
    <row r="62" customFormat="false" ht="15" hidden="false" customHeight="false" outlineLevel="0" collapsed="false">
      <c r="C62" s="60" t="s">
        <v>837</v>
      </c>
      <c r="D62" s="63" t="n">
        <f aca="false">D23*INPUTS!$C$46</f>
        <v>546.04</v>
      </c>
    </row>
    <row r="63" customFormat="false" ht="15" hidden="false" customHeight="false" outlineLevel="0" collapsed="false">
      <c r="C63" s="60" t="s">
        <v>838</v>
      </c>
      <c r="D63" s="63" t="n">
        <f aca="false">D62-D58</f>
        <v>373.6453209296</v>
      </c>
    </row>
    <row r="64" customFormat="false" ht="15" hidden="false" customHeight="false" outlineLevel="0" collapsed="false">
      <c r="C64" s="60" t="s">
        <v>839</v>
      </c>
      <c r="F64" s="64" t="n">
        <f aca="false">IF(D62&gt;0,D58/D62,0)</f>
        <v>0.3157180409318</v>
      </c>
    </row>
    <row r="66" customFormat="false" ht="19.5" hidden="false" customHeight="true" outlineLevel="0" collapsed="false">
      <c r="B66" s="4" t="s">
        <v>840</v>
      </c>
      <c r="C66" s="5"/>
      <c r="D66" s="5"/>
      <c r="E66" s="5"/>
      <c r="F66" s="5"/>
      <c r="G66" s="5"/>
      <c r="H66" s="5"/>
    </row>
    <row r="67" customFormat="false" ht="24" hidden="false" customHeight="true" outlineLevel="0" collapsed="false">
      <c r="C67" s="27" t="s">
        <v>841</v>
      </c>
      <c r="D67" s="27" t="s">
        <v>842</v>
      </c>
      <c r="E67" s="27" t="s">
        <v>843</v>
      </c>
      <c r="F67" s="27" t="s">
        <v>151</v>
      </c>
    </row>
    <row r="68" customFormat="false" ht="15" hidden="false" customHeight="false" outlineLevel="0" collapsed="false">
      <c r="C68" s="60" t="s">
        <v>844</v>
      </c>
      <c r="D68" s="147" t="n">
        <f aca="false">INPUTS!$C$46</f>
        <v>0.68</v>
      </c>
      <c r="E68" s="63" t="n">
        <f aca="false">D23*D68</f>
        <v>546.04</v>
      </c>
      <c r="F68" s="60" t="str">
        <f aca="false">IF(INPUTS!$C$21="JV","","Outright: 100% to developer")</f>
        <v/>
      </c>
    </row>
    <row r="69" customFormat="false" ht="15" hidden="false" customHeight="false" outlineLevel="0" collapsed="false">
      <c r="C69" s="60" t="s">
        <v>845</v>
      </c>
      <c r="D69" s="64" t="n">
        <f aca="false">IF(INPUTS!$C$21="JV",INPUTS!$C$45,0)</f>
        <v>0.32</v>
      </c>
      <c r="E69" s="63" t="n">
        <f aca="false">D23*D69</f>
        <v>256.96</v>
      </c>
    </row>
    <row r="71" customFormat="false" ht="19.5" hidden="false" customHeight="true" outlineLevel="0" collapsed="false">
      <c r="B71" s="4" t="s">
        <v>846</v>
      </c>
      <c r="C71" s="5"/>
      <c r="D71" s="5"/>
      <c r="E71" s="5"/>
      <c r="F71" s="5"/>
      <c r="G71" s="5"/>
      <c r="H71" s="5"/>
    </row>
    <row r="72" customFormat="false" ht="24" hidden="false" customHeight="true" outlineLevel="0" collapsed="false">
      <c r="C72" s="27" t="s">
        <v>766</v>
      </c>
      <c r="D72" s="27" t="s">
        <v>82</v>
      </c>
      <c r="E72" s="27" t="s">
        <v>150</v>
      </c>
      <c r="F72" s="27" t="s">
        <v>847</v>
      </c>
      <c r="G72" s="27" t="s">
        <v>848</v>
      </c>
      <c r="H72" s="27" t="s">
        <v>344</v>
      </c>
    </row>
    <row r="73" customFormat="false" ht="15" hidden="false" customHeight="false" outlineLevel="0" collapsed="false">
      <c r="C73" s="60" t="s">
        <v>849</v>
      </c>
      <c r="D73" s="148" t="n">
        <f aca="false">CASHFLOW!$C$67</f>
        <v>4.49061202167778</v>
      </c>
      <c r="E73" s="60" t="s">
        <v>850</v>
      </c>
      <c r="F73" s="147" t="n">
        <f aca="false">INPUTS!$C$428</f>
        <v>0.22</v>
      </c>
      <c r="G73" s="60" t="str">
        <f aca="false">IF(ISNUMBER(D73),IF(D73&gt;F73,"✅ Strong","⚠️ Review"),"Step 5")</f>
        <v>✅ Strong</v>
      </c>
      <c r="H73" s="17" t="s">
        <v>851</v>
      </c>
    </row>
    <row r="74" customFormat="false" ht="15" hidden="false" customHeight="false" outlineLevel="0" collapsed="false">
      <c r="C74" s="60" t="s">
        <v>852</v>
      </c>
      <c r="D74" s="148" t="n">
        <f aca="false">CASHFLOW!$C$69</f>
        <v>1.10176376739746</v>
      </c>
      <c r="E74" s="60" t="s">
        <v>850</v>
      </c>
      <c r="F74" s="147" t="n">
        <f aca="false">INPUTS!$C$429</f>
        <v>0.18</v>
      </c>
      <c r="G74" s="60" t="str">
        <f aca="false">IF(ISNUMBER(D74),IF(D74&gt;F74,"✅ Strong","⚠️ Review"),"Step 5")</f>
        <v>✅ Strong</v>
      </c>
      <c r="H74" s="17" t="s">
        <v>853</v>
      </c>
    </row>
    <row r="75" customFormat="false" ht="15" hidden="false" customHeight="false" outlineLevel="0" collapsed="false">
      <c r="C75" s="60" t="s">
        <v>854</v>
      </c>
      <c r="D75" s="149" t="n">
        <f aca="false">IF(INPUTS!$C$21="JV",IFERROR(D62/(D51-INPUTS!$G$128-INPUTS!$G$129-INPUTS!$G$130),0),IF(D51&gt;0,D23/D51,0))</f>
        <v>1.47329680169824</v>
      </c>
      <c r="E75" s="60" t="s">
        <v>571</v>
      </c>
      <c r="F75" s="150" t="n">
        <f aca="false">INPUTS!$C$430</f>
        <v>2</v>
      </c>
      <c r="G75" s="60" t="str">
        <f aca="false">IF(ISNUMBER(D75),IF(D75&gt;F75,"✅ Strong","⚠️ Review"),"Step 5")</f>
        <v>⚠️ Review</v>
      </c>
      <c r="H75" s="17" t="s">
        <v>855</v>
      </c>
    </row>
    <row r="76" customFormat="false" ht="15" hidden="false" customHeight="false" outlineLevel="0" collapsed="false">
      <c r="C76" s="60" t="s">
        <v>856</v>
      </c>
      <c r="D76" s="143" t="n">
        <f aca="false">INPUTS!$C$208</f>
        <v>28.7093901776</v>
      </c>
      <c r="H76" s="17" t="s">
        <v>857</v>
      </c>
    </row>
    <row r="77" customFormat="false" ht="15" hidden="false" customHeight="false" outlineLevel="0" collapsed="false">
      <c r="C77" s="60" t="s">
        <v>858</v>
      </c>
      <c r="D77" s="151" t="n">
        <f aca="false">INPUTS!$C$32</f>
        <v>5</v>
      </c>
    </row>
    <row r="78" customFormat="false" ht="15" hidden="false" customHeight="false" outlineLevel="0" collapsed="false">
      <c r="C78" s="60" t="s">
        <v>859</v>
      </c>
      <c r="D78" s="152" t="n">
        <f aca="false">IF(AND(D76&gt;0,D77&gt;0),D58/D76/D77,0)</f>
        <v>1.20096371259678</v>
      </c>
      <c r="E78" s="60" t="s">
        <v>850</v>
      </c>
      <c r="F78" s="147" t="n">
        <f aca="false">INPUTS!$C$431</f>
        <v>0.3</v>
      </c>
      <c r="G78" s="60" t="str">
        <f aca="false">IF(ISNUMBER(D78),IF(D78&gt;F78,"✅ Strong","⚠️ Review"),"Step 5")</f>
        <v>✅ Strong</v>
      </c>
      <c r="H78" s="17" t="s">
        <v>860</v>
      </c>
    </row>
    <row r="79" customFormat="false" ht="15" hidden="false" customHeight="false" outlineLevel="0" collapsed="false">
      <c r="C79" s="60" t="s">
        <v>861</v>
      </c>
      <c r="D79" s="63" t="n">
        <f aca="false">D60+D76</f>
        <v>156.281452689696</v>
      </c>
      <c r="H79" s="17" t="s">
        <v>862</v>
      </c>
    </row>
    <row r="80" customFormat="false" ht="15" hidden="false" customHeight="false" outlineLevel="0" collapsed="false">
      <c r="C80" s="60" t="s">
        <v>863</v>
      </c>
      <c r="D80" s="152" t="n">
        <f aca="false">IF(AND(D76&gt;0,D77&gt;0,D79&gt;0),(D79/D76)^(1/D77)-1,0)</f>
        <v>0.403384560790797</v>
      </c>
      <c r="E80" s="60" t="s">
        <v>850</v>
      </c>
      <c r="F80" s="147" t="n">
        <f aca="false">INPUTS!$C$432</f>
        <v>0.3</v>
      </c>
      <c r="G80" s="60" t="str">
        <f aca="false">IF(ISNUMBER(D80),IF(D80&gt;F80,"✅ Strong","⚠️ Review"),"Step 5")</f>
        <v>✅ Strong</v>
      </c>
      <c r="H80" s="17" t="s">
        <v>864</v>
      </c>
    </row>
    <row r="81" customFormat="false" ht="15" hidden="false" customHeight="false" outlineLevel="0" collapsed="false">
      <c r="C81" s="60" t="s">
        <v>865</v>
      </c>
      <c r="D81" s="152" t="n">
        <f aca="false">F60</f>
        <v>0.158869318196882</v>
      </c>
      <c r="E81" s="60" t="s">
        <v>209</v>
      </c>
      <c r="F81" s="147" t="n">
        <f aca="false">INPUTS!$C$433</f>
        <v>0.15</v>
      </c>
      <c r="G81" s="60" t="str">
        <f aca="false">IF(ISNUMBER(D81),IF(D81&gt;F81,"✅ Strong","⚠️ Review"),"Step 5")</f>
        <v>✅ Strong</v>
      </c>
      <c r="H81" s="17" t="s">
        <v>866</v>
      </c>
    </row>
    <row r="82" customFormat="false" ht="15" hidden="false" customHeight="false" outlineLevel="0" collapsed="false">
      <c r="C82" s="60" t="s">
        <v>867</v>
      </c>
      <c r="D82" s="152" t="n">
        <f aca="false">F58</f>
        <v>0.214688267833624</v>
      </c>
      <c r="E82" s="60" t="s">
        <v>209</v>
      </c>
      <c r="F82" s="147" t="n">
        <f aca="false">INPUTS!$C$434</f>
        <v>0.2</v>
      </c>
      <c r="G82" s="60" t="str">
        <f aca="false">IF(ISNUMBER(D82),IF(D82&gt;F82,"✅ Strong","⚠️ Review"),"Step 5")</f>
        <v>✅ Strong</v>
      </c>
      <c r="H82" s="17" t="s">
        <v>868</v>
      </c>
    </row>
    <row r="83" customFormat="false" ht="15" hidden="false" customHeight="false" outlineLevel="0" collapsed="false">
      <c r="C83" s="60" t="s">
        <v>869</v>
      </c>
      <c r="D83" s="153" t="n">
        <f aca="false">CASHFLOW!$C$73</f>
        <v>34.2873209296</v>
      </c>
      <c r="E83" s="60" t="s">
        <v>64</v>
      </c>
      <c r="F83" s="60" t="s">
        <v>870</v>
      </c>
      <c r="G83" s="60"/>
      <c r="H83" s="17" t="str">
        <f aca="false">"Largest cumulative funding need – reached in "&amp;CASHFLOW!$C$74&amp;IF(CASHFLOW!$C$73&gt;0," ("&amp;TEXT(CASHFLOW!$C$75,"mmm yyyy")&amp;")","")</f>
        <v>Largest cumulative funding need – reached in Q2 (Sep 2027)</v>
      </c>
    </row>
    <row r="84" customFormat="false" ht="15" hidden="false" customHeight="false" outlineLevel="0" collapsed="false">
      <c r="C84" s="60" t="s">
        <v>871</v>
      </c>
      <c r="D84" s="152" t="n">
        <f aca="false">IF(D23&gt;0,INPUTS!$G$128/D23,0)</f>
        <v>0.32</v>
      </c>
      <c r="E84" s="60" t="s">
        <v>209</v>
      </c>
      <c r="F84" s="60" t="s">
        <v>870</v>
      </c>
      <c r="G84" s="60"/>
      <c r="H84" s="17" t="s">
        <v>872</v>
      </c>
    </row>
    <row r="85" customFormat="false" ht="15" hidden="false" customHeight="false" outlineLevel="0" collapsed="false">
      <c r="C85" s="60" t="s">
        <v>873</v>
      </c>
      <c r="D85" s="152" t="n">
        <f aca="false">IF(D23&gt;0,D76/D23,0)</f>
        <v>0.0357526652273973</v>
      </c>
      <c r="E85" s="60" t="s">
        <v>209</v>
      </c>
      <c r="F85" s="60" t="s">
        <v>870</v>
      </c>
      <c r="G85" s="60"/>
      <c r="H85" s="17" t="s">
        <v>874</v>
      </c>
    </row>
    <row r="86" customFormat="false" ht="15" hidden="false" customHeight="false" outlineLevel="0" collapsed="false">
      <c r="C86" s="60" t="s">
        <v>875</v>
      </c>
      <c r="D86" s="154" t="str">
        <f aca="false">CASHFLOW!$C$77</f>
        <v>Q3</v>
      </c>
      <c r="E86" s="60" t="s">
        <v>186</v>
      </c>
      <c r="F86" s="60" t="s">
        <v>870</v>
      </c>
      <c r="G86" s="60"/>
      <c r="H86" s="17" t="str">
        <f aca="false">"First quarter with positive net project cash flow"&amp;IF(CASHFLOW!$C$77="never",""," ("&amp;TEXT(CASHFLOW!$C$78,"mmm yyyy")&amp;")")</f>
        <v>First quarter with positive net project cash flow (Dec 2027)</v>
      </c>
    </row>
    <row r="87" customFormat="false" ht="15" hidden="false" customHeight="false" outlineLevel="0" collapsed="false">
      <c r="C87" s="60" t="s">
        <v>876</v>
      </c>
      <c r="D87" s="154" t="str">
        <f aca="false">CASHFLOW!$C$79</f>
        <v>Q3</v>
      </c>
      <c r="E87" s="60" t="s">
        <v>186</v>
      </c>
      <c r="F87" s="60" t="s">
        <v>870</v>
      </c>
      <c r="G87" s="60"/>
      <c r="H87" s="17" t="str">
        <f aca="false">"First quarter with positive net developer cash flow"&amp;IF(CASHFLOW!$C$79="never",""," ("&amp;TEXT(CASHFLOW!$C$80,"mmm yyyy")&amp;")")</f>
        <v>First quarter with positive net developer cash flow (Dec 2027)</v>
      </c>
    </row>
    <row r="88" customFormat="false" ht="15" hidden="false" customHeight="false" outlineLevel="0" collapsed="false">
      <c r="C88" s="60" t="s">
        <v>877</v>
      </c>
      <c r="D88" s="154" t="str">
        <f aca="false">CASHFLOW!$C$81</f>
        <v>Q8</v>
      </c>
      <c r="E88" s="60" t="s">
        <v>186</v>
      </c>
      <c r="F88" s="60" t="s">
        <v>870</v>
      </c>
      <c r="G88" s="60"/>
      <c r="H88" s="17" t="s">
        <v>878</v>
      </c>
    </row>
    <row r="89" customFormat="false" ht="15" hidden="false" customHeight="false" outlineLevel="0" collapsed="false">
      <c r="C89" s="60" t="s">
        <v>879</v>
      </c>
      <c r="D89" s="153" t="n">
        <f aca="false">CASHFLOW!$C$71</f>
        <v>251.616677861246</v>
      </c>
      <c r="E89" s="60" t="s">
        <v>64</v>
      </c>
      <c r="F89" s="60" t="s">
        <v>870</v>
      </c>
      <c r="G89" s="60"/>
      <c r="H89" s="17" t="s">
        <v>880</v>
      </c>
    </row>
    <row r="90" customFormat="false" ht="15" hidden="false" customHeight="false" outlineLevel="0" collapsed="false">
      <c r="C90" s="60" t="s">
        <v>881</v>
      </c>
      <c r="D90" s="153" t="n">
        <f aca="false">CASHFLOW!$C$72</f>
        <v>90.6281136296508</v>
      </c>
      <c r="E90" s="60" t="s">
        <v>64</v>
      </c>
      <c r="F90" s="60" t="s">
        <v>870</v>
      </c>
      <c r="G90" s="60"/>
      <c r="H90" s="17"/>
    </row>
    <row r="91" customFormat="false" ht="15" hidden="false" customHeight="false" outlineLevel="0" collapsed="false">
      <c r="C91" s="60" t="s">
        <v>882</v>
      </c>
      <c r="D91" s="148" t="n">
        <f aca="false">CASHFLOW!$C$70</f>
        <v>0.83889632417116</v>
      </c>
      <c r="E91" s="60" t="s">
        <v>850</v>
      </c>
      <c r="F91" s="60" t="s">
        <v>870</v>
      </c>
      <c r="G91" s="60"/>
      <c r="H91" s="17" t="s">
        <v>883</v>
      </c>
    </row>
    <row r="92" customFormat="false" ht="15" hidden="false" customHeight="false" outlineLevel="0" collapsed="false">
      <c r="C92" s="60" t="s">
        <v>884</v>
      </c>
      <c r="D92" s="153" t="n">
        <f aca="false">CASHFLOW!$C$76</f>
        <v>19.606</v>
      </c>
      <c r="E92" s="60" t="s">
        <v>64</v>
      </c>
      <c r="F92" s="60" t="s">
        <v>870</v>
      </c>
      <c r="G92" s="60"/>
      <c r="H92" s="17" t="s">
        <v>885</v>
      </c>
    </row>
    <row r="93" customFormat="false" ht="15" hidden="false" customHeight="false" outlineLevel="0" collapsed="false">
      <c r="C93" s="60" t="s">
        <v>886</v>
      </c>
      <c r="D93" s="155" t="n">
        <f aca="false">CASHFLOW!$C$83</f>
        <v>4.37891475006126</v>
      </c>
      <c r="E93" s="60" t="s">
        <v>571</v>
      </c>
      <c r="F93" s="60" t="s">
        <v>870</v>
      </c>
      <c r="G93" s="60"/>
      <c r="H93" s="17" t="s">
        <v>887</v>
      </c>
    </row>
  </sheetData>
  <conditionalFormatting sqref="G73:G87">
    <cfRule type="expression" priority="2" aboveAverage="0" equalAverage="0" bottom="0" percent="0" rank="0" text="" dxfId="9">
      <formula>LEFT($G73,1)="✅"</formula>
    </cfRule>
    <cfRule type="expression" priority="3" aboveAverage="0" equalAverage="0" bottom="0" percent="0" rank="0" text="" dxfId="19">
      <formula>LEFT($G73,2)="⚠️"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V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2" style="0" width="22"/>
    <col collapsed="false" customWidth="true" hidden="false" outlineLevel="0" max="18" min="18" style="0" width="24"/>
    <col collapsed="false" customWidth="true" hidden="false" outlineLevel="0" max="19" min="19" style="0" width="14"/>
    <col collapsed="false" customWidth="true" hidden="false" outlineLevel="0" max="22" min="20" style="0" width="26"/>
  </cols>
  <sheetData>
    <row r="2" customFormat="false" ht="15" hidden="false" customHeight="false" outlineLevel="0" collapsed="false">
      <c r="B2" s="156" t="s">
        <v>888</v>
      </c>
    </row>
    <row r="4" customFormat="false" ht="31.5" hidden="false" customHeight="true" outlineLevel="0" collapsed="false">
      <c r="B4" s="157" t="s">
        <v>165</v>
      </c>
      <c r="C4" s="157" t="s">
        <v>168</v>
      </c>
      <c r="D4" s="157" t="s">
        <v>889</v>
      </c>
      <c r="E4" s="157" t="s">
        <v>158</v>
      </c>
      <c r="F4" s="157" t="s">
        <v>253</v>
      </c>
      <c r="G4" s="157" t="s">
        <v>890</v>
      </c>
      <c r="H4" s="157" t="s">
        <v>891</v>
      </c>
      <c r="I4" s="157" t="s">
        <v>892</v>
      </c>
      <c r="J4" s="157" t="s">
        <v>893</v>
      </c>
      <c r="K4" s="157" t="s">
        <v>894</v>
      </c>
      <c r="L4" s="157" t="s">
        <v>895</v>
      </c>
      <c r="M4" s="157" t="s">
        <v>896</v>
      </c>
      <c r="N4" s="157" t="s">
        <v>897</v>
      </c>
      <c r="O4" s="157" t="s">
        <v>898</v>
      </c>
      <c r="P4" s="157" t="s">
        <v>899</v>
      </c>
      <c r="Q4" s="157" t="s">
        <v>462</v>
      </c>
      <c r="R4" s="157" t="s">
        <v>900</v>
      </c>
      <c r="S4" s="157" t="s">
        <v>901</v>
      </c>
      <c r="T4" s="157" t="s">
        <v>316</v>
      </c>
      <c r="U4" s="157" t="s">
        <v>320</v>
      </c>
      <c r="V4" s="157" t="s">
        <v>902</v>
      </c>
    </row>
    <row r="5" customFormat="false" ht="15" hidden="false" customHeight="false" outlineLevel="0" collapsed="false">
      <c r="B5" s="60" t="s">
        <v>166</v>
      </c>
      <c r="C5" s="60" t="s">
        <v>169</v>
      </c>
      <c r="D5" s="60" t="s">
        <v>291</v>
      </c>
      <c r="E5" s="60" t="s">
        <v>287</v>
      </c>
      <c r="F5" s="60" t="s">
        <v>259</v>
      </c>
      <c r="G5" s="60" t="s">
        <v>287</v>
      </c>
      <c r="H5" s="60" t="s">
        <v>294</v>
      </c>
      <c r="I5" s="60" t="s">
        <v>221</v>
      </c>
      <c r="J5" s="60" t="s">
        <v>221</v>
      </c>
      <c r="K5" s="60" t="s">
        <v>404</v>
      </c>
      <c r="L5" s="60" t="s">
        <v>404</v>
      </c>
      <c r="M5" s="60" t="s">
        <v>400</v>
      </c>
      <c r="N5" s="60" t="s">
        <v>515</v>
      </c>
      <c r="O5" s="60" t="s">
        <v>444</v>
      </c>
      <c r="P5" s="60" t="s">
        <v>445</v>
      </c>
      <c r="Q5" s="60" t="s">
        <v>463</v>
      </c>
      <c r="R5" s="140" t="str">
        <f aca="false">IF(INPUTS!C217="","",INPUTS!C217)</f>
        <v>CLP – Villa</v>
      </c>
      <c r="S5" s="140" t="str">
        <f aca="false">INPUTS!G249</f>
        <v>OK</v>
      </c>
      <c r="T5" s="60" t="s">
        <v>328</v>
      </c>
      <c r="U5" s="60" t="s">
        <v>328</v>
      </c>
      <c r="V5" s="60" t="s">
        <v>331</v>
      </c>
    </row>
    <row r="6" customFormat="false" ht="15" hidden="false" customHeight="false" outlineLevel="0" collapsed="false">
      <c r="B6" s="60" t="s">
        <v>903</v>
      </c>
      <c r="C6" s="60" t="s">
        <v>904</v>
      </c>
      <c r="D6" s="60" t="s">
        <v>305</v>
      </c>
      <c r="E6" s="60" t="s">
        <v>905</v>
      </c>
      <c r="F6" s="60" t="s">
        <v>260</v>
      </c>
      <c r="G6" s="60" t="s">
        <v>293</v>
      </c>
      <c r="H6" s="60" t="s">
        <v>288</v>
      </c>
      <c r="I6" s="60" t="s">
        <v>294</v>
      </c>
      <c r="J6" s="60" t="s">
        <v>294</v>
      </c>
      <c r="K6" s="60" t="s">
        <v>350</v>
      </c>
      <c r="L6" s="60" t="s">
        <v>906</v>
      </c>
      <c r="M6" s="60" t="s">
        <v>907</v>
      </c>
      <c r="N6" s="60" t="s">
        <v>518</v>
      </c>
      <c r="O6" s="60" t="s">
        <v>429</v>
      </c>
      <c r="P6" s="60" t="s">
        <v>432</v>
      </c>
      <c r="Q6" s="60" t="s">
        <v>908</v>
      </c>
      <c r="R6" s="140" t="str">
        <f aca="false">IF(INPUTS!C251="","",INPUTS!C251)</f>
        <v>CLP – Apartment</v>
      </c>
      <c r="S6" s="140" t="str">
        <f aca="false">INPUTS!G283</f>
        <v>OK</v>
      </c>
      <c r="T6" s="60" t="s">
        <v>330</v>
      </c>
      <c r="U6" s="60" t="s">
        <v>329</v>
      </c>
      <c r="V6" s="60" t="s">
        <v>909</v>
      </c>
    </row>
    <row r="7" customFormat="false" ht="15" hidden="false" customHeight="false" outlineLevel="0" collapsed="false">
      <c r="E7" s="60" t="s">
        <v>910</v>
      </c>
      <c r="F7" s="60" t="s">
        <v>261</v>
      </c>
      <c r="G7" s="60" t="s">
        <v>297</v>
      </c>
      <c r="H7" s="60" t="s">
        <v>300</v>
      </c>
      <c r="I7" s="60" t="s">
        <v>288</v>
      </c>
      <c r="J7" s="60" t="s">
        <v>288</v>
      </c>
      <c r="K7" s="60" t="s">
        <v>906</v>
      </c>
      <c r="L7" s="60" t="s">
        <v>911</v>
      </c>
      <c r="P7" s="60" t="s">
        <v>299</v>
      </c>
      <c r="Q7" s="60" t="s">
        <v>912</v>
      </c>
      <c r="R7" s="140" t="str">
        <f aca="false">IF(INPUTS!C285="","",INPUTS!C285)</f>
        <v>Plot – Development Linked</v>
      </c>
      <c r="S7" s="140" t="str">
        <f aca="false">INPUTS!G317</f>
        <v>OK</v>
      </c>
      <c r="T7" s="60" t="s">
        <v>913</v>
      </c>
      <c r="U7" s="60" t="s">
        <v>330</v>
      </c>
      <c r="V7" s="60" t="s">
        <v>332</v>
      </c>
    </row>
    <row r="8" customFormat="false" ht="15" hidden="false" customHeight="false" outlineLevel="0" collapsed="false">
      <c r="E8" s="60" t="s">
        <v>159</v>
      </c>
      <c r="F8" s="60" t="s">
        <v>262</v>
      </c>
      <c r="G8" s="60" t="s">
        <v>303</v>
      </c>
      <c r="H8" s="60" t="s">
        <v>290</v>
      </c>
      <c r="I8" s="60" t="s">
        <v>300</v>
      </c>
      <c r="J8" s="60" t="s">
        <v>300</v>
      </c>
      <c r="K8" s="60" t="s">
        <v>911</v>
      </c>
      <c r="Q8" s="60" t="s">
        <v>914</v>
      </c>
      <c r="R8" s="140" t="str">
        <f aca="false">IF(INPUTS!C319="","",INPUTS!C319)</f>
        <v>Down Payment Plan</v>
      </c>
      <c r="S8" s="140" t="str">
        <f aca="false">INPUTS!G351</f>
        <v>OK</v>
      </c>
      <c r="V8" s="60" t="s">
        <v>915</v>
      </c>
    </row>
    <row r="9" customFormat="false" ht="15" hidden="false" customHeight="false" outlineLevel="0" collapsed="false">
      <c r="G9" s="60" t="s">
        <v>299</v>
      </c>
      <c r="I9" s="60" t="s">
        <v>290</v>
      </c>
      <c r="J9" s="60" t="s">
        <v>290</v>
      </c>
      <c r="K9" s="60" t="s">
        <v>916</v>
      </c>
      <c r="R9" s="140" t="str">
        <f aca="false">IF(INPUTS!C353="","",INPUTS!C353)</f>
        <v>CLP – 17-Floor Tower</v>
      </c>
      <c r="S9" s="140" t="str">
        <f aca="false">INPUTS!G385</f>
        <v>OK</v>
      </c>
      <c r="V9" s="60" t="s">
        <v>917</v>
      </c>
    </row>
    <row r="10" customFormat="false" ht="15" hidden="false" customHeight="false" outlineLevel="0" collapsed="false">
      <c r="G10" s="60" t="s">
        <v>307</v>
      </c>
      <c r="J10" s="60" t="s">
        <v>366</v>
      </c>
      <c r="R10" s="140" t="str">
        <f aca="false">IF(INPUTS!C387="","",INPUTS!C387)</f>
        <v/>
      </c>
      <c r="S10" s="140" t="str">
        <f aca="false">INPUTS!G419</f>
        <v>Unused</v>
      </c>
    </row>
    <row r="11" customFormat="false" ht="15" hidden="false" customHeight="false" outlineLevel="0" collapsed="false">
      <c r="G11" s="60" t="s">
        <v>309</v>
      </c>
      <c r="J11" s="60" t="s">
        <v>390</v>
      </c>
    </row>
    <row r="12" customFormat="false" ht="15" hidden="false" customHeight="false" outlineLevel="0" collapsed="false">
      <c r="J12" s="60" t="s">
        <v>918</v>
      </c>
    </row>
    <row r="13" customFormat="false" ht="15" hidden="false" customHeight="false" outlineLevel="0" collapsed="false">
      <c r="J13" s="60" t="s">
        <v>386</v>
      </c>
    </row>
    <row r="14" customFormat="false" ht="15" hidden="false" customHeight="false" outlineLevel="0" collapsed="false">
      <c r="J14" s="60" t="s">
        <v>414</v>
      </c>
    </row>
    <row r="18" customFormat="false" ht="15" hidden="false" customHeight="false" outlineLevel="0" collapsed="false">
      <c r="B18" s="2" t="s">
        <v>919</v>
      </c>
    </row>
    <row r="19" customFormat="false" ht="15" hidden="false" customHeight="false" outlineLevel="0" collapsed="false">
      <c r="B19" s="135" t="s">
        <v>150</v>
      </c>
      <c r="C19" s="135" t="s">
        <v>920</v>
      </c>
      <c r="D19" s="135" t="s">
        <v>767</v>
      </c>
    </row>
    <row r="20" customFormat="false" ht="15" hidden="false" customHeight="false" outlineLevel="0" collapsed="false">
      <c r="B20" s="60" t="s">
        <v>195</v>
      </c>
      <c r="C20" s="158" t="n">
        <v>9</v>
      </c>
      <c r="D20" s="17" t="s">
        <v>921</v>
      </c>
    </row>
    <row r="21" customFormat="false" ht="15" hidden="false" customHeight="false" outlineLevel="0" collapsed="false">
      <c r="B21" s="60" t="s">
        <v>922</v>
      </c>
      <c r="C21" s="158" t="n">
        <v>0.83612736</v>
      </c>
      <c r="D21" s="17" t="s">
        <v>923</v>
      </c>
    </row>
    <row r="22" customFormat="false" ht="15" hidden="false" customHeight="false" outlineLevel="0" collapsed="false">
      <c r="B22" s="60" t="s">
        <v>924</v>
      </c>
      <c r="C22" s="158" t="n">
        <v>0.000206611570247934</v>
      </c>
      <c r="D22" s="17" t="s">
        <v>925</v>
      </c>
    </row>
    <row r="23" customFormat="false" ht="15" hidden="false" customHeight="false" outlineLevel="0" collapsed="false">
      <c r="B23" s="60" t="s">
        <v>199</v>
      </c>
      <c r="C23" s="158" t="n">
        <v>0.000330578512396694</v>
      </c>
      <c r="D23" s="17" t="s">
        <v>926</v>
      </c>
    </row>
    <row r="24" customFormat="false" ht="15" hidden="false" customHeight="false" outlineLevel="0" collapsed="false">
      <c r="B24" s="60" t="s">
        <v>927</v>
      </c>
      <c r="C24" s="158" t="n">
        <v>8.3612736E-005</v>
      </c>
      <c r="D24" s="17" t="s">
        <v>928</v>
      </c>
    </row>
    <row r="25" customFormat="false" ht="15" hidden="false" customHeight="false" outlineLevel="0" collapsed="false">
      <c r="B25" s="60" t="s">
        <v>929</v>
      </c>
      <c r="C25" s="158" t="n">
        <v>8.3612736E-007</v>
      </c>
      <c r="D25" s="17" t="s">
        <v>930</v>
      </c>
    </row>
    <row r="28" customFormat="false" ht="15" hidden="false" customHeight="false" outlineLevel="0" collapsed="false">
      <c r="B28" s="2" t="s">
        <v>931</v>
      </c>
    </row>
    <row r="29" customFormat="false" ht="15" hidden="false" customHeight="false" outlineLevel="0" collapsed="false">
      <c r="B29" s="3" t="s">
        <v>221</v>
      </c>
      <c r="C29" s="17" t="s">
        <v>932</v>
      </c>
    </row>
    <row r="30" customFormat="false" ht="15" hidden="false" customHeight="false" outlineLevel="0" collapsed="false">
      <c r="B30" s="3" t="s">
        <v>294</v>
      </c>
      <c r="C30" s="17" t="s">
        <v>933</v>
      </c>
    </row>
    <row r="31" customFormat="false" ht="15" hidden="false" customHeight="false" outlineLevel="0" collapsed="false">
      <c r="B31" s="3" t="s">
        <v>288</v>
      </c>
      <c r="C31" s="17" t="s">
        <v>934</v>
      </c>
    </row>
    <row r="32" customFormat="false" ht="15" hidden="false" customHeight="false" outlineLevel="0" collapsed="false">
      <c r="B32" s="3" t="s">
        <v>300</v>
      </c>
      <c r="C32" s="17" t="s">
        <v>935</v>
      </c>
    </row>
    <row r="33" customFormat="false" ht="15" hidden="false" customHeight="false" outlineLevel="0" collapsed="false">
      <c r="B33" s="3" t="s">
        <v>290</v>
      </c>
      <c r="C33" s="17" t="s">
        <v>936</v>
      </c>
    </row>
    <row r="34" customFormat="false" ht="15" hidden="false" customHeight="false" outlineLevel="0" collapsed="false">
      <c r="B34" s="3" t="s">
        <v>366</v>
      </c>
      <c r="C34" s="17" t="s">
        <v>937</v>
      </c>
    </row>
    <row r="35" customFormat="false" ht="15" hidden="false" customHeight="false" outlineLevel="0" collapsed="false">
      <c r="B35" s="3" t="s">
        <v>390</v>
      </c>
      <c r="C35" s="17" t="s">
        <v>938</v>
      </c>
    </row>
    <row r="36" customFormat="false" ht="15" hidden="false" customHeight="false" outlineLevel="0" collapsed="false">
      <c r="B36" s="3" t="s">
        <v>918</v>
      </c>
      <c r="C36" s="17" t="s">
        <v>939</v>
      </c>
    </row>
    <row r="37" customFormat="false" ht="15" hidden="false" customHeight="false" outlineLevel="0" collapsed="false">
      <c r="B37" s="3" t="s">
        <v>386</v>
      </c>
      <c r="C37" s="17" t="s">
        <v>940</v>
      </c>
    </row>
    <row r="38" customFormat="false" ht="15" hidden="false" customHeight="false" outlineLevel="0" collapsed="false">
      <c r="B38" s="3" t="s">
        <v>414</v>
      </c>
      <c r="C38" s="17" t="s">
        <v>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2026-10-26T06:22:40Z</dcterms:created>
  <dc:creator>openpyxl</dc:creator>
  <dc:description/>
  <dc:language>en-US</dc:language>
  <cp:lastModifiedBy/>
  <dcterms:modified xsi:type="dcterms:W3CDTF">2026-10-26T06:22:44Z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